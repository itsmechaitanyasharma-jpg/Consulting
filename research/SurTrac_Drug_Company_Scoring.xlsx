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Market Evidence" sheetId="4" state="visible" r:id="rId6"/>
    <sheet name="Price Evidence" sheetId="5" state="visible" r:id="rId7"/>
    <sheet name="Methodology" sheetId="6" state="visible" r:id="rId8"/>
  </sheets>
  <definedNames>
    <definedName function="false" hidden="true" localSheetId="1" name="_xlnm._FilterDatabase" vbProcedure="false">'Company Priority'!$A$4:$N$139</definedName>
    <definedName function="false" hidden="true" localSheetId="3" name="_xlnm._FilterDatabase" vbProcedure="false">'Market Evidence'!$A$4:$T$337</definedName>
    <definedName function="false" hidden="true" localSheetId="4" name="_xlnm._FilterDatabase" vbProcedure="false">'Price Evidence'!$A$4:$K$699</definedName>
    <definedName function="false" hidden="true" localSheetId="2" name="_xlnm._FilterDatabase" vbProcedure="false">Scoring!$A$5:$R$338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<sst xmlns="http://schemas.openxmlformats.org/spreadsheetml/2006/main" count="12815" uniqueCount="2974">
  <si>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</si>
  <si>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</si>
  <si>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</si>
  <si>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</si>
  <si>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Hetero (score 4.1–4.3 of 5). Each has a full list of 5 Lead drugs that are high-value hospital injectables they hold authorisations for in the US, UK and/or core EU markets.</t>
  </si>
  <si>
    <t xml:space="preserve">Six molecules fill 43 of the 84 Lead slots: sugammadex (10 companies), bortezomib (9), fulvestrant (8), daptomycin (6), azacitidine (5) and plerixafor (5). One SurTrac kit specification per molecule can be pitched to several companies.</t>
  </si>
  <si>
    <t xml:space="preserve">Company-level check: only 29% of the earlier EU country listings (1,063 of 3,660) are backed by the company's own authorisation. Glenmark loses azacitidine and plerixafor (no own Tier 1 authorisation) and drops from 6th to 11th. Alembic loses carboprost.</t>
  </si>
  <si>
    <t xml:space="preserve">Watch-outs on Lead drugs: 20 are cytotoxic cancer drugs (flagged as less relevant: usually pharmacy-prepared with closed transfer devices), 31 are powders needing reconstitution, and 13 are already prefilled syringes (pitch as a safety upgrade).</t>
  </si>
  <si>
    <t xml:space="preserve">Deprioritise Lupin, Strides and Alembic (1–3 Lead drugs). Their portfolios in this list are low-priced or lack their own authorisation in a Tier 1 market.</t>
  </si>
  <si>
    <t xml:space="preserve">Before outreach, confirm commercial launch (not just authorisation) of Lead drugs in Tier 1 markets, and confirm the dose volume for the 28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</si>
  <si>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</si>
  <si>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</si>
  <si>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</si>
  <si>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</si>
  <si>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</si>
  <si>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</si>
  <si>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</si>
  <si>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India injectable export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</si>
  <si>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</si>
  <si>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</si>
  <si>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</si>
  <si>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</si>
  <si>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</si>
  <si>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</si>
  <si>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</si>
  <si>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</si>
  <si>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</si>
  <si>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Hetero</t>
  </si>
  <si>
    <t xml:space="preserve">Azacitidine, Daptomycin, Bortezomib, Plerixafor, Sugammadex</t>
  </si>
  <si>
    <t xml:space="preserve">Sun Pharma</t>
  </si>
  <si>
    <t xml:space="preserve">Bortezomib, Fulvestrant, Sugammadex, Doxorubicin, Melphalan</t>
  </si>
  <si>
    <t xml:space="preserve">Cipla</t>
  </si>
  <si>
    <t xml:space="preserve">Daptomycin, Fulvestrant, Sugammadex, Testosterone Cypionate, Lanreotide</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</si>
  <si>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</si>
  <si>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</si>
  <si>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</si>
  <si>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</si>
  <si>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</si>
  <si>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</si>
  <si>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Glenmark</t>
  </si>
  <si>
    <t xml:space="preserve">Fulvestrant, Sugammadex, Bortezomib, Eribulin</t>
  </si>
  <si>
    <t xml:space="preserve">Torrent</t>
  </si>
  <si>
    <t xml:space="preserve">Fulvestrant, Paliperidone, Meropenem, Voriconazole, Granisetron</t>
  </si>
  <si>
    <t xml:space="preserve">Micro Labs</t>
  </si>
  <si>
    <t xml:space="preserve">Levetiracetam, Caffeine, Isoprenaline (Isoproterenol), Carboprost, Cyclizine</t>
  </si>
  <si>
    <t xml:space="preserve">Venus Remedies</t>
  </si>
  <si>
    <t xml:space="preserve">Ceftriaxone, Bleomycin, Meropenem, Ceftazidime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</si>
  <si>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</si>
  <si>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</si>
  <si>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</si>
  <si>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</si>
  <si>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</si>
  <si>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Methotrexate, Diazepam</t>
  </si>
  <si>
    <t xml:space="preserve">Lupin</t>
  </si>
  <si>
    <t xml:space="preserve">Sugammadex, Diazepam</t>
  </si>
  <si>
    <t xml:space="preserve">Strides</t>
  </si>
  <si>
    <t xml:space="preserve">Meropenem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</si>
  <si>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</si>
  <si>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</si>
  <si>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</si>
  <si>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</si>
  <si>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</si>
  <si>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</si>
  <si>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</si>
  <si>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</si>
  <si>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</si>
  <si>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India injectable export ($'000)</t>
  </si>
  <si>
    <t xml:space="preserve">Tier 1 markets (company-level)</t>
  </si>
  <si>
    <t xml:space="preserve">Markets (#)</t>
  </si>
  <si>
    <t xml:space="preserve">Presentation</t>
  </si>
  <si>
    <t xml:space="preserve">Fits 1–10 mL syringe</t>
  </si>
  <si>
    <t xml:space="preserve">Watch-outs</t>
  </si>
  <si>
    <t xml:space="preserve">Pitch angle</t>
  </si>
  <si>
    <t xml:space="preserve">Lead</t>
  </si>
  <si>
    <t xml:space="preserve">Azacitidine</t>
  </si>
  <si>
    <t xml:space="preserve">Oncology – myelodysplastic syndromes (MDS) &amp; AML</t>
  </si>
  <si>
    <t xml:space="preserve">UK, DE, FR, NL, BE</t>
  </si>
  <si>
    <t xml:space="preserve">Vial</t>
  </si>
  <si>
    <t xml:space="preserve">Powder – check reconstitution volume</t>
  </si>
  <si>
    <t xml:space="preserve">Cancer drug (cytotoxic) – less relevant; Reconstitution; Crowded (7 cos)</t>
  </si>
  <si>
    <t xml:space="preserve">Differentiation in crowded generic market</t>
  </si>
  <si>
    <t xml:space="preserve">Pegfilgrastim</t>
  </si>
  <si>
    <t xml:space="preserve">Oncology supportive – prevents chemotherapy-induced neutropenia</t>
  </si>
  <si>
    <t xml:space="preserve">Prefilled syringe</t>
  </si>
  <si>
    <t xml:space="preserve">Yes</t>
  </si>
  <si>
    <t xml:space="preserve">Prefilled only</t>
  </si>
  <si>
    <t xml:space="preserve">Safety upgrade of existing prefilled syringe</t>
  </si>
  <si>
    <t xml:space="preserve">Bortezomib</t>
  </si>
  <si>
    <t xml:space="preserve">Oncology – multiple myeloma &amp; mantle cell lymphoma</t>
  </si>
  <si>
    <t xml:space="preserve">UK, UK-NI, DE, FR, NL, BE</t>
  </si>
  <si>
    <t xml:space="preserve">Vial, Prefilled syringe</t>
  </si>
  <si>
    <t xml:space="preserve">Cancer drug (cytotoxic) – less relevant; Reconstitution; Crowded (10 cos)</t>
  </si>
  <si>
    <t xml:space="preserve">Amoxicillin</t>
  </si>
  <si>
    <t xml:space="preserve">Anti-infective – broad-use penicillin (IV for serious infections; oral dominant)</t>
  </si>
  <si>
    <t xml:space="preserve">UK-NI</t>
  </si>
  <si>
    <t xml:space="preserve">Not stated</t>
  </si>
  <si>
    <t xml:space="preserve">Unpriced</t>
  </si>
  <si>
    <t xml:space="preserve">Confirm presentation with company</t>
  </si>
  <si>
    <t xml:space="preserve">Paclitaxel</t>
  </si>
  <si>
    <t xml:space="preserve">Oncology – breast, ovarian &amp; lung cancers</t>
  </si>
  <si>
    <t xml:space="preserve">UK-NI, DE, FR, NL, BE, CA</t>
  </si>
  <si>
    <t xml:space="preserve">Cancer drug (cytotoxic) – less relevant</t>
  </si>
  <si>
    <t xml:space="preserve">Safety-device mandate compliance</t>
  </si>
  <si>
    <t xml:space="preserve">Next wave</t>
  </si>
  <si>
    <t xml:space="preserve">Daptomycin</t>
  </si>
  <si>
    <t xml:space="preserve">Anti-infective – MRSA skin infections &amp; bacteraemia</t>
  </si>
  <si>
    <t xml:space="preserve">UK, UK-NI, DE, FR, NL</t>
  </si>
  <si>
    <t xml:space="preserve">Check – powder in &gt;10 mL vial</t>
  </si>
  <si>
    <t xml:space="preserve">Reconstitution; Crowded (8 cos)</t>
  </si>
  <si>
    <t xml:space="preserve">Plerixafor</t>
  </si>
  <si>
    <t xml:space="preserve">Oncology supportive – stem-cell mobilisation (myeloma, lymphoma)</t>
  </si>
  <si>
    <t xml:space="preserve">Crowded (7 cos)</t>
  </si>
  <si>
    <t xml:space="preserve">Fulvestrant</t>
  </si>
  <si>
    <t xml:space="preserve">Oncology – HR+ advanced breast cancer</t>
  </si>
  <si>
    <t xml:space="preserve">US, UK, UK-NI, DE, FR, NL, BE</t>
  </si>
  <si>
    <t xml:space="preserve">Crowded (9 cos); Prefilled only</t>
  </si>
  <si>
    <t xml:space="preserve">Sugammadex</t>
  </si>
  <si>
    <t xml:space="preserve">Anaesthesia – reversal of rocuronium/vecuronium muscle relaxation</t>
  </si>
  <si>
    <t xml:space="preserve">UK, UK-NI, FR, NL</t>
  </si>
  <si>
    <t xml:space="preserve">Crowded (12 cos)</t>
  </si>
  <si>
    <t xml:space="preserve">Doxorubicin</t>
  </si>
  <si>
    <t xml:space="preserve">Oncology – breast cancer, lymphomas, sarcomas, leukaemia</t>
  </si>
  <si>
    <t xml:space="preserve">Cancer drug (cytotoxic) – less relevant; Crowded (4 cos)</t>
  </si>
  <si>
    <t xml:space="preserve">UK-NI, DE, FR, CA</t>
  </si>
  <si>
    <t xml:space="preserve">UK, DE, FR</t>
  </si>
  <si>
    <t xml:space="preserve">Cyclophosphamide</t>
  </si>
  <si>
    <t xml:space="preserve">Oncology – lymphoma, leukaemia, breast cancer; transplant conditioning</t>
  </si>
  <si>
    <t xml:space="preserve">CA</t>
  </si>
  <si>
    <t xml:space="preserve">No – &gt;10 mL only</t>
  </si>
  <si>
    <t xml:space="preserve">Melphalan</t>
  </si>
  <si>
    <t xml:space="preserve">Oncology – multiple myeloma (stem-cell transplant conditioning)</t>
  </si>
  <si>
    <t xml:space="preserve">UK, UK-NI, DE, FR, NL, BE, CA</t>
  </si>
  <si>
    <t xml:space="preserve">Cancer drug (cytotoxic) – less relevant; Reconstitution; Crowded (5 cos)</t>
  </si>
  <si>
    <t xml:space="preserve">Eribulin</t>
  </si>
  <si>
    <t xml:space="preserve">Oncology – metastatic breast cancer; liposarcoma</t>
  </si>
  <si>
    <t xml:space="preserve">FR, NL</t>
  </si>
  <si>
    <t xml:space="preserve">Amikacin</t>
  </si>
  <si>
    <t xml:space="preserve">Anti-infective – serious/MDR Gram-negative infections; MDR-TB</t>
  </si>
  <si>
    <t xml:space="preserve">UK, UK-NI, CA</t>
  </si>
  <si>
    <t xml:space="preserve">Pentamidine</t>
  </si>
  <si>
    <t xml:space="preserve">Anti-infective – Pneumocystis pneumonia; leishmaniasis</t>
  </si>
  <si>
    <t xml:space="preserve">UK, UK-NI, DE, FR, NL, CA</t>
  </si>
  <si>
    <t xml:space="preserve">Reconstitution</t>
  </si>
  <si>
    <t xml:space="preserve">DE, FR</t>
  </si>
  <si>
    <t xml:space="preserve">US, UK, UK-NI, DE, FR, CA</t>
  </si>
  <si>
    <t xml:space="preserve">Eptifibatide</t>
  </si>
  <si>
    <t xml:space="preserve">Cardiovascular – acute coronary syndrome &amp; PCI (antiplatelet)</t>
  </si>
  <si>
    <t xml:space="preserve">US</t>
  </si>
  <si>
    <t xml:space="preserve">Ertapenem</t>
  </si>
  <si>
    <t xml:space="preserve">Anti-infective – intra-abdominal, skin, urinary infections, pneumonia</t>
  </si>
  <si>
    <t xml:space="preserve">US, UK-NI, FR, CA</t>
  </si>
  <si>
    <t xml:space="preserve">Reconstitution; Crowded (3 cos)</t>
  </si>
  <si>
    <t xml:space="preserve">Anti-infective – severe hospital infections (ICU, sepsis, meningitis, MDR)</t>
  </si>
  <si>
    <t xml:space="preserve">UK-NI, DE, FR, BE, CA</t>
  </si>
  <si>
    <t xml:space="preserve">Reconstitution; Crowded (7 cos)</t>
  </si>
  <si>
    <t xml:space="preserve">DE, FR, NL</t>
  </si>
  <si>
    <t xml:space="preserve">UK, DE, FR, NL, BE, CA</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</si>
  <si>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</si>
  <si>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</si>
  <si>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</si>
  <si>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</si>
  <si>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</si>
  <si>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Cancer drug (cytotoxic) – less relevant; Reconstitution</t>
  </si>
  <si>
    <t xml:space="preserve">Crowded (3 cos)</t>
  </si>
  <si>
    <t xml:space="preserve">US, UK, UK-NI, DE, FR, NL</t>
  </si>
  <si>
    <t xml:space="preserve">US, DE, FR</t>
  </si>
  <si>
    <t xml:space="preserve">Carboprost</t>
  </si>
  <si>
    <t xml:space="preserve">Women's health – postpartum haemorrhage (PPH); pregnancy termination</t>
  </si>
  <si>
    <t xml:space="preserve">Crowded (5 cos)</t>
  </si>
  <si>
    <t xml:space="preserve">UK, UK-NI</t>
  </si>
  <si>
    <t xml:space="preserve">UK, UK-NI, DE, NL</t>
  </si>
  <si>
    <t xml:space="preserve">US, UK, UK-NI, DE, NL</t>
  </si>
  <si>
    <t xml:space="preserve">Vial, Ampoule</t>
  </si>
  <si>
    <t xml:space="preserve">Teicoplanin</t>
  </si>
  <si>
    <t xml:space="preserve">Anti-infective – MRSA &amp; serious Gram-positive infections</t>
  </si>
  <si>
    <t xml:space="preserve">Reconstitution; Crowded (5 cos)</t>
  </si>
  <si>
    <t xml:space="preserve">Isoprenaline (Isoproterenol)</t>
  </si>
  <si>
    <t xml:space="preserve">Cardiovascular – heart block, severe bradycardia</t>
  </si>
  <si>
    <t xml:space="preserve">Crowded (4 cos)</t>
  </si>
  <si>
    <t xml:space="preserve">Pantoprazole</t>
  </si>
  <si>
    <t xml:space="preserve">Gastroenterology – GERD, GI bleeding, stress-ulcer prophylaxis (IV PPI)</t>
  </si>
  <si>
    <t xml:space="preserve">Magnesium Sulfate</t>
  </si>
  <si>
    <t xml:space="preserve">Women's health / Critical care – eclampsia seizures; low magnesium</t>
  </si>
  <si>
    <t xml:space="preserve">UK, UK-NI, NL</t>
  </si>
  <si>
    <t xml:space="preserve">US, UK, UK-NI, NL</t>
  </si>
  <si>
    <t xml:space="preserve">US, UK-NI</t>
  </si>
  <si>
    <t xml:space="preserve">UK-NI, FR, NL, CA</t>
  </si>
  <si>
    <t xml:space="preserve">UK, UK-NI, DE, NL, CA</t>
  </si>
  <si>
    <t xml:space="preserve">Aripiprazole</t>
  </si>
  <si>
    <t xml:space="preserve">Psychiatry – long-acting injectable for schizophrenia / bipolar I</t>
  </si>
  <si>
    <t xml:space="preserve">UK</t>
  </si>
  <si>
    <t xml:space="preserve">Testosterone Cypionate</t>
  </si>
  <si>
    <t xml:space="preserve">Endocrinology – male hypogonadism (testosterone replacement)</t>
  </si>
  <si>
    <t xml:space="preserve">Octreotide</t>
  </si>
  <si>
    <t xml:space="preserve">Endocrinology / Oncology – acromegaly; carcinoid &amp; neuroendocrine tumours</t>
  </si>
  <si>
    <t xml:space="preserve">UK-NI, DE</t>
  </si>
  <si>
    <t xml:space="preserve">Ampoule</t>
  </si>
  <si>
    <t xml:space="preserve">UK, DE</t>
  </si>
  <si>
    <t xml:space="preserve">DE</t>
  </si>
  <si>
    <t xml:space="preserve">Lanreotide</t>
  </si>
  <si>
    <t xml:space="preserve">Endocrinology / Oncology – acromegaly; neuroendocrine tumours</t>
  </si>
  <si>
    <t xml:space="preserve">Hydrocortisone</t>
  </si>
  <si>
    <t xml:space="preserve">Endocrinology / Critical care – adrenal crisis, anaphylaxis, severe asthma, shock</t>
  </si>
  <si>
    <t xml:space="preserve">Phytonadione</t>
  </si>
  <si>
    <t xml:space="preserve">Haematology – newborn vitamin K bleeding prophylaxis; warfarin reversal</t>
  </si>
  <si>
    <t xml:space="preserve">Ceftriaxone</t>
  </si>
  <si>
    <t xml:space="preserve">Anti-infective – pneumonia, meningitis, sepsis, gonorrhoea, typhoid</t>
  </si>
  <si>
    <t xml:space="preserve">US, UK, UK-NI</t>
  </si>
  <si>
    <t xml:space="preserve">Vancomycin</t>
  </si>
  <si>
    <t xml:space="preserve">Sodium Valproate</t>
  </si>
  <si>
    <t xml:space="preserve">Neurology – epilepsy &amp; status epilepticus (when oral not possible)</t>
  </si>
  <si>
    <t xml:space="preserve">Ceftazidime</t>
  </si>
  <si>
    <t xml:space="preserve">Anti-infective – Pseudomonas &amp; hospital Gram-negative infections</t>
  </si>
  <si>
    <t xml:space="preserve">Reconstitution; Crowded (4 cos)</t>
  </si>
  <si>
    <t xml:space="preserve">Milrinone</t>
  </si>
  <si>
    <t xml:space="preserve">Cardiovascular – acute decompensated heart failure</t>
  </si>
  <si>
    <t xml:space="preserve">Ondansetron</t>
  </si>
  <si>
    <t xml:space="preserve">Oncology supportive – chemotherapy &amp; post-op nausea/vomiting</t>
  </si>
  <si>
    <t xml:space="preserve">Hyaluronidase</t>
  </si>
  <si>
    <t xml:space="preserve">Anaesthesia / Other – enhances dispersion of injected drugs &amp; fluids</t>
  </si>
  <si>
    <t xml:space="preserve">Haloperidol</t>
  </si>
  <si>
    <t xml:space="preserve">Psychiatry – acute agitation, psychosis, delirium</t>
  </si>
  <si>
    <t xml:space="preserve">US, UK</t>
  </si>
  <si>
    <t xml:space="preserve">Fluphenazine Decanoate</t>
  </si>
  <si>
    <t xml:space="preserve">Psychiatry – schizophrenia maintenance (long-acting depot)</t>
  </si>
  <si>
    <t xml:space="preserve">Gadobutrol</t>
  </si>
  <si>
    <t xml:space="preserve">Diagnostics – MRI contrast agent</t>
  </si>
  <si>
    <t xml:space="preserve">Brivaracetam</t>
  </si>
  <si>
    <t xml:space="preserve">Neurology – epilepsy (partial-onset seizures)</t>
  </si>
  <si>
    <t xml:space="preserve">Chlorpromazine</t>
  </si>
  <si>
    <t xml:space="preserve">Psychiatry – acute psychosis/agitation; severe nausea &amp; vomiting</t>
  </si>
  <si>
    <t xml:space="preserve">US, UK, UK-NI, FR</t>
  </si>
  <si>
    <t xml:space="preserve">FR</t>
  </si>
  <si>
    <t xml:space="preserve">Ethacrynate Sodium</t>
  </si>
  <si>
    <t xml:space="preserve">Cardiovascular / Renal – loop diuretic for sulfa-allergic patients</t>
  </si>
  <si>
    <t xml:space="preserve">Indocyanine Green</t>
  </si>
  <si>
    <t xml:space="preserve">Diagnostics – cardiac output, liver function, ophthalmic &amp; surgical imaging</t>
  </si>
  <si>
    <t xml:space="preserve">Cyanocobalamin</t>
  </si>
  <si>
    <t xml:space="preserve">Nutrition / Haematology – vitamin B12 deficiency, pernicious anaemia</t>
  </si>
  <si>
    <t xml:space="preserve">Fluorescein Sodium</t>
  </si>
  <si>
    <t xml:space="preserve">Ophthalmic – diagnostic retinal angiography</t>
  </si>
  <si>
    <t xml:space="preserve">Cisatracurium</t>
  </si>
  <si>
    <t xml:space="preserve">Anaesthesia – muscle relaxant for surgery &amp; ICU ventilation</t>
  </si>
  <si>
    <t xml:space="preserve">UK, UK-NI, DE</t>
  </si>
  <si>
    <t xml:space="preserve">Paliperidone</t>
  </si>
  <si>
    <t xml:space="preserve">Psychiatry – schizophrenia (long-acting injectable)</t>
  </si>
  <si>
    <t xml:space="preserve">Voriconazole</t>
  </si>
  <si>
    <t xml:space="preserve">Anti-infective – invasive aspergillosis &amp; serious fungal infections</t>
  </si>
  <si>
    <t xml:space="preserve">Granisetron</t>
  </si>
  <si>
    <t xml:space="preserve">Levetiracetam</t>
  </si>
  <si>
    <t xml:space="preserve">Caffeine</t>
  </si>
  <si>
    <t xml:space="preserve">Neonatology – apnoea of prematurity</t>
  </si>
  <si>
    <t xml:space="preserve">Cyclizine</t>
  </si>
  <si>
    <t xml:space="preserve">Gastroenterology – nausea &amp; vomiting (post-operative, opioid-induced)</t>
  </si>
  <si>
    <t xml:space="preserve">Lincomycin</t>
  </si>
  <si>
    <t xml:space="preserve">Anti-infective – serious Gram-positive infections (penicillin-allergic)</t>
  </si>
  <si>
    <t xml:space="preserve">Verapamil</t>
  </si>
  <si>
    <t xml:space="preserve">Cardiovascular – supraventricular tachycardia, atrial fibrillation rate control</t>
  </si>
  <si>
    <t xml:space="preserve">Diphenhydramine</t>
  </si>
  <si>
    <t xml:space="preserve">Immunology / Allergy – acute allergic reactions; drug-induced dystonia</t>
  </si>
  <si>
    <t xml:space="preserve">Succinylcholine (Suxamethonium)</t>
  </si>
  <si>
    <t xml:space="preserve">Anaesthesia – rapid-sequence intubation (muscle relaxant)</t>
  </si>
  <si>
    <t xml:space="preserve">Bleomycin</t>
  </si>
  <si>
    <t xml:space="preserve">Oncology – Hodgkin lymphoma, testicular &amp; squamous cell cancers</t>
  </si>
  <si>
    <t xml:space="preserve">Cancer drug (cytotoxic) – less relevant; Reconstitution; Crowded (3 cos)</t>
  </si>
  <si>
    <t xml:space="preserve">Baclofen</t>
  </si>
  <si>
    <t xml:space="preserve">Neurology – severe spasticity (intrathecal pump)</t>
  </si>
  <si>
    <t xml:space="preserve">Alfentanil</t>
  </si>
  <si>
    <t xml:space="preserve">Anaesthesia – short-acting opioid analgesia during surgery</t>
  </si>
  <si>
    <t xml:space="preserve">Remifentanil</t>
  </si>
  <si>
    <t xml:space="preserve">Anaesthesia – ultra-short-acting opioid analgesia during surgery</t>
  </si>
  <si>
    <t xml:space="preserve">Fentanyl</t>
  </si>
  <si>
    <t xml:space="preserve">Anaesthesia / Pain – surgical &amp; ICU analgesia (opioid)</t>
  </si>
  <si>
    <t xml:space="preserve">UK-NI, DE, FR, NL, BE</t>
  </si>
  <si>
    <t xml:space="preserve">Etomidate</t>
  </si>
  <si>
    <t xml:space="preserve">Anaesthesia – induction of general anaesthesia (unstable patients)</t>
  </si>
  <si>
    <t xml:space="preserve">DE, FR, NL, BE</t>
  </si>
  <si>
    <t xml:space="preserve">Bupivacaine</t>
  </si>
  <si>
    <t xml:space="preserve">Anaesthesia – long-acting local anaesthetic (spinal, epidural, nerve block)</t>
  </si>
  <si>
    <t xml:space="preserve">Methohexital</t>
  </si>
  <si>
    <t xml:space="preserve">Anaesthesia – anaesthesia for ECT &amp; short procedures</t>
  </si>
  <si>
    <t xml:space="preserve">Nafcillin</t>
  </si>
  <si>
    <t xml:space="preserve">Anti-infective – staphylococcal (MSSA) infections</t>
  </si>
  <si>
    <t xml:space="preserve">Methotrexate</t>
  </si>
  <si>
    <t xml:space="preserve">Oncology / Immunology – leukaemia, lymphoma, osteosarcoma; rheumatoid arthritis, psoriasis</t>
  </si>
  <si>
    <t xml:space="preserve">Diazepam</t>
  </si>
  <si>
    <t xml:space="preserve">Neurology – status epilepticus, seizures, acute anxiety/sedation</t>
  </si>
  <si>
    <t xml:space="preserve">Crowded (3 cos); Prefilled only</t>
  </si>
  <si>
    <t xml:space="preserve">Scoring – all 333 drug–company pairs</t>
  </si>
  <si>
    <t xml:space="preserve">Composite = weighted percentile of value (price) and volume (India injectable-adjusted export). Exclusions: no company-level Tier 1 market; all priced presentations ≤ $5.</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</si>
  <si>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</si>
  <si>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</si>
  <si>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</si>
  <si>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</si>
  <si>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</si>
  <si>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</si>
  <si>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</si>
  <si>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</si>
  <si>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</si>
  <si>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</si>
  <si>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https://dailymed.nlm.nih.gov/dailymed/search.cfm?labeltype=all&amp;query=methotrexate+injection</t>
  </si>
  <si>
    <t xml:space="preserve">https://dailymed.nlm.nih.gov/dailymed/search.cfm?labeltype=all&amp;query=diazepam+injection</t>
  </si>
  <si>
    <t xml:space="preserve">—</t>
  </si>
  <si>
    <t xml:space="preserve">No Tier 1 market</t>
  </si>
  <si>
    <t xml:space="preserve">https://dailymed.nlm.nih.gov/dailymed/search.cfm?labeltype=all&amp;query=carboprost</t>
  </si>
  <si>
    <t xml:space="preserve">Triamcinolone Acetonide</t>
  </si>
  <si>
    <t xml:space="preserve">Ortho / Immunology – joint &amp; soft-tissue injections; allergic &amp;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</si>
  <si>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</si>
  <si>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</si>
  <si>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</si>
  <si>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</si>
  <si>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</si>
  <si>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</si>
  <si>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</si>
  <si>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</si>
  <si>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</si>
  <si>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</si>
  <si>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</si>
  <si>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https://dailymed.nlm.nih.gov/dailymed/search.cfm?labeltype=all&amp;query=doxorubicin</t>
  </si>
  <si>
    <t xml:space="preserve">Esmolol</t>
  </si>
  <si>
    <t xml:space="preserve">Cardiovascular – rapid heart-rate control (SVT, peri-operative)</t>
  </si>
  <si>
    <t xml:space="preserve">Bag</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</si>
  <si>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</si>
  <si>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</si>
  <si>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</si>
  <si>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</si>
  <si>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</si>
  <si>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</si>
  <si>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</si>
  <si>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</si>
  <si>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DE, NL</t>
  </si>
  <si>
    <t xml:space="preserve">https://dailymed.nlm.nih.gov/dailymed/search.cfm?labeltype=all&amp;query=melphalan+hydrochloride</t>
  </si>
  <si>
    <t xml:space="preserve">Folinic Acid (Leucovorin)</t>
  </si>
  <si>
    <t xml:space="preserve">Oncology supportive – methotrexate rescue; with 5-FU in colorectal cancer</t>
  </si>
  <si>
    <t xml:space="preserve">https://dailymed.nlm.nih.gov/dailymed/search.cfm?labeltype=all&amp;query=leucovorin+calcium+injection</t>
  </si>
  <si>
    <t xml:space="preserve">Epirubicin</t>
  </si>
  <si>
    <t xml:space="preserve">Oncology – breast cancer (adjuvant)</t>
  </si>
  <si>
    <t xml:space="preserve">BE</t>
  </si>
  <si>
    <t xml:space="preserve">https://dailymed.nlm.nih.gov/dailymed/search.cfm?labeltype=all&amp;query=epirubicin</t>
  </si>
  <si>
    <t xml:space="preserve">https://dailymed.nlm.nih.gov/dailymed/search.cfm?labeltype=all&amp;query=fluphenazine+decanoate</t>
  </si>
  <si>
    <t xml:space="preserve">Tranexamic Acid</t>
  </si>
  <si>
    <t xml:space="preserve">Haematology – bleeding control (surgery, trauma, postpartum haemorrhage)</t>
  </si>
  <si>
    <t xml:space="preserve">https://dailymed.nlm.nih.gov/dailymed/search.cfm?labeltype=all&amp;query=tranexamic+acid+injection</t>
  </si>
  <si>
    <t xml:space="preserve">https://dailymed.nlm.nih.gov/dailymed/search.cfm?labeltype=all&amp;query=testosterone+cypionate</t>
  </si>
  <si>
    <t xml:space="preserve">https://dailymed.nlm.nih.gov/dailymed/search.cfm?labeltype=all&amp;query=ceftriaxone</t>
  </si>
  <si>
    <t xml:space="preserve">Argatroban</t>
  </si>
  <si>
    <t xml:space="preserve">Haematology – anticoagulant for heparin-induced thrombocytopenia (HIT)</t>
  </si>
  <si>
    <t xml:space="preserve">https://dailymed.nlm.nih.gov/dailymed/search.cfm?labeltype=all&amp;query=argatroban</t>
  </si>
  <si>
    <t xml:space="preserve">Ampicillin</t>
  </si>
  <si>
    <t xml:space="preserve">Anti-infective –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</si>
  <si>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</si>
  <si>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</si>
  <si>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</si>
  <si>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Sildenafil</t>
  </si>
  <si>
    <t xml:space="preserve">Cardiovascular – pulmonary arterial hypertension (IV)</t>
  </si>
  <si>
    <t xml:space="preserve">https://dailymed.nlm.nih.gov/dailymed/search.cfm?labeltype=all&amp;query=sildenafil+injection</t>
  </si>
  <si>
    <t xml:space="preserve">UK, UK-NI, DE, BE, CA</t>
  </si>
  <si>
    <t xml:space="preserve">https://dailymed.nlm.nih.gov/dailymed/search.cfm?labeltype=all&amp;query=ondansetron+injection</t>
  </si>
  <si>
    <t xml:space="preserve">Ibandronic Acid</t>
  </si>
  <si>
    <t xml:space="preserve">Ortho – postmenopausal osteoporosis (3-monthly IV)</t>
  </si>
  <si>
    <t xml:space="preserve">https://dailymed.nlm.nih.gov/dailymed/search.cfm?labeltype=all&amp;query=ibandronate+injection</t>
  </si>
  <si>
    <t xml:space="preserve">Medroxyprogesterone Acetate</t>
  </si>
  <si>
    <t xml:space="preserve">Women's health – 3-monthly contraceptive injection</t>
  </si>
  <si>
    <t xml:space="preserve">https://dailymed.nlm.nih.gov/dailymed/search.cfm?labeltype=all&amp;query=medroxyprogesterone+acetate+injectable</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</si>
  <si>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</si>
  <si>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</si>
  <si>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</si>
  <si>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</si>
  <si>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</si>
  <si>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</si>
  <si>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</si>
  <si>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</si>
  <si>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</si>
  <si>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</si>
  <si>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</si>
  <si>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</si>
  <si>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</si>
  <si>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</si>
  <si>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</si>
  <si>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</si>
  <si>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</si>
  <si>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</si>
  <si>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</si>
  <si>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</si>
  <si>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Anaesthesia – muscle relaxant for intubation &amp; surgery</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</si>
  <si>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</si>
  <si>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</si>
  <si>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</si>
  <si>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</si>
  <si>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</si>
  <si>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</si>
  <si>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</si>
  <si>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</si>
  <si>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</si>
  <si>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</si>
  <si>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</si>
  <si>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</si>
  <si>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</si>
  <si>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</si>
  <si>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Cancer drug (cytotoxic) – less relevant; Crowded (3 cos)</t>
  </si>
  <si>
    <t xml:space="preserve">https://dailymed.nlm.nih.gov/dailymed/search.cfm?labeltype=all&amp;query=vinorelbine</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</si>
  <si>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</si>
  <si>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</si>
  <si>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</si>
  <si>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</si>
  <si>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</si>
  <si>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</si>
  <si>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</si>
  <si>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</si>
  <si>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</si>
  <si>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</si>
  <si>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</si>
  <si>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</si>
  <si>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</si>
  <si>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</si>
  <si>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</si>
  <si>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</si>
  <si>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Mitomycin</t>
  </si>
  <si>
    <t xml:space="preserve">Oncology – gastric, pancreatic, anal &amp; bladder cancers</t>
  </si>
  <si>
    <t xml:space="preserve">https://dailymed.nlm.nih.gov/dailymed/search.cfm?labeltype=all&amp;query=mitomycin</t>
  </si>
  <si>
    <t xml:space="preserve">Flucloxacillin</t>
  </si>
  <si>
    <t xml:space="preserve">Anti-infective – staphylococcal skin, bone &amp; heart infections</t>
  </si>
  <si>
    <t xml:space="preserve">https://www.medicines.org.uk/emc/search?q=flucloxacillin</t>
  </si>
  <si>
    <t xml:space="preserve">Cefepime</t>
  </si>
  <si>
    <t xml:space="preserve">Anti-infective – hospital Gram-negative/Pseudomonas, febrile neutropenia</t>
  </si>
  <si>
    <t xml:space="preserve">https://dailymed.nlm.nih.gov/dailymed/search.cfm?labeltype=all&amp;query=cefepime</t>
  </si>
  <si>
    <t xml:space="preserve">https://dailymed.nlm.nih.gov/dailymed/search.cfm?labeltype=all&amp;query=sugammadex</t>
  </si>
  <si>
    <t xml:space="preserve">https://dailymed.nlm.nih.gov/dailymed/search.cfm?labeltype=all&amp;query=lanreotide</t>
  </si>
  <si>
    <t xml:space="preserve">https://dailymed.nlm.nih.gov/dailymed/search.cfm?labeltype=all&amp;query=hydrocortisone+sodium+succinate</t>
  </si>
  <si>
    <t xml:space="preserve">Trastuzumab</t>
  </si>
  <si>
    <t xml:space="preserve">Oncology – HER2+ breast &amp; gastric cancer (biosimilar)</t>
  </si>
  <si>
    <t xml:space="preserve">https://dailymed.nlm.nih.gov/dailymed/search.cfm?labeltype=all&amp;query=trastuzumab</t>
  </si>
  <si>
    <t xml:space="preserve">Measles Vaccine</t>
  </si>
  <si>
    <t xml:space="preserve">Vaccines – childhood measles immunisation</t>
  </si>
  <si>
    <t xml:space="preserve">https://www.who.int/news-room/fact-sheets/detail/measles</t>
  </si>
  <si>
    <t xml:space="preserve">Cancer drug (cytotoxic) – less relevant; Crowded (10 cos)</t>
  </si>
  <si>
    <t xml:space="preserve">Cancer drug (cytotoxic) – less relevant; Reconstitution; Crowded (4 cos)</t>
  </si>
  <si>
    <t xml:space="preserve">Phenylephrine</t>
  </si>
  <si>
    <t xml:space="preserve">Anaesthesia – hypotension during anaesthesia (vasopressor)</t>
  </si>
  <si>
    <t xml:space="preserve">https://dailymed.nlm.nih.gov/dailymed/search.cfm?labeltype=all&amp;query=phenylephrine+hydrochloride+injection</t>
  </si>
  <si>
    <t xml:space="preserve">https://dailymed.nlm.nih.gov/dailymed/search.cfm?labeltype=all&amp;query=isoproterenol</t>
  </si>
  <si>
    <t xml:space="preserve">https://dailymed.nlm.nih.gov/dailymed/search.cfm?labeltype=all&amp;query=bleomycin</t>
  </si>
  <si>
    <t xml:space="preserve">Streptokinase</t>
  </si>
  <si>
    <t xml:space="preserve">Cardiovascular – clot-buster for heart attack (STEMI), pulmonary embolism</t>
  </si>
  <si>
    <t xml:space="preserve">https://list.essentialmeds.org/?query=streptokinase</t>
  </si>
  <si>
    <t xml:space="preserve">https://www.medicines.org.uk/emc/search?q=teicoplanin</t>
  </si>
  <si>
    <t xml:space="preserve">Testosterone Undecanoate</t>
  </si>
  <si>
    <t xml:space="preserve">Endocrinology – male hypogonadism (long-acting, ~3-monthly)</t>
  </si>
  <si>
    <t xml:space="preserve">https://dailymed.nlm.nih.gov/dailymed/search.cfm?labeltype=all&amp;query=testosterone+undecanoate</t>
  </si>
  <si>
    <t xml:space="preserve">Vinblastine</t>
  </si>
  <si>
    <t xml:space="preserve">Oncology – Hodgkin lymphoma, testicular cancer, Kaposi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</si>
  <si>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</si>
  <si>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</si>
  <si>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</si>
  <si>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</si>
  <si>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</si>
  <si>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</si>
  <si>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</si>
  <si>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</si>
  <si>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</si>
  <si>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</si>
  <si>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</si>
  <si>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</si>
  <si>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Neostigmine</t>
  </si>
  <si>
    <t xml:space="preserve">Anaesthesia – reversal of muscle relaxants after surgery</t>
  </si>
  <si>
    <t xml:space="preserve">https://dailymed.nlm.nih.gov/dailymed/search.cfm?labeltype=all&amp;query=neostigmine</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</si>
  <si>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</si>
  <si>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</si>
  <si>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</si>
  <si>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https://dailymed.nlm.nih.gov/dailymed/search.cfm?labeltype=all&amp;query=amikacin</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</si>
  <si>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</si>
  <si>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</si>
  <si>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</si>
  <si>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</si>
  <si>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</si>
  <si>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https://dailymed.nlm.nih.gov/dailymed/search.cfm?labeltype=all&amp;query=milrinone</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</si>
  <si>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</si>
  <si>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</si>
  <si>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</si>
  <si>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</si>
  <si>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</si>
  <si>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</si>
  <si>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</si>
  <si>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</si>
  <si>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</si>
  <si>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</si>
  <si>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https://dailymed.nlm.nih.gov/dailymed/search.cfm?labeltype=all&amp;query=acetazolamide</t>
  </si>
  <si>
    <t xml:space="preserve">https://dailymed.nlm.nih.gov/dailymed/search.cfm?labeltype=all&amp;query=magnesium+sulfate+injection</t>
  </si>
  <si>
    <t xml:space="preserve">Rocuronium</t>
  </si>
  <si>
    <t xml:space="preserve">https://dailymed.nlm.nih.gov/dailymed/search.cfm?labeltype=all&amp;query=rocuronium</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</si>
  <si>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</si>
  <si>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</si>
  <si>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</si>
  <si>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</si>
  <si>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</si>
  <si>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</si>
  <si>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</si>
  <si>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Glycopyrrolate</t>
  </si>
  <si>
    <t xml:space="preserve">Anaesthesia – reduce secretions; reversal of muscle relaxants (with neostigmine)</t>
  </si>
  <si>
    <t xml:space="preserve">https://dailymed.nlm.nih.gov/dailymed/search.cfm?labeltype=all&amp;query=glycopyrrolate+injection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</si>
  <si>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</si>
  <si>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</si>
  <si>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</si>
  <si>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</si>
  <si>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</si>
  <si>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</si>
  <si>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</si>
  <si>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</si>
  <si>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</si>
  <si>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</si>
  <si>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</si>
  <si>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</si>
  <si>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</si>
  <si>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</si>
  <si>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</si>
  <si>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</si>
  <si>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Vial, Ampoule, Prefilled syringe</t>
  </si>
  <si>
    <t xml:space="preserve">Ranibizumab</t>
  </si>
  <si>
    <t xml:space="preserve">Ophthalmic – wet AMD, diabetic macular oedema, retinal vein occlusion</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</si>
  <si>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</si>
  <si>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</si>
  <si>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</si>
  <si>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</si>
  <si>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</si>
  <si>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</si>
  <si>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</si>
  <si>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</si>
  <si>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</si>
  <si>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</si>
  <si>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</si>
  <si>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</si>
  <si>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</si>
  <si>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</si>
  <si>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</si>
  <si>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</si>
  <si>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</si>
  <si>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</si>
  <si>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</si>
  <si>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</si>
  <si>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</si>
  <si>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US, UK, DE, FR, NL, BE</t>
  </si>
  <si>
    <t xml:space="preserve">Amiodarone</t>
  </si>
  <si>
    <t xml:space="preserve">Cardiovascular – ventricular arrhythmias, cardiac arrest (VF/VT)</t>
  </si>
  <si>
    <t xml:space="preserve">https://dailymed.nlm.nih.gov/dailymed/search.cfm?labeltype=all&amp;query=amiodarone</t>
  </si>
  <si>
    <t xml:space="preserve">UK, UK-NI, FR, NL, BE</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</si>
  <si>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</si>
  <si>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</si>
  <si>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</si>
  <si>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</si>
  <si>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</si>
  <si>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</si>
  <si>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</si>
  <si>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</si>
  <si>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</si>
  <si>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</si>
  <si>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</si>
  <si>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</si>
  <si>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</si>
  <si>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</si>
  <si>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</si>
  <si>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</si>
  <si>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</si>
  <si>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</si>
  <si>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</si>
  <si>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</si>
  <si>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</si>
  <si>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Crowded (5 cos); Prefilled only</t>
  </si>
  <si>
    <t xml:space="preserve">Vincristine</t>
  </si>
  <si>
    <t xml:space="preserve">Oncology – leukaemia (ALL), lymphomas, paediatric tumours</t>
  </si>
  <si>
    <t xml:space="preserve">https://dailymed.nlm.nih.gov/dailymed/search.cfm?labeltype=all&amp;query=vincristine</t>
  </si>
  <si>
    <t xml:space="preserve">Oxytocin</t>
  </si>
  <si>
    <t xml:space="preserve">Women's health – labour induction; postpartum haemorrhage</t>
  </si>
  <si>
    <t xml:space="preserve">https://dailymed.nlm.nih.gov/dailymed/search.cfm?labeltype=all&amp;query=oxytocin</t>
  </si>
  <si>
    <t xml:space="preserve">Elemental Iron</t>
  </si>
  <si>
    <t xml:space="preserve">Haematology / Nephrology – IV iron for iron-deficiency anaemia (iron sucrose)</t>
  </si>
  <si>
    <t xml:space="preserve">https://dailymed.nlm.nih.gov/dailymed/search.cfm?labeltype=all&amp;query=iron+sucrose</t>
  </si>
  <si>
    <t xml:space="preserve">Olanzapine</t>
  </si>
  <si>
    <t xml:space="preserve">Psychiatry – acute agitation in schizophrenia / bipolar mania</t>
  </si>
  <si>
    <t xml:space="preserve">https://dailymed.nlm.nih.gov/dailymed/search.cfm?labeltype=all&amp;query=olanzapine+for+injection</t>
  </si>
  <si>
    <t xml:space="preserve">Cefazolin</t>
  </si>
  <si>
    <t xml:space="preserve">Anti-infective – surgical prophylaxis; MSSA infections</t>
  </si>
  <si>
    <t xml:space="preserve">https://dailymed.nlm.nih.gov/dailymed/search.cfm?labeltype=all&amp;query=cefazolin</t>
  </si>
  <si>
    <t xml:space="preserve">https://dailymed.nlm.nih.gov/dailymed/search.cfm?labeltype=all&amp;query=alfentanil</t>
  </si>
  <si>
    <t xml:space="preserve">Famotidine</t>
  </si>
  <si>
    <t xml:space="preserve">Gastroenterology – ulcers, GERD, hypersecretory states (IV H2 blocker)</t>
  </si>
  <si>
    <t xml:space="preserve">https://dailymed.nlm.nih.gov/dailymed/search.cfm?labeltype=all&amp;query=famotidine+injection</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</si>
  <si>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</si>
  <si>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</si>
  <si>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</si>
  <si>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</si>
  <si>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</si>
  <si>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</si>
  <si>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</si>
  <si>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</si>
  <si>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</si>
  <si>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</si>
  <si>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</si>
  <si>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</si>
  <si>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</si>
  <si>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Piperacillin + Tazobactam</t>
  </si>
  <si>
    <t xml:space="preserve">Anti-infective – broad-spectrum hospital infections (pneumonia, sepsis, intra-abdominal)</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</si>
  <si>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</si>
  <si>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</si>
  <si>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</si>
  <si>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</si>
  <si>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</si>
  <si>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</si>
  <si>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</si>
  <si>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</si>
  <si>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</si>
  <si>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</si>
  <si>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</si>
  <si>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</si>
  <si>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</si>
  <si>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</si>
  <si>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</si>
  <si>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</si>
  <si>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</si>
  <si>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</si>
  <si>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</si>
  <si>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</si>
  <si>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</si>
  <si>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</si>
  <si>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</si>
  <si>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</si>
  <si>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</si>
  <si>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</si>
  <si>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</si>
  <si>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</si>
  <si>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</si>
  <si>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</si>
  <si>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</si>
  <si>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</si>
  <si>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</si>
  <si>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</si>
  <si>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</si>
  <si>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</si>
  <si>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https://dailymed.nlm.nih.gov/dailymed/search.cfm?labeltype=all&amp;query=fluorescein</t>
  </si>
  <si>
    <t xml:space="preserve">Haloperidol Decanoate</t>
  </si>
  <si>
    <t xml:space="preserve">https://dailymed.nlm.nih.gov/dailymed/search.cfm?labeltype=all&amp;query=haloperidol+decanoate</t>
  </si>
  <si>
    <t xml:space="preserve">Iron Sucrose</t>
  </si>
  <si>
    <t xml:space="preserve">Haematology / Nephrology – IV iron for iron-deficiency anaemia in CKD</t>
  </si>
  <si>
    <t xml:space="preserve">Market evidence – where each company holds its own authorisation</t>
  </si>
  <si>
    <t xml:space="preserve">Non-EU markets: user's country tabs (Shortlist 5). EU/EEA and UK-NI: re-checked against EMA Article 57 database by the company's own authorisation holders (replaces molecule-level EU counts).</t>
  </si>
  <si>
    <t xml:space="preserve">UK (GB)</t>
  </si>
  <si>
    <t xml:space="preserve">Canada</t>
  </si>
  <si>
    <t xml:space="preserve">Australia</t>
  </si>
  <si>
    <t xml:space="preserve">South Africa</t>
  </si>
  <si>
    <t xml:space="preserve">EU/EEA countries – company-level</t>
  </si>
  <si>
    <t xml:space="preserve">EU/EEA countries – previous (molecule-level)</t>
  </si>
  <si>
    <t xml:space="preserve">EU central authorisation</t>
  </si>
  <si>
    <t xml:space="preserve">EU authorisation holder(s)</t>
  </si>
  <si>
    <t xml:space="preserve">EU check – EMA Article 57 file (all EU/EEA + UK-NI)</t>
  </si>
  <si>
    <t xml:space="preserve">How to check (EU)</t>
  </si>
  <si>
    <t xml:space="preserve">EU-wide authorisation page (EMA)</t>
  </si>
  <si>
    <t xml:space="preserve">France register search (BDPM)</t>
  </si>
  <si>
    <t xml:space="preserve">Alembic Pharmaceuticals Europe Ltd</t>
  </si>
  <si>
    <t xml:space="preserve">https://www.ema.europa.eu/en/documents/other/article-57-product-data_en.xlsx</t>
  </si>
  <si>
    <t xml:space="preserve">Filter "Active substance" contains "carboprost" and "Marketing authorisation holder" contains "Alembic" → see "Product authorisation country" (rows with an injectable route)</t>
  </si>
  <si>
    <t xml:space="preserve">✓</t>
  </si>
  <si>
    <t xml:space="preserve">No injectable authorisation held by the company group found (filter "Active substance" contains "diazepam" to confirm)</t>
  </si>
  <si>
    <t xml:space="preserve">No injectable authorisation held by the company group found (filter "Active substance" contains "fulvestrant" to confirm)</t>
  </si>
  <si>
    <t xml:space="preserve">No injectable authorisation held by the company group found (filter "Active substance" contains "methotrexate" to confirm)</t>
  </si>
  <si>
    <t xml:space="preserve">No injectable authorisation held by the company group found (filter "Active substance" contains "phytonadione" to confirm)</t>
  </si>
  <si>
    <t xml:space="preserve">No injectable authorisation held by the company group found (filter "Active substance" contains "triamcinolone acetonide" to confirm)</t>
  </si>
  <si>
    <t xml:space="preserve">Eugia Pharma (Malta) Limited</t>
  </si>
  <si>
    <t xml:space="preserve">Filter "Active substance" contains "ampicillin" and "Marketing authorisation holder" contains "Eugia" → see "Product authorisation country" (rows with an injectable route)</t>
  </si>
  <si>
    <t xml:space="preserve">No injectable authorisation held by the company group found (filter "Active substance" contains "argatroban" to confirm)</t>
  </si>
  <si>
    <t xml:space="preserve">Eugia (Uk) Limited; Eugia Pharma (Malta) Limited</t>
  </si>
  <si>
    <t xml:space="preserve">Filter "Active substance" contains "azacitidine" and "Marketing authorisation holder" contains "Eugia" → see "Product authorisation country" (rows with an injectable route)</t>
  </si>
  <si>
    <t xml:space="preserve">https://base-donnees-publique.medicaments.gouv.fr/index.php?page=1&amp;choixRecherche=medicament&amp;txtCaracteres=Azacitidine%20Arrow&amp;action=show</t>
  </si>
  <si>
    <t xml:space="preserve">Eugia Pharma (Malta) Limited; Milpharm Limited</t>
  </si>
  <si>
    <t xml:space="preserve">Filter "Active substance" contains "bortezomib" and "Marketing authorisation holder" contains "Eugia" or "Milpharm" → see "Product authorisation country" (rows with an injectable route)</t>
  </si>
  <si>
    <t xml:space="preserve">https://base-donnees-publique.medicaments.gouv.fr/index.php?page=1&amp;choixRecherche=medicament&amp;txtCaracteres=Bortezomib%20Arrow&amp;action=show</t>
  </si>
  <si>
    <t xml:space="preserve">Filter "Active substance" contains "bupivacaine" and "Marketing authorisation holder" contains "Eugia" → see "Product authorisation country" (rows with an injectable route)</t>
  </si>
  <si>
    <t xml:space="preserve">No injectable authorisation held by the company group found (filter "Active substance" contains "carboprost" to confirm)</t>
  </si>
  <si>
    <t xml:space="preserve">No injectable authorisation held by the company group found (filter "Active substance" contains "cefepime" to confirm)</t>
  </si>
  <si>
    <t xml:space="preserve">Filter "Active substance" contains "ceftazidime" and "Marketing authorisation holder" contains "Eugia" → see "Product authorisation country" (rows with an injectable route)</t>
  </si>
  <si>
    <t xml:space="preserve">https://base-donnees-publique.medicaments.gouv.fr/index.php?page=1&amp;choixRecherche=medicament&amp;txtCaracteres=Ceftazidime%20Arrow&amp;action=show</t>
  </si>
  <si>
    <t xml:space="preserve">Arrow Generiques; Eugia Pharma (Malta) Limited</t>
  </si>
  <si>
    <t xml:space="preserve">Filter "Active substance" contains "ceftriaxone" and "Marketing authorisation holder" contains "Eugia" or "Arrow" → see "Product authorisation country" (rows with an injectable route)</t>
  </si>
  <si>
    <t xml:space="preserve">https://base-donnees-publique.medicaments.gouv.fr/index.php?page=1&amp;choixRecherche=medicament&amp;txtCaracteres=Ceftriaxone%20Almus&amp;action=show</t>
  </si>
  <si>
    <t xml:space="preserve">No injectable authorisation held by the company group found (filter "Active substance" contains "chlorpromazine" to confirm)</t>
  </si>
  <si>
    <t xml:space="preserve">No injectable authorisation held by the company group found (filter "Active substance" contains "cyclophosphamide" to confirm)</t>
  </si>
  <si>
    <t xml:space="preserve">No injectable authorisation held by the company group found (filter "Active substance" contains "dactinomycin" to confirm)</t>
  </si>
  <si>
    <t xml:space="preserve">Filter "Active substance" contains "daptomycin" and "Marketing authorisation holder" contains "Eugia" → see "Product authorisation country" (rows with an injectable route)</t>
  </si>
  <si>
    <t xml:space="preserve">Filter "Active substance" contains "doxorubicin" and "Marketing authorisation holder" contains "Eugia" → see "Product authorisation country" (rows with an injectable route)</t>
  </si>
  <si>
    <t xml:space="preserve">https://base-donnees-publique.medicaments.gouv.fr/index.php?page=1&amp;choixRecherche=medicament&amp;txtCaracteres=Doxorubicine%20Arrow&amp;action=show</t>
  </si>
  <si>
    <t xml:space="preserve">Filter "Active substance" contains "ephedrine" and "Marketing authorisation holder" contains "Eugia" → see "Product authorisation country" (rows with an injectable route)</t>
  </si>
  <si>
    <t xml:space="preserve">https://base-donnees-publique.medicaments.gouv.fr/index.php?page=1&amp;choixRecherche=medicament&amp;txtCaracteres=Ephedrine%20Arrow&amp;action=show</t>
  </si>
  <si>
    <t xml:space="preserve">Aurobindo N.V.; Eugia Pharma (Malta) Limited</t>
  </si>
  <si>
    <t xml:space="preserve">Filter "Active substance" contains "epirubicin" and "Marketing authorisation holder" contains "Eugia" or "Aurobindo" → see "Product authorisation country" (rows with an injectable route)</t>
  </si>
  <si>
    <t xml:space="preserve">No injectable authorisation held by the company group found (filter "Active substance" contains "eptifibatide" to confirm)</t>
  </si>
  <si>
    <t xml:space="preserve">Aurobindo Pharma România S.R.L.; Eugia Pharma (Malta) Limited; Milpharm Limited</t>
  </si>
  <si>
    <t xml:space="preserve">Filter "Active substance" contains "ertapenem" and "Marketing authorisation holder" contains "Eugia" or "Aurobindo" or "Milpharm" → see "Product authorisation country" (rows with an injectable route)</t>
  </si>
  <si>
    <t xml:space="preserve">https://base-donnees-publique.medicaments.gouv.fr/index.php?page=1&amp;choixRecherche=medicament&amp;txtCaracteres=Ertapenem%20Arrow&amp;action=show</t>
  </si>
  <si>
    <t xml:space="preserve">Filter "Active substance" contains "esmolol" and "Marketing authorisation holder" contains "Eugia" → see "Product authorisation country" (rows with an injectable route)</t>
  </si>
  <si>
    <t xml:space="preserve">Filter "Active substance" contains "flucloxacillin" and "Marketing authorisation holder" contains "Eugia" → see "Product authorisation country" (rows with an injectable route)</t>
  </si>
  <si>
    <t xml:space="preserve">https://base-donnees-publique.medicaments.gouv.fr/index.php?page=1&amp;choixRecherche=medicament&amp;txtCaracteres=Flucloxacilline&amp;action=show</t>
  </si>
  <si>
    <t xml:space="preserve">No injectable authorisation held by the company group found (filter "Active substance" contains "fluorouracil" to confirm)</t>
  </si>
  <si>
    <t xml:space="preserve">No injectable authorisation held by the company group found (filter "Active substance" contains "fluphenazine decanoate" to confirm)</t>
  </si>
  <si>
    <t xml:space="preserve">Filter "Active substance" contains "folinic" and "Marketing authorisation holder" contains "Eugia" → see "Product authorisation country" (rows with an injectable route)</t>
  </si>
  <si>
    <t xml:space="preserve">Filter "Active substance" contains "fulvestrant" and "Marketing authorisation holder" contains "Eugia" → see "Product authorisation country" (rows with an injectable route)</t>
  </si>
  <si>
    <t xml:space="preserve">https://base-donnees-publique.medicaments.gouv.fr/index.php?page=1&amp;choixRecherche=medicament&amp;txtCaracteres=Fulvestrant%20Arrow&amp;action=show</t>
  </si>
  <si>
    <t xml:space="preserve">No injectable authorisation held by the company group found (filter "Active substance" contains "hydralazine" to confirm)</t>
  </si>
  <si>
    <t xml:space="preserve">No injectable authorisation held by the company group found (filter "Active substance" contains "ibandronic acid" to confirm)</t>
  </si>
  <si>
    <t xml:space="preserve">No injectable authorisation held by the company group found (filter "Active substance" contains "medroxyprogesterone acetate" to confirm)</t>
  </si>
  <si>
    <t xml:space="preserve">Filter "Active substance" contains "melphalan" and "Marketing authorisation holder" contains "Eugia" → see "Product authorisation country" (rows with an injectable route)</t>
  </si>
  <si>
    <t xml:space="preserve">Filter "Active substance" contains "meropenem" and "Marketing authorisation holder" contains "Eugia" or "Aurobindo" or "Milpharm" → see "Product authorisation country" (rows with an injectable route)</t>
  </si>
  <si>
    <t xml:space="preserve">https://base-donnees-publique.medicaments.gouv.fr/index.php?page=1&amp;choixRecherche=medicament&amp;txtCaracteres=Meropenem&amp;action=show</t>
  </si>
  <si>
    <t xml:space="preserve">No injectable authorisation held by the company group found (filter "Active substance" contains "mesna" to confirm)</t>
  </si>
  <si>
    <t xml:space="preserve">No injectable authorisation held by the company group found (filter "Active substance" contains "methylprednisolone acetate" to confirm)</t>
  </si>
  <si>
    <t xml:space="preserve">Filter "Active substance" contains "mitomycin" and "Marketing authorisation holder" contains "Eugia" → see "Product authorisation country" (rows with an injectable route)</t>
  </si>
  <si>
    <t xml:space="preserve">No injectable authorisation held by the company group found (filter "Active substance" contains "nafcillin" to confirm)</t>
  </si>
  <si>
    <t xml:space="preserve">No injectable authorisation held by the company group found (filter "Active substance" contains "naloxone" to confirm)</t>
  </si>
  <si>
    <t xml:space="preserve">Aurobindo Pharma B.V.; Aurobindo Pharma România S.R.L.; Eugia (Uk) Limited; Eugia Pharma (Malta) Limited</t>
  </si>
  <si>
    <t xml:space="preserve">Filter "Active substance" contains "ondansetron" and "Marketing authorisation holder" contains "Eugia" or "Aurobindo" → see "Product authorisation country" (rows with an injectable route)</t>
  </si>
  <si>
    <t xml:space="preserve">No injectable authorisation held by the company group found (filter "Active substance" contains "oxacillin" to confirm)</t>
  </si>
  <si>
    <t xml:space="preserve">No injectable authorisation held by the company group found (filter "Active substance" contains "palonosetron" to confirm)</t>
  </si>
  <si>
    <t xml:space="preserve">Filter "Active substance" contains "pantoprazole" and "Marketing authorisation holder" contains "Eugia" → see "Product authorisation country" (rows with an injectable route)</t>
  </si>
  <si>
    <t xml:space="preserve">https://base-donnees-publique.medicaments.gouv.fr/index.php?page=1&amp;choixRecherche=medicament&amp;txtCaracteres=Pantoprazole%20Arrow&amp;action=show</t>
  </si>
  <si>
    <t xml:space="preserve">Filter "Active substance" contains "plerixafor" and "Marketing authorisation holder" contains "Eugia" → see "Product authorisation country" (rows with an injectable route)</t>
  </si>
  <si>
    <t xml:space="preserve">https://base-donnees-publique.medicaments.gouv.fr/index.php?page=1&amp;choixRecherche=medicament&amp;txtCaracteres=Plerixafor%20Arrow&amp;action=show</t>
  </si>
  <si>
    <t xml:space="preserve">No injectable authorisation held by the company group found (filter "Active substance" contains "progesterone" to confirm)</t>
  </si>
  <si>
    <t xml:space="preserve">No injectable authorisation held by the company group found (filter "Active substance" contains "regadenoson" to confirm)</t>
  </si>
  <si>
    <t xml:space="preserve">Aurobindo Pharma B.V.</t>
  </si>
  <si>
    <t xml:space="preserve">Filter "Active substance" contains "remifentanil" and "Marketing authorisation holder" contains "Aurobindo" → see "Product authorisation country" (rows with an injectable route)</t>
  </si>
  <si>
    <t xml:space="preserve">No injectable authorisation held by the company group found (filter "Active substance" contains "ropivacaine" to confirm)</t>
  </si>
  <si>
    <t xml:space="preserve">No injectable authorisation held by the company group found (filter "Active substance" contains "sildenafil" to confirm)</t>
  </si>
  <si>
    <t xml:space="preserve">No injectable authorisation held by the company group found (filter "Active substance" contains "testosterone cypionate" to confirm)</t>
  </si>
  <si>
    <t xml:space="preserve">No injectable authorisation held by the company group found (filter "Active substance" contains "testosterone enanthate" to confirm)</t>
  </si>
  <si>
    <t xml:space="preserve">Filter "Active substance" contains "tirofiban" and "Marketing authorisation holder" contains "Eugia" → see "Product authorisation country" (rows with an injectable route)</t>
  </si>
  <si>
    <t xml:space="preserve">Filter "Active substance" contains "tranexamic" and "Marketing authorisation holder" contains "Eugia" → see "Product authorisation country" (rows with an injectable route)</t>
  </si>
  <si>
    <t xml:space="preserve">https://base-donnees-publique.medicaments.gouv.fr/index.php?page=1&amp;choixRecherche=medicament&amp;txtCaracteres=Acide%20Tranexamique&amp;action=show</t>
  </si>
  <si>
    <t xml:space="preserve">No injectable authorisation held by the company group found (filter "Active substance" contains "vecuronium" to confirm)</t>
  </si>
  <si>
    <t xml:space="preserve">No injectable authorisation held by the company group found (filter "Active substance" contains "verapamil" to confirm)</t>
  </si>
  <si>
    <t xml:space="preserve">Aurobindo Pharma B.V.; Eugia Pharma (Malta) Limited</t>
  </si>
  <si>
    <t xml:space="preserve">Filter "Active substance" contains "vinorelbine" and "Marketing authorisation holder" contains "Eugia" or "Aurobindo" → see "Product authorisation country" (rows with an injectable route)</t>
  </si>
  <si>
    <t xml:space="preserve">https://base-donnees-publique.medicaments.gouv.fr/index.php?page=1&amp;choixRecherche=medicament&amp;txtCaracteres=Vinorelbine&amp;action=show</t>
  </si>
  <si>
    <t xml:space="preserve">No injectable authorisation held by the company group found (filter "Active substance" contains "azacitidine" to confirm)</t>
  </si>
  <si>
    <t xml:space="preserve">No injectable authorisation held by the company group found (filter "Active substance" contains "bleomycin" to confirm)</t>
  </si>
  <si>
    <t xml:space="preserve">No injectable authorisation held by the company group found (filter "Active substance" contains "bortezomib" to confirm)</t>
  </si>
  <si>
    <t xml:space="preserve">Cipla Europe Nv</t>
  </si>
  <si>
    <t xml:space="preserve">Filter "Active substance" contains "daptomycin" and "Marketing authorisation holder" contains "Cipla" → see "Product authorisation country" (rows with an injectable route)</t>
  </si>
  <si>
    <t xml:space="preserve">No injectable authorisation held by the company group found (filter "Active substance" contains "doxorubicin" to confirm)</t>
  </si>
  <si>
    <t xml:space="preserve">Filter "Active substance" contains "fulvestrant" and "Marketing authorisation holder" contains "Cipla" → see "Product authorisation country" (rows with an injectable route)</t>
  </si>
  <si>
    <t xml:space="preserve">No injectable authorisation held by the company group found (filter "Active substance" contains "hydrocortisone" to confirm)</t>
  </si>
  <si>
    <t xml:space="preserve">No injectable authorisation held by the company group found (filter "Active substance" contains "isoprenaline" to confirm)</t>
  </si>
  <si>
    <t xml:space="preserve">No injectable authorisation held by the company group found (filter "Active substance" contains "lanreotide" to confirm)</t>
  </si>
  <si>
    <t xml:space="preserve">No injectable authorisation held by the company group found (filter "Active substance" contains "measles vaccine" to confirm)</t>
  </si>
  <si>
    <t xml:space="preserve">No injectable authorisation held by the company group found (filter "Active substance" contains "phenylephrine" to confirm)</t>
  </si>
  <si>
    <t xml:space="preserve">No injectable authorisation held by the company group found (filter "Active substance" contains "streptokinase" to confirm)</t>
  </si>
  <si>
    <t xml:space="preserve">Filter "Active substance" contains "sugammadex" and "Marketing authorisation holder" contains "Cipla" → see "Product authorisation country" (rows with an injectable route)</t>
  </si>
  <si>
    <t xml:space="preserve">No injectable authorisation held by the company group found (filter "Active substance" contains "teicoplanin" to confirm)</t>
  </si>
  <si>
    <t xml:space="preserve">No injectable authorisation held by the company group found (filter "Active substance" contains "testosterone undecanoate" to confirm)</t>
  </si>
  <si>
    <t xml:space="preserve">No injectable authorisation held by the company group found (filter "Active substance" contains "trastuzumab" to confirm)</t>
  </si>
  <si>
    <t xml:space="preserve">No injectable authorisation held by the company group found (filter "Active substance" contains "vinblastine" to confirm)</t>
  </si>
  <si>
    <t xml:space="preserve">No injectable authorisation held by the company group found (filter "Active substance" contains "vinorelbine" to confirm)</t>
  </si>
  <si>
    <t xml:space="preserve">Betapharm Arzneimittel Gmbh; Reddy Pharma Sas</t>
  </si>
  <si>
    <t xml:space="preserve">Filter "Active substance" contains "azacitidine" and "Marketing authorisation holder" contains "Reddy" or "Betapharm" → see "Product authorisation country" (rows with an injectable route)</t>
  </si>
  <si>
    <t xml:space="preserve">https://www.ema.europa.eu/en/medicines/human/EPAR/azacitidine-betapharm</t>
  </si>
  <si>
    <t xml:space="preserve">https://base-donnees-publique.medicaments.gouv.fr/index.php?page=1&amp;choixRecherche=medicament&amp;txtCaracteres=Azacitidine%20Reddy&amp;action=show</t>
  </si>
  <si>
    <t xml:space="preserve">No injectable authorisation held by the company group found (filter "Active substance" contains "bivalirudin" to confirm)</t>
  </si>
  <si>
    <t xml:space="preserve">Betapharm Arzneimittel Gmbh; Dr. Reddy's Laboratories (Uk) Ltd; Dr. Reddy's Laboratories Romania S.R.L.; Dr. Reddy’s S.R.L.; Reddy Holding Gmbh; Reddy Pharma Iberia, S.A.; Reddy Pharma Sas</t>
  </si>
  <si>
    <t xml:space="preserve">Filter "Active substance" contains "bortezomib" and "Marketing authorisation holder" contains "Reddy" or "Betapharm" → see "Product authorisation country" (rows with an injectable route)</t>
  </si>
  <si>
    <t xml:space="preserve">https://base-donnees-publique.medicaments.gouv.fr/index.php?page=1&amp;choixRecherche=medicament&amp;txtCaracteres=Bortezomib&amp;action=show</t>
  </si>
  <si>
    <t xml:space="preserve">Betapharm Arzneimittel Gmbh; Dr. Reddy's Laboratories Romania Srl; Reddy Pharma Iberia, S.A.; Reddy Pharma Sas</t>
  </si>
  <si>
    <t xml:space="preserve">Filter "Active substance" contains "cyclophosphamide" and "Marketing authorisation holder" contains "Reddy" or "Betapharm" → see "Product authorisation country" (rows with an injectable route)</t>
  </si>
  <si>
    <t xml:space="preserve">https://base-donnees-publique.medicaments.gouv.fr/index.php?page=1&amp;choixRecherche=medicament&amp;txtCaracteres=Cyclophosphamide%20Reddy&amp;action=show</t>
  </si>
  <si>
    <t xml:space="preserve">Filter "Active substance" contains "daptomycin" and "Marketing authorisation holder" contains "Reddy" or "Betapharm" → see "Product authorisation country" (rows with an injectable route)</t>
  </si>
  <si>
    <t xml:space="preserve">https://base-donnees-publique.medicaments.gouv.fr/index.php?page=1&amp;choixRecherche=medicament&amp;txtCaracteres=Daptomycine%20Reddy&amp;action=show</t>
  </si>
  <si>
    <t xml:space="preserve">No injectable authorisation held by the company group found (filter "Active substance" contains "desmopressin" to confirm)</t>
  </si>
  <si>
    <t xml:space="preserve">No injectable authorisation held by the company group found (filter "Active substance" contains "ephedrine" to confirm)</t>
  </si>
  <si>
    <t xml:space="preserve">Betapharm Arzneimittel Gmbh; Dr. Reddy's Laboratories (Uk) Ltd; Dr. Reddy's Laboratories Romania S.R.L.</t>
  </si>
  <si>
    <t xml:space="preserve">Filter "Active substance" contains "eribulin" and "Marketing authorisation holder" contains "Reddy" or "Betapharm" → see "Product authorisation country" (rows with an injectable route)</t>
  </si>
  <si>
    <t xml:space="preserve">No injectable authorisation held by the company group found (filter "Active substance" contains "ertapenem" to confirm)</t>
  </si>
  <si>
    <t xml:space="preserve">No injectable authorisation held by the company group found (filter "Active substance" contains "ferric carboxymaltose" to confirm)</t>
  </si>
  <si>
    <t xml:space="preserve">Betapharm Arzneimittel Gmbh; Dr. Reddy's Laboratories (Uk) Ltd; Dr. Reddy's Laboratories Romania S.R.L.; Dr. Reddy’s S.R.L.; Reddy Holding Gmbh; Reddy Pharma Iberia, S.A.</t>
  </si>
  <si>
    <t xml:space="preserve">Filter "Active substance" contains "fulvestrant" and "Marketing authorisation holder" contains "Reddy" or "Betapharm" → see "Product authorisation country" (rows with an injectable route)</t>
  </si>
  <si>
    <t xml:space="preserve">Betapharm Arzneimittel Gmbh</t>
  </si>
  <si>
    <t xml:space="preserve">Filter "Active substance" contains "ibandron" and "Marketing authorisation holder" contains "Betapharm" → see "Product authorisation country" (rows with an injectable route)</t>
  </si>
  <si>
    <t xml:space="preserve">No injectable authorisation held by the company group found (filter "Active substance" contains "neostigmine" to confirm)</t>
  </si>
  <si>
    <t xml:space="preserve">Betapharm Arzneimittel Gmbh; Dr. Reddy's Laboratories Romania Srl; Dr. Reddy’s S.R.L.</t>
  </si>
  <si>
    <t xml:space="preserve">Filter "Active substance" contains "palonosetron" and "Marketing authorisation holder" contains "Reddy" or "Betapharm" → see "Product authorisation country" (rows with an injectable route)</t>
  </si>
  <si>
    <t xml:space="preserve">No injectable authorisation held by the company group found (filter "Active substance" contains "plerixafor" to confirm)</t>
  </si>
  <si>
    <t xml:space="preserve">No injectable authorisation held by the company group found (filter "Active substance" contains "succinylcholine" to confirm)</t>
  </si>
  <si>
    <t xml:space="preserve">Betapharm Arzneimittel Gmbh; Dr. Reddy's Laboratories (Uk) Ltd; Dr. Reddy's Laboratories Romania Srl; Dr. Reddy’s S.R.L.; Reddy Holding Gmbh; Reddy Pharma Iberia, S.A.; Reddy Pharma Sas</t>
  </si>
  <si>
    <t xml:space="preserve">Filter "Active substance" contains "sugammadex" and "Marketing authorisation holder" contains "Reddy" or "Betapharm" → see "Product authorisation country" (rows with an injectable route)</t>
  </si>
  <si>
    <t xml:space="preserve">https://base-donnees-publique.medicaments.gouv.fr/index.php?page=1&amp;choixRecherche=medicament&amp;txtCaracteres=Sugammadex&amp;action=show</t>
  </si>
  <si>
    <t xml:space="preserve">No injectable authorisation held by the company group found (filter "Active substance" contains "thiotepa" to confirm)</t>
  </si>
  <si>
    <t xml:space="preserve">Tillomed Laboratories Ltd</t>
  </si>
  <si>
    <t xml:space="preserve">Filter "Active substance" contains "acetazolamide" and "Marketing authorisation holder" contains "Tillomed" → see "Product authorisation country" (rows with an injectable route)</t>
  </si>
  <si>
    <t xml:space="preserve">Tillomed Laboratories Ltd; Tillomed Malta Ltd</t>
  </si>
  <si>
    <t xml:space="preserve">Filter "Active substance" contains "amikacin" and "Marketing authorisation holder" contains "Tillomed" → see "Product authorisation country" (rows with an injectable route)</t>
  </si>
  <si>
    <t xml:space="preserve">Tillomed Italia S.R.L.</t>
  </si>
  <si>
    <t xml:space="preserve">Filter "Active substance" contains "ampicillin" and "Marketing authorisation holder" contains "Tillomed" → see "Product authorisation country" (rows with an injectable route)</t>
  </si>
  <si>
    <t xml:space="preserve">Tillomed Italia S.R.L.; Tillomed Laboratories Ltd; Tillomed Pharma Gmbh</t>
  </si>
  <si>
    <t xml:space="preserve">Filter "Active substance" contains "azacitidine" and "Marketing authorisation holder" contains "Tillomed" → see "Product authorisation country" (rows with an injectable route)</t>
  </si>
  <si>
    <t xml:space="preserve">https://base-donnees-publique.medicaments.gouv.fr/index.php?page=1&amp;choixRecherche=medicament&amp;txtCaracteres=Azacitidine%20Tillomed&amp;action=show</t>
  </si>
  <si>
    <t xml:space="preserve">Tillomed Laboratories Ltd; Tillomed Pharma Gmbh</t>
  </si>
  <si>
    <t xml:space="preserve">Filter "Active substance" contains "bortezomib" and "Marketing authorisation holder" contains "Tillomed" → see "Product authorisation country" (rows with an injectable route)</t>
  </si>
  <si>
    <t xml:space="preserve">https://base-donnees-publique.medicaments.gouv.fr/index.php?page=1&amp;choixRecherche=medicament&amp;txtCaracteres=Bortezomib%20Tillomed&amp;action=show</t>
  </si>
  <si>
    <t xml:space="preserve">No injectable authorisation held by the company group found (filter "Active substance" contains "colistimethate sodium" to confirm)</t>
  </si>
  <si>
    <t xml:space="preserve">Laboratorios Tillomed Spain, S.L.U; Tillomed Italia S.R.L.; Tillomed Pharma Gmbh</t>
  </si>
  <si>
    <t xml:space="preserve">Filter "Active substance" contains "daptomycin" and "Marketing authorisation holder" contains "Tillomed" → see "Product authorisation country" (rows with an injectable route)</t>
  </si>
  <si>
    <t xml:space="preserve">https://base-donnees-publique.medicaments.gouv.fr/index.php?page=1&amp;choixRecherche=medicament&amp;txtCaracteres=Daptomycin%20Tillomed&amp;action=show</t>
  </si>
  <si>
    <t xml:space="preserve">Tillomed Malta Ltd</t>
  </si>
  <si>
    <t xml:space="preserve">Filter "Active substance" contains "eribulin" and "Marketing authorisation holder" contains "Tillomed" → see "Product authorisation country" (rows with an injectable route)</t>
  </si>
  <si>
    <t xml:space="preserve">https://base-donnees-publique.medicaments.gouv.fr/index.php?page=1&amp;choixRecherche=medicament&amp;txtCaracteres=Eribuline%20Tillomed&amp;action=show</t>
  </si>
  <si>
    <t xml:space="preserve">Laboratorios Tillomed Spain, S.L.U; Tillomed Italia S.R.L.; Tillomed Laboratories Ltd; Tillomed Malta Ltd; Tillomed Pharma Gmbh</t>
  </si>
  <si>
    <t xml:space="preserve">Filter "Active substance" contains "esomeprazole" and "Marketing authorisation holder" contains "Tillomed" → see "Product authorisation country" (rows with an injectable route)</t>
  </si>
  <si>
    <t xml:space="preserve">https://base-donnees-publique.medicaments.gouv.fr/index.php?page=1&amp;choixRecherche=medicament&amp;txtCaracteres=Esomeprazole%20Tillomed&amp;action=show</t>
  </si>
  <si>
    <t xml:space="preserve">Laboratorios Tillomed Spain, S.L.U; Tillomed Pharma Gmbh</t>
  </si>
  <si>
    <t xml:space="preserve">Filter "Active substance" contains "isoprenaline" and "Marketing authorisation holder" contains "Tillomed" → see "Product authorisation country" (rows with an injectable route)</t>
  </si>
  <si>
    <t xml:space="preserve">https://base-donnees-publique.medicaments.gouv.fr/index.php?page=1&amp;choixRecherche=medicament&amp;txtCaracteres=Isoprenaline%20Chlorhydrate&amp;action=show</t>
  </si>
  <si>
    <t xml:space="preserve">Tillomed Italia S.R.L.; Tillomed Laboratories Ltd; Tillomed Malta Ltd; Tillomed Pharma Gmbh</t>
  </si>
  <si>
    <t xml:space="preserve">Filter "Active substance" contains "melphalan" and "Marketing authorisation holder" contains "Tillomed" → see "Product authorisation country" (rows with an injectable route)</t>
  </si>
  <si>
    <t xml:space="preserve">https://base-donnees-publique.medicaments.gouv.fr/index.php?page=1&amp;choixRecherche=medicament&amp;txtCaracteres=Melphalan%20Tillomed&amp;action=show</t>
  </si>
  <si>
    <t xml:space="preserve">Filter "Active substance" contains "milrinone" and "Marketing authorisation holder" contains "Tillomed" → see "Product authorisation country" (rows with an injectable route)</t>
  </si>
  <si>
    <t xml:space="preserve">https://base-donnees-publique.medicaments.gouv.fr/index.php?page=1&amp;choixRecherche=medicament&amp;txtCaracteres=Milrinone%20Tillomed&amp;action=show</t>
  </si>
  <si>
    <t xml:space="preserve">Tillomed Pharma Gmbh</t>
  </si>
  <si>
    <t xml:space="preserve">Filter "Active substance" contains "ondansetron" and "Marketing authorisation holder" contains "Tillomed" → see "Product authorisation country" (rows with an injectable route)</t>
  </si>
  <si>
    <t xml:space="preserve">Filter "Active substance" contains "pantoprazole" and "Marketing authorisation holder" contains "Tillomed" → see "Product authorisation country" (rows with an injectable route)</t>
  </si>
  <si>
    <t xml:space="preserve">https://base-donnees-publique.medicaments.gouv.fr/index.php?page=1&amp;choixRecherche=medicament&amp;txtCaracteres=Pantoprazole%20Tillomed&amp;action=show</t>
  </si>
  <si>
    <t xml:space="preserve">Filter "Active substance" contains "pentamidine" and "Marketing authorisation holder" contains "Tillomed" → see "Product authorisation country" (rows with an injectable route)</t>
  </si>
  <si>
    <t xml:space="preserve">https://base-donnees-publique.medicaments.gouv.fr/index.php?page=1&amp;choixRecherche=medicament&amp;txtCaracteres=Pentamidine%20Tillomed&amp;action=show</t>
  </si>
  <si>
    <t xml:space="preserve">Tillomed Italia S.R.L.; Tillomed Pharma Gmbh</t>
  </si>
  <si>
    <t xml:space="preserve">Filter "Active substance" contains "plerixafor" and "Marketing authorisation holder" contains "Tillomed" → see "Product authorisation country" (rows with an injectable route)</t>
  </si>
  <si>
    <t xml:space="preserve">https://base-donnees-publique.medicaments.gouv.fr/index.php?page=1&amp;choixRecherche=medicament&amp;txtCaracteres=Plerixafor%20Tillomed&amp;action=show</t>
  </si>
  <si>
    <t xml:space="preserve">No injectable authorisation held by the company group found (filter "Active substance" contains "propofol" to confirm)</t>
  </si>
  <si>
    <t xml:space="preserve">Laboratorios Tillomed Spain, S.L.U; Tillomed Italia S.R.L.; Tillomed Laboratories Ltd; Tillomed Pharma Gmbh</t>
  </si>
  <si>
    <t xml:space="preserve">Filter "Active substance" contains "sugammadex" and "Marketing authorisation holder" contains "Tillomed" → see "Product authorisation country" (rows with an injectable route)</t>
  </si>
  <si>
    <t xml:space="preserve">Glenmark Arzneimittel Gmbh; Glenmark Pharmaceuticals S.R.O.</t>
  </si>
  <si>
    <t xml:space="preserve">Filter "Active substance" contains "azacitidine" and "Marketing authorisation holder" contains "Glenmark" → see "Product authorisation country" (rows with an injectable route)</t>
  </si>
  <si>
    <t xml:space="preserve">Filter "Active substance" contains "bortezomib" and "Marketing authorisation holder" contains "Glenmark" → see "Product authorisation country" (rows with an injectable route)</t>
  </si>
  <si>
    <t xml:space="preserve">Glenmark Arzneimittel Gmbh; Glenmark Pharmaceuticals Europe Limited; Glenmark Pharmaceuticals S.R.O.</t>
  </si>
  <si>
    <t xml:space="preserve">Filter "Active substance" contains "eribulin" and "Marketing authorisation holder" contains "Glenmark" → see "Product authorisation country" (rows with an injectable route)</t>
  </si>
  <si>
    <t xml:space="preserve">Glenmark Arzneimittel Gmbh; Glenmark Pharmaceuticals Europe Limited</t>
  </si>
  <si>
    <t xml:space="preserve">Filter "Active substance" contains "fulvestrant" and "Marketing authorisation holder" contains "Glenmark" → see "Product authorisation country" (rows with an injectable route)</t>
  </si>
  <si>
    <t xml:space="preserve">Glenmark Arzneimittel Gmbh</t>
  </si>
  <si>
    <t xml:space="preserve">Filter "Active substance" contains "plerixafor" and "Marketing authorisation holder" contains "Glenmark" → see "Product authorisation country" (rows with an injectable route)</t>
  </si>
  <si>
    <t xml:space="preserve">Filter "Active substance" contains "sugammadex" and "Marketing authorisation holder" contains "Glenmark" → see "Product authorisation country" (rows with an injectable route)</t>
  </si>
  <si>
    <t xml:space="preserve">Amarox Limited</t>
  </si>
  <si>
    <t xml:space="preserve">Filter "Active substance" contains "azacitidine" and "Marketing authorisation holder" contains "Amarox" → see "Product authorisation country" (rows with an injectable route)</t>
  </si>
  <si>
    <t xml:space="preserve">Amarox Limited; Amarox Pharma B.V.; Amarox Pharma Gmbh; Tarbis Farma, S.L.</t>
  </si>
  <si>
    <t xml:space="preserve">Filter "Active substance" contains "bortezomib" and "Marketing authorisation holder" contains "Amarox" or "Tarbis" → see "Product authorisation country" (rows with an injectable route)</t>
  </si>
  <si>
    <t xml:space="preserve">Amarox Limited; Amarox Pharma Gmbh; Amarox Pharma S.R.L.; Tarbis Farma, S.L.</t>
  </si>
  <si>
    <t xml:space="preserve">Filter "Active substance" contains "brivaracetam" and "Marketing authorisation holder" contains "Amarox" or "Tarbis" → see "Product authorisation country" (rows with an injectable route)</t>
  </si>
  <si>
    <t xml:space="preserve">No injectable authorisation held by the company group found (filter "Active substance" contains "cyanocobalamin" to confirm)</t>
  </si>
  <si>
    <t xml:space="preserve">Filter "Active substance" contains "daptomycin" and "Marketing authorisation holder" contains "Amarox" or "Tarbis" → see "Product authorisation country" (rows with an injectable route)</t>
  </si>
  <si>
    <t xml:space="preserve">No injectable authorisation held by the company group found (filter "Active substance" contains "glycopyrrolate" to confirm)</t>
  </si>
  <si>
    <t xml:space="preserve">No injectable authorisation held by the company group found (filter "Active substance" contains "lidocaine" to confirm)</t>
  </si>
  <si>
    <t xml:space="preserve">No injectable authorisation held by the company group found (filter "Active substance" contains "magnesium sulfate" to confirm)</t>
  </si>
  <si>
    <t xml:space="preserve">Filter "Active substance" contains "melphalan" and "Marketing authorisation holder" contains "Amarox" or "Tarbis" → see "Product authorisation country" (rows with an injectable route)</t>
  </si>
  <si>
    <t xml:space="preserve">Filter "Active substance" contains "pantoprazole" and "Marketing authorisation holder" contains "Amarox" or "Tarbis" → see "Product authorisation country" (rows with an injectable route)</t>
  </si>
  <si>
    <t xml:space="preserve">Filter "Active substance" contains "plerixafor" and "Marketing authorisation holder" contains "Amarox" or "Tarbis" → see "Product authorisation country" (rows with an injectable route)</t>
  </si>
  <si>
    <t xml:space="preserve">Filter "Active substance" contains "rocuronium" and "Marketing authorisation holder" contains "Amarox" → see "Product authorisation country" (rows with an injectable route)</t>
  </si>
  <si>
    <t xml:space="preserve">No injectable authorisation held by the company group found (filter "Active substance" contains "sodium bicarbonate" to confirm)</t>
  </si>
  <si>
    <t xml:space="preserve">Filter "Active substance" contains "sugammadex" and "Marketing authorisation holder" contains "Amarox" or "Tarbis" → see "Product authorisation country" (rows with an injectable route)</t>
  </si>
  <si>
    <t xml:space="preserve">Filter "Active substance" contains "teicoplanin" and "Marketing authorisation holder" contains "Amarox" → see "Product authorisation country" (rows with an injectable route)</t>
  </si>
  <si>
    <t xml:space="preserve">Accord-Uk Limited</t>
  </si>
  <si>
    <t xml:space="preserve">Filter "Active substance" contains "amiodarone" and "Marketing authorisation holder" contains "Accord" → see "Product authorisation country" (rows with an injectable route)</t>
  </si>
  <si>
    <t xml:space="preserve">Accord Healthcare Limited; Accord Healthcare S.L.U.</t>
  </si>
  <si>
    <t xml:space="preserve">Filter "Active substance" contains "amoxicill" and "Marketing authorisation holder" contains "Accord" → see "Product authorisation country" (rows with an injectable route)</t>
  </si>
  <si>
    <t xml:space="preserve">Accord Healthcare B.V.; Accord Healthcare France Sas; Accord Healthcare Limited</t>
  </si>
  <si>
    <t xml:space="preserve">Filter "Active substance" contains "argatroban" and "Marketing authorisation holder" contains "Accord" → see "Product authorisation country" (rows with an injectable route)</t>
  </si>
  <si>
    <t xml:space="preserve">https://base-donnees-publique.medicaments.gouv.fr/index.php?page=1&amp;choixRecherche=medicament&amp;txtCaracteres=Argatroban%20Accord&amp;action=show</t>
  </si>
  <si>
    <t xml:space="preserve">Accord Healthcare Limited</t>
  </si>
  <si>
    <t xml:space="preserve">Filter "Active substance" contains "atracurium" and "Marketing authorisation holder" contains "Accord" → see "Product authorisation country" (rows with an injectable route)</t>
  </si>
  <si>
    <t xml:space="preserve">Accord Healthcare B.V.; Accord Healthcare France Sas; Accord Healthcare Polska Sp. Z O.O.; Accord Healthcare S.L.U.; Accord-Uk Limited</t>
  </si>
  <si>
    <t xml:space="preserve">Filter "Active substance" contains "atropin" and "Marketing authorisation holder" contains "Accord" → see "Product authorisation country" (rows with an injectable route)</t>
  </si>
  <si>
    <t xml:space="preserve">https://base-donnees-publique.medicaments.gouv.fr/index.php?page=1&amp;choixRecherche=medicament&amp;txtCaracteres=Atropine%20Sulfate&amp;action=show</t>
  </si>
  <si>
    <t xml:space="preserve">Accord Healthcare S.L.U.</t>
  </si>
  <si>
    <t xml:space="preserve">Filter "Active substance" contains "azacitidine" and "Marketing authorisation holder" contains "Accord" → see "Product authorisation country" (rows with an injectable route)</t>
  </si>
  <si>
    <t xml:space="preserve">https://www.ema.europa.eu/en/medicines/human/EPAR/azacitidine-accord</t>
  </si>
  <si>
    <t xml:space="preserve">Accord Healthcare B.V.; Accord Healthcare France Sas; Accord Healthcare Limited; Accord Healthcare Polska Sp. Z O.O.; Accord Healthcare S.L.U.</t>
  </si>
  <si>
    <t xml:space="preserve">Filter "Active substance" contains "bivalirudin" and "Marketing authorisation holder" contains "Accord" → see "Product authorisation country" (rows with an injectable route)</t>
  </si>
  <si>
    <t xml:space="preserve">https://base-donnees-publique.medicaments.gouv.fr/index.php?page=1&amp;choixRecherche=medicament&amp;txtCaracteres=Bivalirudine%20Accord&amp;action=show</t>
  </si>
  <si>
    <t xml:space="preserve">Filter "Active substance" contains "bleomycin" and "Marketing authorisation holder" contains "Accord" → see "Product authorisation country" (rows with an injectable route)</t>
  </si>
  <si>
    <t xml:space="preserve">https://base-donnees-publique.medicaments.gouv.fr/index.php?page=1&amp;choixRecherche=medicament&amp;txtCaracteres=Bleomycine%20Accord&amp;action=show</t>
  </si>
  <si>
    <t xml:space="preserve">Filter "Active substance" contains "bortezomib" and "Marketing authorisation holder" contains "Accord" → see "Product authorisation country" (rows with an injectable route)</t>
  </si>
  <si>
    <t xml:space="preserve">https://www.ema.europa.eu/en/medicines/human/EPAR/bortezomib-accord</t>
  </si>
  <si>
    <t xml:space="preserve">Accord Healthcare B.V.; Accord Healthcare France Sas; Accord Healthcare Polska Sp. Z O.O.; Accord Healthcare S.L.U.</t>
  </si>
  <si>
    <t xml:space="preserve">Filter "Active substance" contains "cefepime" and "Marketing authorisation holder" contains "Accord" → see "Product authorisation country" (rows with an injectable route)</t>
  </si>
  <si>
    <t xml:space="preserve">https://base-donnees-publique.medicaments.gouv.fr/index.php?page=1&amp;choixRecherche=medicament&amp;txtCaracteres=Cefepime%20Accord&amp;action=show</t>
  </si>
  <si>
    <t xml:space="preserve">Filter "Active substance" contains "ceftriaxone" and "Marketing authorisation holder" contains "Accord" → see "Product authorisation country" (rows with an injectable route)</t>
  </si>
  <si>
    <t xml:space="preserve">Filter "Active substance" contains "cisatracurium" and "Marketing authorisation holder" contains "Accord" → see "Product authorisation country" (rows with an injectable route)</t>
  </si>
  <si>
    <t xml:space="preserve">https://base-donnees-publique.medicaments.gouv.fr/index.php?page=1&amp;choixRecherche=medicament&amp;txtCaracteres=Cisatracurium%20Accord&amp;action=show</t>
  </si>
  <si>
    <t xml:space="preserve">Accord Healthcare B.V.; Accord Healthcare France Sas; Accord Healthcare Ireland Limited; Accord Healthcare Polska Sp. Z O.O.; Accord Healthcare S.L.U.; Accord-Uk Limited</t>
  </si>
  <si>
    <t xml:space="preserve">Filter "Active substance" contains "colisti" and "Marketing authorisation holder" contains "Accord" → see "Product authorisation country" (rows with an injectable route)</t>
  </si>
  <si>
    <t xml:space="preserve">https://base-donnees-publique.medicaments.gouv.fr/index.php?page=1&amp;choixRecherche=medicament&amp;txtCaracteres=Colistimethate%20Sodique&amp;action=show</t>
  </si>
  <si>
    <t xml:space="preserve">Accord Healthcare B.V.; Accord Healthcare France Sas; Accord Healthcare Limited; Accord Healthcare Polska Sp. Z O.O.; Accord Healthcare S.L.U.; Accord-Uk Limited</t>
  </si>
  <si>
    <t xml:space="preserve">Filter "Active substance" contains "cyclophosphamide" and "Marketing authorisation holder" contains "Accord" → see "Product authorisation country" (rows with an injectable route)</t>
  </si>
  <si>
    <t xml:space="preserve">Accord Healthcare B.V.; Accord Healthcare France Sas; Accord Healthcare Ireland Limited; Accord Healthcare Limited; Accord Healthcare Polska Sp. Z O.O.; Accord Healthcare S.L.U.</t>
  </si>
  <si>
    <t xml:space="preserve">Filter "Active substance" contains "cytarabine" and "Marketing authorisation holder" contains "Accord" → see "Product authorisation country" (rows with an injectable route)</t>
  </si>
  <si>
    <t xml:space="preserve">https://base-donnees-publique.medicaments.gouv.fr/index.php?page=1&amp;choixRecherche=medicament&amp;txtCaracteres=Cytarabine%20Accord&amp;action=show</t>
  </si>
  <si>
    <t xml:space="preserve">Accord Healthcare B.V.; Accord Healthcare France Sas; Accord Healthcare Ireland Limited; Accord Healthcare Limited; Accord Healthcare Polska Sp. Z O.O.; Accord Healthcare S.L.U.; Accord-Uk Limited</t>
  </si>
  <si>
    <t xml:space="preserve">Filter "Active substance" contains "daptomycin" and "Marketing authorisation holder" contains "Accord" → see "Product authorisation country" (rows with an injectable route)</t>
  </si>
  <si>
    <t xml:space="preserve">https://base-donnees-publique.medicaments.gouv.fr/index.php?page=1&amp;choixRecherche=medicament&amp;txtCaracteres=Daptomycine&amp;action=show</t>
  </si>
  <si>
    <t xml:space="preserve">Filter "Active substance" contains "degarelix" and "Marketing authorisation holder" contains "Accord" → see "Product authorisation country" (rows with an injectable route)</t>
  </si>
  <si>
    <t xml:space="preserve">https://www.ema.europa.eu/en/medicines/human/EPAR/degarelix-accord</t>
  </si>
  <si>
    <t xml:space="preserve">Filter "Active substance" contains "denosumab" and "Marketing authorisation holder" contains "Accord" → see "Product authorisation country" (rows with an injectable route) · Second EMA page: https://www.ema.europa.eu/en/medicines/human/EPAR/osvyrti</t>
  </si>
  <si>
    <t xml:space="preserve">https://www.ema.europa.eu/en/medicines/human/EPAR/jubereq</t>
  </si>
  <si>
    <t xml:space="preserve">Filter "Active substance" contains "doxorubicin" and "Marketing authorisation holder" contains "Accord" → see "Product authorisation country" (rows with an injectable route)</t>
  </si>
  <si>
    <t xml:space="preserve">https://www.ema.europa.eu/en/medicines/human/EPAR/zolsketil-pegylated-liposomal</t>
  </si>
  <si>
    <t xml:space="preserve">https://base-donnees-publique.medicaments.gouv.fr/index.php?page=1&amp;choixRecherche=medicament&amp;txtCaracteres=Doxorubicine%20Accord&amp;action=show</t>
  </si>
  <si>
    <t xml:space="preserve">Accord Healthcare B.V.; Accord Healthcare France Sas; Accord Healthcare S.L.U.</t>
  </si>
  <si>
    <t xml:space="preserve">Filter "Active substance" contains "adrenaline" and "Marketing authorisation holder" contains "Accord" → see "Product authorisation country" (rows with an injectable route)</t>
  </si>
  <si>
    <t xml:space="preserve">https://base-donnees-publique.medicaments.gouv.fr/index.php?page=1&amp;choixRecherche=medicament&amp;txtCaracteres=Adrenaline%20Accord&amp;action=show</t>
  </si>
  <si>
    <t xml:space="preserve">Filter "Active substance" contains "epirubicin" and "Marketing authorisation holder" contains "Accord" → see "Product authorisation country" (rows with an injectable route)</t>
  </si>
  <si>
    <t xml:space="preserve">https://base-donnees-publique.medicaments.gouv.fr/index.php?page=1&amp;choixRecherche=medicament&amp;txtCaracteres=Epirubicine%20Accord&amp;action=show</t>
  </si>
  <si>
    <t xml:space="preserve">Filter "Active substance" contains "eptifibatide" and "Marketing authorisation holder" contains "Accord" → see "Product authorisation country" (rows with an injectable route)</t>
  </si>
  <si>
    <t xml:space="preserve">https://www.ema.europa.eu/en/medicines/human/EPAR/eptifibatide-accord</t>
  </si>
  <si>
    <t xml:space="preserve">Accord Healthcare B.V.; Accord Healthcare France Sas; Accord Healthcare Polska Sp. Z O.O.</t>
  </si>
  <si>
    <t xml:space="preserve">Filter "Active substance" contains "eribulin" and "Marketing authorisation holder" contains "Accord" → see "Product authorisation country" (rows with an injectable route)</t>
  </si>
  <si>
    <t xml:space="preserve">Accord Healthcare B.V.; Accord Healthcare Ireland Limited; Accord Healthcare Limited; Accord Healthcare S.L.U.</t>
  </si>
  <si>
    <t xml:space="preserve">Filter "Active substance" contains "esomeprazole" and "Marketing authorisation holder" contains "Accord" → see "Product authorisation country" (rows with an injectable route)</t>
  </si>
  <si>
    <t xml:space="preserve">Filter "Active substance" contains "flucloxacillin" and "Marketing authorisation holder" contains "Accord" → see "Product authorisation country" (rows with an injectable route)</t>
  </si>
  <si>
    <t xml:space="preserve">Filter "Active substance" contains "fludarabine" and "Marketing authorisation holder" contains "Accord" → see "Product authorisation country" (rows with an injectable route)</t>
  </si>
  <si>
    <t xml:space="preserve">https://base-donnees-publique.medicaments.gouv.fr/index.php?page=1&amp;choixRecherche=medicament&amp;txtCaracteres=Fludarabine%20Accord&amp;action=show</t>
  </si>
  <si>
    <t xml:space="preserve">Filter "Active substance" contains "fluorouracil" and "Marketing authorisation holder" contains "Accord" → see "Product authorisation country" (rows with an injectable route)</t>
  </si>
  <si>
    <t xml:space="preserve">https://base-donnees-publique.medicaments.gouv.fr/index.php?page=1&amp;choixRecherche=medicament&amp;txtCaracteres=Fluorouracile%20Accord&amp;action=show</t>
  </si>
  <si>
    <t xml:space="preserve">Filter "Active substance" contains "fulvestrant" and "Marketing authorisation holder" contains "Accord" → see "Product authorisation country" (rows with an injectable route)</t>
  </si>
  <si>
    <t xml:space="preserve">https://base-donnees-publique.medicaments.gouv.fr/index.php?page=1&amp;choixRecherche=medicament&amp;txtCaracteres=Fulvestrant%20Accord&amp;action=show</t>
  </si>
  <si>
    <t xml:space="preserve">Accord Healthcare B.V.; Accord Healthcare Limited; Accord Healthcare S.L.U.</t>
  </si>
  <si>
    <t xml:space="preserve">Filter "Active substance" contains "glycopyrr" and "Marketing authorisation holder" contains "Accord" → see "Product authorisation country" (rows with an injectable route)</t>
  </si>
  <si>
    <t xml:space="preserve">Filter "Active substance" contains "hydroxocobalamin" and "Marketing authorisation holder" contains "Accord" → see "Product authorisation country" (rows with an injectable route)</t>
  </si>
  <si>
    <t xml:space="preserve">Filter "Active substance" contains "ibandron" and "Marketing authorisation holder" contains "Accord" → see "Product authorisation country" (rows with an injectable route)</t>
  </si>
  <si>
    <t xml:space="preserve">https://www.ema.europa.eu/en/medicines/human/EPAR/ibandronic-acid-accord</t>
  </si>
  <si>
    <t xml:space="preserve">Filter "Active substance" contains "idarubicin" and "Marketing authorisation holder" contains "Accord" → see "Product authorisation country" (rows with an injectable route)</t>
  </si>
  <si>
    <t xml:space="preserve">https://base-donnees-publique.medicaments.gouv.fr/index.php?page=1&amp;choixRecherche=medicament&amp;txtCaracteres=Idarubicine%20Accord&amp;action=show</t>
  </si>
  <si>
    <t xml:space="preserve">Filter "Active substance" contains "leuprorelin" and "Marketing authorisation holder" contains "Accord" → see "Product authorisation country" (rows with an injectable route)</t>
  </si>
  <si>
    <t xml:space="preserve">https://www.ema.europa.eu/en/medicines/human/EPAR/camcevi</t>
  </si>
  <si>
    <t xml:space="preserve">Filter "Active substance" contains "lidocaine" and "Marketing authorisation holder" contains "Accord" → see "Product authorisation country" (rows with an injectable route)</t>
  </si>
  <si>
    <t xml:space="preserve">Filter "Active substance" contains "melphalan" and "Marketing authorisation holder" contains "Accord" → see "Product authorisation country" (rows with an injectable route)</t>
  </si>
  <si>
    <t xml:space="preserve">Filter "Active substance" contains "methotrexate" and "Marketing authorisation holder" contains "Accord" → see "Product authorisation country" (rows with an injectable route)</t>
  </si>
  <si>
    <t xml:space="preserve">https://base-donnees-publique.medicaments.gouv.fr/index.php?page=1&amp;choixRecherche=medicament&amp;txtCaracteres=Izixate&amp;action=show</t>
  </si>
  <si>
    <t xml:space="preserve">Filter "Active substance" contains "midazolam" and "Marketing authorisation holder" contains "Accord" → see "Product authorisation country" (rows with an injectable route)</t>
  </si>
  <si>
    <t xml:space="preserve">https://base-donnees-publique.medicaments.gouv.fr/index.php?page=1&amp;choixRecherche=medicament&amp;txtCaracteres=Midazolam%20Accord&amp;action=show</t>
  </si>
  <si>
    <t xml:space="preserve">Filter "Active substance" contains "mitomycin" and "Marketing authorisation holder" contains "Accord" → see "Product authorisation country" (rows with an injectable route)</t>
  </si>
  <si>
    <t xml:space="preserve">https://base-donnees-publique.medicaments.gouv.fr/index.php?page=1&amp;choixRecherche=medicament&amp;txtCaracteres=Mitomycine%20Accord&amp;action=show</t>
  </si>
  <si>
    <t xml:space="preserve">Accord Healthcare B.V.; Accord Healthcare France Sas; Accord Healthcare Limited; Accord Healthcare S.L.U.</t>
  </si>
  <si>
    <t xml:space="preserve">Filter "Active substance" contains "mitoxantrone" and "Marketing authorisation holder" contains "Accord" → see "Product authorisation country" (rows with an injectable route)</t>
  </si>
  <si>
    <t xml:space="preserve">https://base-donnees-publique.medicaments.gouv.fr/index.php?page=1&amp;choixRecherche=medicament&amp;txtCaracteres=Mitoxantrone%20Accord&amp;action=show</t>
  </si>
  <si>
    <t xml:space="preserve">Filter "Active substance" contains "naloxone" and "Marketing authorisation holder" contains "Accord" → see "Product authorisation country" (rows with an injectable route)</t>
  </si>
  <si>
    <t xml:space="preserve">Filter "Active substance" contains "ondansetron" and "Marketing authorisation holder" contains "Accord" → see "Product authorisation country" (rows with an injectable route)</t>
  </si>
  <si>
    <t xml:space="preserve">https://base-donnees-publique.medicaments.gouv.fr/index.php?page=1&amp;choixRecherche=medicament&amp;txtCaracteres=Ondansetron%20Accord&amp;action=show</t>
  </si>
  <si>
    <t xml:space="preserve">Filter "Active substance" contains "paclitaxel" and "Marketing authorisation holder" contains "Accord" → see "Product authorisation country" (rows with an injectable route)</t>
  </si>
  <si>
    <t xml:space="preserve">https://www.ema.europa.eu/en/medicines/human/EPAR/naveruclif</t>
  </si>
  <si>
    <t xml:space="preserve">https://base-donnees-publique.medicaments.gouv.fr/index.php?page=1&amp;choixRecherche=medicament&amp;txtCaracteres=Paclitaxel%20Ahcl&amp;action=show</t>
  </si>
  <si>
    <t xml:space="preserve">Filter "Active substance" contains "palonosetron" and "Marketing authorisation holder" contains "Accord" → see "Product authorisation country" (rows with an injectable route)</t>
  </si>
  <si>
    <t xml:space="preserve">https://www.ema.europa.eu/en/medicines/human/EPAR/palonosetron-accord</t>
  </si>
  <si>
    <t xml:space="preserve">Accord Healthcare B.V.; Accord Healthcare Limited; Accord Healthcare Polska Sp. Z O.O.; Accord Healthcare S.L.U.</t>
  </si>
  <si>
    <t xml:space="preserve">Filter "Active substance" contains "pantoprazole" and "Marketing authorisation holder" contains "Accord" → see "Product authorisation country" (rows with an injectable route)</t>
  </si>
  <si>
    <t xml:space="preserve">Accord Healthcare B.V.; Accord Healthcare Polska Sp. Z O.O.; Accord Healthcare S.L.U.</t>
  </si>
  <si>
    <t xml:space="preserve">Filter "Active substance" contains "paricalcitol" and "Marketing authorisation holder" contains "Accord" → see "Product authorisation country" (rows with an injectable route)</t>
  </si>
  <si>
    <t xml:space="preserve">Filter "Active substance" contains "pegfilgrastim" and "Marketing authorisation holder" contains "Accord" → see "Product authorisation country" (rows with an injectable route)</t>
  </si>
  <si>
    <t xml:space="preserve">https://www.ema.europa.eu/en/medicines/human/EPAR/pelgraz</t>
  </si>
  <si>
    <t xml:space="preserve">Filter "Active substance" contains "phenytoin" and "Marketing authorisation holder" contains "Accord" → see "Product authorisation country" (rows with an injectable route)</t>
  </si>
  <si>
    <t xml:space="preserve">Filter "Active substance" contains "plerixafor" and "Marketing authorisation holder" contains "Accord" → see "Product authorisation country" (rows with an injectable route)</t>
  </si>
  <si>
    <t xml:space="preserve">https://www.ema.europa.eu/en/medicines/human/EPAR/plerixafor-accord</t>
  </si>
  <si>
    <t xml:space="preserve">No injectable authorisation held by the company group found (filter "Active substance" contains "ranibizumab" to confirm)</t>
  </si>
  <si>
    <t xml:space="preserve">Accord Healthcare B.V.; Accord Healthcare Ireland Limited; Accord Healthcare Polska Sp. Z O.O.; Accord Healthcare S.L.U.; Accord-Uk Limited</t>
  </si>
  <si>
    <t xml:space="preserve">Filter "Active substance" contains "rocuronium" and "Marketing authorisation holder" contains "Accord" → see "Product authorisation country" (rows with an injectable route)</t>
  </si>
  <si>
    <t xml:space="preserve">Filter "Active substance" contains "sugammadex" and "Marketing authorisation holder" contains "Accord" → see "Product authorisation country" (rows with an injectable route)</t>
  </si>
  <si>
    <t xml:space="preserve">https://base-donnees-publique.medicaments.gouv.fr/index.php?page=1&amp;choixRecherche=medicament&amp;txtCaracteres=Sugammadex%20Accord&amp;action=show</t>
  </si>
  <si>
    <t xml:space="preserve">Accord Healthcare B.V.; Accord Healthcare S.L.U.</t>
  </si>
  <si>
    <t xml:space="preserve">Filter "Active substance" contains "teicoplanin" and "Marketing authorisation holder" contains "Accord" → see "Product authorisation country" (rows with an injectable route)</t>
  </si>
  <si>
    <t xml:space="preserve">Filter "Active substance" contains "tigecycline" and "Marketing authorisation holder" contains "Accord" → see "Product authorisation country" (rows with an injectable route)</t>
  </si>
  <si>
    <t xml:space="preserve">https://www.ema.europa.eu/en/medicines/human/EPAR/tigecycline-accord</t>
  </si>
  <si>
    <t xml:space="preserve">Filter "Active substance" contains "ustekinumab" and "Marketing authorisation holder" contains "Accord" → see "Product authorisation country" (rows with an injectable route)</t>
  </si>
  <si>
    <t xml:space="preserve">https://www.ema.europa.eu/en/medicines/human/EPAR/imuldosa</t>
  </si>
  <si>
    <t xml:space="preserve">No injectable authorisation held by the company group found (filter "Active substance" contains "vincristine" to confirm)</t>
  </si>
  <si>
    <t xml:space="preserve">Filter "Active substance" contains "vinorelbine" and "Marketing authorisation holder" contains "Accord" → see "Product authorisation country" (rows with an injectable route)</t>
  </si>
  <si>
    <t xml:space="preserve">https://base-donnees-publique.medicaments.gouv.fr/index.php?page=1&amp;choixRecherche=medicament&amp;txtCaracteres=Vinorelbine%20Accord&amp;action=show</t>
  </si>
  <si>
    <t xml:space="preserve">No injectable authorisation held by the company group found (filter "Active substance" contains "alfentanil" to confirm)</t>
  </si>
  <si>
    <t xml:space="preserve">No injectable authorisation held by the company group found (filter "Active substance" contains "cefazolin" to confirm)</t>
  </si>
  <si>
    <t xml:space="preserve">No injectable authorisation held by the company group found (filter "Active substance" contains "cisatracurium" to confirm)</t>
  </si>
  <si>
    <t xml:space="preserve">No injectable authorisation held by the company group found (filter "Active substance" contains "daptomycin" to confirm)</t>
  </si>
  <si>
    <t xml:space="preserve">No injectable authorisation held by the company group found (filter "Active substance" contains "droperidol" to confirm)</t>
  </si>
  <si>
    <t xml:space="preserve">No injectable authorisation held by the company group found (filter "Active substance" contains "elemental iron" to confirm)</t>
  </si>
  <si>
    <t xml:space="preserve">No injectable authorisation held by the company group found (filter "Active substance" contains "famotidine" to confirm)</t>
  </si>
  <si>
    <t xml:space="preserve">No injectable authorisation held by the company group found (filter "Active substance" contains "fentanyl" to confirm)</t>
  </si>
  <si>
    <t xml:space="preserve">No injectable authorisation held by the company group found (filter "Active substance" contains "meropenem" to confirm)</t>
  </si>
  <si>
    <t xml:space="preserve">No injectable authorisation held by the company group found (filter "Active substance" contains "milrinone" to confirm)</t>
  </si>
  <si>
    <t xml:space="preserve">No injectable authorisation held by the company group found (filter "Active substance" contains "olanzapine" to confirm)</t>
  </si>
  <si>
    <t xml:space="preserve">No injectable authorisation held by the company group found (filter "Active substance" contains "oxytocin" to confirm)</t>
  </si>
  <si>
    <t xml:space="preserve">No injectable authorisation held by the company group found (filter "Active substance" contains "remifentanil" to confirm)</t>
  </si>
  <si>
    <t xml:space="preserve">No injectable authorisation held by the company group found (filter "Active substance" contains "sugammadex" to confirm)</t>
  </si>
  <si>
    <t xml:space="preserve">Msn Laboratories Europe Ltd; Msn Labs Europe Limited</t>
  </si>
  <si>
    <t xml:space="preserve">Filter "Active substance" contains "bortezomib" and "Marketing authorisation holder" contains "MSN" → see "Product authorisation country" (rows with an injectable route)</t>
  </si>
  <si>
    <t xml:space="preserve">No injectable authorisation held by the company group found (filter "Active substance" contains "brivaracetam" to confirm)</t>
  </si>
  <si>
    <t xml:space="preserve">Msn Laboratories Europe Ltd</t>
  </si>
  <si>
    <t xml:space="preserve">Filter "Active substance" contains "gadobutrol" and "Marketing authorisation holder" contains "MSN" → see "Product authorisation country" (rows with an injectable route)</t>
  </si>
  <si>
    <t xml:space="preserve">Msn Labs Europe Limited</t>
  </si>
  <si>
    <t xml:space="preserve">Filter "Active substance" contains "plerixafor" and "Marketing authorisation holder" contains "MSN" → see "Product authorisation country" (rows with an injectable route)</t>
  </si>
  <si>
    <t xml:space="preserve">Filter "Active substance" contains "sugammadex" and "Marketing authorisation holder" contains "MSN" → see "Product authorisation country" (rows with an injectable route)</t>
  </si>
  <si>
    <t xml:space="preserve">Brown &amp; Burk Uk Limited</t>
  </si>
  <si>
    <t xml:space="preserve">Filter "Active substance" contains "caffeine" and "Marketing authorisation holder" contains "Brown &amp; Burk" → see "Product authorisation country" (rows with an injectable route)</t>
  </si>
  <si>
    <t xml:space="preserve">Filter "Active substance" contains "cyclizine" and "Marketing authorisation holder" contains "Brown &amp; Burk" → see "Product authorisation country" (rows with an injectable route)</t>
  </si>
  <si>
    <t xml:space="preserve">No injectable authorisation held by the company group found (filter "Active substance" contains "diphenhydramine" to confirm)</t>
  </si>
  <si>
    <t xml:space="preserve">Micro Labs Gmbh</t>
  </si>
  <si>
    <t xml:space="preserve">Filter "Active substance" contains "levetiracetam" and "Marketing authorisation holder" contains "Micro Labs" → see "Product authorisation country" (rows with an injectable route)</t>
  </si>
  <si>
    <t xml:space="preserve">No injectable authorisation held by the company group found (filter "Active substance" contains "lincomycin" to confirm)</t>
  </si>
  <si>
    <t xml:space="preserve">No injectable authorisation held by the company group found (filter "Active substance" contains "bupivacaine" to confirm)</t>
  </si>
  <si>
    <t xml:space="preserve">Steriscience B.V.</t>
  </si>
  <si>
    <t xml:space="preserve">Filter "Active substance" contains "meropenem" and "Marketing authorisation holder" contains "Steriscience" → see "Product authorisation country" (rows with an injectable route)</t>
  </si>
  <si>
    <t xml:space="preserve">https://base-donnees-publique.medicaments.gouv.fr/index.php?page=1&amp;choixRecherche=medicament&amp;txtCaracteres=Meropenem%20Steriscience&amp;action=show</t>
  </si>
  <si>
    <t xml:space="preserve">No injectable authorisation held by the company group found (filter "Active substance" contains "methohexital" to confirm)</t>
  </si>
  <si>
    <t xml:space="preserve">Piramal Critical Care B.V.; Piramal Critical Care Italia Spa; Piramal Critical Care Limited</t>
  </si>
  <si>
    <t xml:space="preserve">Filter "Active substance" contains "alfentanil" and "Marketing authorisation holder" contains "Piramal" → see "Product authorisation country" (rows with an injectable route)</t>
  </si>
  <si>
    <t xml:space="preserve">https://base-donnees-publique.medicaments.gouv.fr/index.php?page=1&amp;choixRecherche=medicament&amp;txtCaracteres=Rapifen&amp;action=show</t>
  </si>
  <si>
    <t xml:space="preserve">Piramal Critical Care B.V.; Piramal Critical Care Limited</t>
  </si>
  <si>
    <t xml:space="preserve">Filter "Active substance" contains "baclofen" and "Marketing authorisation holder" contains "Piramal" → see "Product authorisation country" (rows with an injectable route)</t>
  </si>
  <si>
    <t xml:space="preserve">https://base-donnees-publique.medicaments.gouv.fr/index.php?page=1&amp;choixRecherche=medicament&amp;txtCaracteres=Spacyr&amp;action=show</t>
  </si>
  <si>
    <t xml:space="preserve">Filter "Active substance" contains "etomidate" and "Marketing authorisation holder" contains "Piramal" → see "Product authorisation country" (rows with an injectable route)</t>
  </si>
  <si>
    <t xml:space="preserve">https://base-donnees-publique.medicaments.gouv.fr/index.php?page=1&amp;choixRecherche=medicament&amp;txtCaracteres=Hypnomidate&amp;action=show</t>
  </si>
  <si>
    <t xml:space="preserve">Filter "Active substance" contains "fentanyl" and "Marketing authorisation holder" contains "Piramal" → see "Product authorisation country" (rows with an injectable route)</t>
  </si>
  <si>
    <t xml:space="preserve">https://base-donnees-publique.medicaments.gouv.fr/index.php?page=1&amp;choixRecherche=medicament&amp;txtCaracteres=Fentanyl%20Piramal&amp;action=show</t>
  </si>
  <si>
    <t xml:space="preserve">Piramal Critical Care B.V.</t>
  </si>
  <si>
    <t xml:space="preserve">Filter "Active substance" contains "remifentanil" and "Marketing authorisation holder" contains "Piramal" → see "Product authorisation country" (rows with an injectable route)</t>
  </si>
  <si>
    <t xml:space="preserve">Filter "Active substance" contains "sugammadex" and "Marketing authorisation holder" contains "Piramal" → see "Product authorisation country" (rows with an injectable route)</t>
  </si>
  <si>
    <t xml:space="preserve">https://www.ema.europa.eu/en/medicines/human/EPAR/sugammadex-piramal</t>
  </si>
  <si>
    <t xml:space="preserve">No injectable authorisation held by the company group found (filter "Active substance" contains "ceftazidime" to confirm)</t>
  </si>
  <si>
    <t xml:space="preserve">Strides Pharma Uk Limited</t>
  </si>
  <si>
    <t xml:space="preserve">Filter "Active substance" contains "meropenem" and "Marketing authorisation holder" contains "Strides" → see "Product authorisation country" (rows with an injectable route)</t>
  </si>
  <si>
    <t xml:space="preserve">No injectable authorisation held by the company group found (filter "Active substance" contains "piperacillin + tazobactam" to confirm)</t>
  </si>
  <si>
    <t xml:space="preserve">No injectable authorisation held by the company group found (filter "Active substance" contains "aripiprazole" to confirm)</t>
  </si>
  <si>
    <t xml:space="preserve">Sun Pharmaceutical Industries Europe B.V.</t>
  </si>
  <si>
    <t xml:space="preserve">Filter "Active substance" contains "bortezomib" and "Marketing authorisation holder" contains "Sun Pharm" → see "Product authorisation country" (rows with an injectable route)</t>
  </si>
  <si>
    <t xml:space="preserve">https://www.ema.europa.eu/en/medicines/human/EPAR/bortezomib-sun</t>
  </si>
  <si>
    <t xml:space="preserve">No injectable authorisation held by the company group found (filter "Active substance" contains "chlorothiazide" to confirm)</t>
  </si>
  <si>
    <t xml:space="preserve">Filter "Active substance" contains "doxorubicin" and "Marketing authorisation holder" contains "Sun Pharm" → see "Product authorisation country" (rows with an injectable route)</t>
  </si>
  <si>
    <t xml:space="preserve">Sun Pharmaceutical Industries Europe B.V.; Sun Pharmaceuticals Germany Gmbh</t>
  </si>
  <si>
    <t xml:space="preserve">Filter "Active substance" contains "esomeprazole" and "Marketing authorisation holder" contains "Sun Pharm" → see "Product authorisation country" (rows with an injectable route)</t>
  </si>
  <si>
    <t xml:space="preserve">https://base-donnees-publique.medicaments.gouv.fr/index.php?page=1&amp;choixRecherche=medicament&amp;txtCaracteres=Esomeprazole%20Sun&amp;action=show</t>
  </si>
  <si>
    <t xml:space="preserve">Filter "Active substance" contains "fulvestrant" and "Marketing authorisation holder" contains "Sun Pharm" → see "Product authorisation country" (rows with an injectable route)</t>
  </si>
  <si>
    <t xml:space="preserve">Filter "Active substance" contains "melphalan" and "Marketing authorisation holder" contains "Sun Pharm" → see "Product authorisation country" (rows with an injectable route)</t>
  </si>
  <si>
    <t xml:space="preserve">https://base-donnees-publique.medicaments.gouv.fr/index.php?page=1&amp;choixRecherche=medicament&amp;txtCaracteres=Melphalan%20Sun&amp;action=show</t>
  </si>
  <si>
    <t xml:space="preserve">Basics Gmbh; Ranbaxy Poland Sp. Zo.O; Sun Pharma Uk Limited; Sun Pharmaceutical Industries Europe B.V.; Terapia S.A.</t>
  </si>
  <si>
    <t xml:space="preserve">Filter "Active substance" contains "meropenem" and "Marketing authorisation holder" contains "Sun Pharm" or "Basics" or "Ranbaxy" or "Terapia" → see "Product authorisation country" (rows with an injectable route)</t>
  </si>
  <si>
    <t xml:space="preserve">Filter "Active substance" contains "octreotide" and "Marketing authorisation holder" contains "Sun Pharm" → see "Product authorisation country" (rows with an injectable route)</t>
  </si>
  <si>
    <t xml:space="preserve">Sun Pharma Italia S.R.L.; Sun Pharmaceutical Industries Europe B.V.; Sun Pharmaceuticals Germany Gmbh</t>
  </si>
  <si>
    <t xml:space="preserve">Filter "Active substance" contains "pantoprazole" and "Marketing authorisation holder" contains "Sun Pharm" → see "Product authorisation country" (rows with an injectable route)</t>
  </si>
  <si>
    <t xml:space="preserve">https://base-donnees-publique.medicaments.gouv.fr/index.php?page=1&amp;choixRecherche=medicament&amp;txtCaracteres=Pantoprazole%20Sun&amp;action=show</t>
  </si>
  <si>
    <t xml:space="preserve">Filter "Active substance" contains "paricalcitol" and "Marketing authorisation holder" contains "Sun Pharm" → see "Product authorisation country" (rows with an injectable route)</t>
  </si>
  <si>
    <t xml:space="preserve">Ranbaxy Poland Sp. Zo.O; Sun Pharma Uk Limited; Sun Pharmaceutical Industries Europe B.V.; Terapia S.A.</t>
  </si>
  <si>
    <t xml:space="preserve">Filter "Active substance" contains "sugammadex" and "Marketing authorisation holder" contains "Sun Pharm" or "Ranbaxy" or "Terapia" → see "Product authorisation country" (rows with an injectable route)</t>
  </si>
  <si>
    <t xml:space="preserve">Sun Pharma Uk Limited; Sun Pharmaceutical Industries Europe B.V.</t>
  </si>
  <si>
    <t xml:space="preserve">Filter "Active substance" contains "teicoplanin" and "Marketing authorisation holder" contains "Sun Pharm" → see "Product authorisation country" (rows with an injectable route)</t>
  </si>
  <si>
    <t xml:space="preserve">Filter "Active substance" contains "terlipressin" and "Marketing authorisation holder" contains "Sun Pharm" → see "Product authorisation country" (rows with an injectable route)</t>
  </si>
  <si>
    <t xml:space="preserve">https://base-donnees-publique.medicaments.gouv.fr/index.php?page=1&amp;choixRecherche=medicament&amp;txtCaracteres=Terlipressine%20Sun&amp;action=show</t>
  </si>
  <si>
    <t xml:space="preserve">Basics Gmbh; Sun Pharmaceutical Industries Europe B.V.</t>
  </si>
  <si>
    <t xml:space="preserve">Filter "Active substance" contains "testosterone undecanoate" and "Marketing authorisation holder" contains "Sun Pharm" or "Basics" → see "Product authorisation country" (rows with an injectable route)</t>
  </si>
  <si>
    <t xml:space="preserve">https://base-donnees-publique.medicaments.gouv.fr/index.php?page=1&amp;choixRecherche=medicament&amp;txtCaracteres=Undecanoate&amp;action=show</t>
  </si>
  <si>
    <t xml:space="preserve">Filter "Active substance" contains "vecuronium" and "Marketing authorisation holder" contains "Sun Pharm" → see "Product authorisation country" (rows with an injectable route)</t>
  </si>
  <si>
    <t xml:space="preserve">Heumann Pharma Gmbh &amp; Co. Generica Kg</t>
  </si>
  <si>
    <t xml:space="preserve">Filter "Active substance" contains "fulvestrant" and "Marketing authorisation holder" contains "Heumann" → see "Product authorisation country" (rows with an injectable route)</t>
  </si>
  <si>
    <t xml:space="preserve">Torrent Pharma (Uk) Ltd.</t>
  </si>
  <si>
    <t xml:space="preserve">Filter "Active substance" contains "granisetron" and "Marketing authorisation holder" contains "Torrent" → see "Product authorisation country" (rows with an injectable route)</t>
  </si>
  <si>
    <t xml:space="preserve">Filter "Active substance" contains "levetiracetam" and "Marketing authorisation holder" contains "Heumann" → see "Product authorisation country" (rows with an injectable route)</t>
  </si>
  <si>
    <t xml:space="preserve">Filter "Active substance" contains "meropenem" and "Marketing authorisation holder" contains "Heumann" → see "Product authorisation country" (rows with an injectable route)</t>
  </si>
  <si>
    <t xml:space="preserve">Filter "Active substance" contains "paliperidone" and "Marketing authorisation holder" contains "Heumann" → see "Product authorisation country" (rows with an injectable route)</t>
  </si>
  <si>
    <t xml:space="preserve">No injectable authorisation held by the company group found (filter "Active substance" contains "rocuronium" to confirm)</t>
  </si>
  <si>
    <t xml:space="preserve">Filter "Active substance" contains "voriconazole" and "Marketing authorisation holder" contains "Heumann" → see "Product authorisation country" (rows with an injectable route)</t>
  </si>
  <si>
    <t xml:space="preserve">No injectable authorisation held by the company group found (filter "Active substance" contains "ceftriaxone" to confirm)</t>
  </si>
  <si>
    <t xml:space="preserve">Venus Pharma Gmbh</t>
  </si>
  <si>
    <t xml:space="preserve">Filter "Active substance" contains "meropenem" and "Marketing authorisation holder" contains "Venus" → see "Product authorisation country" (rows with an injectable route)</t>
  </si>
  <si>
    <t xml:space="preserve">https://base-donnees-publique.medicaments.gouv.fr/index.php?page=1&amp;choixRecherche=medicament&amp;txtCaracteres=Meropenem%20Venus&amp;action=show</t>
  </si>
  <si>
    <t xml:space="preserve">Wockhardt Uk Ltd</t>
  </si>
  <si>
    <t xml:space="preserve">Filter "Active substance" contains "adenosine" and "Marketing authorisation holder" contains "Wockhardt" → see "Product authorisation country" (rows with an injectable route)</t>
  </si>
  <si>
    <t xml:space="preserve">No injectable authorisation held by the company group found (filter "Active substance" contains "amikacin" to confirm)</t>
  </si>
  <si>
    <t xml:space="preserve">Filter "Active substance" contains "caffeine" and "Marketing authorisation holder" contains "Wockhardt" → see "Product authorisation country" (rows with an injectable route)</t>
  </si>
  <si>
    <t xml:space="preserve">Pinewood Laboratories Limited; Wockhardt Uk Ltd</t>
  </si>
  <si>
    <t xml:space="preserve">Filter "Active substance" contains "ceftazidime" and "Marketing authorisation holder" contains "Wockhardt" or "Pinewood" → see "Product authorisation country" (rows with an injectable route)</t>
  </si>
  <si>
    <t xml:space="preserve">Filter "Active substance" contains "ceftriaxone" and "Marketing authorisation holder" contains "Wockhardt" or "Pinewood" → see "Product authorisation country" (rows with an injectable route)</t>
  </si>
  <si>
    <t xml:space="preserve">Filter "Active substance" contains "chlorphenamine" and "Marketing authorisation holder" contains "Wockhardt" → see "Product authorisation country" (rows with an injectable route)</t>
  </si>
  <si>
    <t xml:space="preserve">Filter "Active substance" contains "daptomycin" and "Marketing authorisation holder" contains "Wockhardt" → see "Product authorisation country" (rows with an injectable route)</t>
  </si>
  <si>
    <t xml:space="preserve">Filter "Active substance" contains "haloperidol" and "Marketing authorisation holder" contains "Wockhardt" → see "Product authorisation country" (rows with an injectable route)</t>
  </si>
  <si>
    <t xml:space="preserve">Filter "Active substance" contains "hyaluronidase" and "Marketing authorisation holder" contains "Wockhardt" or "Pinewood" → see "Product authorisation country" (rows with an injectable route)</t>
  </si>
  <si>
    <t xml:space="preserve">Filter "Active substance" contains "hyoscine hydrobromide" and "Marketing authorisation holder" contains "Wockhardt" → see "Product authorisation country" (rows with an injectable route)</t>
  </si>
  <si>
    <t xml:space="preserve">Filter "Active substance" contains "metaraminol" and "Marketing authorisation holder" contains "Wockhardt" → see "Product authorisation country" (rows with an injectable route)</t>
  </si>
  <si>
    <t xml:space="preserve">Filter "Active substance" contains "milrinone" and "Marketing authorisation holder" contains "Wockhardt" or "Pinewood" → see "Product authorisation country" (rows with an injectable route)</t>
  </si>
  <si>
    <t xml:space="preserve">Filter "Active substance" contains "morphine" and "Marketing authorisation holder" contains "Wockhardt" → see "Product authorisation country" (rows with an injectable route)</t>
  </si>
  <si>
    <t xml:space="preserve">Filter "Active substance" contains "ondansetron" and "Marketing authorisation holder" contains "Wockhardt" → see "Product authorisation country" (rows with an injectable route)</t>
  </si>
  <si>
    <t xml:space="preserve">Filter "Active substance" contains "protamine" and "Marketing authorisation holder" contains "Wockhardt" → see "Product authorisation country" (rows with an injectable route)</t>
  </si>
  <si>
    <t xml:space="preserve">Filter "Active substance" contains "remifentanil" and "Marketing authorisation holder" contains "Wockhardt" → see "Product authorisation country" (rows with an injectable route)</t>
  </si>
  <si>
    <t xml:space="preserve">Filter "Active substance" contains "valpro" and "Marketing authorisation holder" contains "Wockhardt" → see "Product authorisation country" (rows with an injectable route)</t>
  </si>
  <si>
    <t xml:space="preserve">Filter "Active substance" contains "sugammadex" and "Marketing authorisation holder" contains "Wockhardt" → see "Product authorisation country" (rows with an injectable route)</t>
  </si>
  <si>
    <t xml:space="preserve">Filter "Active substance" contains "vancomycin" and "Marketing authorisation holder" contains "Wockhardt" → see "Product authorisation country" (rows with an injectable route)</t>
  </si>
  <si>
    <t xml:space="preserve">No injectable authorisation held by the company group found (filter "Active substance" contains "acetazolamide" to confirm)</t>
  </si>
  <si>
    <t xml:space="preserve">Laboratorios Combix, S.L.U.; Zydus France; Zydus Pharmaceuticals Uk Limited</t>
  </si>
  <si>
    <t xml:space="preserve">Filter "Active substance" contains "bortezomib" and "Marketing authorisation holder" contains "Zydus" or "Combix" → see "Product authorisation country" (rows with an injectable route)</t>
  </si>
  <si>
    <t xml:space="preserve">Zydus France</t>
  </si>
  <si>
    <t xml:space="preserve">Filter "Active substance" contains "ceftriaxone" and "Marketing authorisation holder" contains "Zydus" → see "Product authorisation country" (rows with an injectable route)</t>
  </si>
  <si>
    <t xml:space="preserve">https://base-donnees-publique.medicaments.gouv.fr/index.php?page=1&amp;choixRecherche=medicament&amp;txtCaracteres=Ceftriaxone%20Zydus&amp;action=show</t>
  </si>
  <si>
    <t xml:space="preserve">No injectable authorisation held by the company group found (filter "Active substance" contains "ethacrynate sodium" to confirm)</t>
  </si>
  <si>
    <t xml:space="preserve">No injectable authorisation held by the company group found (filter "Active substance" contains "etomidate" to confirm)</t>
  </si>
  <si>
    <t xml:space="preserve">No injectable authorisation held by the company group found (filter "Active substance" contains "fluorescein sodium" to confirm)</t>
  </si>
  <si>
    <t xml:space="preserve">No injectable authorisation held by the company group found (filter "Active substance" contains "haloperidol decanoate" to confirm)</t>
  </si>
  <si>
    <t xml:space="preserve">No injectable authorisation held by the company group found (filter "Active substance" contains "indocyanine green" to confirm)</t>
  </si>
  <si>
    <t xml:space="preserve">No injectable authorisation held by the company group found (filter "Active substance" contains "iron sucrose" to confirm)</t>
  </si>
  <si>
    <t xml:space="preserve">No injectable authorisation held by the company group found (filter "Active substance" contains "ondansetron" to confirm)</t>
  </si>
  <si>
    <t xml:space="preserve">Price evidence – presentation level</t>
  </si>
  <si>
    <t xml:space="preserve">USD per unit (vial / ampoule / syringe). Pair price = average of presentations priced &gt; $5. Gaps filled from US CMS ASP, VA FSS, Australia PBS and South Africa SEP registry.</t>
  </si>
  <si>
    <t xml:space="preserve">Product</t>
  </si>
  <si>
    <t xml:space="preserve">Strength</t>
  </si>
  <si>
    <t xml:space="preserve">Packaging</t>
  </si>
  <si>
    <t xml:space="preserve">Fill volume (mL)</t>
  </si>
  <si>
    <t xml:space="preserve">Price (USD / unit)</t>
  </si>
  <si>
    <t xml:space="preserve">Price source</t>
  </si>
  <si>
    <t xml:space="preserve">Source URL</t>
  </si>
  <si>
    <t xml:space="preserve">How to check / pricing basis</t>
  </si>
  <si>
    <t xml:space="preserve">Carboprost Alembic</t>
  </si>
  <si>
    <t xml:space="preserve">0.25 mg/mL (250 mcg/1 mL)</t>
  </si>
  <si>
    <t xml:space="preserve">1 x 1 mL glass vial</t>
  </si>
  <si>
    <t xml:space="preserve">User workbook (country tabs)</t>
  </si>
  <si>
    <t xml:space="preserve">https://www.medicinpriser.dk/Default.aspx?VirksomtStof=Carboprost&amp;lng=2</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</si>
  <si>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</si>
  <si>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10MG/2ML (5MG/ML)</t>
  </si>
  <si>
    <t xml:space="preserve">10 × 2 mL pre-filled syringes</t>
  </si>
  <si>
    <t xml:space="preserve">CMS ASP payment limit Oct-2026 (US Medicare Part B, 106% of ASP)</t>
  </si>
  <si>
    <t xml:space="preserve">https://www.cms.gov/files/zip/october-2026-medicare-part-b-payment-limit-files-final.zip</t>
  </si>
  <si>
    <t xml:space="preserve">Open zip → "October 2026 Medicare Part B Payment Limit File" → find HCPCS J3360 → "Payment Limit" (USD per billing unit); × units per vial as in note · J3360 $5.069/5 mg × 2 (10 mg/2 mL)</t>
  </si>
  <si>
    <t xml:space="preserve">250MG/5ML (50MG/ML)</t>
  </si>
  <si>
    <t xml:space="preserve">2 × 5 mL single-dose syringes + safety needles; NDC 62332-650-10</t>
  </si>
  <si>
    <t xml:space="preserve">https://www.drugs.com/price-guide/fulvestrant</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</si>
  <si>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</si>
  <si>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Methotrexate Sodium</t>
  </si>
  <si>
    <t xml:space="preserve">EQ 1GM BASE/40ML (EQ 25MG BASE/ML)</t>
  </si>
  <si>
    <t xml:space="preserve">1 single dose vial</t>
  </si>
  <si>
    <t xml:space="preserve">https://www.drugs.com/price-guide/methotrexate</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</si>
  <si>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</si>
  <si>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EQ 50MG BASE/2ML (EQ 25MG BASE/ML)</t>
  </si>
  <si>
    <t xml:space="preserve">5 multiple-dose vials</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</si>
  <si>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</si>
  <si>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1MG/0.5ML</t>
  </si>
  <si>
    <t xml:space="preserve">1 Prefilled Syringe (0.5 mL)</t>
  </si>
  <si>
    <t xml:space="preserve">Open zip → "October 2026 Medicare Part B Payment Limit File" → find HCPCS J3430 → "Payment Limit" (USD per billing unit); × units per vial as in note · J3430 $3.989 per 1 mg</t>
  </si>
  <si>
    <t xml:space="preserve">40MG/ML</t>
  </si>
  <si>
    <t xml:space="preserve">-</t>
  </si>
  <si>
    <t xml:space="preserve">Open zip → "October 2026 Medicare Part B Payment Limit File" → find HCPCS J3301 → "Payment Limit" (USD per billing unit); × units per vial as in note · J3301 $0.787/10 mg × 4 (40 mg/mL, 1 mL)</t>
  </si>
  <si>
    <t xml:space="preserve">Ampicillin Sodium</t>
  </si>
  <si>
    <t xml:space="preserve">2 G/VIAL</t>
  </si>
  <si>
    <t xml:space="preserve">20 mL vial; 10 vials/carton</t>
  </si>
  <si>
    <t xml:space="preserve">https://www.ab.bluecross.ca/dbl/pdfs/ABCDPL_2026_01_07.pdf</t>
  </si>
  <si>
    <t xml:space="preserve">User workbook, Canada tab: Exact Auro product – Alberta</t>
  </si>
  <si>
    <t xml:space="preserve">20 mL clear glass vial; 10 × 10 vials/pack</t>
  </si>
  <si>
    <t xml:space="preserve">Argatroban In Sodium Chloride</t>
  </si>
  <si>
    <t xml:space="preserve">50MG/50ML (1MG/ML)</t>
  </si>
  <si>
    <t xml:space="preserve">1 × 50 mL single-dose vial; NDC 55150-241-01</t>
  </si>
  <si>
    <t xml:space="preserve">https://www.drugs.com/price-guide/argatroban</t>
  </si>
  <si>
    <t xml:space="preserve">User workbook, USA (Filled) tab: Generic retail proxy. 1 mg/mL argatroban intravenous solution. Drugs.com cash price USD 90.40 for 50 (1 x 50 milliliters). 90.4 ÷ 1 = USD 90.40/50 mL vial. Manufacturer not identified by source. Checked 27-Sep-2026.</t>
  </si>
  <si>
    <t xml:space="preserve">25 MG/ML</t>
  </si>
  <si>
    <t xml:space="preserve">1 x 100 mg vial (powder)</t>
  </si>
  <si>
    <t xml:space="preserve">https://dmd-browser.nhsbsa.nhs.uk/ampp/view/185061</t>
  </si>
  <si>
    <t xml:space="preserve">User workbook, UK tab: Competitor dm+d proxy – GBP 272.85 for the priced/target pack of 1; GBP 272.85 ÷ 1 = GBP 272.85 per vial; × 1.322 (ECB, 24-Sep-2026) = USD 360.71 per vial. Exact maker price not available; competitor pack used as proxy.</t>
  </si>
  <si>
    <t xml:space="preserve">Azacitidin Puren</t>
  </si>
  <si>
    <t xml:space="preserve">100 mg</t>
  </si>
  <si>
    <t xml:space="preserve">https://www.aifa.gov.it/documents/20142/3815901/Classe_H_per_principio_attivo_30-04-2026.csv</t>
  </si>
  <si>
    <t xml:space="preserve">User workbook, European Union tab: Same-MAH / same-product-family price – Italy; Eugia/Aurobindo azacitidine 100 mg powder vial. EUR 351.70 per vial. Italian brand differs from Azacitidin Puren, therefore not labelled exact brand.</t>
  </si>
  <si>
    <t xml:space="preserve">Azacitidine Eugia</t>
  </si>
  <si>
    <t xml:space="preserve">100 mg/vial</t>
  </si>
  <si>
    <t xml:space="preserve">1 × 100 mg vial (powder)</t>
  </si>
  <si>
    <t xml:space="preserve">https://www.pbs.gov.au/industry/pricing/ex-manufacturer-price/2026/09/ex-manufacturer-prices-non-efc-2026-09-01.XLSX</t>
  </si>
  <si>
    <t xml:space="preserve">User workbook, Australia tab: Generic proxy – same molecule, strength and presentation; competitor PBS AEMP; PBS item 12771E (Powder for injection 100 mg); AEMP AUD 14.63 per unit; PBS ex-manufacturer price file Sep-2026.</t>
  </si>
  <si>
    <t xml:space="preserve">3.5MG/VIAL</t>
  </si>
  <si>
    <t xml:space="preserve">3.5 mg/vial single-dose vial, lyophilized powder, 1 vial per carton </t>
  </si>
  <si>
    <t xml:space="preserve">https://www.drugs.com/price-guide/bortezomib</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</si>
  <si>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</si>
  <si>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Bortezomib Milpharm</t>
  </si>
  <si>
    <t xml:space="preserve">3.5 MG</t>
  </si>
  <si>
    <t xml:space="preserve">1 x 3.5 mg vial (powder)</t>
  </si>
  <si>
    <t xml:space="preserve">https://dmd-browser.nhsbsa.nhs.uk/ampp/view/187562</t>
  </si>
  <si>
    <t xml:space="preserve">User workbook, UK tab: Competitor dm+d proxy – GBP 648.02 for the priced/target pack of 1; GBP 648.02 ÷ 1 = GBP 648.02 per vial; × 1.322 (ECB, 24-Sep-2026) = USD 856.68 per vial. Exact maker price not available; competitor pack used as proxy.</t>
  </si>
  <si>
    <t xml:space="preserve">Bortezomib Arrow</t>
  </si>
  <si>
    <t xml:space="preserve">3.5 mg</t>
  </si>
  <si>
    <t xml:space="preserve">User workbook, European Union tab: Same-MAH / same-product-family price – Italy; Aurobindo/Eugia bortezomib 3.5 mg powder vial. EUR 1,277.98/vial. Italian brand differs from Bortezomib Arrow.</t>
  </si>
  <si>
    <t xml:space="preserve">EUG-Bortezomib</t>
  </si>
  <si>
    <t xml:space="preserve">3.5 mg/vial</t>
  </si>
  <si>
    <t xml:space="preserve">1 × 3.5 mg vial (powder)</t>
  </si>
  <si>
    <t xml:space="preserve">https://www.pbs.gov.au/industry/pricing/ex-manufacturer-price/2026/09/ex-manufacturer-prices-efc-2026-09-01.XLSX</t>
  </si>
  <si>
    <t xml:space="preserve">User workbook, Australia tab: Maker's PBS AEMP – same sponsor, same strength/presentation, listed under a different PBS brand; PBS item 12219D (Powder for injection 3.5 mg); AEMP AUD 20.47 per unit; PBS ex-manufacturer price file Sep-2026.</t>
  </si>
  <si>
    <t xml:space="preserve">Bupivan</t>
  </si>
  <si>
    <t xml:space="preserve">5 mg/mL (25 mg/5 mL)</t>
  </si>
  <si>
    <t xml:space="preserve">5 x 5 mL glass ampoules</t>
  </si>
  <si>
    <t xml:space="preserve">https://www.aponeo.de/rx/12675950-bupivan-0-5-5-mg-ml-inj-l-25mg-5ml-glasamp.html</t>
  </si>
  <si>
    <t xml:space="preserve">User workbook, European Union tab: Exact product price - Germany, aponeo.de; Bupivan 0.5% 5 mg/mL, 25 mg/5 mL glass ampoules, PZN 12675950. Private prescription price checked 28-Sep-2026. EUR 22.78 per pack of 5 / 5 = EUR 4.56/ampoule.</t>
  </si>
  <si>
    <t xml:space="preserve">Carboprost Tromethamine</t>
  </si>
  <si>
    <t xml:space="preserve">EQ 0.25MG BASE/ML</t>
  </si>
  <si>
    <t xml:space="preserve">1 mL Single-Dose Vial x 10-Vial Carton</t>
  </si>
  <si>
    <t xml:space="preserve">https://www.drugs.com/price-guide/carboprost</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</si>
  <si>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</si>
  <si>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Auro Cefepime</t>
  </si>
  <si>
    <t xml:space="preserve">1000mg</t>
  </si>
  <si>
    <t xml:space="preserve">1 x 20 mL vial (powder)</t>
  </si>
  <si>
    <t xml:space="preserve">https://www.health.gov.za/nhi-pee/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</si>
  <si>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</si>
  <si>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10 x 20 mL vials (powder)</t>
  </si>
  <si>
    <t xml:space="preserve">2000mg</t>
  </si>
  <si>
    <t xml:space="preserve">1 x 50 mL vial (powder)</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</si>
  <si>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</si>
  <si>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10 x 50 mL vials (powder)</t>
  </si>
  <si>
    <t xml:space="preserve">Ceftazidime Arrow</t>
  </si>
  <si>
    <t xml:space="preserve">1 g</t>
  </si>
  <si>
    <t xml:space="preserve">1 x 1 g vial (powder)</t>
  </si>
  <si>
    <t xml:space="preserve">https://base-donnees-publique.medicaments.gouv.fr/medicament/64318859/extrait</t>
  </si>
  <si>
    <t xml:space="preserve">User workbook, European Union tab: Exact product price – France; Ceftazidime Arrow/Eugia 1 g powder vial. France public price including dispensing fee EUR 7.52 per vial.</t>
  </si>
  <si>
    <t xml:space="preserve">Ceftriaxon Puren</t>
  </si>
  <si>
    <t xml:space="preserve">1 x 1 g powder vial + 1 x 3.5 mL solvent ampoule</t>
  </si>
  <si>
    <t xml:space="preserve">https://www.dovesalute.it/it/farmaci/med/36138/ceftriaxone-aurobindo</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</si>
  <si>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</si>
  <si>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Ceftriaxone Almus</t>
  </si>
  <si>
    <t xml:space="preserve">1 x 1 g powder (IM) + 1 x 3.5 mL solvent ampoule</t>
  </si>
  <si>
    <t xml:space="preserve">https://www.aifa.gov.it/documents/20142/3815901/Classe_A_per_principio_attivo_30-04-2026.csv</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</si>
  <si>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</si>
  <si>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Chlorpromazine Hydrochloride</t>
  </si>
  <si>
    <t xml:space="preserve">25MG/ML</t>
  </si>
  <si>
    <t xml:space="preserve">1mL or 2 mL Single-Dose Ampule x 25-Ampule Carton</t>
  </si>
  <si>
    <t xml:space="preserve">https://www.drugs.com/price-guide/chlorpromazine</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</si>
  <si>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</si>
  <si>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1GM/5ML (200MG/ML)</t>
  </si>
  <si>
    <t xml:space="preserve">1 × 5 mL multidose vial; NDC 55150-271-99</t>
  </si>
  <si>
    <t xml:space="preserve">https://www.drugs.com/price-guide/cyclophosphamide</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</si>
  <si>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</si>
  <si>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2GM/10ML (200MG/ML)</t>
  </si>
  <si>
    <t xml:space="preserve">1 × 10 mL multidose vial; NDC 55150-272-01</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</si>
  <si>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</si>
  <si>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500MG/2.5ML (200MG/ML)</t>
  </si>
  <si>
    <t xml:space="preserve">1 × 2.5 mL multidose vial; NDC 55150-270-99</t>
  </si>
  <si>
    <t xml:space="preserve">User workbook, USA (Filled) tab: Generic retail proxy. 200 mg/mL cyclophosphamide intravenous solution. Drugs.com cash price USD 58.20 for 2.5 milliliters. 58.2 ÷ 1 = USD 58.20/2.5 mL vial. Manufacturer not identified by source. Checked 27-Sep-2026.</t>
  </si>
  <si>
    <t xml:space="preserve">0.5MG/VIAL</t>
  </si>
  <si>
    <t xml:space="preserve">1 × 0.5 mg single-dose vial (lyophilized powder)</t>
  </si>
  <si>
    <t xml:space="preserve">https://www.drugs.com/price-guide/dactinomycin</t>
  </si>
  <si>
    <t xml:space="preserve">User workbook, USA (Filled) tab: Generic retail proxy. 0.5 mg dactinomycin intravenous powder for injection. Drugs.com cash price USD 427.80 for 1. 427.8 ÷ 1 = USD 427.80/vial. Manufacturer not identified by source. Checked 27-Sep-2026.</t>
  </si>
  <si>
    <t xml:space="preserve">Daptomicina Aurobindo</t>
  </si>
  <si>
    <t xml:space="preserve">350 mg</t>
  </si>
  <si>
    <t xml:space="preserve">1 x 350 mg vial (powder)</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</si>
  <si>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</si>
  <si>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Doxorubicin Aurobindo</t>
  </si>
  <si>
    <t xml:space="preserve">10 mg/5 mL</t>
  </si>
  <si>
    <t xml:space="preserve">1 x 5 mL 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</si>
  <si>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</si>
  <si>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Ephedrine Sulfate</t>
  </si>
  <si>
    <t xml:space="preserve">50MG/ML (50MG/ML)</t>
  </si>
  <si>
    <t xml:space="preserve">25 × 1 mL single-dose vials; NDC 55150-373-25</t>
  </si>
  <si>
    <t xml:space="preserve">https://www.drugs.com/price-guide/ephedrine</t>
  </si>
  <si>
    <t xml:space="preserve">User workbook, USA (Filled) tab: Generic retail proxy. 50 mg/mL ephedrine intravenous solution. Drugs.com cash price USD 133.80 for 25 (25 x 1 milliliters). 133.8 ÷ 25 = USD 5.35/1 mL vial. Manufacturer not identified by source. Checked 27-Sep-2026.</t>
  </si>
  <si>
    <t xml:space="preserve">Epirubicin Ab</t>
  </si>
  <si>
    <t xml:space="preserve">50 mg/25 mL</t>
  </si>
  <si>
    <t xml:space="preserve">1 x 25 mL vial (50 mg)</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</si>
  <si>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</si>
  <si>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2MG/ML</t>
  </si>
  <si>
    <t xml:space="preserve">1 × 10 mL single-dose vial; 1 × 100 mL single-dose vial</t>
  </si>
  <si>
    <t xml:space="preserve">https://www.drugs.com/price-guide/eptifibatide</t>
  </si>
  <si>
    <t xml:space="preserve">User workbook, USA (Filled) tab: Generic retail proxy. 2 mg/mL eptifibatide intravenous solution. Drugs.com cash price USD 343.80 for 100 milliliters. 343.8 ÷ 1 = USD 343.80/100 mL vial. Manufacturer not identified by source. Checked 27-Sep-2026.</t>
  </si>
  <si>
    <t xml:space="preserve">Ertapenem Sodium</t>
  </si>
  <si>
    <t xml:space="preserve">EQ 1GM BASE/VIAL</t>
  </si>
  <si>
    <t xml:space="preserve">1 gram/vial Single-Dose Vials in a carton of 10 (NDC 55150-282-20)</t>
  </si>
  <si>
    <t xml:space="preserve">https://www.drugs.com/price-guide/ertapenem</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</si>
  <si>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</si>
  <si>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1 G/VIAL</t>
  </si>
  <si>
    <t xml:space="preserve">Lyophilized powder, 1 g single-dose glass vial</t>
  </si>
  <si>
    <t xml:space="preserve">https://www.ab.bluecross.ca/dbl/pdfs/ABCDPL_2026_09_04.pdf</t>
  </si>
  <si>
    <t xml:space="preserve">User workbook, Canada tab: Exact Auro product - Alberta 14-Sep-2026; DIN 02492148; per vial</t>
  </si>
  <si>
    <t xml:space="preserve">1 g single-dose glass vial</t>
  </si>
  <si>
    <t xml:space="preserve">Etamep</t>
  </si>
  <si>
    <t xml:space="preserve">1g</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</si>
  <si>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</si>
  <si>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</si>
  <si>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Iverzam</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</si>
  <si>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</si>
  <si>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</si>
  <si>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Esmolol Hydrochloride</t>
  </si>
  <si>
    <t xml:space="preserve">1GM/100ML</t>
  </si>
  <si>
    <t xml:space="preserve">Not priced – other presentations of this pair are priced</t>
  </si>
  <si>
    <t xml:space="preserve">Other presentations of this drug × company are priced</t>
  </si>
  <si>
    <t xml:space="preserve">2GM/100ML</t>
  </si>
  <si>
    <t xml:space="preserve">10 × 100 mL bags</t>
  </si>
  <si>
    <t xml:space="preserve">https://www.drugs.com/price-guide/esmolol</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</si>
  <si>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</si>
  <si>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</si>
  <si>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</si>
  <si>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</si>
  <si>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</si>
  <si>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</si>
  <si>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NHS dm+d pack price GBP 25.00 for 10 vials ÷ 10 × 1.322 · Eugia UK 500 mg vial competitor proxy (GBP 2.50/vial); cross-market proxy</t>
  </si>
  <si>
    <t xml:space="preserve">1000 mg/vial</t>
  </si>
  <si>
    <t xml:space="preserve">1 × 1000 mg vial (powder)</t>
  </si>
  <si>
    <t xml:space="preserve">Italy AIFA Class H public price from user workbook EU tab (EUR→USD 1.13)</t>
  </si>
  <si>
    <t xml:space="preserve">Find "FLUCLOXACILLINA" K24 1 g vial in AIFA Class H list (EUR) × 1.13 · Flucloxacillina K24 1 g vial EUR 2.95; cross-market proxy</t>
  </si>
  <si>
    <t xml:space="preserve">2000 mg/vial</t>
  </si>
  <si>
    <t xml:space="preserve">1 × 2000 mg vial (powder)</t>
  </si>
  <si>
    <t xml:space="preserve">Not found</t>
  </si>
  <si>
    <t xml:space="preserve">No public price found for this presentation</t>
  </si>
  <si>
    <t xml:space="preserve">1GM/20ML (50MG/ML)</t>
  </si>
  <si>
    <t xml:space="preserve">10 × 20 mL single-dose vials</t>
  </si>
  <si>
    <t xml:space="preserve">https://www.drugs.com/price-guide/fluorouracil</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</si>
  <si>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</si>
  <si>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1 × 5 mL multi-dose vial</t>
  </si>
  <si>
    <t xml:space="preserve">https://www.drugs.com/price-guide/fluphenazine</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</si>
  <si>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</si>
  <si>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Folinsäure Aurobindo</t>
  </si>
  <si>
    <t xml:space="preserve">10 mg/mL</t>
  </si>
  <si>
    <t xml:space="preserve">1 x 100 mL vial</t>
  </si>
  <si>
    <t xml:space="preserve">https://www.medicinpriser.dk/Default.aspx?id=15&amp;vnr=540548</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</si>
  <si>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</si>
  <si>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250 MG</t>
  </si>
  <si>
    <t xml:space="preserve">2 x 5 mL pre-filled syringes (250 mg each; priced pack)</t>
  </si>
  <si>
    <t xml:space="preserve">https://www.nhsbsa.nhs.uk/sites/default/files/2026-08/Part%20VIIIA%20Sep%2026.xls.xlsx</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</si>
  <si>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</si>
  <si>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Fulvestrant Arrow</t>
  </si>
  <si>
    <t xml:space="preserve">250 mg/5 mL</t>
  </si>
  <si>
    <t xml:space="preserve">2 x 5 mL pre-filled syringes</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</si>
  <si>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</si>
  <si>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EUG-Fulvestrant</t>
  </si>
  <si>
    <t xml:space="preserve">250 mg/5 mL (50 mg/mL)</t>
  </si>
  <si>
    <t xml:space="preserve">1 × 5 mL pre-filled 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</si>
  <si>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</si>
  <si>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Hydralazine Hydrochloride</t>
  </si>
  <si>
    <t xml:space="preserve">20 MG/ML</t>
  </si>
  <si>
    <t xml:space="preserve">1 mL single-use vial; 10 vials/carton</t>
  </si>
  <si>
    <t xml:space="preserve">https://www.formulary.health.gov.on.ca/formulary/detail.xhtml?drugId=02516160</t>
  </si>
  <si>
    <t xml:space="preserve">User workbook, Canada tab: Exact product - Ontario formulary; per 1 mL vial</t>
  </si>
  <si>
    <t xml:space="preserve">1 mL single-use glass vial; 10 vials/carton</t>
  </si>
  <si>
    <t xml:space="preserve">User workbook, Canada tab: Exact product - Alberta 14-Sep-2026; DIN 02537699; per vial</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</si>
  <si>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</si>
  <si>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</si>
  <si>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</si>
  <si>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</si>
  <si>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</si>
  <si>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150MG/ML</t>
  </si>
  <si>
    <t xml:space="preserve">1 Single-dose Vial (1 mL) / 25 Single-dose Vials (1 mL)</t>
  </si>
  <si>
    <t xml:space="preserve">https://www.drugs.com/price-guide/medroxyprogesterone</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</si>
  <si>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</si>
  <si>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1 Prefilled Syringe (1 mL)</t>
  </si>
  <si>
    <t xml:space="preserve">https://www.mountainside-medical.com/products/medroxyprogesterone-acetate-injection-prefilled-syringe-150-mg-ml</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</si>
  <si>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</si>
  <si>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Melfalan Eugia</t>
  </si>
  <si>
    <t xml:space="preserve">50 mg</t>
  </si>
  <si>
    <t xml:space="preserve">1 x 50 mg vial (powder) + 1 solvent vial</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</si>
  <si>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</si>
  <si>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Meropenem Arrow</t>
  </si>
  <si>
    <t xml:space="preserve">500 mg</t>
  </si>
  <si>
    <t xml:space="preserve">10 x 500 mg vials (powder)</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</si>
  <si>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</si>
  <si>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Meropenem Aurovit</t>
  </si>
  <si>
    <t xml:space="preserve">Meropenem Aurovitas</t>
  </si>
  <si>
    <t xml:space="preserve">500 MG/VIAL</t>
  </si>
  <si>
    <t xml:space="preserve">30 mL vial; 10 vials/carton</t>
  </si>
  <si>
    <t xml:space="preserve">https://www.ab.bluecross.ca/dbl/pdfs/ABCDPL_2024_12_05.pdf</t>
  </si>
  <si>
    <t xml:space="preserve">User workbook, Canada tab: Exact Auro product; Alberta Dec-2024</t>
  </si>
  <si>
    <t xml:space="preserve">40 mL vial; 10 vials/carton</t>
  </si>
  <si>
    <t xml:space="preserve">30 mL single-use vial; 10 vials/box</t>
  </si>
  <si>
    <t xml:space="preserve">40 mL single-use vial; 10 vials/box</t>
  </si>
  <si>
    <t xml:space="preserve">100MG/ML</t>
  </si>
  <si>
    <t xml:space="preserve">1 g per 10 mL (100 mg/mL) multiple-dose vial, 1 x 10 mL vial per carton</t>
  </si>
  <si>
    <t xml:space="preserve">https://www.drugs.com/price-guide/mesna</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</si>
  <si>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</si>
  <si>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Methotrexate Sodium Preservative Free</t>
  </si>
  <si>
    <t xml:space="preserve">2ml single-dose vial</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</si>
  <si>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</si>
  <si>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EQ 200MG BASE/8ML (EQ 25MG BASE/ML)</t>
  </si>
  <si>
    <t xml:space="preserve">Single-Dose Vials in a carton of 10</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</si>
  <si>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</si>
  <si>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EQ 250MG BASE/10ML (EQ 25MG BASE/ML)</t>
  </si>
  <si>
    <t xml:space="preserve">Single-Dose Vial </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</si>
  <si>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</si>
  <si>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Single-Dose Vials in a Carton of 25, powder form </t>
  </si>
  <si>
    <t xml:space="preserve">Open zip → "October 2026 Medicare Part B Payment Limit File" → find HCPCS J1010 → "Payment Limit" (USD per billing unit); × units per vial as in note · J1010 $0.123/mg × 40</t>
  </si>
  <si>
    <t xml:space="preserve">80MG/ML</t>
  </si>
  <si>
    <t xml:space="preserve">Powder Vial </t>
  </si>
  <si>
    <t xml:space="preserve">Open zip → "October 2026 Medicare Part B Payment Limit File" → find HCPCS J1010 → "Payment Limit" (USD per billing unit); × units per vial as in note · J1010 $0.123/mg × 80</t>
  </si>
  <si>
    <t xml:space="preserve">Mitomicina Aurovitas</t>
  </si>
  <si>
    <t xml:space="preserve">20 mg</t>
  </si>
  <si>
    <t xml:space="preserve">1 x 20 mg vial (powder)</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</si>
  <si>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</si>
  <si>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Nafcillin Sodium</t>
  </si>
  <si>
    <t xml:space="preserve">Powder Vial (1 g) </t>
  </si>
  <si>
    <t xml:space="preserve">https://www.drugs.com/price-guide/nafcillin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</si>
  <si>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</si>
  <si>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EQ 2GM BASE/VIAL</t>
  </si>
  <si>
    <t xml:space="preserve">Powder Vial (2 g) </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</si>
  <si>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</si>
  <si>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Naloxone Hydrochloride</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</si>
  <si>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</si>
  <si>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</si>
  <si>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</si>
  <si>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</si>
  <si>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</si>
  <si>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</si>
  <si>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4 MG/10 ML</t>
  </si>
  <si>
    <t xml:space="preserve">10 mL multidose vial; 1 vial/box</t>
  </si>
  <si>
    <t xml:space="preserve">User workbook, Canada tab: Volume-scaled generic proxy - Teva DIN 02382482 (1 mL ampoule); Alberta 14-Sep-2026; CAD 13.7450/mL x 10 mL = 137.45; target 10 mL multidose vial price unverified</t>
  </si>
  <si>
    <t xml:space="preserve">2 MG/ML</t>
  </si>
  <si>
    <t xml:space="preserve">5 ampoules (priced pack)</t>
  </si>
  <si>
    <t xml:space="preserve">https://dmd-browser.nhsbsa.nhs.uk/ampp/view/47382</t>
  </si>
  <si>
    <t xml:space="preserve">User workbook, UK tab: Competitor dm+d proxy – GBP 23.98 for the priced/target pack of 5; GBP 23.98 ÷ 5 = GBP 4.80 per ampoule; × 1.322 (ECB, 24-Sep-2026) = USD 6.34 per ampoule. Exact maker price not available; competitor pack used as proxy.</t>
  </si>
  <si>
    <t xml:space="preserve">Ondansetron Ab</t>
  </si>
  <si>
    <t xml:space="preserve">4 mg/2 mL</t>
  </si>
  <si>
    <t xml:space="preserve">10 x 2 mL ampoules</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</si>
  <si>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</si>
  <si>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Auro-Ondansetron</t>
  </si>
  <si>
    <t xml:space="preserve">2 mL single-use vial (4 mg/2 mL, preservative-free); 10 vials/carton</t>
  </si>
  <si>
    <t xml:space="preserve">https://www.formulary.health.gov.on.ca/formulary/detail.xhtml?drugId=02491524</t>
  </si>
  <si>
    <t xml:space="preserve">User workbook, Canada tab: Exact product - Ontario formulary Sep-2026 (Off-Formulary Interchangeable), per 2 mL vial; DIN 02491524; duplicate-row format assignment assumed</t>
  </si>
  <si>
    <t xml:space="preserve">4 mL fill in 5 mL single-use vial (8 mg/4 mL, preservative-free); 5 vials/carton</t>
  </si>
  <si>
    <t xml:space="preserve">https://www.formulary.health.gov.on.ca/formulary/detail.xhtml?drugId=02491532</t>
  </si>
  <si>
    <t xml:space="preserve">User workbook, Canada tab: Exact product - Ontario formulary Sep-2026 (Off-Formulary Interchangeable), per 4 mL vial; DIN 02491532; duplicate-row format assignment assumed</t>
  </si>
  <si>
    <t xml:space="preserve">Eugia-Ondansetron</t>
  </si>
  <si>
    <t xml:space="preserve">4 mL preservative-free single-use vial (8 mg/4 mL); 5 vials/carton</t>
  </si>
  <si>
    <t xml:space="preserve">User workbook, Canada tab: Generic proxy - Omega (preservative free); Alberta 14-Sep-2026; 3.4552/mL × 4 mL; proxy DIN 02271761; DIN 02544830; duplicate-row format assignment assumed</t>
  </si>
  <si>
    <t xml:space="preserve">Oxacillin Sodium</t>
  </si>
  <si>
    <t xml:space="preserve">10 Vials, powder (1 g)</t>
  </si>
  <si>
    <t xml:space="preserve">https://www.drugs.com/price-guide/oxacillin</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</si>
  <si>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</si>
  <si>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</si>
  <si>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</si>
  <si>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</si>
  <si>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</si>
  <si>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</si>
  <si>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40 MG</t>
  </si>
  <si>
    <t xml:space="preserve">1 x vial (priced pack)</t>
  </si>
  <si>
    <t xml:space="preserve">https://dmd-browser.nhsbsa.nhs.uk/ampp/view/194984</t>
  </si>
  <si>
    <t xml:space="preserve">User workbook, UK tab: Competitor dm+d proxy – GBP 5.00 for the priced/target pack of 1; GBP 5.00 ÷ 1 = GBP 5.00 per vial; × 1.322 (ECB, 24-Sep-2026) = USD 6.61 per vial. Exact maker price not available; competitor pack used as proxy.</t>
  </si>
  <si>
    <t xml:space="preserve">40 MG/VIAL</t>
  </si>
  <si>
    <t xml:space="preserve">40 mg vial; 10 vials/carton</t>
  </si>
  <si>
    <t xml:space="preserve">https://www.ab.bluecross.ca/dbl/pdfs/ABCDPL_2026_03_03.pdf</t>
  </si>
  <si>
    <t xml:space="preserve">User workbook, Canada tab: Exact Auro product – Alberta Mar-2026</t>
  </si>
  <si>
    <t xml:space="preserve">10 mL single-use glass vial; 10 vials/pack</t>
  </si>
  <si>
    <t xml:space="preserve">24MG/1.2ML (20MG/ML)</t>
  </si>
  <si>
    <t xml:space="preserve">1 × 1.2 mL single-dose vial</t>
  </si>
  <si>
    <t xml:space="preserve">https://www.drugs.com/price-guide/plerixafor</t>
  </si>
  <si>
    <t xml:space="preserve">User workbook, USA (Filled) tab: Generic retail proxy. 20 mg/mL plerixafor subcutaneous solution. Drugs.com cash price USD 343.80 for 1.2 milliliters. 343.8 ÷ 1 = USD 343.80/1.2 mL vial. Manufacturer not identified by source. Checked 27-Sep-2026.</t>
  </si>
  <si>
    <t xml:space="preserve">1 x 1.2 mL vial</t>
  </si>
  <si>
    <t xml:space="preserve">https://dmd-browser.nhsbsa.nhs.uk/ampp/view/190293</t>
  </si>
  <si>
    <t xml:space="preserve">User workbook, UK tab: Competitor dm+d proxy – GBP 4,800.00 for the priced/target pack of 1; GBP 4,800.00 ÷ 1 = GBP 4,800.00 per vial; × 1.322 (ECB, 24-Sep-2026) = USD 6,345.60 per vial. Exact maker price not available; competitor pack used as proxy.</t>
  </si>
  <si>
    <t xml:space="preserve">Plerixafor Arrow</t>
  </si>
  <si>
    <t xml:space="preserve">24 mg/1.2 mL</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</si>
  <si>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</si>
  <si>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1.2 mL (24 mg) single-use glass vial</t>
  </si>
  <si>
    <t xml:space="preserve">User workbook, Canada tab: Exact product - Alberta 14-Sep-2026; DIN 02539454; per vial</t>
  </si>
  <si>
    <t xml:space="preserve">Plerixafor Eugia</t>
  </si>
  <si>
    <t xml:space="preserve">24 mg/1.2 mL (20 mg/mL)</t>
  </si>
  <si>
    <t xml:space="preserve">1 × 1.2 mL vial</t>
  </si>
  <si>
    <t xml:space="preserve">https://www.pbs.gov.au/industry/pricing/price-disclosure-spd/current-price-disclosure-cycle</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</si>
  <si>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</si>
  <si>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50MG/ML</t>
  </si>
  <si>
    <t xml:space="preserve">10 mL (500 mg/10 mL) Multiple-Dose Vial, packaged individually </t>
  </si>
  <si>
    <t xml:space="preserve">https://www.drugs.com/price-guide/progesterone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</si>
  <si>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</si>
  <si>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0.4MG/5ML (0.08MG/ML)</t>
  </si>
  <si>
    <t xml:space="preserve">5 mL single-dose prefilled syringe; 1 per carton; NDC 55150-443-01</t>
  </si>
  <si>
    <t xml:space="preserve">Open zip → "October 2026 Medicare Part B Payment Limit File" → find HCPCS J2785 → "Payment Limit" (USD per billing unit); × units per vial as in note · J2785 $2.507/0.1 mg × 4 (0.4 mg/5 mL)</t>
  </si>
  <si>
    <t xml:space="preserve">Remifentanil Hydrochloride Aurobindo</t>
  </si>
  <si>
    <t xml:space="preserve">1 mg</t>
  </si>
  <si>
    <t xml:space="preserve">5 x 1 mg vials (powder)</t>
  </si>
  <si>
    <t xml:space="preserve">https://www.medicinpriser.dk/Default.aspx?VirksomtStof=Remifentanil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</si>
  <si>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</si>
  <si>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Ropivacaine Hydrochloride</t>
  </si>
  <si>
    <t xml:space="preserve">40MG/20ML (2MG/ML)</t>
  </si>
  <si>
    <t xml:space="preserve">25 × 20 mL single-dose vials; NDC 55150-195-20</t>
  </si>
  <si>
    <t xml:space="preserve">https://www.drugs.com/price-guide/ropivacaine</t>
  </si>
  <si>
    <t xml:space="preserve">User workbook, USA (Filled) tab: Generic retail proxy. 0.2% ropivacaine injectable solution. Drugs.com cash price USD 188.40 for 500 (25 x 20 milliliters). 188.4 ÷ 25 = USD 7.54/20 mL vial. Manufacturer not identified by source. Checked 27-Sep-2026.</t>
  </si>
  <si>
    <t xml:space="preserve">100MG/20ML (5MG/ML)</t>
  </si>
  <si>
    <t xml:space="preserve">25 × 20 mL single-dose vials; NDC 55150-197-20</t>
  </si>
  <si>
    <t xml:space="preserve">User workbook, USA (Filled) tab: Generic retail proxy. 0.5% ropivacaine injectable solution. Drugs.com cash price USD 125.40 for 500 (25 x 20 milliliters). 125.4 ÷ 25 = USD 5.02/20 mL vial. Manufacturer not identified by source. Checked 27-Sep-2026.</t>
  </si>
  <si>
    <t xml:space="preserve">100MG/10ML (10MG/ML)</t>
  </si>
  <si>
    <t xml:space="preserve">25 × 10 mL single-dose vials; NDC 55150-200-10</t>
  </si>
  <si>
    <t xml:space="preserve">User workbook, USA (Filled) tab: Generic retail proxy. 1% ropivacaine injectable solution. Drugs.com cash price USD 246.15 for 250 (25 x 10 milliliters). 246.15 ÷ 25 = USD 9.85/10 mL vial. Manufacturer not identified by source. Checked 27-Sep-2026.</t>
  </si>
  <si>
    <t xml:space="preserve">150MG/30ML (5MG/ML)</t>
  </si>
  <si>
    <t xml:space="preserve">25 × 30 mL single-dose vials; NDC 55150-198-30</t>
  </si>
  <si>
    <t xml:space="preserve">User workbook, USA (Filled) tab: Generic retail proxy. 0.5% ropivacaine injectable solution. Drugs.com cash price USD 175.80 for 750 (25 x 30 milliliters). 175.8 ÷ 25 = USD 7.03/30 mL vial. Manufacturer not identified by source. Checked 27-Sep-2026.</t>
  </si>
  <si>
    <t xml:space="preserve">150MG/20ML (7.5MG/ML)</t>
  </si>
  <si>
    <t xml:space="preserve">25 × 20 mL single-dose vials; NDC 55150-199-20</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</si>
  <si>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</si>
  <si>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200MG/20ML (10MG/ML)</t>
  </si>
  <si>
    <t xml:space="preserve">25 × 20 mL single-dose vials; NDC 55150-201-20</t>
  </si>
  <si>
    <t xml:space="preserve">User workbook, USA (Filled) tab: Generic retail proxy. 1% ropivacaine injectable solution. Drugs.com cash price USD 175.80 for 500 (25 x 20 milliliters). 175.8 ÷ 25 = USD 7.03/20 mL vial. Manufacturer not identified by source. Checked 27-Sep-2026.</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</si>
  <si>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</si>
  <si>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</si>
  <si>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</si>
  <si>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</si>
  <si>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</si>
  <si>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1,000 mg per 10 mL (100 mg/mL) 10 mL multiple-dose vial, packaged individually (NDC 55150-276-01)</t>
  </si>
  <si>
    <t xml:space="preserve">https://www.drugs.com/price-guide/testosterone</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</si>
  <si>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</si>
  <si>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200MG/ML</t>
  </si>
  <si>
    <t xml:space="preserve">200 mg/mL: 1 mL single-dose vial, packaged individually (NDC 55150-277-01); 2,000 mg per 10 mL 10 mL multiple-dose vial, packaged individually (NDC 55150-278-01)</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</si>
  <si>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</si>
  <si>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1,000 mg per 5 mL (200 mg/mL) 5 mL multiple-dose vial, packaged individually</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</si>
  <si>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</si>
  <si>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Tirofiban Hydrochloride</t>
  </si>
  <si>
    <t xml:space="preserve">EQ 5MG BASE/100ML (EQ 0.05MG BASE/ML)</t>
  </si>
  <si>
    <t xml:space="preserve">1 × 100 mL bag</t>
  </si>
  <si>
    <t xml:space="preserve">https://www.drugs.com/price-guide/tirofiban</t>
  </si>
  <si>
    <t xml:space="preserve">User workbook, USA (Filled) tab: Generic retail proxy. 50 mcg/mL tirofiban intravenous solution. Drugs.com cash price USD 81.22 for 100 milliliters. 81.22 ÷ 1 = USD 81.22/100 mL bag. Manufacturer not identified by source. Checked 27-Sep-2026.</t>
  </si>
  <si>
    <t xml:space="preserve">EQ 12.5MG BASE/250ML (EQ 0.05MG BASE/ML)</t>
  </si>
  <si>
    <t xml:space="preserve">1 × 250 mL bag</t>
  </si>
  <si>
    <t xml:space="preserve">User workbook, USA (Filled) tab: Generic retail proxy. 50 mcg/mL tirofiban intravenous solution. Drugs.com cash price USD 198.40 for 250 milliliters. 198.4 ÷ 1 = USD 198.40/250 mL bag. Manufacturer not identified by source. Checked 27-Sep-2026.</t>
  </si>
  <si>
    <t xml:space="preserve">100 MG/ML</t>
  </si>
  <si>
    <t xml:space="preserve">5 mL single-use ampoule; 10 ampoules/carton</t>
  </si>
  <si>
    <t xml:space="preserve">https://www.ab.bluecross.ca/dbl/pdfs/ABCDPL_2026_04_07.pdf</t>
  </si>
  <si>
    <t xml:space="preserve">User workbook, Canada tab: Generic proxy – JAMP / Sandoz; Alberta Apr-2026; 3.7725/mL × 5 mL</t>
  </si>
  <si>
    <t xml:space="preserve">5 mL (500 mg) / 10 mL (1000 mg) single-use glass ampoules; 10 ampoules/carton</t>
  </si>
  <si>
    <t xml:space="preserve">5 mL (500 mg) / 10 mL (1000 mg) single-use glass vials; 10 vials/carton</t>
  </si>
  <si>
    <t xml:space="preserve">User workbook, Canada tab: Exact product; Alberta 14-Sep-2026; 4.0555/mL × 5 mL; DIN 02531208; DIN 02531208; duplicate-row format assignment assumed</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</si>
  <si>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</si>
  <si>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</si>
  <si>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</si>
  <si>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</si>
  <si>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</si>
  <si>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Search shows Norcuron 10 mg pack price (SEP, ZAR); ÷ 10 vials × 0.0608. Site is a public viewer of the SA Single Exit Price registry · Norcuron 10 mg, R1,306.55 read as pack of 10 vials; no US public price (not separately paid by Medicare)</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</si>
  <si>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</si>
  <si>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</si>
  <si>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</si>
  <si>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</si>
  <si>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</si>
  <si>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</si>
  <si>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</si>
  <si>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Vinorelbin Aurobindo</t>
  </si>
  <si>
    <t xml:space="preserve">10 mg/1 mL</t>
  </si>
  <si>
    <t xml:space="preserve">1 x 1 mL vial</t>
  </si>
  <si>
    <t xml:space="preserve">User workbook, European Union tab: Exact maker price - Italy, AIFA Classe H list dated 30-Apr-2026; VINORELBINA*1 flaconcino EV 10 mg 1 ml 10 mg/ml, Eugia Pharma (Malta) Limited. Prezzo al pubblico EUR 21.59 per pack of 1 = EUR 21.59/vial.</t>
  </si>
  <si>
    <t xml:space="preserve">Vinorelbin Eugia</t>
  </si>
  <si>
    <t xml:space="preserve">Azacitidine Cipla</t>
  </si>
  <si>
    <t xml:space="preserve">Cipla Bleomycin 15K</t>
  </si>
  <si>
    <t xml:space="preserve">15000 IU/vial</t>
  </si>
  <si>
    <t xml:space="preserve">1 × 15000 IU vial (powder)</t>
  </si>
  <si>
    <t xml:space="preserve">User workbook, Australia tab: Generic proxy – same molecule, strength and powder-for-injection vial presentation; competitor DBL Bleomycin Sulfate; PBS item 7244G; pricing quantity 1; AEMP AUD 43.69 = AUD 43.69 per vial; Sep-2026 PBS EFC file.</t>
  </si>
  <si>
    <t xml:space="preserve">Cipla Bleomycin</t>
  </si>
  <si>
    <t xml:space="preserve">15iu/vial</t>
  </si>
  <si>
    <t xml:space="preserve">1 x 5 mL vial (powder)</t>
  </si>
  <si>
    <t xml:space="preserve">User workbook, South Africa (Updated) tab: Exact SA SEP (NDoH Database of Medicine Prices, 10-Sep-2026) – NAPPI 3006083001, Pack Size 1, Quantity 1; R853.92 ÷ 1 = R853.92 per unit. FX: R853.92 × 0.06083945 (ECB, 24-Sep-2026) = USD 51.95.</t>
  </si>
  <si>
    <t xml:space="preserve">Onbort</t>
  </si>
  <si>
    <t xml:space="preserve">3.5mg</t>
  </si>
  <si>
    <t xml:space="preserve">1 x 1.4 mL vial</t>
  </si>
  <si>
    <t xml:space="preserve">User workbook, South Africa (Updated) tab: Exact SA SEP (NDoH Database of Medicine Prices, 10-Sep-2026) – NAPPI 3002686001, Pack Size 10, Quantity 1; R2,683.88 ÷ 1 = R2,683.88 per unit. FX: R2,683.88 × 0.06083945 (ECB, 24-Sep-2026) = USD 163.29.</t>
  </si>
  <si>
    <t xml:space="preserve">Cefect</t>
  </si>
  <si>
    <t xml:space="preserve">South Africa SEP price database (user file)</t>
  </si>
  <si>
    <t xml:space="preserve">https://medicineprices.org.za/#search:cefect</t>
  </si>
  <si>
    <t xml:space="preserve">Search shows "Cefect" Single Exit Price (ZAR) by pack; per-unit price × 0.0608. Site is a public viewer of the SA Single Exit Price registry</t>
  </si>
  <si>
    <t xml:space="preserve">2g</t>
  </si>
  <si>
    <t xml:space="preserve">350 MG</t>
  </si>
  <si>
    <t xml:space="preserve">10mL x 1 vial / pack of 5</t>
  </si>
  <si>
    <t xml:space="preserve">https://dmd-browser.nhsbsa.nhs.uk/ampp/view/193506</t>
  </si>
  <si>
    <t xml:space="preserve">User workbook, UK tab: Exact maker dm+d price – GBP 62.00 for the priced/target pack of 1; GBP 62.00 ÷ 1 = GBP 62.00 per vial; × 1.322 (ECB, 24-Sep-2026) = USD 81.96 per vial.</t>
  </si>
  <si>
    <t xml:space="preserve">Daptomicina Cipla</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</si>
  <si>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</si>
  <si>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Cipla Daptomycin</t>
  </si>
  <si>
    <t xml:space="preserve">350 mg/vial</t>
  </si>
  <si>
    <t xml:space="preserve">1 × 350 mg vial (powder)</t>
  </si>
  <si>
    <t xml:space="preserve">Cipla Doxorubicin</t>
  </si>
  <si>
    <t xml:space="preserve">10mg</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</si>
  <si>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</si>
  <si>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50mg</t>
  </si>
  <si>
    <t xml:space="preserve">1 x 25 mL vial (powder)</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</si>
  <si>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</si>
  <si>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Fulvestrant Cipla</t>
  </si>
  <si>
    <t xml:space="preserve">1 x 5 mL pre-filled syringe (250 mg) + safety needle</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</si>
  <si>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</si>
  <si>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Hydrocortisone Sodium Succinate</t>
  </si>
  <si>
    <t xml:space="preserve">EQ 100MG BASE/VIAL</t>
  </si>
  <si>
    <t xml:space="preserve">Vial (100 mg / 2 mL) - pack count not verified</t>
  </si>
  <si>
    <t xml:space="preserve">Open zip → "October 2026 Medicare Part B Payment Limit File" → find HCPCS J1720 → "Payment Limit" (USD per billing unit); × units per vial as in note · J1720 $23.149 per 100 mg vial</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</si>
  <si>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</si>
  <si>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</si>
  <si>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</si>
  <si>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</si>
  <si>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</si>
  <si>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</si>
  <si>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Filter "Generic" contains "ISOPRENALINE" (injection) → "Price" ÷ units in "PackageDescription"; median of vendors as in note · Median of 2 vendors, 0.2 mg/mL 1 mL (US shortage-era pricing); cross-market proxy</t>
  </si>
  <si>
    <t xml:space="preserve">Isocipraline</t>
  </si>
  <si>
    <t xml:space="preserve">1 mg/5 mL (0.2 mg/mL)</t>
  </si>
  <si>
    <t xml:space="preserve">1 × 5 mL ampoule</t>
  </si>
  <si>
    <t xml:space="preserve">Filter "Generic" contains "ISOPRENALINE" (injection) → "Price" ÷ units in "PackageDescription"; median of vendors as in note · Median of 2 vendors, 0.2 mg/mL 5 mL (US shortage-era pricing); cross-market proxy</t>
  </si>
  <si>
    <t xml:space="preserve">Lanreotide Acetate</t>
  </si>
  <si>
    <t xml:space="preserve">EQ 60MG BASE/0.2ML (EQ 60MG BASE/0.2ML)</t>
  </si>
  <si>
    <t xml:space="preserve">1 × 0.2 mL pre-filled syringe</t>
  </si>
  <si>
    <t xml:space="preserve">https://www.drugs.com/price-guide/somatuline-depot</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</si>
  <si>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</si>
  <si>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EQ 90MG BASE/0.3ML (EQ 90MG BASE/0.3ML)</t>
  </si>
  <si>
    <t xml:space="preserve">1 × 0.3 mL pre-filled syringe</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</si>
  <si>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</si>
  <si>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EQ 120MG BASE/0.5ML (EQ 120MG BASE/0.5ML)</t>
  </si>
  <si>
    <t xml:space="preserve">1 × 0.5 mL pre-filled syringe</t>
  </si>
  <si>
    <t xml:space="preserve">https://www.drugs.com/price-guide/lanreotide</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</si>
  <si>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</si>
  <si>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Measles Vaccine Cipla</t>
  </si>
  <si>
    <t xml:space="preserve">1000ccid50/0.5ml</t>
  </si>
  <si>
    <t xml:space="preserve">1 vial</t>
  </si>
  <si>
    <t xml:space="preserve">User workbook, South Africa (Updated) tab: Exact SA SEP (NDoH Database of Medicine Prices, 10-Sep-2026) – NAPPI 3002554001, Pack Size 1, Quantity 1; R157.05 ÷ 1 = R157.05 per unit. FX: R157.05 × 0.06083945 (ECB, 24-Sep-2026) = USD 9.55.</t>
  </si>
  <si>
    <t xml:space="preserve">1 x 10-dose vial (0.5 mL per dose)</t>
  </si>
  <si>
    <t xml:space="preserve">User workbook, South Africa (Updated) tab: Exact SA SEP (NDoH Database of Medicine Prices, 10-Sep-2026) – NAPPI 3002554002, Pack Size 10, Quantity 1; R1,570.58 ÷ 1 = R1,570.58 per unit. FX: R1,570.58 × 0.06083945 (ECB, 24-Sep-2026) = USD 95.55.</t>
  </si>
  <si>
    <t xml:space="preserve">Cipla Medroxyprogesterone</t>
  </si>
  <si>
    <t xml:space="preserve">150 mg/1 mL</t>
  </si>
  <si>
    <t xml:space="preserve">1 × 1 mL vial</t>
  </si>
  <si>
    <t xml:space="preserve">https://www.pbs.gov.au/medicine/item/14160G</t>
  </si>
  <si>
    <t xml:space="preserve">User workbook, Australia tab: see Pricing Url</t>
  </si>
  <si>
    <t xml:space="preserve">Palocip</t>
  </si>
  <si>
    <t xml:space="preserve">250 microgram/5 mL (50 microgram/mL)</t>
  </si>
  <si>
    <t xml:space="preserve">1 × 5 mL vial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</si>
  <si>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</si>
  <si>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Phenylephrine Cipla</t>
  </si>
  <si>
    <t xml:space="preserve">Open zip → "October 2026 Medicare Part B Payment Limit File" → find HCPCS J2371 → "Payment Limit" (USD per billing unit); × units per vial as in note · J2371 $0.002/20 mcg × 500 (10 mg/1 mL); cross-market proxy</t>
  </si>
  <si>
    <t xml:space="preserve">10 Prefilled Syringes (0.5 mL)</t>
  </si>
  <si>
    <t xml:space="preserve">10MG/ML</t>
  </si>
  <si>
    <t xml:space="preserve">0.5ml single dose vial</t>
  </si>
  <si>
    <t xml:space="preserve">Open zip → "October 2026 Medicare Part B Payment Limit File" → find HCPCS J3430 → "Payment Limit" (USD per billing unit); × units per vial as in note · J3430 $3.989/mg × 10</t>
  </si>
  <si>
    <t xml:space="preserve">Streptase</t>
  </si>
  <si>
    <t xml:space="preserve">750000iu</t>
  </si>
  <si>
    <t xml:space="preserve">1 vial (powder)</t>
  </si>
  <si>
    <t xml:space="preserve">https://medicineprices.org.za/#search:streptase</t>
  </si>
  <si>
    <t xml:space="preserve">Search shows "Streptase" Single Exit Price (ZAR) by pack; per-unit price × 0.0608. Site is a public viewer of the SA Single Exit Price registry</t>
  </si>
  <si>
    <t xml:space="preserve">1500000iu</t>
  </si>
  <si>
    <t xml:space="preserve">Sugammadex Cipla</t>
  </si>
  <si>
    <t xml:space="preserve">100 mg/mL</t>
  </si>
  <si>
    <t xml:space="preserve">10 x 2 mL vials (200 mg each)</t>
  </si>
  <si>
    <t xml:space="preserve">https://www.aponeo.de/rx/18660518-sugammadex-amarox-100-mg-ml-injektionsloesung.html</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</si>
  <si>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</si>
  <si>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Cipla Sugammadex</t>
  </si>
  <si>
    <t xml:space="preserve">200 mg/2 mL (100 mg/mL)</t>
  </si>
  <si>
    <t xml:space="preserve">1 × 2 mL vial</t>
  </si>
  <si>
    <t xml:space="preserve">500 mg/5 mL (100 mg/mL)</t>
  </si>
  <si>
    <t xml:space="preserve">Senuom</t>
  </si>
  <si>
    <t xml:space="preserve">100 mg/ml</t>
  </si>
  <si>
    <t xml:space="preserve">10 x 2 mL vials</t>
  </si>
  <si>
    <t xml:space="preserve">https://medicineprices.org.za/#search:senuom</t>
  </si>
  <si>
    <t xml:space="preserve">Search shows "Senuom" Single Exit Price (ZAR) by pack; per-unit price × 0.0608. Site is a public viewer of the SA Single Exit Price registry</t>
  </si>
  <si>
    <t xml:space="preserve">Cipla Teicoplanin</t>
  </si>
  <si>
    <t xml:space="preserve">400mg</t>
  </si>
  <si>
    <t xml:space="preserve">1 x 3 mL vial (powder)</t>
  </si>
  <si>
    <t xml:space="preserve">User workbook, South Africa (Updated) tab: Exact SA SEP (NDoH Database of Medicine Prices, 10-Sep-2026) – NAPPI 721682001, Pack Size 3, Quantity 1; R229.62 ÷ 1 = R229.62 per unit. FX: R229.62 × 0.06083945 (ECB, 24-Sep-2026) = USD 13.97.</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</si>
  <si>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</si>
  <si>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</si>
  <si>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Testosterone Cipla</t>
  </si>
  <si>
    <t xml:space="preserve">1000mg/4ml</t>
  </si>
  <si>
    <t xml:space="preserve">1 x 4 mL vial</t>
  </si>
  <si>
    <t xml:space="preserve">User workbook, South Africa (Updated) tab: Exact SA SEP (NDoH Database of Medicine Prices, 10-Sep-2026) – NAPPI 3010279001, Pack Size 4, Quantity 1; R1,947.00 ÷ 1 = R1,947.00 per unit. FX: R1,947.00 × 0.06083945 (ECB, 24-Sep-2026) = USD 118.45.</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</si>
  <si>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</si>
  <si>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</si>
  <si>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</si>
  <si>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</si>
  <si>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</si>
  <si>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Filter "Item Code" = 10383L (Herzuma 150 mg) → "AEMP" AUD 105.18 per vial × 0.70 · Herzuma (biosimilar) 150 mg vial AEMP AUD 105.18</t>
  </si>
  <si>
    <t xml:space="preserve">Cytoblastin Aqueous</t>
  </si>
  <si>
    <t xml:space="preserve">10mg/10ml</t>
  </si>
  <si>
    <t xml:space="preserve">1 x 10 mL ampoule/vial</t>
  </si>
  <si>
    <t xml:space="preserve">User workbook, South Africa (Updated) tab: Exact SA SEP (NDoH Database of Medicine Prices, 10-Sep-2026) – NAPPI 717203001, Pack Size 10, Quantity 1; R347.86 ÷ 1 = R347.86 per unit. FX: R347.86 × 0.06083945 (ECB, 24-Sep-2026) = USD 21.16.</t>
  </si>
  <si>
    <t xml:space="preserve">Cipla Vinorelbine</t>
  </si>
  <si>
    <t xml:space="preserve">10mg/ml</t>
  </si>
  <si>
    <t xml:space="preserve">User workbook, South Africa (Updated) tab: Exact SA SEP (NDoH Database of Medicine Prices, 10-Sep-2026) – NAPPI 716184001, Pack Size 1, Quantity 1; R330.73 ÷ 1 = R330.73 per unit. FX: R330.73 × 0.06083945 (ECB, 24-Sep-2026) = USD 20.12.</t>
  </si>
  <si>
    <t xml:space="preserve">50mg/ml</t>
  </si>
  <si>
    <t xml:space="preserve">User workbook, South Africa (Updated) tab: Exact SA SEP (NDoH Database of Medicine Prices, 10-Sep-2026) – NAPPI 716185001, Pack Size 5, Quantity 1; R1,653.65 ÷ 1 = R1,653.65 per unit. FX: R1,653.65 × 0.06083945 (ECB, 24-Sep-2026) = USD 100.61.</t>
  </si>
  <si>
    <t xml:space="preserve">Azacitidine Betapharm</t>
  </si>
  <si>
    <t xml:space="preserve">User workbook, European Union tab: Exact maker price - Italy, AIFA Class H list 30-04-2026; Azacitidina Betapharm Arzneimittel GmbH 100 mg powder vial, 1 vial. Public price dated 30-04-2026. EUR 351.70 per pack of 1 / 1 = EUR 351.70/vial.</t>
  </si>
  <si>
    <t xml:space="preserve">100 MG/VIAL</t>
  </si>
  <si>
    <t xml:space="preserve">100 mg single-use vial</t>
  </si>
  <si>
    <t xml:space="preserve">User workbook, Canada tab: Generic proxy – JAMP / Sandoz; Alberta Jan-2026</t>
  </si>
  <si>
    <t xml:space="preserve">Reddaza</t>
  </si>
  <si>
    <t xml:space="preserve">User workbook, Australia tab: Maker's PBS AEMP – same sponsor, same strength/presentation, listed under a different PBS brand; PBS item 12771E (Powder for injection 100 mg); AEMP AUD 14.63 per unit; PBS ex-manufacturer price file Sep-2026.</t>
  </si>
  <si>
    <t xml:space="preserve">Azacitidine DRL</t>
  </si>
  <si>
    <t xml:space="preserve">100mg</t>
  </si>
  <si>
    <t xml:space="preserve">1 x 30 mL vial (powder)</t>
  </si>
  <si>
    <t xml:space="preserve">User workbook, South Africa (Updated) tab: Exact SA SEP (NDoH Database of Medicine Prices, 10-Sep-2026) – NAPPI 3002433001, Pack Size 1, Quantity 1; R2,129.25 ÷ 1 = R2,129.25 per unit. FX: R2,129.25 × 0.06083945 (ECB, 24-Sep-2026) = USD 129.54.</t>
  </si>
  <si>
    <t xml:space="preserve">`</t>
  </si>
  <si>
    <t xml:space="preserve">250 mg/vial, sterile lyophilized powder (NDC 55111-0652-37)</t>
  </si>
  <si>
    <t xml:space="preserve">https://www.drugs.com/price-guide/bivalirudin</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</si>
  <si>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</si>
  <si>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Single-dose vial, lyophilized powder, 1 vial per carton </t>
  </si>
  <si>
    <t xml:space="preserve">Bortezomib Dr. Reddy's</t>
  </si>
  <si>
    <t xml:space="preserve">https://dmd-browser.nhsbsa.nhs.uk/ampp/view/175945</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</si>
  <si>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</si>
  <si>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</si>
  <si>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3.5 MG/VIAL</t>
  </si>
  <si>
    <t xml:space="preserve">3.5 mg single-use vial</t>
  </si>
  <si>
    <t xml:space="preserve">User workbook, Canada tab: Generic proxy – Teva; Alberta Jan-2026</t>
  </si>
  <si>
    <t xml:space="preserve">Bertred</t>
  </si>
  <si>
    <t xml:space="preserve">1 x 10 mL vial (powder)</t>
  </si>
  <si>
    <t xml:space="preserve">https://medicineprices.org.za/#search:bertred</t>
  </si>
  <si>
    <t xml:space="preserve">Search shows "Bertred" Single Exit Price (ZAR) by pack; per-unit price × 0.0608. Site is a public viewer of the SA Single Exit Price registry</t>
  </si>
  <si>
    <t xml:space="preserve">1 mL Single-Dose Vial x 10-Vial Carton or 1mL Preefilled Single Dose Syringe x 10</t>
  </si>
  <si>
    <t xml:space="preserve">Filter "Generic" contains "CARBOPROST" (injection) → "Price" ÷ units in "PackageDescription"; median of vendors as in note · Median of 2 vendors (A2A $116.56, Pfizer $138.19 per 1 mL vial)</t>
  </si>
  <si>
    <t xml:space="preserve">Carboprost Dr. Reddy's</t>
  </si>
  <si>
    <t xml:space="preserve">250 microgram/1 mL</t>
  </si>
  <si>
    <t xml:space="preserve">1 × 5 mL multidose vial; NDC 75907-190-07</t>
  </si>
  <si>
    <t xml:space="preserve">1 × 10 mL multidose vial; NDC 75907-189-35</t>
  </si>
  <si>
    <t xml:space="preserve">1 × 2.5 mL multidose vial; NDC 75907-191-02</t>
  </si>
  <si>
    <t xml:space="preserve">Ciclofosfamida Dr. Reddy</t>
  </si>
  <si>
    <t xml:space="preserve">500 mg/1 mL</t>
  </si>
  <si>
    <t xml:space="preserve">https://www.boe.es/boe/dias/2025/10/13/pdfs/BOE-A-2025-20356.pdf</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</si>
  <si>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</si>
  <si>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Daptomycin Dr. Reddy's</t>
  </si>
  <si>
    <t xml:space="preserve">https://dmd-browser.nhsbsa.nhs.uk/ampp/view/169812</t>
  </si>
  <si>
    <t xml:space="preserve">Daptomicina Dr. Reddy's</t>
  </si>
  <si>
    <t xml:space="preserve">User workbook (Shortlist 6) price – source not found in country tabs or the SA / UAE databases</t>
  </si>
  <si>
    <t xml:space="preserve">500 mg vial; powder for solution for injection</t>
  </si>
  <si>
    <t xml:space="preserve">https://www.formulary.health.gov.on.ca/formulary/detail.xhtml?drugId=02490463</t>
  </si>
  <si>
    <t xml:space="preserve">User workbook, Canada tab: Exact Dr. Reddy's product (DIN 02490463); Ontario</t>
  </si>
  <si>
    <t xml:space="preserve">Daptomycin-DRLA</t>
  </si>
  <si>
    <t xml:space="preserve">Desmopressin Acetate</t>
  </si>
  <si>
    <t xml:space="preserve">0.004MG/ML</t>
  </si>
  <si>
    <t xml:space="preserve">1 × 10 mL vial</t>
  </si>
  <si>
    <t xml:space="preserve">https://www.drugs.com/price-guide/desmopressin</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</si>
  <si>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</si>
  <si>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</si>
  <si>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</si>
  <si>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</si>
  <si>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</si>
  <si>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</si>
  <si>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User workbook, USA (Filled) tab: Generic retail proxy. 1 mg/2 mL eribulin intravenous solution. Drugs.com cash price USD 301.80 for 2 milliliters. 301.8 ÷ 1 = USD 301.80/2 mL vial. Manufacturer not identified by source. Checked 27-Sep-2026.</t>
  </si>
  <si>
    <t xml:space="preserve">0.44 MG/ML</t>
  </si>
  <si>
    <t xml:space="preserve">1 x 2 mL vial (0.88 mg eribulin)</t>
  </si>
  <si>
    <t xml:space="preserve">https://dmd-browser.nhsbsa.nhs.uk/ampp/view/211180</t>
  </si>
  <si>
    <t xml:space="preserve">User workbook, UK tab: Exact maker dm+d price – GBP 324.90 for the priced/target pack of 1; GBP 324.90 ÷ 1 = GBP 324.90 per vial; × 1.322 (ECB, 24-Sep-2026) = USD 429.52 per vial.</t>
  </si>
  <si>
    <t xml:space="preserve">Eribulin Beta</t>
  </si>
  <si>
    <t xml:space="preserve">880 mcg/2 mL</t>
  </si>
  <si>
    <t xml:space="preserve">1 x 2 mL vial (Advanz comparator pack; Betapharm pack not confirmed from an EU leaflet)</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</si>
  <si>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</si>
  <si>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0.5 MG/ML</t>
  </si>
  <si>
    <t xml:space="preserve">2 mL single-use vial (1 mg); 1 vial/carton</t>
  </si>
  <si>
    <t xml:space="preserve">User workbook, Canada tab: Brand proxy - Eisai Halaven; Alberta 14-Sep-2026; 270.0000/mL × 2 mL; proxy DIN 02377438</t>
  </si>
  <si>
    <t xml:space="preserve">Eribulin-RZ</t>
  </si>
  <si>
    <t xml:space="preserve">1 mg/2 mL (0.5 mg/mL)</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</si>
  <si>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</si>
  <si>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Eribulin DRL</t>
  </si>
  <si>
    <t xml:space="preserve">1mg/2ml</t>
  </si>
  <si>
    <t xml:space="preserve">1 x 2 mL vial</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</si>
  <si>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</si>
  <si>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</si>
  <si>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Ferricarbo</t>
  </si>
  <si>
    <t xml:space="preserve">500 mg/10 mL (50 mg/mL)</t>
  </si>
  <si>
    <t xml:space="preserve">User workbook, Australia tab: Maker's PBS AEMP – exact product; PBS item 10104T (Injection 500 mg (iron) in 10 mL); AEMP AUD 40.97 per unit; PBS ex-manufacturer price file Sep-2026.</t>
  </si>
  <si>
    <t xml:space="preserve">1000 mg/20 mL (50 mg/mL)</t>
  </si>
  <si>
    <t xml:space="preserve">1 × 20 mL vial</t>
  </si>
  <si>
    <t xml:space="preserve">User workbook, Australia tab: Maker's PBS AEMP – exact product; PBS item 11702X (Injection 1000 mg (iron) in 20 mL); AEMP AUD 81.94 per unit; PBS ex-manufacturer price file Sep-2026.</t>
  </si>
  <si>
    <t xml:space="preserve">100 mg/2 mL (50 mg/mL)</t>
  </si>
  <si>
    <t xml:space="preserve">https://www.pbs.gov.au/publication/schedule/2026/10/2026-10-01-PBS-API-CSV-files.zip?variant=3</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</si>
  <si>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</si>
  <si>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2 × 5 mL single-dose syringes + safety needles; NDC 43598-262-23</t>
  </si>
  <si>
    <t xml:space="preserve">Fulvestrant Dr. Reddy's</t>
  </si>
  <si>
    <t xml:space="preserve">https://dmd-browser.nhsbsa.nhs.uk/ampp/view/183157</t>
  </si>
  <si>
    <t xml:space="preserve">User workbook, UK tab: Exact maker dm+d price – GBP 522.41 for the priced/target pack of 2; GBP 522.41 ÷ 2 = GBP 261.20 per pre-filled syringe; × 1.322 (ECB, 24-Sep-2026) = USD 345.31 per pre-filled syringe.</t>
  </si>
  <si>
    <t xml:space="preserve">Fulvestrant Beta</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</si>
  <si>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</si>
  <si>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Eranfu</t>
  </si>
  <si>
    <t xml:space="preserve">250mg/5ml</t>
  </si>
  <si>
    <t xml:space="preserve">https://medicineprices.org.za/#search:eranfu</t>
  </si>
  <si>
    <t xml:space="preserve">Search shows "Eranfu" Single Exit Price (ZAR) by pack; per-unit price × 0.0608. Site is a public viewer of the SA Single Exit Price registry</t>
  </si>
  <si>
    <t xml:space="preserve">Ibandronsäure Beta</t>
  </si>
  <si>
    <t xml:space="preserve">3 mg</t>
  </si>
  <si>
    <t xml:space="preserve">1 x 3 mg pre-filled syringe</t>
  </si>
  <si>
    <t xml:space="preserve">https://www.docmorris.de/ibandronsaeure-beta-3-mg-injektionslsgfertigspr/08881520</t>
  </si>
  <si>
    <t xml:space="preserve">User workbook, European Union tab: Exact maker price - Germany, DocMorris; Ibandronsaure beta 3 mg pre-filled syringe, pack of 1, PZN 08881520. UVP/AVP (retail price incl. VAT) reviewed 25-Sep-2026. EUR 41.02 per pack of 1 / 1 = EUR 41.02/syringe.</t>
  </si>
  <si>
    <t xml:space="preserve">1 Prefilled Syringe (2 mL) / 10 Prefilled Syringes (2 mL)</t>
  </si>
  <si>
    <t xml:space="preserve">Filter "NDCWithDashes" = 43598-0750-58 → "Price" ÷ units in "PackageDescription" · Exact maker: Dr. Reddy's NDC 43598-0750-58, 1 mg/mL 10×2 mL syringes $138.69</t>
  </si>
  <si>
    <t xml:space="preserve">Neostigmine Methylsulfate</t>
  </si>
  <si>
    <t xml:space="preserve">3MG/3ML (1MG/ML)</t>
  </si>
  <si>
    <t xml:space="preserve">10 × 3 mL single-dose prefilled syringes; NDC 43598-945-58</t>
  </si>
  <si>
    <t xml:space="preserve">https://www.drugs.com/price-guide/neostigmine</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</si>
  <si>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</si>
  <si>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5MG/10ML (0.5MG/ML)</t>
  </si>
  <si>
    <t xml:space="preserve">10 mL multidose vial (0.5 mg/mL), carton of 1; NDC 43598-528-11</t>
  </si>
  <si>
    <t xml:space="preserve">User workbook, USA (Filled) tab: Generic retail proxy. 0.5 mg/mL neostigmine intravenous solution. Drugs.com cash price USD 19.55 for 10 milliliters. 19.55 ÷ 1 = USD 19.55/10 mL vial. Manufacturer not identified by source. Checked 27-Sep-2026.</t>
  </si>
  <si>
    <t xml:space="preserve">10MG/10ML (1MG/ML)</t>
  </si>
  <si>
    <t xml:space="preserve">10 mL multidose vial (1 mg/mL), carton of 1; NDC 43598-529 </t>
  </si>
  <si>
    <t xml:space="preserve">User workbook, USA (Filled) tab: Generic retail proxy. 1 mg/mL neostigmine intravenous solution. Drugs.com cash price USD 20.45 for 10 milliliters. 20.45 ÷ 1 = USD 20.45/10 mL vial. Manufacturer not identified by source. Checked 27-Sep-2026.</t>
  </si>
  <si>
    <t xml:space="preserve">0.25 mg palonosetron in 5 mL (0.05 mg/mL) single-dose vial, individually packaged in a carton (NDC 55111-694-07)</t>
  </si>
  <si>
    <t xml:space="preserve">Palonosetron Beta</t>
  </si>
  <si>
    <t xml:space="preserve">250 mcg/5 mL</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</si>
  <si>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</si>
  <si>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Palonoset</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</si>
  <si>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</si>
  <si>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25 x 1ml single dose ampules</t>
  </si>
  <si>
    <t xml:space="preserve">https://www.drugs.com/price-guide/phytonadione</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</si>
  <si>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</si>
  <si>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5 mL single-dose prefilled plastic syringe with Luer lock; NDC 43598-616-11</t>
  </si>
  <si>
    <t xml:space="preserve">Succinylcholine Chloride</t>
  </si>
  <si>
    <t xml:space="preserve">20MG/ML</t>
  </si>
  <si>
    <t xml:space="preserve">25 x 10 ml (Multi Dose Vial)</t>
  </si>
  <si>
    <t xml:space="preserve">10 mL multi-dose vial (200 mg/10 mL)</t>
  </si>
  <si>
    <t xml:space="preserve">User workbook, Canada tab: Generic proxy - ALV; Alberta 14-Sep-2026; 3.2515/mL × 10 mL; proxy DIN 02422336</t>
  </si>
  <si>
    <t xml:space="preserve">Sugammadex Sodium</t>
  </si>
  <si>
    <t xml:space="preserve">EQ 200MG BASE/2ML (EQ 100MG BASE/ML)</t>
  </si>
  <si>
    <t xml:space="preserve">2 mL single-dose vial; carton of 10; NDC 43598-924-26</t>
  </si>
  <si>
    <t xml:space="preserve">https://www.drugs.com/price-guide/sugammadex</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</si>
  <si>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</si>
  <si>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EQ 500MG BASE/5ML (EQ 100MG BASE/ML)</t>
  </si>
  <si>
    <t xml:space="preserve">5 mL single-dose vial; carton/NDC not independently verified</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</si>
  <si>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</si>
  <si>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https://dmd-browser.nhsbsa.nhs.uk/ampp/view/195075</t>
  </si>
  <si>
    <t xml:space="preserve">User workbook, UK tab: Exact maker dm+d price – GBP 596.40 for the priced/target pack of 10; GBP 596.40 ÷ 10 = GBP 59.64 per vial; × 1.322 (ECB, 24-Sep-2026) = USD 78.84 per vial.</t>
  </si>
  <si>
    <t xml:space="preserve">200 mg/2 mL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</si>
  <si>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</si>
  <si>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Sugammadex-Reddy's</t>
  </si>
  <si>
    <t xml:space="preserve">Sugammadex-DRLA</t>
  </si>
  <si>
    <t xml:space="preserve">Neuvysi</t>
  </si>
  <si>
    <t xml:space="preserve">https://medicineprices.org.za/#search:neuvysi</t>
  </si>
  <si>
    <t xml:space="preserve">Search shows "Neuvysi" Single Exit Price (ZAR) by pack; per-unit price × 0.0608. Site is a public viewer of the SA Single Exit Price registry</t>
  </si>
  <si>
    <t xml:space="preserve">15MG/VIAL</t>
  </si>
  <si>
    <t xml:space="preserve">15 mg thiotepa sterile lyophilized powder in a single-dose vial</t>
  </si>
  <si>
    <t xml:space="preserve">https://www.drugs.com/price-guide/thiotepa</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</si>
  <si>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</si>
  <si>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</si>
  <si>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Acetazolamide Tillomed</t>
  </si>
  <si>
    <t xml:space="preserve">500 MG</t>
  </si>
  <si>
    <t xml:space="preserve">https://dmd-browser.nhsbsa.nhs.uk/ampp/view/210747</t>
  </si>
  <si>
    <t xml:space="preserve">User workbook, UK tab: Competitor dm+d proxy – GBP 14.76 for the priced/target pack of 1; GBP 14.76 ÷ 1 = GBP 14.76 per vial; × 1.322 (ECB, 24-Sep-2026) = USD 19.51 per vial. Exact maker price not available; competitor pack used as proxy.</t>
  </si>
  <si>
    <t xml:space="preserve">500 mg powder vial</t>
  </si>
  <si>
    <t xml:space="preserve">https://www.medicijnkosten.nl/medicijn?artikel=DIAMOX+INJECTIEPOEDER+FLACON+500MG&amp;id=eccf17da767207477dcc6b1f5efd1f4a</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</si>
  <si>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</si>
  <si>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250 MG/ML</t>
  </si>
  <si>
    <t xml:space="preserve">5 x 2 mL vials</t>
  </si>
  <si>
    <t xml:space="preserve">https://dmd-browser.nhsbsa.nhs.uk/ampp/view/184215</t>
  </si>
  <si>
    <t xml:space="preserve">User workbook, UK tab: Exact maker dm+d price – GBP 60.00 for the priced/target pack of 5; GBP 60.00 ÷ 5 = GBP 12.00 per vial; × 1.322 (ECB, 24-Sep-2026) = USD 15.86 per vial.</t>
  </si>
  <si>
    <t xml:space="preserve">Amikacin Tillomed Laboratories</t>
  </si>
  <si>
    <t xml:space="preserve">500 mg/2 mL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</si>
  <si>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</si>
  <si>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Amikacin Sulfate</t>
  </si>
  <si>
    <t xml:space="preserve">500 MG/2 ML</t>
  </si>
  <si>
    <t xml:space="preserve">2 mL vial; 10 vials/pack</t>
  </si>
  <si>
    <t xml:space="preserve">User workbook, Canada tab: Exact Marcan product (DIN 02481073); Alberta Apr-2026; CAD 44.5720/mL × 2 mL; exact DIN absent from Sep-2026 Alberta list</t>
  </si>
  <si>
    <t xml:space="preserve">Amikacin EMC</t>
  </si>
  <si>
    <t xml:space="preserve">500 mg/2 mL (250 mg/mL)</t>
  </si>
  <si>
    <t xml:space="preserve">Ampicillina Tillomed</t>
  </si>
  <si>
    <t xml:space="preserve">50 x 1 g glass vials</t>
  </si>
  <si>
    <t xml:space="preserve">https://mediately.co/it/drugs/EW7GuNfn2hkEMxRggSwwiF1PMll/ampicillina-tillomed-1-g-polvere-per-soluzione-iniettabile-per-infusione</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</si>
  <si>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</si>
  <si>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Azacitidine Tillomed</t>
  </si>
  <si>
    <t xml:space="preserve">https://dmd-browser.nhsbsa.nhs.uk/ampp/view/190490</t>
  </si>
  <si>
    <t xml:space="preserve">User workbook, UK tab: Exact maker dm+d price – GBP 321.00 for the priced/target pack of 1; GBP 321.00 ÷ 1 = GBP 321.00 per vial; × 1.322 (ECB, 24-Sep-2026) = USD 424.36 per vial.</t>
  </si>
  <si>
    <t xml:space="preserve">Azacitidin Tillomed</t>
  </si>
  <si>
    <t xml:space="preserve">User workbook, European Union tab: Exact maker price – Italy; Azacitidine Tillomed 100 mg powder vial. EUR 351.70 per vial.</t>
  </si>
  <si>
    <t xml:space="preserve">Bortezomib Tillomed</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</si>
  <si>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</si>
  <si>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Lyophilized powder, 3.5 mg in 10 mL single-use vial; 1 vial/carton</t>
  </si>
  <si>
    <t xml:space="preserve">User workbook, Canada tab: Generic proxy - Taro DIN 02499061; Alberta 14-Sep-2026; per 3.5 mg powder vial</t>
  </si>
  <si>
    <t xml:space="preserve">Colistimethate</t>
  </si>
  <si>
    <t xml:space="preserve">150 MG/VIAL</t>
  </si>
  <si>
    <t xml:space="preserve">150 mg single vial (10 mL vial); 1 vial/pack</t>
  </si>
  <si>
    <t xml:space="preserve">User workbook, Canada tab: Generic proxy - Fresenius Kabi colistimethate 150 mg/vial DIN 02403544; Alberta 14-Sep-2026. Marcan DIN 02546639 not on Sep-2026 Alberta list (last exact price CAD 32.93, Alberta Dec-2024)</t>
  </si>
  <si>
    <t xml:space="preserve">1000 MG/VIAL</t>
  </si>
  <si>
    <t xml:space="preserve">1000 mg single-use 100 mL vial; 1 vial/carton</t>
  </si>
  <si>
    <t xml:space="preserve">User workbook, Canada tab: Generic proxy - Andone; Alberta 14-Sep-2026; proxy DIN 02546736; per vial</t>
  </si>
  <si>
    <t xml:space="preserve">2000 MG/VIAL</t>
  </si>
  <si>
    <t xml:space="preserve">2000 mg single-use 100 mL vial; 1 vial/carton</t>
  </si>
  <si>
    <t xml:space="preserve">User workbook, Canada tab: Generic proxy - Andone; Alberta 14-Sep-2026; proxy DIN 02546744; per vial</t>
  </si>
  <si>
    <t xml:space="preserve">Daptomycin Tillomed</t>
  </si>
  <si>
    <t xml:space="preserve">350 mg vial x 1 vial/ pack of 10</t>
  </si>
  <si>
    <t xml:space="preserve">https://dmd-browser.nhsbsa.nhs.uk/ampp/view/194983</t>
  </si>
  <si>
    <t xml:space="preserve">Daptomicina Tillomed</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</si>
  <si>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</si>
  <si>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Eribulin Tillomed</t>
  </si>
  <si>
    <t xml:space="preserve">0.44 mg/mL</t>
  </si>
  <si>
    <t xml:space="preserve">https://www.medicinpriser.dk/Default.aspx?VirksomtStof=Eribulin</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</si>
  <si>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</si>
  <si>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Esomeprazol Tillomed</t>
  </si>
  <si>
    <t xml:space="preserve">40 mg</t>
  </si>
  <si>
    <t xml:space="preserve">10 x 40 mg vials (powder)</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</si>
  <si>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</si>
  <si>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Isoproterenol Hydrochloride</t>
  </si>
  <si>
    <t xml:space="preserve">0.2 MG/ML</t>
  </si>
  <si>
    <t xml:space="preserve">1 mL single-use vial; 10 vials/box</t>
  </si>
  <si>
    <t xml:space="preserve">1 MG/5 ML</t>
  </si>
  <si>
    <t xml:space="preserve">5 mL single-use vial; 10 vials/box</t>
  </si>
  <si>
    <t xml:space="preserve">50 MG</t>
  </si>
  <si>
    <t xml:space="preserve">1 x 50 mg vial (powder) + 1 x 10 mL solvent vial</t>
  </si>
  <si>
    <t xml:space="preserve">https://dmd-browser.nhsbsa.nhs.uk/ampp/view/169622</t>
  </si>
  <si>
    <t xml:space="preserve">User workbook, UK tab: Exact maker dm+d price – GBP 105.00 for the priced/target pack of 1; GBP 105.00 ÷ 1 = GBP 105.00 per vial; × 1.322 (ECB, 24-Sep-2026) = USD 138.81 per vial.</t>
  </si>
  <si>
    <t xml:space="preserve">Melfalan Tillomed</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</si>
  <si>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</si>
  <si>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Melphalan Tillomed</t>
  </si>
  <si>
    <t xml:space="preserve">50 MG/VIAL</t>
  </si>
  <si>
    <t xml:space="preserve">1 × 50 mg powder vial + 1 × 10 mL diluent vial</t>
  </si>
  <si>
    <t xml:space="preserve">User workbook, Canada tab: Generic proxy: Taro-Melphalan, DIN 02480026 / 50 mg vial; Alberta, September 2026</t>
  </si>
  <si>
    <t xml:space="preserve">Melpha</t>
  </si>
  <si>
    <t xml:space="preserve">50 mg/vial</t>
  </si>
  <si>
    <t xml:space="preserve">1 × 50 mg powder vial + diluent (composite pack)</t>
  </si>
  <si>
    <t xml:space="preserve">1 MG/ML</t>
  </si>
  <si>
    <t xml:space="preserve">10 x 10 mL vials</t>
  </si>
  <si>
    <t xml:space="preserve">https://dmd-browser.nhsbsa.nhs.uk/ampp/view/190885</t>
  </si>
  <si>
    <t xml:space="preserve">User workbook, UK tab: Exact maker dm+d price – GBP 179.06 for the priced/target pack of 10; GBP 179.06 ÷ 10 = GBP 17.91 per vial; × 1.322 (ECB, 24-Sep-2026) = USD 23.67 per vial.</t>
  </si>
  <si>
    <t xml:space="preserve">Milrinon Tillomed</t>
  </si>
  <si>
    <t xml:space="preserve">10 mg/10 mL</t>
  </si>
  <si>
    <t xml:space="preserve">https://mediately.co/de/drugs/2JLSD2rNCbtip2an1uWLKQBCmLc/milrinon-carinopharm-1-mg-ml-injektions-infusionslosung</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</si>
  <si>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</si>
  <si>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10 × 10 mL multidose vials</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</si>
  <si>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</si>
  <si>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</si>
  <si>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Ondansetron Tillomed</t>
  </si>
  <si>
    <t xml:space="preserve">5 x 2 mL ampoules</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</si>
  <si>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</si>
  <si>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1 x 40 mg vial (powder)</t>
  </si>
  <si>
    <t xml:space="preserve">User workbook, UK tab: Exact maker dm+d price – GBP 5.00 for the priced/target pack of 1; GBP 5.00 ÷ 1 = GBP 5.00 per vial; × 1.322 (ECB, 24-Sep-2026) = USD 6.61 per vial.</t>
  </si>
  <si>
    <t xml:space="preserve">Pentamidine Isetionate Tillomed</t>
  </si>
  <si>
    <t xml:space="preserve">300 MG</t>
  </si>
  <si>
    <t xml:space="preserve">5 x 300 mg vials (powder)</t>
  </si>
  <si>
    <t xml:space="preserve">https://dmd-browser.nhsbsa.nhs.uk/ampp/view/197400</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</si>
  <si>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</si>
  <si>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Pentamidindiisetionat Tillomed</t>
  </si>
  <si>
    <t xml:space="preserve">300 mg</t>
  </si>
  <si>
    <t xml:space="preserve">1 x 300 mg vial (powder)</t>
  </si>
  <si>
    <t xml:space="preserve">https://base-donnees-publique.medicaments.gouv.fr/medicament/61094142/extrait</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</si>
  <si>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</si>
  <si>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Pentamidine Isetionate</t>
  </si>
  <si>
    <t xml:space="preserve">300 MG/VIAL</t>
  </si>
  <si>
    <t xml:space="preserve">20 mL single-dose vial (lyophilized powder); 5 vials/pack</t>
  </si>
  <si>
    <t xml:space="preserve">User workbook, Canada tab: Exact product - Alberta 14-Sep-2026; DIN 02517663; per vial</t>
  </si>
  <si>
    <t xml:space="preserve">Pentamidine-EMC</t>
  </si>
  <si>
    <t xml:space="preserve">300 mg/vial</t>
  </si>
  <si>
    <t xml:space="preserve">1 × 300 mg vial (powder)</t>
  </si>
  <si>
    <t xml:space="preserve">https://dmd-browser.nhsbsa.nhs.uk/ampp/view/198696</t>
  </si>
  <si>
    <t xml:space="preserve">User workbook, UK tab: Exact maker dm+d price – GBP 3,800.00 for the priced/target pack of 1; GBP 3,800.00 ÷ 1 = GBP 3,800.00 per vial; × 1.322 (ECB, 24-Sep-2026) = USD 5,023.60 per vial.</t>
  </si>
  <si>
    <t xml:space="preserve">Plerixafor Tillomed</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</si>
  <si>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</si>
  <si>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10 MG/ML</t>
  </si>
  <si>
    <t xml:space="preserve">20 mL / 50 mL / 100 mL single-use glass vials</t>
  </si>
  <si>
    <t xml:space="preserve">User workbook, Canada tab: Generic proxy - Fresenius Kabi; Alberta 14-Sep-2026; 0.4600/mL × 20 mL; proxy DIN 02437643</t>
  </si>
  <si>
    <t xml:space="preserve">https://dmd-browser.nhsbsa.nhs.uk/ampp/view/195295</t>
  </si>
  <si>
    <t xml:space="preserve">User workbook, UK tab: Exact maker dm+d price – GBP 429.40 for the priced/target pack of 10; GBP 429.40 ÷ 10 = GBP 42.94 per vial; × 1.322 (ECB, 24-Sep-2026) = USD 56.77 per vial.</t>
  </si>
  <si>
    <t xml:space="preserve">Sugammadex Tillomed</t>
  </si>
  <si>
    <t xml:space="preserve">User workbook, European Union tab: Exact maker price - Italy, AIFA Classe H list dated 30-Apr-2026; SUGAMMADEX*10 flaconcini EV 2 ml 100 mg/ml, Tillomed Italia Srl. Prezzo al pubblico EUR 814.62 per pack of 10 / 10 = EUR 81.46/vial.</t>
  </si>
  <si>
    <t xml:space="preserve">Azacitidina Glenmark</t>
  </si>
  <si>
    <t xml:space="preserve">User workbook, European Union tab: Competitor proxy – Italy; same molecule, 100 mg powder vial presentation. EUR 351.70 per vial. AIFA line used is not Glenmark, therefore not labelled exact maker.</t>
  </si>
  <si>
    <t xml:space="preserve">Bortezomib Glenmark</t>
  </si>
  <si>
    <t xml:space="preserve">1 x 1 mg vial (powder)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</si>
  <si>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</si>
  <si>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Bortraczo</t>
  </si>
  <si>
    <t xml:space="preserve">2.5 mg/1 mL</t>
  </si>
  <si>
    <t xml:space="preserve">User workbook, Australia tab: Maker's PBS AEMP – exact product; PBS item 12219D (Solution for injection 2.5 mg in 1 mL); AEMP AUD 24.92 per unit; PBS ex-manufacturer price file Sep-2026.</t>
  </si>
  <si>
    <t xml:space="preserve">3.5 mg/1.4 mL (2.5 mg/mL)</t>
  </si>
  <si>
    <t xml:space="preserve">1 × 1.4 mL vial</t>
  </si>
  <si>
    <t xml:space="preserve">User workbook, Australia tab: Maker's PBS AEMP – exact product; PBS item 12219D (Solution for injection 3.5 mg in 1.4 mL); AEMP AUD 20.47 per unit; PBS ex-manufacturer price file Sep-2026.</t>
  </si>
  <si>
    <t xml:space="preserve">2 mL single-dose vial, 1 mg; U.S. NDC 68462-770-20</t>
  </si>
  <si>
    <t xml:space="preserve">https://dmd-browser.nhsbsa.nhs.uk/ampp/view/204041</t>
  </si>
  <si>
    <t xml:space="preserve">User workbook, UK tab: Competitor dm+d proxy – GBP 324.90 for the priced/target pack of 1; GBP 324.90 ÷ 1 = GBP 324.90 per vial; × 1.322 (ECB, 24-Sep-2026) = USD 429.52 per vial. Exact maker price not available; competitor pack used as proxy.</t>
  </si>
  <si>
    <t xml:space="preserve">Eribulin Glenmark Pharmaceuticals Europe</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</si>
  <si>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</si>
  <si>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2 × 5 mL single-dose syringes + safety needles; NDC 68462-317-32</t>
  </si>
  <si>
    <t xml:space="preserve">1 x pre-filled syringe (price normalized per unit; marketed pack unconfirmed)</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</si>
  <si>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</si>
  <si>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Fulvestrant Glenmark</t>
  </si>
  <si>
    <t xml:space="preserve">250 mg</t>
  </si>
  <si>
    <t xml:space="preserve">1 x 250 mg pre-filled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</si>
  <si>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</si>
  <si>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Plerixafor Glenmark</t>
  </si>
  <si>
    <t xml:space="preserve">20 mg/mL</t>
  </si>
  <si>
    <t xml:space="preserve">1 x 1.2 mL vial (24 mg)</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</si>
  <si>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</si>
  <si>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10 vials (priced pack)</t>
  </si>
  <si>
    <t xml:space="preserve">https://dmd-browser.nhsbsa.nhs.uk/ampp/view/195045</t>
  </si>
  <si>
    <t xml:space="preserve">User workbook, UK tab: Competitor dm+d proxy – GBP 506.94 for the priced/target pack of 10; GBP 506.94 ÷ 10 = GBP 50.69 per vial; × 1.322 (ECB, 24-Sep-2026) = USD 67.02 per vial. Exact maker price not available; competitor pack used as proxy.</t>
  </si>
  <si>
    <t xml:space="preserve">Sugammadex Glenmark</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</si>
  <si>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</si>
  <si>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Azacitidine Amarox</t>
  </si>
  <si>
    <t xml:space="preserve">1 × 3.5 mg single-dose powder vial; NDC 31722-303-31 (Camber / Hetero)</t>
  </si>
  <si>
    <t xml:space="preserve">User workbook, USA (Filled) tab: Generic retail proxy. 3.5 mg bortezomib injectable powder for injection. Drugs.com cash price USD 22.25 for 1. 22.25 ÷ 1 = USD 22.25/vial. Manufacturer not identified by source. Checked 27-Sep-2026.</t>
  </si>
  <si>
    <t xml:space="preserve">2.5 MG/ML</t>
  </si>
  <si>
    <t xml:space="preserve">1 x 0.4 mL vial (1 mg bortezomib; calibrated priced presentation)</t>
  </si>
  <si>
    <t xml:space="preserve">https://dmd-browser.nhsbsa.nhs.uk/ampp/view/174545</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</si>
  <si>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</si>
  <si>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Bortezomib Amarox</t>
  </si>
  <si>
    <t xml:space="preserve">2.5 mg/mL (3.5 mg/1.4 mL)</t>
  </si>
  <si>
    <t xml:space="preserve">1 x 1.4 mL vial (3.5 mg; ready solution)</t>
  </si>
  <si>
    <t xml:space="preserve">User workbook, European Union tab: Competitor proxy – Italy; Bortezomib EG 2.5 mg/mL ready solution, same concentration and administration presentation. EUR 1,277.98 per vial. Not a powder-to-solution substitution.</t>
  </si>
  <si>
    <t xml:space="preserve">Bortezomib Hetero</t>
  </si>
  <si>
    <t xml:space="preserve">Bortiv</t>
  </si>
  <si>
    <t xml:space="preserve">2.5mg/1.0ml</t>
  </si>
  <si>
    <t xml:space="preserve">https://medicineprices.org.za/#search:bortiv</t>
  </si>
  <si>
    <t xml:space="preserve">Search shows "Bortiv" Single Exit Price (ZAR) by pack; per-unit price × 0.0608. Site is a public viewer of the SA Single Exit Price registry</t>
  </si>
  <si>
    <t xml:space="preserve">3.5mg/1.4ml</t>
  </si>
  <si>
    <t xml:space="preserve">1mg/0.4ml</t>
  </si>
  <si>
    <t xml:space="preserve">1 x 0.4 mL vial</t>
  </si>
  <si>
    <t xml:space="preserve">3.5mg/10ml</t>
  </si>
  <si>
    <t xml:space="preserve">User workbook, South Africa (Updated) tab: Exact SA SEP (NDoH Database of Medicine Prices, 10-Sep-2026) – NAPPI 3004803001, Pack Size 10, Quantity 1; R1,691.00 ÷ 1 = R1,691.00 per unit. FX: R1,691.00 × 0.06083945 (ECB, 24-Sep-2026) = USD 102.88.</t>
  </si>
  <si>
    <t xml:space="preserve">10 x 5 mL vials</t>
  </si>
  <si>
    <t xml:space="preserve">https://dmd-browser.nhsbsa.nhs.uk/ampp/view/148217</t>
  </si>
  <si>
    <t xml:space="preserve">User workbook, UK tab: Competitor dm+d proxy – GBP 222.75 for the priced/target pack of 10; GBP 222.75 ÷ 10 = GBP 22.27 per vial; × 1.322 (ECB, 24-Sep-2026) = USD 29.45 per vial. Exact maker price not available; competitor pack used as proxy.</t>
  </si>
  <si>
    <t xml:space="preserve">Brivaracetam Amarox</t>
  </si>
  <si>
    <t xml:space="preserve">https://www.medicijnkosten.nl/medicijn?artikel=BRIVIACT+INF%2FINJVLST+10MG%2FML+FLACON+5ML&amp;id=8aa63cad90cad7246d95c19b8f6d410d</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</si>
  <si>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</si>
  <si>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1mL or 2 mL Single-Dose Vial x 25-Unit Carton</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</si>
  <si>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</si>
  <si>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</si>
  <si>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https://dmd-browser.nhsbsa.nhs.uk/ampp/view/210375</t>
  </si>
  <si>
    <t xml:space="preserve">User workbook, UK tab: Competitor dm+d proxy – GBP 55.80 for the priced/target pack of 1; GBP 55.80 ÷ 1 = GBP 55.80 per vial; × 1.322 (ECB, 24-Sep-2026) = USD 73.77 per vial. Exact maker price not available; competitor pack used as proxy.</t>
  </si>
  <si>
    <t xml:space="preserve">Daptomicin Tarbis</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</si>
  <si>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</si>
  <si>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Glyopy</t>
  </si>
  <si>
    <t xml:space="preserve">1mg/mL</t>
  </si>
  <si>
    <t xml:space="preserve">1 x 5 mL ampoule/vial</t>
  </si>
  <si>
    <t xml:space="preserve">Find "Glyopy" in the SA SEP price database (not shown on the public viewer)Search shows "Glyopy" Single Exit Price (ZAR) by pack; per-unit price × 0.0608. Site is a public viewer of the SA Single Exit Price registry</t>
  </si>
  <si>
    <t xml:space="preserve">0.2MG/ML</t>
  </si>
  <si>
    <t xml:space="preserve">Filter "Generic" contains "ISOPRENALINE" (injection) → "Price" ÷ units in "PackageDescription"; median of vendors as in note · Median of 2 vendors, 0.2 mg/mL 1 mL (Nexus $39.76, Amphastar $98.59)</t>
  </si>
  <si>
    <t xml:space="preserve">Lidocaine Hydrochloride</t>
  </si>
  <si>
    <t xml:space="preserve">1%</t>
  </si>
  <si>
    <t xml:space="preserve">10 or 25 × 20 mL multi-dose vials; 10 or 25 × 50 mL multi-dose vials (1%)</t>
  </si>
  <si>
    <t xml:space="preserve">Filter "Generic" contains "LIDOCAINE" (injection) → "Price" ÷ units in "PackageDescription"; median of vendors as in note · Median of 1% 20 mL ($1.12) and 50 mL ($2.69) multi-dose vials</t>
  </si>
  <si>
    <t xml:space="preserve">25GM/50ML (500MG/ML)</t>
  </si>
  <si>
    <t xml:space="preserve">25 × 50 mL single-dose vials; NDC 31722-394-35; Camber / Aspiro</t>
  </si>
  <si>
    <t xml:space="preserve">https://www.drugs.com/price-guide/magnesium-sulfate</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</si>
  <si>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</si>
  <si>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https://dmd-browser.nhsbsa.nhs.uk/ampp/view/101360</t>
  </si>
  <si>
    <t xml:space="preserve">User workbook, UK tab: Competitor dm+d proxy – GBP 26.64 for the priced/target pack of 1; GBP 26.64 ÷ 1 = GBP 26.64 per vial; × 1.322 (ECB, 24-Sep-2026) = USD 35.22 per vial. Exact maker price not available; competitor pack used as proxy.</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</si>
  <si>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</si>
  <si>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</si>
  <si>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</si>
  <si>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</si>
  <si>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Melfalán Tarbis</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</si>
  <si>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</si>
  <si>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Hetnoset</t>
  </si>
  <si>
    <t xml:space="preserve">0.25mg / 5ml</t>
  </si>
  <si>
    <t xml:space="preserve">User workbook, South Africa (Updated) tab: Exact SA SEP (NDoH Database of Medicine Prices, 10-Sep-2026) – NAPPI 3008490001, Pack Size 5, Quantity 1; R230.00 ÷ 1 = R230.00 per unit. FX: R230.00 × 0.06083945 (ECB, 24-Sep-2026) = USD 13.99.</t>
  </si>
  <si>
    <t xml:space="preserve">Pantoprazol Amarox</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</si>
  <si>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</si>
  <si>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1 × 1.2 mL single-use vial</t>
  </si>
  <si>
    <t xml:space="preserve">Plerixafor Amarox</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</si>
  <si>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</si>
  <si>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Heterix</t>
  </si>
  <si>
    <t xml:space="preserve">20mg/ml</t>
  </si>
  <si>
    <t xml:space="preserve">https://medicineprices.org.za/#search:heterix</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</si>
  <si>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</si>
  <si>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</si>
  <si>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Rocuronium Bromide Amarox</t>
  </si>
  <si>
    <t xml:space="preserve">50 mg/5 mL</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</si>
  <si>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</si>
  <si>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5MEQ/10ML (0.5MEQ/ML)</t>
  </si>
  <si>
    <t xml:space="preserve">10 mL vial, 0.5 mEq/mL</t>
  </si>
  <si>
    <t xml:space="preserve">https://www.drugs.com/price-guide/sodium-bicarbonate</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</si>
  <si>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</si>
  <si>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10 mL (200 mg/10 mL) Multiple-dose Fliptop Vial (NDC 31722-981-10); 25 vials in a carton (NDC 31722-981-31)</t>
  </si>
  <si>
    <t xml:space="preserve">Filter "Generic" contains "SUCCINYLCHOLINE" (injection) → "Price" ÷ units in "PackageDescription"; median of vendors as in note · Median of 4 vendor packs, 20 mg/mL 10 mL multi-dose vial</t>
  </si>
  <si>
    <t xml:space="preserve">2 mL single-dose vial; carton/NDC not independently verified</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</si>
  <si>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</si>
  <si>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Sugammadex Amarox</t>
  </si>
  <si>
    <t xml:space="preserve">10 x 2 mL (100 mg/mL solution for injection)</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</si>
  <si>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</si>
  <si>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Sugmasol</t>
  </si>
  <si>
    <t xml:space="preserve">100mgmg/ml</t>
  </si>
  <si>
    <t xml:space="preserve">10 x 2 mL ampoules/vials</t>
  </si>
  <si>
    <t xml:space="preserve">https://medicineprices.org.za/#search:sugmasol</t>
  </si>
  <si>
    <t xml:space="preserve">Search shows "Sugmasol" Single Exit Price (ZAR) by pack; per-unit price × 0.0608. Site is a public viewer of the SA Single Exit Price registry</t>
  </si>
  <si>
    <t xml:space="preserve">400 MG</t>
  </si>
  <si>
    <t xml:space="preserve">1/5 x 400 mg vial (powder) </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</si>
  <si>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</si>
  <si>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Teicoplanin Amarox</t>
  </si>
  <si>
    <t xml:space="preserve">400 mg</t>
  </si>
  <si>
    <t xml:space="preserve">1 x 400 mg vial (powder) + 1 x 3 mL solvent ampoule</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</si>
  <si>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</si>
  <si>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</si>
  <si>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Amiodarone Accord</t>
  </si>
  <si>
    <t xml:space="preserve">300 mg/10 mL</t>
  </si>
  <si>
    <t xml:space="preserve">1 x 10 mL pre-filled syringe</t>
  </si>
  <si>
    <t xml:space="preserve">Amiodarone Prefilled Syringe Accord</t>
  </si>
  <si>
    <t xml:space="preserve">300mg/10ml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</si>
  <si>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</si>
  <si>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Amoxicillin Accord Healthcare</t>
  </si>
  <si>
    <t xml:space="preserve">Product unconfirmed – EU tab notes the Accord amoxicillin 500 mg found publicly is an oral capsule</t>
  </si>
  <si>
    <t xml:space="preserve">1 × 50 mL single-dose vial; NDC 16729-430-11</t>
  </si>
  <si>
    <t xml:space="preserve">Atracurium Accord Healthcare</t>
  </si>
  <si>
    <t xml:space="preserve">https://www.aponeo.de/rx/04262642-atracurium-hikma-25-mg-2-5-ml-ampullen.html</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</si>
  <si>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</si>
  <si>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Atropine Sulfate</t>
  </si>
  <si>
    <t xml:space="preserve">0.25MG/5ML (0.05MG/ML)</t>
  </si>
  <si>
    <t xml:space="preserve">10 × 5 mL single-dose syringes; NDC 16729-483-03</t>
  </si>
  <si>
    <t xml:space="preserve">https://www.drugs.com/price-guide/atropine</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</si>
  <si>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</si>
  <si>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0.4MG/ML (0.4MG/ML)</t>
  </si>
  <si>
    <t xml:space="preserve">25 × 1 mL single-dose vials; NDC 16729-525-08</t>
  </si>
  <si>
    <t xml:space="preserve">User workbook, USA (Filled) tab: Generic retail proxy. 0.4 mg/mL atropine intravenous solution. Drugs.com cash price USD 231.24 for 25 (25 x 1 milliliters). 231.24 ÷ 25 = USD 9.25/1 mL vial. Manufacturer not identified by source. Checked 27-Sep-2026.</t>
  </si>
  <si>
    <t xml:space="preserve">0.5MG/5ML (0.1MG/ML)</t>
  </si>
  <si>
    <t xml:space="preserve">10 × 5 mL single-dose syringes; NDC 16729-484-90</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</si>
  <si>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</si>
  <si>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1MG/10ML (0.1MG/ML)</t>
  </si>
  <si>
    <t xml:space="preserve">10 × 10 mL single-dose syringes; NDC 16729-484-45</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</si>
  <si>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</si>
  <si>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1MG/ML (1MG/ML)</t>
  </si>
  <si>
    <t xml:space="preserve">25 × 1 mL single-dose vials; NDC 16729-526-08</t>
  </si>
  <si>
    <t xml:space="preserve">User workbook, USA (Filled) tab: Generic retail proxy. 1 mg/mL atropine intravenous solution. Drugs.com cash price USD 318.60 for 25 (25 x 1 milliliters). 318.6 ÷ 25 = USD 12.74/1 mL vial. Manufacturer not identified by source. Checked 27-Sep-2026.</t>
  </si>
  <si>
    <t xml:space="preserve">0.1 MG/ML</t>
  </si>
  <si>
    <t xml:space="preserve">1 x pre-filled syringe (priced pack)</t>
  </si>
  <si>
    <t xml:space="preserve">https://dmd-browser.nhsbsa.nhs.uk/ampp/view/190887</t>
  </si>
  <si>
    <t xml:space="preserve">User workbook, UK tab: Exact maker dm+d price – GBP 12.35 for the priced/target pack of 1; GBP 12.35 ÷ 1 = GBP 12.35 per pre-filled syringe; × 1.322 (ECB, 24-Sep-2026) = USD 16.33 per pre-filled syringe.</t>
  </si>
  <si>
    <t xml:space="preserve">Atropin Accord</t>
  </si>
  <si>
    <t xml:space="preserve">500 mcg/5 mL</t>
  </si>
  <si>
    <t xml:space="preserve">1 x 5 mL pre-filled syringe</t>
  </si>
  <si>
    <t xml:space="preserve">https://www.aponeo.de/rx/17518273-atropin-accord-100-ug-ml-inj-lsg-i-e-fertigspr.html</t>
  </si>
  <si>
    <t xml:space="preserve">User workbook, European Union tab: Exact product price – Germany; Atropin Accord 100 mcg/mL, 1 x 5 mL pre-filled syringe containing 500 mcg. EUR 19.68 per syringe.</t>
  </si>
  <si>
    <t xml:space="preserve">Atropina Accord</t>
  </si>
  <si>
    <t xml:space="preserve">0.1 mg/mL (500 mcg/5 mL)</t>
  </si>
  <si>
    <t xml:space="preserve">User workbook, European Union tab: Exact same EU product price – Germany; Atropin Accord 0.1 mg/mL, 5 mL pre-filled syringe. EUR 19.68 per syringe. Strength, device and packaging corrected from the prior 1 mL ampoule presentation.</t>
  </si>
  <si>
    <t xml:space="preserve">Azacitidine Accord</t>
  </si>
  <si>
    <t xml:space="preserve">100mg/150mg vial (priced pack)</t>
  </si>
  <si>
    <t xml:space="preserve">User workbook, European Union tab: Exact maker price – Italy; Azacitidine Accord 100 mg powder vial. EUR 351.70 per vial.</t>
  </si>
  <si>
    <t xml:space="preserve">Azaccord</t>
  </si>
  <si>
    <t xml:space="preserve">250MG/VIAL</t>
  </si>
  <si>
    <t xml:space="preserve">250 mg bivalirudin lyophilized powder in a single-dose glass vial</t>
  </si>
  <si>
    <t xml:space="preserve">5 x 250 mg vials (powder)</t>
  </si>
  <si>
    <t xml:space="preserve">https://dmd-browser.nhsbsa.nhs.uk/ampp/view/173756</t>
  </si>
  <si>
    <t xml:space="preserve">User workbook, UK tab: Exact maker dm+d price – GBP 875.00 for the priced/target pack of 5; GBP 875.00 ÷ 5 = GBP 175.00 per vial; × 1.322 (ECB, 24-Sep-2026) = USD 231.35 per vial.</t>
  </si>
  <si>
    <t xml:space="preserve">Bivalirudin Accord</t>
  </si>
  <si>
    <t xml:space="preserve">10 x 250 mg vials</t>
  </si>
  <si>
    <t xml:space="preserve">User workbook, European Union tab: Exact maker price – Italy; Bivalirudin Accord 250 mg. EUR 4,456.08 per pack of 10 ÷ 10 = EUR 445.61/vial. IV bolus injection and infusion are permitted, therefore HCW.</t>
  </si>
  <si>
    <t xml:space="preserve">15000 IU</t>
  </si>
  <si>
    <t xml:space="preserve">1 x 15,000 units vial (powder)</t>
  </si>
  <si>
    <t xml:space="preserve">https://dmd-browser.nhsbsa.nhs.uk/ampp/view/197277</t>
  </si>
  <si>
    <t xml:space="preserve">User workbook, UK tab: Exact maker dm+d price – GBP 19.06 for the priced/target pack of 1; GBP 19.06 ÷ 1 = GBP 19.06 per vial; × 1.322 (ECB, 24-Sep-2026) = USD 25.20 per vial.</t>
  </si>
  <si>
    <t xml:space="preserve">Bleomicina Accord</t>
  </si>
  <si>
    <t xml:space="preserve">1 x 15000 IU vial (powder)</t>
  </si>
  <si>
    <t xml:space="preserve">https://www.kuchler-apotheken.de/bleomycin-accord-15.000-i.e.-p.z.h.e.inj.-inf.-l./15883146</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</si>
  <si>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</si>
  <si>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Bleomycin Accord</t>
  </si>
  <si>
    <t xml:space="preserve">15,000 IU/vial</t>
  </si>
  <si>
    <t xml:space="preserve">1 × 15,000 IU vial (powder)</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</si>
  <si>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</si>
  <si>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2.0 MG</t>
  </si>
  <si>
    <t xml:space="preserve">Pre-filled Syringe</t>
  </si>
  <si>
    <t xml:space="preserve">Bortezomib Accord</t>
  </si>
  <si>
    <t xml:space="preserve">User workbook, European Union tab: Exact maker price – Italy; Bortezomib Accord ready solution 2.5 mg/mL, 3.5 mg/1.4 mL. EUR 1,277.98 per vial.</t>
  </si>
  <si>
    <t xml:space="preserve">Bortezomib Intas</t>
  </si>
  <si>
    <t xml:space="preserve">1 mg/vial</t>
  </si>
  <si>
    <t xml:space="preserve">1 × 1 mg vial (powder)</t>
  </si>
  <si>
    <t xml:space="preserve">Valtib</t>
  </si>
  <si>
    <t xml:space="preserve">1mg/ml</t>
  </si>
  <si>
    <t xml:space="preserve">1 vial (powder for solution for injection)</t>
  </si>
  <si>
    <t xml:space="preserve">https://medicineprices.org.za/#search:valtib</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</si>
  <si>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</si>
  <si>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</si>
  <si>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Cefepim Accord</t>
  </si>
  <si>
    <t xml:space="preserve">10 x 1 g vials (powder)</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</si>
  <si>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</si>
  <si>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Cefepime Accord</t>
  </si>
  <si>
    <t xml:space="preserve">Ceftriaxone Accord</t>
  </si>
  <si>
    <t xml:space="preserve">1 g, assumed</t>
  </si>
  <si>
    <t xml:space="preserve">Open zip → "October 2026 Medicare Part B Payment Limit File" → find HCPCS J0696 → "Payment Limit" (USD per billing unit); × units per vial as in note · J0696 $0.390/250 mg × 4 (1 g); cross-market proxy for EU</t>
  </si>
  <si>
    <t xml:space="preserve">5 MG/ML</t>
  </si>
  <si>
    <t xml:space="preserve">1 x 30 mL vial</t>
  </si>
  <si>
    <t xml:space="preserve">https://dmd-browser.nhsbsa.nhs.uk/ampp/view/161747</t>
  </si>
  <si>
    <t xml:space="preserve">User workbook, UK tab: Exact maker dm+d price – GBP 29.54 for the priced/target pack of 1; GBP 29.54 ÷ 1 = GBP 29.54 per vial; × 1.322 (ECB, 24-Sep-2026) = USD 39.05 per vial.</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</si>
  <si>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</si>
  <si>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</si>
  <si>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</si>
  <si>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</si>
  <si>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</si>
  <si>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</si>
  <si>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</si>
  <si>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</si>
  <si>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</si>
  <si>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2 MILLION INTERNATIONAL UNITS (IU)</t>
  </si>
  <si>
    <t xml:space="preserve">Packs of 1 vial &amp; 10 x 2 million IU vials (powder)</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</si>
  <si>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</si>
  <si>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Colistimetato Accord</t>
  </si>
  <si>
    <t xml:space="preserve">1 MU (approx. 80 mg colistimetato de sodio)</t>
  </si>
  <si>
    <t xml:space="preserve">10 x 1 MU vials (powder)</t>
  </si>
  <si>
    <t xml:space="preserve">https://www.medicinpriser.dk/Default.aspx?VirksomtStof=Colistin</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</si>
  <si>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</si>
  <si>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Cyclophosphamide Accord</t>
  </si>
  <si>
    <t xml:space="preserve">2000 MG</t>
  </si>
  <si>
    <t xml:space="preserve">1 x 2000 mg vial (powder)</t>
  </si>
  <si>
    <t xml:space="preserve">https://dmd-browser.nhsbsa.nhs.uk/ampp/view/209804</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</si>
  <si>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</si>
  <si>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Cyclophosphamide Intas</t>
  </si>
  <si>
    <t xml:space="preserve">5 x 5 mL vials</t>
  </si>
  <si>
    <t xml:space="preserve">https://dmd-browser.nhsbsa.nhs.uk/ampp/view/183004\</t>
  </si>
  <si>
    <t xml:space="preserve">User workbook, UK tab: Exact maker dm+d price – GBP 20.48 for the priced/target pack of 5; GBP 20.48 ÷ 5 = GBP 4.10 per vial; × 1.322 (ECB, 24-Sep-2026) = USD 5.41 per vial.</t>
  </si>
  <si>
    <t xml:space="preserve">Cytarabine Accord</t>
  </si>
  <si>
    <t xml:space="preserve">4000 mg/40 mL (100 mg/mL)</t>
  </si>
  <si>
    <t xml:space="preserve">1 × 40 mL vial</t>
  </si>
  <si>
    <t xml:space="preserve">Cytarabine ACC</t>
  </si>
  <si>
    <t xml:space="preserve">100 mg/5 mL (20 mg/mL)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</si>
  <si>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</si>
  <si>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2000 mg/20 mL (100 mg/mL)</t>
  </si>
  <si>
    <t xml:space="preserve">40 mg/2 mL (20 mg/mL)</t>
  </si>
  <si>
    <t xml:space="preserve">1000 mg/10 mL (100 mg/mL)</t>
  </si>
  <si>
    <t xml:space="preserve">5000 mg/50 mL (100 mg/mL)</t>
  </si>
  <si>
    <t xml:space="preserve">1 × 50 mL vial</t>
  </si>
  <si>
    <t xml:space="preserve">https://dmd-browser.nhsbsa.nhs.uk/ampp/view/163290</t>
  </si>
  <si>
    <t xml:space="preserve">User workbook, UK tab: Exact maker dm+d price – GBP 60.00 for the priced/target pack of 1; GBP 60.00 ÷ 1 = GBP 60.00 per vial; × 1.322 (ECB, 24-Sep-2026) = USD 79.32 per vial.</t>
  </si>
  <si>
    <t xml:space="preserve">Daptomicin Accord Healthcare</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</si>
  <si>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</si>
  <si>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Daptomycin Accord</t>
  </si>
  <si>
    <t xml:space="preserve">Dabucor</t>
  </si>
  <si>
    <t xml:space="preserve">500mg</t>
  </si>
  <si>
    <t xml:space="preserve">1 x 20 mL vial</t>
  </si>
  <si>
    <t xml:space="preserve">https://medicineprices.org.za/#search:dabucor</t>
  </si>
  <si>
    <t xml:space="preserve">Search shows "Dabucor" Single Exit Price (ZAR) by pack; per-unit price × 0.0608. Site is a public viewer of the SA Single Exit Price registry</t>
  </si>
  <si>
    <t xml:space="preserve">80 MG</t>
  </si>
  <si>
    <t xml:space="preserve">80 mg vial/ pack of 3</t>
  </si>
  <si>
    <t xml:space="preserve">https://dmd-browser.nhsbsa.nhs.uk/ampp/view/208291</t>
  </si>
  <si>
    <t xml:space="preserve">User workbook, UK tab: Exact maker dm+d price – GBP 100.00 for the priced/target pack of 1; GBP 100.00 ÷ 1 = GBP 100.00 per vial; × 1.322 (ECB, 24-Sep-2026) = USD 132.20 per vial.</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</si>
  <si>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</si>
  <si>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</si>
  <si>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</si>
  <si>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</si>
  <si>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</si>
  <si>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Jubereq</t>
  </si>
  <si>
    <t xml:space="preserve">120 MG</t>
  </si>
  <si>
    <t xml:space="preserve">1 x 1.7 mL vial</t>
  </si>
  <si>
    <t xml:space="preserve">UAE price database (user file)</t>
  </si>
  <si>
    <t xml:space="preserve">Search product "Jubereq" in the UAE price database; price in AED converted to USD</t>
  </si>
  <si>
    <t xml:space="preserve">Dostiva</t>
  </si>
  <si>
    <t xml:space="preserve">120 mg/1.7 mL (70 mg/mL)</t>
  </si>
  <si>
    <t xml:space="preserve">1 × 1.7 mL vial</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</si>
  <si>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</si>
  <si>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Doxorubicin Accord</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</si>
  <si>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</si>
  <si>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5 mL / 25 mL / 100 mL vials</t>
  </si>
  <si>
    <t xml:space="preserve">https://www.ncbi.nlm.nih.gov/books/NBK611313/table/tr8269868067037182_ch02_t09/</t>
  </si>
  <si>
    <t xml:space="preserve">User workbook, Canada tab: Generic proxy – 5 mL vial</t>
  </si>
  <si>
    <t xml:space="preserve">200 mg/100 mL (2 mg/mL)</t>
  </si>
  <si>
    <t xml:space="preserve">1 × 100 mL vial</t>
  </si>
  <si>
    <t xml:space="preserve">User workbook, Australia tab: Exact maker PBS AEMP – Doxorubicin ACC 200 mg/100 mL, Accord Healthcare; pricing quantity 1; AEMP AUD 77.96 per vial; PBS ex-manufacturer price file Sep-2026.</t>
  </si>
  <si>
    <t xml:space="preserve">Rubexet</t>
  </si>
  <si>
    <t xml:space="preserve">50mg/25ml</t>
  </si>
  <si>
    <t xml:space="preserve">1 x 25 mL vial</t>
  </si>
  <si>
    <t xml:space="preserve">https://medicineprices.org.za/#search:rubexet</t>
  </si>
  <si>
    <t xml:space="preserve">Search shows "Rubexet" Single Exit Price (ZAR) by pack; per-unit price × 0.0608. Site is a public viewer of the SA Single Exit Price registry</t>
  </si>
  <si>
    <t xml:space="preserve">200mg/100ml</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</si>
  <si>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</si>
  <si>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Adrenaline Accord</t>
  </si>
  <si>
    <t xml:space="preserve">1 mg/10 mL</t>
  </si>
  <si>
    <t xml:space="preserve">https://www.my-marien-apotheke.de/produkt/adrenalin-1-10-000-aguettant-inj-lsg-i-e-fert-s-11587497</t>
  </si>
  <si>
    <t xml:space="preserve">User workbook, European Union tab: Competitor proxy - Germany; Adrenalin Aguettant 1 mg/10 mL pre-filled syringe. EUR 25.37 per syringe. German pharmacy retail price.</t>
  </si>
  <si>
    <t xml:space="preserve">Epirubicin Hydrochloride</t>
  </si>
  <si>
    <t xml:space="preserve">https://dmd-browser.nhsbsa.nhs.uk/ampp/view/90547</t>
  </si>
  <si>
    <t xml:space="preserve">User workbook, UK tab: Exact maker dm+d price – GBP 20.18 for the priced/target pack of 1; GBP 20.18 ÷ 1 = GBP 20.18 per vial; × 1.322 (ECB, 24-Sep-2026) = USD 26.68 per vial.</t>
  </si>
  <si>
    <t xml:space="preserve">Epirubicin Hydrochloride Accord Healthcare</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</si>
  <si>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</si>
  <si>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Epirubicin Accord</t>
  </si>
  <si>
    <t xml:space="preserve">1 × 10 mL glass 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</si>
  <si>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</si>
  <si>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1 × 25 mL glass vial</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</si>
  <si>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</si>
  <si>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1 × 100 mL glass vial</t>
  </si>
  <si>
    <t xml:space="preserve">User workbook, Australia tab: Exact maker PBS AEMP – Epirubicin Accord 200 mg/100 mL; PBS items 7231N/4375G; pricing quantity 1; AEMP AUD 88.95 = AUD 88.95 per vial; Sep-2026 PBS EFC file.</t>
  </si>
  <si>
    <t xml:space="preserve">Accord Epirubicin</t>
  </si>
  <si>
    <t xml:space="preserve">2mg/ml</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</si>
  <si>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</si>
  <si>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</si>
  <si>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Epicord</t>
  </si>
  <si>
    <t xml:space="preserve">Eptifibatide Accord</t>
  </si>
  <si>
    <t xml:space="preserve">20 mg/10 mL</t>
  </si>
  <si>
    <t xml:space="preserve">1 x 10 mL vial</t>
  </si>
  <si>
    <t xml:space="preserve">https://www.medicinpriser.dk/Default.aspx?VirksomtStof=Eptifibatid</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</si>
  <si>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</si>
  <si>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Eribuline Accord</t>
  </si>
  <si>
    <t xml:space="preserve">1 x 2 mL vial (Advanz comparator pack; Accord pack not confirmed from an EU leaflet)</t>
  </si>
  <si>
    <t xml:space="preserve">https://dmd-browser.nhsbsa.nhs.uk/ampp/view/189948</t>
  </si>
  <si>
    <t xml:space="preserve">User workbook, UK tab: Competitor dm+d proxy – GBP 4.25 for the priced/target pack of 1; GBP 4.25 ÷ 1 = GBP 4.25 per vial; × 1.322 (ECB, 24-Sep-2026) = USD 5.62 per vial. Exact maker price not available; competitor pack used as proxy.</t>
  </si>
  <si>
    <t xml:space="preserve">Esomeprazol Accord</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</si>
  <si>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</si>
  <si>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Floxapen</t>
  </si>
  <si>
    <t xml:space="preserve">10 x 500 mg powder vials</t>
  </si>
  <si>
    <t xml:space="preserve">https://www.aponeo.de/rx/08630485-staphylex-injektion-500-mg-plv-z-h-e-inj-inf-l.html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</si>
  <si>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</si>
  <si>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https://dmd-browser.nhsbsa.nhs.uk/ampp/view/105990</t>
  </si>
  <si>
    <t xml:space="preserve">User workbook, UK tab: Exact maker dm+d price – GBP 155.00 for the priced/target pack of 1; GBP 155.00 ÷ 1 = GBP 155.00 per vial; × 1.322 (ECB, 24-Sep-2026) = USD 204.91 per vial.</t>
  </si>
  <si>
    <t xml:space="preserve">Fludarabin Accord</t>
  </si>
  <si>
    <t xml:space="preserve">50 mg/2 mL</t>
  </si>
  <si>
    <t xml:space="preserve">User workbook, European Union tab: Exact maker price - Italy, AIFA Class H list (Accord Healthcare SLU, AIC 043104013); Fludarabina 25 mg/mL 2 mL vial EV. Prezzo al pubblico dated 30-Apr-2026. EUR 114.30 per pack of 1 / 1 = EUR 114.30/vial.</t>
  </si>
  <si>
    <t xml:space="preserve">50 MG/ML</t>
  </si>
  <si>
    <t xml:space="preserve">https://dmd-browser.nhsbsa.nhs.uk/ampp/view/90576</t>
  </si>
  <si>
    <t xml:space="preserve">User workbook, UK tab: Exact maker dm+d price – GBP 6.40 for the priced/target pack of 1; GBP 6.40 ÷ 1 = GBP 6.40 per vial; × 1.322 (ECB, 24-Sep-2026) = USD 8.46 per vial.</t>
  </si>
  <si>
    <t xml:space="preserve">100 mL pharmacy bulk vial</t>
  </si>
  <si>
    <t xml:space="preserve">https://www.ncbi.nlm.nih.gov/books/NBK601789/table/tr826986112990278_ch02_t06/</t>
  </si>
  <si>
    <t xml:space="preserve">User workbook, Canada tab: Generic proxy – 5,000 mg/100 mL vial</t>
  </si>
  <si>
    <t xml:space="preserve">2 × 5 mL single-dose syringes + safety needles; NDC 16729-436-30</t>
  </si>
  <si>
    <t xml:space="preserve">Fulvestrant Accord</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</si>
  <si>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</si>
  <si>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Fulvestrant Intas</t>
  </si>
  <si>
    <t xml:space="preserve">Fuldexa</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</si>
  <si>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</si>
  <si>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Glycopyrrolate Accord</t>
  </si>
  <si>
    <t xml:space="preserve">0.6 mg/3 mL (0.2 mg/mL)</t>
  </si>
  <si>
    <t xml:space="preserve">1 × 3 mL ampoule</t>
  </si>
  <si>
    <t xml:space="preserve">Open zip → "October 2026 Medicare Part B Payment Limit File" → find HCPCS J1596 → "Payment Limit" (USD per billing unit); × units per vial as in note · J1596 $0.330/0.1 mg × 6 (0.6 mg/3 mL); cross-market proxy</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</si>
  <si>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</si>
  <si>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</si>
  <si>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</si>
  <si>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</si>
  <si>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</si>
  <si>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Kit containing one 3 mg/3 mL single-dose glass prefilled syringe, a 25-gauge 3/4 inch needle with wings and 9 cm tubing</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</si>
  <si>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</si>
  <si>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</si>
  <si>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</si>
  <si>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</si>
  <si>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User workbook, UK tab: Exact maker dm+d price – GBP 65.40 for the priced/target pack of 1; GBP 65.40 ÷ 1 = GBP 65.40 per pre-filled syringe; × 1.322 (ECB, 24-Sep-2026) = USD 86.46 per pre-filled syringe.</t>
  </si>
  <si>
    <t xml:space="preserve">3 mg/3 mL</t>
  </si>
  <si>
    <t xml:space="preserve">1 x 3 mL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</si>
  <si>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</si>
  <si>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Idarubicin Accord Healthcare</t>
  </si>
  <si>
    <t xml:space="preserve">5 mg/5 mL</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</si>
  <si>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</si>
  <si>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Camcevi</t>
  </si>
  <si>
    <t xml:space="preserve">21 MG</t>
  </si>
  <si>
    <t xml:space="preserve">1 x 21 mg pre-filled syringe (with safety needle)</t>
  </si>
  <si>
    <t xml:space="preserve">21 mg</t>
  </si>
  <si>
    <t xml:space="preserve">1 x 0.25 mL pre-filled syringe + 1 safety needle</t>
  </si>
  <si>
    <t xml:space="preserve">https://www.aponeo.de/rx/17518209-camcevi-21-mg-3-monats-depot-inj-susp-fertigspr.html</t>
  </si>
  <si>
    <t xml:space="preserve">User workbook, European Union tab: Exact product price – Germany; Camcevi 21 mg prolonged-release injection, 1 pre-filled syringe plus safety needle. EUR 384.02 per syringe.</t>
  </si>
  <si>
    <t xml:space="preserve">Lidocaine Accord</t>
  </si>
  <si>
    <t xml:space="preserve">Filter "Generic" contains "LIDOCAINE" (injection) → "Price" ÷ units in "PackageDescription"; median of vendors as in note · Median of 5 vendor packs, 2% 5 mL; cross-market proxy</t>
  </si>
  <si>
    <t xml:space="preserve">400 mg/20 mL (20 mg/mL)</t>
  </si>
  <si>
    <t xml:space="preserve">Filter "Generic" contains "LIDOCAINE" (injection) → "Price" ÷ units in "PackageDescription"; median of vendors as in note · Median of 2 vendors, 2% 20 mL; cross-market proxy</t>
  </si>
  <si>
    <t xml:space="preserve">Lidocaine Intas</t>
  </si>
  <si>
    <t xml:space="preserve">1 × 2 mL ampoule</t>
  </si>
  <si>
    <t xml:space="preserve">Filter "Generic" contains "LIDOCAINE" (injection) → "Price" ÷ units in "PackageDescription"; median of vendors as in note · Fresenius 2% 25×2 mL; cross-market proxy</t>
  </si>
  <si>
    <t xml:space="preserve">200 mg/20 mL (10 mg/mL)</t>
  </si>
  <si>
    <t xml:space="preserve">Filter "Generic" contains "LIDOCAINE" (injection) → "Price" ÷ units in "PackageDescription"; median of vendors as in note · 1% 20 mL vial; cross-market proxy</t>
  </si>
  <si>
    <t xml:space="preserve">1 x 1 mL concentrate vial + 1 x 9 mL solvent vial</t>
  </si>
  <si>
    <t xml:space="preserve">Melphalan Accord</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</si>
  <si>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</si>
  <si>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https://dmd-browser.nhsbsa.nhs.uk/ampp/view/133567</t>
  </si>
  <si>
    <t xml:space="preserve">User workbook, UK tab: Exact maker dm+d price – GBP 72.63 for the priced/target pack of 1; GBP 72.63 ÷ 1 = GBP 72.63 per vial; × 1.322 (ECB, 24-Sep-2026) = USD 96.02 per vial.</t>
  </si>
  <si>
    <t xml:space="preserve">2 mL preservative-free single-use vial</t>
  </si>
  <si>
    <t xml:space="preserve">User workbook, Canada tab: Exact product – calculated (8.0000/mL × 2 mL)</t>
  </si>
  <si>
    <t xml:space="preserve">2 mL multidose vial (50 mg/2 mL), with preservative; 10 vials/carton</t>
  </si>
  <si>
    <t xml:space="preserve">https://www.formulary.health.gov.on.ca/formulary/detail.xhtml?drugId=02464365</t>
  </si>
  <si>
    <t xml:space="preserve">User workbook, Canada tab: Exact Accord product (DIN 02464365); Ontario ODB Sep-2026</t>
  </si>
  <si>
    <t xml:space="preserve">20 mL preservative-free single-use vial</t>
  </si>
  <si>
    <t xml:space="preserve">User workbook, Canada tab: Exact DIN 02474735¹ / 20 mL vial; $6.25/mL × 20; Alberta, September 2026</t>
  </si>
  <si>
    <t xml:space="preserve">40 mL preservative-free single-use vial</t>
  </si>
  <si>
    <t xml:space="preserve">User workbook, Canada tab: Exact DIN 02474891 / 40 mL vial; $5.625/mL × 40; Alberta, September 2026</t>
  </si>
  <si>
    <t xml:space="preserve">Methotrexate Subcutaneous</t>
  </si>
  <si>
    <t xml:space="preserve">10 MG/0.2 ML</t>
  </si>
  <si>
    <t xml:space="preserve">0.2 mL single-use pre-filled syringe</t>
  </si>
  <si>
    <t xml:space="preserve">https://www.formulary.health.gov.on.ca/formulary/detail.xhtml?drugId=02491281</t>
  </si>
  <si>
    <t xml:space="preserve">User workbook, Canada tab: Exact Accord product (DIN 02491281); Ontario Sep-2026</t>
  </si>
  <si>
    <t xml:space="preserve">12.5 MG/0.25 ML</t>
  </si>
  <si>
    <t xml:space="preserve">0.25 mL single-use pre-filled syringe</t>
  </si>
  <si>
    <t xml:space="preserve">https://www.formulary.health.gov.on.ca/formulary/detail.xhtml?drugId=02491303</t>
  </si>
  <si>
    <t xml:space="preserve">User workbook, Canada tab: Exact Accord product (DIN 02491303); Ontario Sep-2026</t>
  </si>
  <si>
    <t xml:space="preserve">Methotrexate Intas</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</si>
  <si>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</si>
  <si>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</si>
  <si>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</si>
  <si>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</si>
  <si>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</si>
  <si>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</si>
  <si>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</si>
  <si>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Intas Midazolam</t>
  </si>
  <si>
    <t xml:space="preserve">15 mg/3 mL (5 mg/mL)</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</si>
  <si>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</si>
  <si>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https://dmd-browser.nhsbsa.nhs.uk/ampp/view/180360</t>
  </si>
  <si>
    <t xml:space="preserve">User workbook, UK tab: Exact maker dm+d price – GBP 75.89 for the priced/target pack of 1; GBP 75.89 ÷ 1 = GBP 75.89 per vial; × 1.322 (ECB, 24-Sep-2026) = USD 100.33 per vial.</t>
  </si>
  <si>
    <t xml:space="preserve">Mitomicina Accord</t>
  </si>
  <si>
    <t xml:space="preserve">10 mg</t>
  </si>
  <si>
    <t xml:space="preserve">1 x 10 mg vial (powder)</t>
  </si>
  <si>
    <t xml:space="preserve">User workbook, European Union tab: Competitor proxy - Italy, AIFA Class H list 30-04-2026; MITOMICINA 10 mg powder, 1 vial, holder Medac GmbH. Prezzo al pubblico dated 30-04-2026. EUR 24.73 per pack of 1 / 1 = EUR 24.73/vial.</t>
  </si>
  <si>
    <t xml:space="preserve">20 MG/VIAL</t>
  </si>
  <si>
    <t xml:space="preserve">20 mg single-use vial; individually packaged</t>
  </si>
  <si>
    <t xml:space="preserve">User workbook, Canada tab: Generic proxy – Teva / Hikma; Alberta Apr-2026</t>
  </si>
  <si>
    <t xml:space="preserve">Mitoxantron Accord</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</si>
  <si>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</si>
  <si>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400 MICROGRAMS/ML</t>
  </si>
  <si>
    <t xml:space="preserve">10 pre-filled syringes (priced pack)</t>
  </si>
  <si>
    <t xml:space="preserve">https://dmd-browser.nhsbsa.nhs.uk/ampp/view/47446</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</si>
  <si>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</si>
  <si>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Ondansetron Hydrochloride</t>
  </si>
  <si>
    <t xml:space="preserve">EQ 2MG BASE/ML</t>
  </si>
  <si>
    <t xml:space="preserve">20ml multi-dose vial</t>
  </si>
  <si>
    <t xml:space="preserve">https://www.drugs.com/price-guide/ondansetron</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</si>
  <si>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</si>
  <si>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8 MG</t>
  </si>
  <si>
    <t xml:space="preserve">1 x 4 mL pre-filled syringe (8 mg; priced pack)</t>
  </si>
  <si>
    <t xml:space="preserve">https://dmd-browser.nhsbsa.nhs.uk/ampp/view/197033</t>
  </si>
  <si>
    <t xml:space="preserve">User workbook, UK tab: Exact maker dm+d price – GBP 59.95 for the priced/target pack of 1; GBP 59.95 ÷ 1 = GBP 59.95 per pre-filled syringe; × 1.322 (ECB, 24-Sep-2026) = USD 79.25 per pre-filled syringe.</t>
  </si>
  <si>
    <t xml:space="preserve">Ondansetron Accord</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</si>
  <si>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</si>
  <si>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4 mg/2 mL (2 mg/mL)</t>
  </si>
  <si>
    <t xml:space="preserve">1 × 2 mL pre-filled syringe</t>
  </si>
  <si>
    <t xml:space="preserve">8 mg/4 mL (2 mg/mL)</t>
  </si>
  <si>
    <t xml:space="preserve">1 × 4 mL pre-filled syringe</t>
  </si>
  <si>
    <t xml:space="preserve">6 MG/ML</t>
  </si>
  <si>
    <t xml:space="preserve">5 mL / 16.7 mL multidose vials; 50 mL pharmacy bulk vial</t>
  </si>
  <si>
    <t xml:space="preserve">User workbook, Canada tab: Generic proxy – Sandoz; Alberta Apr-2026; 74.8000/mL × 5 mL</t>
  </si>
  <si>
    <t xml:space="preserve">Palonosetron Accord</t>
  </si>
  <si>
    <t xml:space="preserve">250 MICROGRAMS</t>
  </si>
  <si>
    <t xml:space="preserve">1 x 6 mL vial</t>
  </si>
  <si>
    <t xml:space="preserve">https://dmd-browser.nhsbsa.nhs.uk/ampp/view/161756</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</si>
  <si>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</si>
  <si>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</si>
  <si>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Palcita</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</si>
  <si>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</si>
  <si>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Pantoprazol Accord</t>
  </si>
  <si>
    <t xml:space="preserve">0.005MG/ML (0.005MG/ML)</t>
  </si>
  <si>
    <t xml:space="preserve">1 or 25 × 1 mL single-dose vials (5 mcg/mL); NDC 16729-311-63 / -08</t>
  </si>
  <si>
    <t xml:space="preserve">https://www.drugs.com/price-guide/paricalcitol</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</si>
  <si>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</si>
  <si>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0.01MG/2ML (0.005MG/ML)</t>
  </si>
  <si>
    <t xml:space="preserve">1 or 25 × 2 mL multidose vials (10 mcg/2 mL); NDC 16729-311-30 / -93</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</si>
  <si>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</si>
  <si>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Pelgraz</t>
  </si>
  <si>
    <t xml:space="preserve">6 MG</t>
  </si>
  <si>
    <t xml:space="preserve">1 x 0.6 mL pre-filled syringe (6 mg; priced pack)</t>
  </si>
  <si>
    <t xml:space="preserve">Search product "Pelgraz" in the UAE price database; price in AED converted to USD</t>
  </si>
  <si>
    <t xml:space="preserve">Phenylephrine Accord</t>
  </si>
  <si>
    <t xml:space="preserve">Phenylcord</t>
  </si>
  <si>
    <t xml:space="preserve">https://medicineprices.org.za/#search:phenylcord</t>
  </si>
  <si>
    <t xml:space="preserve">Search shows "Phenylcord" Single Exit Price (ZAR) by pack; per-unit price × 0.0608. Site is a public viewer of the SA Single Exit Price registry</t>
  </si>
  <si>
    <t xml:space="preserve">Phenytoin Accord</t>
  </si>
  <si>
    <t xml:space="preserve">100 mg/2 mL</t>
  </si>
  <si>
    <t xml:space="preserve">Open zip → "October 2026 Medicare Part B Payment Limit File" → find HCPCS J1165 → "Payment Limit" (USD per billing unit); × units per vial as in note · J1165 $0.513/50 mg × 2 (100 mg/2 mL); cross-market proxy</t>
  </si>
  <si>
    <t xml:space="preserve">https://dmd-browser.nhsbsa.nhs.uk/ampp/view/198886</t>
  </si>
  <si>
    <t xml:space="preserve">User workbook, UK tab: Exact maker dm+d price – GBP 4,882.77 for the priced/target pack of 1; GBP 4,882.77 ÷ 1 = GBP 4,882.77 per vial; × 1.322 (ECB, 24-Sep-2026) = USD 6,455.02 per vial.</t>
  </si>
  <si>
    <t xml:space="preserve">Plerixafor Accord</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</si>
  <si>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</si>
  <si>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</si>
  <si>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</si>
  <si>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Fovlussea</t>
  </si>
  <si>
    <t xml:space="preserve">1 x 0.23 mL vial</t>
  </si>
  <si>
    <t xml:space="preserve">5 mL single-dose glass prefilled syringe; NDC 16729-477-31</t>
  </si>
  <si>
    <t xml:space="preserve">Rocuronio Accord</t>
  </si>
  <si>
    <t xml:space="preserve">10 x 5 mL ampoules</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</si>
  <si>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</si>
  <si>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Suxamethonium Intas</t>
  </si>
  <si>
    <t xml:space="preserve">Filter "Generic" contains "SUCCINYLCHOLINE" (injection) → "Price" ÷ units in "PackageDescription"; median of vendors as in note · Median of 2 vendors, 100 mg prefilled syringe; cross-market proxy</t>
  </si>
  <si>
    <t xml:space="preserve">Sugammadex Accord</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</si>
  <si>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</si>
  <si>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Teicoplanina Accord</t>
  </si>
  <si>
    <t xml:space="preserve">200 mg</t>
  </si>
  <si>
    <t xml:space="preserve">1 x 200 mg vial (powder)</t>
  </si>
  <si>
    <t xml:space="preserve">User workbook, European Union tab: Competitor proxy - Italy, AIFA Classe A list dated 30-Apr-2026; TEICOPLANINA*1 flaconcino polv EV IM orale 200 mg, Hikma Farmaceutica S.A.. Prezzo al pubblico EUR 31.21 per pack of 1 = EUR 31.21/vial.</t>
  </si>
  <si>
    <t xml:space="preserve">Tigecycline Accord</t>
  </si>
  <si>
    <t xml:space="preserve">1 × 50 mg vial (powder)</t>
  </si>
  <si>
    <t xml:space="preserve">Open zip → "October 2026 Medicare Part B Payment Limit File" → find HCPCS J3243 → "Payment Limit" (USD per billing unit); × units per vial as in note · J3243 $0.479/mg × 50; cross-market proxy</t>
  </si>
  <si>
    <t xml:space="preserve">Imuldosa</t>
  </si>
  <si>
    <t xml:space="preserve">45 MG</t>
  </si>
  <si>
    <t xml:space="preserve">1 x 0.5 mL pre-filled syringe (45 mg; priced pack)</t>
  </si>
  <si>
    <t xml:space="preserve">Search product "Imuldosa" in the UAE price database; price in AED converted to USD</t>
  </si>
  <si>
    <t xml:space="preserve">Accord-Vincristine</t>
  </si>
  <si>
    <t xml:space="preserve">2mg/2ml</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</si>
  <si>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</si>
  <si>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Vinorelbin Accord</t>
  </si>
  <si>
    <t xml:space="preserve">User workbook, European Union tab: Exact maker price - Italy, AIFA Classe H list dated 30-Apr-2026; VINORELBINA*1 flaconcino EV 5 ml 10 mg/ml, Accord Healthcare SLU. Prezzo al pubblico EUR 100.65 per pack of 1 = EUR 100.65/vial.</t>
  </si>
  <si>
    <t xml:space="preserve">Vinorelbine Accord</t>
  </si>
  <si>
    <t xml:space="preserve">Alfentanil GH</t>
  </si>
  <si>
    <t xml:space="preserve">5 mg/10 mL (0.5 mg/mL)</t>
  </si>
  <si>
    <t xml:space="preserve">1 × 10 mL glass ampoule</t>
  </si>
  <si>
    <t xml:space="preserve">https://michaelschemist.com.au/products/rapifenalfentanil1mg2f2mlampx5</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</si>
  <si>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</si>
  <si>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Cefazolin SXP</t>
  </si>
  <si>
    <t xml:space="preserve">https://www.pbs.gov.au/industry/pricing/ex-manufacturer-price/2026/10/ex-manufacturer-prices-non-efc-2026-10-01.XLSX</t>
  </si>
  <si>
    <t xml:space="preserve">Filter "Item Code" = 14698N (Cefazolin-AFT 1 g) → "AEMP" AUD 4.04 per pack of 5 ÷ 5 × 0.70 · Cefazolin-AFT 1 g, AUD 4.04 per pack of 5 vials</t>
  </si>
  <si>
    <t xml:space="preserve">Cisatracurium AJS</t>
  </si>
  <si>
    <t xml:space="preserve">Filter "Generic" contains "CISATRACURIUM" (injection) → "Price" ÷ units in "PackageDescription"; median of vendors as in note · Fresenius Kabi 2 mg/mL 10×5 mL $74.66; cross-market proxy</t>
  </si>
  <si>
    <t xml:space="preserve">https://medicineprices.org.za/#search:cistrax</t>
  </si>
  <si>
    <t xml:space="preserve">Search shows Cistrax 150 mg/30 mL vial at R958.02 (SEP); × 0.0608. Site is a public viewer of the SA Single Exit Price registry · Accord (Intas) Cistrax 150 mg/30 mL, R958.02; cross-market proxy</t>
  </si>
  <si>
    <t xml:space="preserve">Daptomycin Lupin</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</si>
  <si>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</si>
  <si>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</si>
  <si>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Droperidol Lupin</t>
  </si>
  <si>
    <t xml:space="preserve">1 × 1 mL glass ampoule</t>
  </si>
  <si>
    <t xml:space="preserve">Open zip → "October 2026 Medicare Part B Payment Limit File" → find HCPCS J1790 → "Payment Limit" (USD per billing unit); × units per vial as in note · J1790 $5.348 per up-to-5 mg dose; cross-market proxy</t>
  </si>
  <si>
    <t xml:space="preserve">Droperidol AJS</t>
  </si>
  <si>
    <t xml:space="preserve">5 mg/2 mL (2.5 mg/mL)</t>
  </si>
  <si>
    <t xml:space="preserve">1 × 2 mL glass ampoule</t>
  </si>
  <si>
    <t xml:space="preserve">Sucrofer</t>
  </si>
  <si>
    <t xml:space="preserve">5 x 5 mL ampoules/vials</t>
  </si>
  <si>
    <t xml:space="preserve">User workbook, South Africa (Updated) tab: Exact SA SEP (NDoH Database of Medicine Prices, 10-Sep-2026) – NAPPI 720333001, Pack Size 5, Quantity 5; R620.12 ÷ 5 = R124.024, rounded to R124.02 per unit. FX: R124.02 × 0.06083945 (ECB, 24-Sep-2026) = USD 7.55.</t>
  </si>
  <si>
    <t xml:space="preserve">Ephedrine Hydrochloride AJS</t>
  </si>
  <si>
    <t xml:space="preserve">30 mg/mL</t>
  </si>
  <si>
    <t xml:space="preserve">1 × ampoule</t>
  </si>
  <si>
    <t xml:space="preserve">Filter "Generic" contains "EPHEDRINE" (injection) → "Price" ÷ units in "PackageDescription"; median of vendors as in note · Median of 4 vendors, ephedrine sulfate 50 mg/mL 1 mL (closest US strength to 30 mg/mL); cross-market proxy</t>
  </si>
  <si>
    <t xml:space="preserve">Invabex</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</si>
  <si>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</si>
  <si>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</si>
  <si>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Fentanyl GH</t>
  </si>
  <si>
    <t xml:space="preserve">500 microgram/10 mL (50 microgram/mL)</t>
  </si>
  <si>
    <t xml:space="preserve">Open zip → "October 2026 Medicare Part B Payment Limit File" → find HCPCS J3010 → "Payment Limit" (USD per billing unit); × units per vial as in note · J3010 $1.362/0.1 mg × 5; cross-market proxy</t>
  </si>
  <si>
    <t xml:space="preserve">100 microgram/2 mL (50 microgram/mL)</t>
  </si>
  <si>
    <t xml:space="preserve">Open zip → "October 2026 Medicare Part B Payment Limit File" → find HCPCS J3010 → "Payment Limit" (USD per billing unit); × units per vial as in note · J3010 $1.362/0.1 mg; cross-market proxy</t>
  </si>
  <si>
    <t xml:space="preserve">Meropenem GH</t>
  </si>
  <si>
    <t xml:space="preserve">https://michaelschemist.com.au/products/meropenemran500mginj5</t>
  </si>
  <si>
    <t xml:space="preserve">User workbook, Australia tab: Competitor retail proxy – Meropenem Ranbaxy 500 mg powder-for-injection vial; Michael's Chemist AUD 65.06 per pack of 5 ÷ 5 = AUD 13.01 per vial; checked 27-Sep-2026.</t>
  </si>
  <si>
    <t xml:space="preserve">1 g/vial</t>
  </si>
  <si>
    <t xml:space="preserve">1 × 1 g vial (powder)</t>
  </si>
  <si>
    <t xml:space="preserve">https://www.medshop.com.au/products/meropenem-ranbaxy-1g-vial-5-meropenem-1000mg-vial</t>
  </si>
  <si>
    <t xml:space="preserve">User workbook, Australia tab: Competitor retail proxy – Meropenem Ranbaxy 1 g powder-for-injection vial; Medshop Australia AUD 167.28 per pack of 5 ÷ 5 = AUD 33.46 per vial; displayed price excludes GST; checked 27-Sep-2026.</t>
  </si>
  <si>
    <t xml:space="preserve">Meroject</t>
  </si>
  <si>
    <t xml:space="preserve">1000mg/30ml</t>
  </si>
  <si>
    <t xml:space="preserve">10 x 30 mL vials (powder)</t>
  </si>
  <si>
    <t xml:space="preserve">https://medicineprices.org.za/#search:meroject</t>
  </si>
  <si>
    <t xml:space="preserve">Search shows "Meroject" Single Exit Price (ZAR) by pack; per-unit price × 0.0608. Site is a public viewer of the SA Single Exit Price registry</t>
  </si>
  <si>
    <t xml:space="preserve">Milrinone GH</t>
  </si>
  <si>
    <t xml:space="preserve">10 mg/10 mL (1 mg/mL)</t>
  </si>
  <si>
    <t xml:space="preserve">1 × 10 mL ampoule</t>
  </si>
  <si>
    <t xml:space="preserve">Open zip → "October 2026 Medicare Part B Payment Limit File" → find HCPCS J2260 → "Payment Limit" (USD per billing unit); × units per vial as in note · J2260 $1.143/5 mg × 2 (10 mg/10 mL); cross-market proxy</t>
  </si>
  <si>
    <t xml:space="preserve">Olanzapine GH IM</t>
  </si>
  <si>
    <t xml:space="preserve">10 mg/vial</t>
  </si>
  <si>
    <t xml:space="preserve">1 × 10 mg vial (powder)</t>
  </si>
  <si>
    <t xml:space="preserve">https://michaelschemist.com.au/products/zyprexavl10mg1</t>
  </si>
  <si>
    <t xml:space="preserve">User workbook, Australia tab: Competitor retail proxy – Zyprexa IM olanzapine 10 mg vial x1; Australian online pharmacy (Michael's Chemist) retail price AUD 26.11 per vial (incl. GST, retail margin).</t>
  </si>
  <si>
    <t xml:space="preserve">Oxytocin GH</t>
  </si>
  <si>
    <t xml:space="preserve">10 IU/1 mL</t>
  </si>
  <si>
    <t xml:space="preserve">https://www.healthylife.com.au/products/oxytocin-generic-10iu1ml-x-5-ampoules</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</si>
  <si>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</si>
  <si>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Altirem IV</t>
  </si>
  <si>
    <t xml:space="preserve">5 x 5 mL vials (powder)</t>
  </si>
  <si>
    <t xml:space="preserve">https://medicineprices.org.za/#search:altirem</t>
  </si>
  <si>
    <t xml:space="preserve">Search shows "Altirem IV" Single Exit Price (ZAR) by pack; per-unit price × 0.0608. Site is a public viewer of the SA Single Exit Price registry</t>
  </si>
  <si>
    <t xml:space="preserve">5mg/ml</t>
  </si>
  <si>
    <t xml:space="preserve">5 x 10 mL vials (powder)</t>
  </si>
  <si>
    <t xml:space="preserve">2 mL single-dose vial; carton of 10; NDC 70748-370-02</t>
  </si>
  <si>
    <t xml:space="preserve">10 × 5 mL single-dose vials</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</si>
  <si>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</si>
  <si>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Sugammadex Lupin</t>
  </si>
  <si>
    <t xml:space="preserve">Sugammadex LAPL</t>
  </si>
  <si>
    <t xml:space="preserve">Teicoplanin SXP</t>
  </si>
  <si>
    <t xml:space="preserve">400 mg/vial</t>
  </si>
  <si>
    <t xml:space="preserve">1 × 400 mg powder vial + 1 diluent ampoule</t>
  </si>
  <si>
    <t xml:space="preserve">https://michaelschemist.com.au/products/teicoplaninpwdrforinj400mg1</t>
  </si>
  <si>
    <t xml:space="preserve">User workbook, Australia tab: Competitor retail proxy – teicoplanin 400 mg powder for injection x1; Australian online pharmacy (Michael's Chemist) retail AUD 108.56 per vial.</t>
  </si>
  <si>
    <t xml:space="preserve">Dyna Teicoplanin</t>
  </si>
  <si>
    <t xml:space="preserve">200mg</t>
  </si>
  <si>
    <t xml:space="preserve">1 x 20 mL vial (powder) + 1 x 3.2 mL solvent ampoule</t>
  </si>
  <si>
    <t xml:space="preserve">User workbook, South Africa (Updated) tab: Exact SA SEP (NDoH Database of Medicine Prices, 10-Sep-2026) – NAPPI 719992001, Pack Size 3.2, Quantity 1; R140.00 ÷ 1 = R140.00 per unit. FX: R140.00 × 0.06083945 (ECB, 24-Sep-2026) = USD 8.52.</t>
  </si>
  <si>
    <t xml:space="preserve">Teicoplanin PD</t>
  </si>
  <si>
    <t xml:space="preserve">User workbook, South Africa (Updated) tab: Exact SA SEP (NDoH Database of Medicine Prices, 10-Sep-2026) – NAPPI 719993001, Pack Size 3.2, Quantity 1; R210.00 ÷ 1 = R210.00 per unit. FX: R210.00 × 0.06083945 (ECB, 24-Sep-2026) = USD 12.78.</t>
  </si>
  <si>
    <t xml:space="preserve">Testosterone PD</t>
  </si>
  <si>
    <t xml:space="preserve">User workbook, South Africa (Updated) tab: Exact SA SEP (NDoH Database of Medicine Prices, 10-Sep-2026) – NAPPI 3009694001, Pack Size 4, Quantity 1; R2,060.80 ÷ 1 = R2,060.80 per unit. FX: R2,060.80 × 0.06083945 (ECB, 24-Sep-2026) = USD 125.38.</t>
  </si>
  <si>
    <t xml:space="preserve">1 × 3.5 mg single-dose powder vial; NDC 72205-183-01 (Novadoz / MSN)</t>
  </si>
  <si>
    <t xml:space="preserve">https://dmd-browser.nhsbsa.nhs.uk/ampp/view/203257</t>
  </si>
  <si>
    <t xml:space="preserve">User workbook, UK tab: Exact maker dm+d price – GBP 528.00 for the priced/target pack of 1; GBP 528.00 ÷ 1 = GBP 528.00 per vial; × 1.322 (ECB, 24-Sep-2026) = USD 698.02 per vial.</t>
  </si>
  <si>
    <t xml:space="preserve">Bortezomib MSN Laboratories Europe</t>
  </si>
  <si>
    <t xml:space="preserve">https://zoek.officielebekendmakingen.nl/stcrt-2026-7257.html</t>
  </si>
  <si>
    <t xml:space="preserve">User workbook, European Union tab: Exact product price - Netherlands; Bortezomib MSN 3.5 mg powder vial. Current maximum price effective 1-Apr-2026 is EUR 624.312199/vial, rounded to EUR 624.31. Future 1-Oct-2026 price not used.</t>
  </si>
  <si>
    <t xml:space="preserve">MSN-Bortezomib</t>
  </si>
  <si>
    <t xml:space="preserve">User workbook, Australia tab: Generic proxy – same molecule, strength and presentation; competitor PBS AEMP; PBS item 12219D (Powder for injection 3.5 mg); AEMP AUD 20.47 per unit; PBS ex-manufacturer price file Sep-2026.</t>
  </si>
  <si>
    <t xml:space="preserve">50MG/5ML (10MG/ML)</t>
  </si>
  <si>
    <t xml:space="preserve">10 × 5 mL single-dose vials; NDC 72205-272-07 (Novadoz / MSN)</t>
  </si>
  <si>
    <t xml:space="preserve">https://www.drugs.com/price-guide/brivaracetam</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</si>
  <si>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</si>
  <si>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1mL or 2 mL Single-Dose Vial x 25-Vial Carton</t>
  </si>
  <si>
    <t xml:space="preserve">1 Multi-dose Vial (5 mL)</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</si>
  <si>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</si>
  <si>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1.0 MMOL/ML</t>
  </si>
  <si>
    <t xml:space="preserve">2ml, 7.5ml, 15ml, 30ml, 67ml vial x 1 vial/ pack of 10</t>
  </si>
  <si>
    <t xml:space="preserve">https://dmd-browser.nhsbsa.nhs.uk/ampp/view/204692</t>
  </si>
  <si>
    <t xml:space="preserve">User workbook, UK tab: Competitor dm+d proxy – GBP 50.63 for the priced/target pack of 1; GBP 50.63 ÷ 1 = GBP 50.63 per vial; × 1.322 (ECB, 24-Sep-2026) = USD 66.93 per vial. Exact maker price not available; competitor pack used as proxy.</t>
  </si>
  <si>
    <t xml:space="preserve">Gadobutrol MSN Laboratories Europe</t>
  </si>
  <si>
    <t xml:space="preserve">1 mmol/mL</t>
  </si>
  <si>
    <t xml:space="preserve">10 × 2 mL single-dose vials</t>
  </si>
  <si>
    <t xml:space="preserve">https://dmd-browser.nhsbsa.nhs.uk/ampp/view/208635</t>
  </si>
  <si>
    <t xml:space="preserve">User workbook, UK tab: Exact maker dm+d price – GBP 418.00 for the priced/target pack of 10; GBP 418.00 ÷ 10 = GBP 41.80 per vial; × 1.322 (ECB, 24-Sep-2026) = USD 55.26 per vial.</t>
  </si>
  <si>
    <t xml:space="preserve">Sugammadex MSN</t>
  </si>
  <si>
    <t xml:space="preserve">10 × 5 mL single-dose vials; NDC 42571-370-99</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</si>
  <si>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</si>
  <si>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</si>
  <si>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</si>
  <si>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</si>
  <si>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</si>
  <si>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1 x 3 mL fill in a 5 mL vial</t>
  </si>
  <si>
    <t xml:space="preserve">Cyclact</t>
  </si>
  <si>
    <t xml:space="preserve">50 mg/1 mL</t>
  </si>
  <si>
    <t xml:space="preserve">https://michaelschemist.com.au/products/valoidinj50mg2f1ml5</t>
  </si>
  <si>
    <t xml:space="preserve">User workbook, Australia tab: Competitor retail proxy – Valoid cyclizine 50 mg/1 mL ampoules; Australian online pharmacy retail AUD 61.58 per pack of 5 ÷ 1.42 = USD 43.36</t>
  </si>
  <si>
    <t xml:space="preserve">Diphenhydramine Hydrochloride</t>
  </si>
  <si>
    <t xml:space="preserve">https://www.mountainside-medical.com/products/diphenhydramine-injection-50-mg-ml-single-dose-vials-1-ml-x-25-pack</t>
  </si>
  <si>
    <t xml:space="preserve">User workbook, USA (Filled) tab: Calibrated retail proxy. Mountainside Medical USD 45.00 / 25 × 1 mL vials. 45 ÷ 25 × 10/1 = USD 18.00 per 10 mL vial. Same concentration. Sponsor price not confirmed. Checked 27-Sep-2026.</t>
  </si>
  <si>
    <t xml:space="preserve">1ml single dose ampul</t>
  </si>
  <si>
    <t xml:space="preserve">https://www.drugs.com/price-guide/isoproterenol</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</si>
  <si>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</si>
  <si>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Isoprika</t>
  </si>
  <si>
    <t xml:space="preserve">Levetiracetam WP</t>
  </si>
  <si>
    <t xml:space="preserve">https://www.medshop.com.au/products/levetiracetam-500mg5ml-vial-10-levetiracetam-500mg5ml-vial</t>
  </si>
  <si>
    <t xml:space="preserve">User workbook, Australia tab: Competitor retail proxy – levetiracetam 500 mg/5 mL vial; Medshop Australia AUD 183.00 per pack ÷ 1.42 = USD 128.87.</t>
  </si>
  <si>
    <t xml:space="preserve">Lincomycin Hydrochloride</t>
  </si>
  <si>
    <t xml:space="preserve">EQ 300MG BASE/ML</t>
  </si>
  <si>
    <t xml:space="preserve">2ml multi-dose vial</t>
  </si>
  <si>
    <t xml:space="preserve">https://www.drugs.com/price-guide/lincomycin</t>
  </si>
  <si>
    <t xml:space="preserve">User workbook, USA (Filled) tab: Generic retail proxy. 300 mg/mL lincomycin injectable solution. Drugs.com cash price USD 22.55 for 2 milliliters. 22.55 ÷ 1 = USD 22.55/2 mL vial. Manufacturer not identified by source. Checked 27-Sep-2026.</t>
  </si>
  <si>
    <t xml:space="preserve">25 x 10 mL (200 mg/10 mL) Multi-Dose Vials (NDC 42571-371-87)</t>
  </si>
  <si>
    <t xml:space="preserve">5MG/2ML (2.5MG/ML)</t>
  </si>
  <si>
    <t xml:space="preserve">User workbook, USA (Filled) tab: Generic retail proxy. 2.5 mg/mL verapamil intravenous solution. Drugs.com cash price USD 13.63 for 2 milliliters. 13.63 ÷ 1 = USD 13.63/2 mL vial. Manufacturer not identified by source. Checked 27-Sep-2026.</t>
  </si>
  <si>
    <t xml:space="preserve">10MG/4ML (2.5MG/ML)</t>
  </si>
  <si>
    <t xml:space="preserve">1 × 4 mL vial; 5 × 4 mL vials</t>
  </si>
  <si>
    <t xml:space="preserve">User workbook, USA (Filled) tab: Generic retail proxy. 2.5 mg/mL verapamil intravenous solution. Drugs.com cash price USD 33.10 for 20 (5 x 4 milliliters). 33.1 ÷ 5 = USD 6.62/4 mL vial. Manufacturer not identified by source. Checked 27-Sep-2026.</t>
  </si>
  <si>
    <t xml:space="preserve">Bupivacaine Hydrochloride</t>
  </si>
  <si>
    <t xml:space="preserve">0.25%</t>
  </si>
  <si>
    <t xml:space="preserve">10 × 10 mL vials; 1 × 30 mL single-dose vial</t>
  </si>
  <si>
    <t xml:space="preserve">https://www.drugs.com/price-guide/bupivacaine</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</si>
  <si>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</si>
  <si>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0.5%</t>
  </si>
  <si>
    <t xml:space="preserve">1 × 30 mL single-dose vial; 10 × 10 mL vials</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</si>
  <si>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</si>
  <si>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Meropenem Steriscience</t>
  </si>
  <si>
    <t xml:space="preserve">https://www.aponeo.de/rx/19949801-meropenem-hexal-500-mg-plv-z-her-e-inj-o-inf-lsg.html</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</si>
  <si>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</si>
  <si>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2 g</t>
  </si>
  <si>
    <t xml:space="preserve">1 x 2 g vial (powder)</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</si>
  <si>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</si>
  <si>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Methohexital Sodium</t>
  </si>
  <si>
    <t xml:space="preserve">500MG/VIAL</t>
  </si>
  <si>
    <t xml:space="preserve">multi dose vial</t>
  </si>
  <si>
    <t xml:space="preserve">Filter "Generic" contains "METHOHEXITAL" (injection) → "Price" ÷ units in "PackageDescription"; median of vendors as in note · Endo (Brevital) 500 mg vial – only US vendor listed</t>
  </si>
  <si>
    <t xml:space="preserve">Powder Vial (1 g) - pack count not verified</t>
  </si>
  <si>
    <t xml:space="preserve">Powder Vial (2 g) - pack count not verified</t>
  </si>
  <si>
    <t xml:space="preserve">Rapifen</t>
  </si>
  <si>
    <t xml:space="preserve">10 x 2 mL ampoules (1 mg/2 mL; current Sep-2026 tariff pack); 5 x 10 mL Rapifen pack deleted Sep-2026</t>
  </si>
  <si>
    <t xml:space="preserve">https://medicineprices.org.za/#search:rapifen</t>
  </si>
  <si>
    <t xml:space="preserve">Search shows "Rapifen" Single Exit Price (ZAR) by pack; per-unit price × 0.0608. Site is a public viewer of the SA Single Exit Price registry</t>
  </si>
  <si>
    <t xml:space="preserve">Alfentanil Piramal</t>
  </si>
  <si>
    <t xml:space="preserve">0.5 mg/mL</t>
  </si>
  <si>
    <t xml:space="preserve">5 x 10 mL ampoules</t>
  </si>
  <si>
    <t xml:space="preserve">https://mediately.co/it/drugs/3ytjMRFtaIbVwcIRVFvxl1oiBXA/alfentanil-piramal-5-fiale-ev-10-ml-0-5-mg-ml</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</si>
  <si>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</si>
  <si>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</si>
  <si>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0.5mg/ml</t>
  </si>
  <si>
    <t xml:space="preserve">Gablofen</t>
  </si>
  <si>
    <t xml:space="preserve">0.05MG/ML</t>
  </si>
  <si>
    <t xml:space="preserve">1 mL single-dose syringe, 50 mcg per mL (NDC 66794-151-01)</t>
  </si>
  <si>
    <t xml:space="preserve">Filter "NDCWithDashes" = 66794-0151-01 → "Price" ÷ units in "PackageDescription" · Exact maker: Piramal Critical Care NDC 66794-0151-01 Gablofen 50 mcg/mL 1 mL</t>
  </si>
  <si>
    <t xml:space="preserve">Cisatracurium Besylate</t>
  </si>
  <si>
    <t xml:space="preserve">10 × 5 mL single-dose vials; 10 × 10 mL multi-dose vials</t>
  </si>
  <si>
    <t xml:space="preserve">https://www.drugs.com/price-guide/cisatracurium</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</si>
  <si>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</si>
  <si>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EQ 10MG BASE/ML</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</si>
  <si>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</si>
  <si>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Hypnomidate</t>
  </si>
  <si>
    <t xml:space="preserve">2 mg/mL</t>
  </si>
  <si>
    <t xml:space="preserve">https://www.shop-apotheke.com/arzneimittel/1854738/hypnomidate-2-mg-ml.htm</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</si>
  <si>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</si>
  <si>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</si>
  <si>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Sublimaze</t>
  </si>
  <si>
    <t xml:space="preserve">50mcg/ml</t>
  </si>
  <si>
    <t xml:space="preserve">https://medicineprices.org.za/#search:sublimaze</t>
  </si>
  <si>
    <t xml:space="preserve">Search shows "Sublimaze" Single Exit Price (ZAR) by pack; per-unit price × 0.0608. Site is a public viewer of the SA Single Exit Price registry</t>
  </si>
  <si>
    <t xml:space="preserve">Remifentanil Piramal</t>
  </si>
  <si>
    <t xml:space="preserve">Filter "Generic" contains "REMIFENTANIL" (injection) → "Price" ÷ units in "PackageDescription"; median of vendors as in note · Median of 3 vendors, 1 mg vial; cross-market proxy for EU</t>
  </si>
  <si>
    <t xml:space="preserve">Sugammadex Piramal</t>
  </si>
  <si>
    <t xml:space="preserve">User workbook, European Union tab: Competitor proxy - Italy, AIFA Classe H list dated 30-Apr-2026; SUGAMMADEX*10 flaconcini 2 ml 100 mg/ml, Mylan Pharmaceuticals Limited. Prezzo al pubblico EUR 814.62 per pack of 10 / 10 = EUR 81.46/vial.</t>
  </si>
  <si>
    <t xml:space="preserve">Bindozef</t>
  </si>
  <si>
    <t xml:space="preserve">https://michaelschemist.com.au/products/cefepimepwdrforinj1gvial1</t>
  </si>
  <si>
    <t xml:space="preserve">User workbook, Australia tab: Australian retail proxy – cefepime 1 g powder for injection, 1 vial; Michael's Chemist online price AUD 11.89 per vial; checked 25-Sep-2026.</t>
  </si>
  <si>
    <t xml:space="preserve">2 g/vial</t>
  </si>
  <si>
    <t xml:space="preserve">1 × 2 g vial (powder)</t>
  </si>
  <si>
    <t xml:space="preserve">https://michaelschemist.com.au/collections/prescriptions/products/cefepimepwdrforinj2gvial1</t>
  </si>
  <si>
    <t xml:space="preserve">User workbook, Australia tab: Australian retail proxy – cefepime 2 g powder for injection, 1 vial; Michael's Chemist online price AUD 25.34 per vial; checked 25-Sep-2026.</t>
  </si>
  <si>
    <t xml:space="preserve">Zetaf</t>
  </si>
  <si>
    <t xml:space="preserve">https://www.healthylife.com.au/products/ceftazidime-1g-x-1-vial</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</si>
  <si>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</si>
  <si>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</si>
  <si>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Cortaject</t>
  </si>
  <si>
    <t xml:space="preserve">100mg /5ml</t>
  </si>
  <si>
    <t xml:space="preserve">100 mg vial (current SA pack count unresolved)</t>
  </si>
  <si>
    <t xml:space="preserve">https://medicineprices.org.za/#search:cortaject</t>
  </si>
  <si>
    <t xml:space="preserve">Search shows "Cortaject" Single Exit Price (ZAR) by pack; per-unit price × 0.0608. Site is a public viewer of the SA Single Exit Price registry</t>
  </si>
  <si>
    <t xml:space="preserve">1 x vial (price normalized per unit; marketed pack unconfirmed)</t>
  </si>
  <si>
    <t xml:space="preserve">https://dmd-browser.nhsbsa.nhs.uk/ampp/view/175452</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</si>
  <si>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</si>
  <si>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Meropenem Strides Pharma</t>
  </si>
  <si>
    <t xml:space="preserve">10 x 500 mg vials (powder) (priced comparator pack)</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</si>
  <si>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</si>
  <si>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Auro Piptaz</t>
  </si>
  <si>
    <t xml:space="preserve">2 g + 250 mg/vial</t>
  </si>
  <si>
    <t xml:space="preserve">1 × 2 g/250 mg vial (powder)</t>
  </si>
  <si>
    <t xml:space="preserve">https://michaelschemist.com.au/products/piperacillinsodium4gtazobactamsodium05gvial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</si>
  <si>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</si>
  <si>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Auro-Piptaz</t>
  </si>
  <si>
    <t xml:space="preserve">4 g + 500 mg/vial</t>
  </si>
  <si>
    <t xml:space="preserve">1 × 4 g/500 mg vial (powder)</t>
  </si>
  <si>
    <t xml:space="preserve">User workbook, Australia tab: Competitor retail proxy – piperacillin 4 g/tazobactam 0.5 g powder-for-injection vial; Michael's Chemist online price AUD 38.53 per vial; checked 25-Sep-2026.</t>
  </si>
  <si>
    <t xml:space="preserve">1 x 300 mg vial (powder) + 1 x 2 mL solvent vial</t>
  </si>
  <si>
    <t xml:space="preserve">Aripena</t>
  </si>
  <si>
    <t xml:space="preserve">1 × 300 mg powder vial + diluent (kit)</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</si>
  <si>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</si>
  <si>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1 × 400 mg powder vial + diluent (kit)</t>
  </si>
  <si>
    <t xml:space="preserve">User workbook, Australia tab: Maker's PBS AEMP – exact product; PBS item 10219W (Powder for injection 400 mg (as monohydrate) with diluent); AEMP AUD 315.46 per unit; PBS ex-manufacturer price file Sep-2026.</t>
  </si>
  <si>
    <t xml:space="preserve">Bortezomib Sun</t>
  </si>
  <si>
    <t xml:space="preserve">https://dmd-browser.nhsbsa.nhs.uk/ampp/view/193706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</si>
  <si>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</si>
  <si>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</si>
  <si>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Taro-Bortezomib</t>
  </si>
  <si>
    <t xml:space="preserve">3.5 mg in 10 mL single-use vial; 1 vial/carton</t>
  </si>
  <si>
    <t xml:space="preserve">User workbook, Canada tab: Exact product - Alberta 14-Sep-2026; DIN 02499061; per vial</t>
  </si>
  <si>
    <t xml:space="preserve">Botigen</t>
  </si>
  <si>
    <t xml:space="preserve">https://medicineprices.org.za/#search:botigen</t>
  </si>
  <si>
    <t xml:space="preserve">Search shows "Botigen" Single Exit Price (ZAR) by pack; per-unit price × 0.0608. Site is a public viewer of the SA Single Exit Price registry</t>
  </si>
  <si>
    <t xml:space="preserve">Chlorothiazide Sodium</t>
  </si>
  <si>
    <t xml:space="preserve">EQ 500MG BASE/VIAL</t>
  </si>
  <si>
    <t xml:space="preserve">1 Single-Dose Vial (18mL fill, lyophilized)</t>
  </si>
  <si>
    <t xml:space="preserve">https://www.drugs.com/price-guide/chlorothiazide</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</si>
  <si>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</si>
  <si>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Doxorubicin Hydrochloride</t>
  </si>
  <si>
    <t xml:space="preserve">1 × 25 mL single-dose vial; 1 × 100 mL multi-dose vial</t>
  </si>
  <si>
    <t xml:space="preserve">https://www.drugs.com/price-guide/doxorubicin</t>
  </si>
  <si>
    <t xml:space="preserve">User workbook, USA (Filled) tab: Generic retail proxy. 2 mg/mL doxorubicin intravenous solution. Drugs.com cash price USD 15.95 for 25 milliliters. 15.95 ÷ 1 = USD 15.95/25 mL vial. Manufacturer not identified by source. Checked 27-Sep-2026.</t>
  </si>
  <si>
    <t xml:space="preserve">Esomeprazol Sun</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</si>
  <si>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</si>
  <si>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Esomeprazole Sun</t>
  </si>
  <si>
    <t xml:space="preserve">40 mg/vial</t>
  </si>
  <si>
    <t xml:space="preserve">1 × 40 mg glass vial (powder)</t>
  </si>
  <si>
    <t xml:space="preserve">Fulvestrant Sun</t>
  </si>
  <si>
    <t xml:space="preserve">https://www.nhsbsa.nhs.uk/sites/default/files/2022-06/Drug%20Tariff%20Part%20VIIIA%20July%202022.pdf</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</si>
  <si>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</si>
  <si>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Melfalan Sun</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</si>
  <si>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</si>
  <si>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Taro-Melphalan</t>
  </si>
  <si>
    <t xml:space="preserve">Kit containing 50 mg melphalan vial + 10 mL buffer/solvent vial</t>
  </si>
  <si>
    <t xml:space="preserve">User workbook, Canada tab: Exact Taro product (DIN 02480026); Alberta Sep-2026</t>
  </si>
  <si>
    <t xml:space="preserve">Meropenem Basics</t>
  </si>
  <si>
    <t xml:space="preserve">500 mg (powder)</t>
  </si>
  <si>
    <t xml:space="preserve">10 x 500 mg powder vials (30 mL container capacity)</t>
  </si>
  <si>
    <t xml:space="preserve">Meropenem Ranbaxy</t>
  </si>
  <si>
    <t xml:space="preserve">Taro-Meropenem</t>
  </si>
  <si>
    <t xml:space="preserve">30 mL single-use vial; 10 vials/carton</t>
  </si>
  <si>
    <t xml:space="preserve">https://idbl.ab.bluecross.ca/idbl/drugsList?ptc=08120708</t>
  </si>
  <si>
    <t xml:space="preserve">User workbook, Canada tab: Exact product / vial</t>
  </si>
  <si>
    <t xml:space="preserve">40 mL single-use vial; 10 vials/carton</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</si>
  <si>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</si>
  <si>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</si>
  <si>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Mercide</t>
  </si>
  <si>
    <t xml:space="preserve">1 x 40 mL vial (powder)</t>
  </si>
  <si>
    <t xml:space="preserve">https://medicineprices.org.za/#search:mercide</t>
  </si>
  <si>
    <t xml:space="preserve">Search shows "Mercide" Single Exit Price (ZAR) by pack; per-unit price × 0.0608. Site is a public viewer of the SA Single Exit Price registry</t>
  </si>
  <si>
    <t xml:space="preserve">Octreotide Sun</t>
  </si>
  <si>
    <t xml:space="preserve">500 microgram/1 mL</t>
  </si>
  <si>
    <t xml:space="preserve">User workbook, Australia tab: Maker's PBS AEMP – exact product; PBS item 6229W (Injection 500 micrograms (as acetate) in 1 mL); AEMP AUD 103.91 per pricing quantity of 5 ÷ 5 = AUD 20.78 per unit; PBS ex-manufacturer price file Sep-2026.</t>
  </si>
  <si>
    <t xml:space="preserve">https://dmd-browser.nhsbsa.nhs.uk/ampp/view/96481</t>
  </si>
  <si>
    <t xml:space="preserve">Pantoprazol Sun</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</si>
  <si>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</si>
  <si>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Paricalcitol Sun</t>
  </si>
  <si>
    <t xml:space="preserve">2 mcg/mL</t>
  </si>
  <si>
    <t xml:space="preserve">5 x 1 mL vials</t>
  </si>
  <si>
    <t xml:space="preserve">https://www.aponeo.de/rx/10735547-paricalcitol-hexal-2-mikrogramm-ml-injektionslsg.html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</si>
  <si>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</si>
  <si>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Sugammadex Sun</t>
  </si>
  <si>
    <t xml:space="preserve">https://dmd-browser.nhsbsa.nhs.uk/ampp/view/195579</t>
  </si>
  <si>
    <t xml:space="preserve">User workbook, UK tab: Exact maker dm+d price – GBP 596.00 for the priced/target pack of 10; GBP 596.00 ÷ 10 = GBP 59.60 per vial; × 1.322 (ECB, 24-Sep-2026) = USD 78.79 per vial.</t>
  </si>
  <si>
    <t xml:space="preserve">Sumabid IV</t>
  </si>
  <si>
    <t xml:space="preserve">100mg/ml</t>
  </si>
  <si>
    <t xml:space="preserve">https://medicineprices.org.za/#search:sumabid</t>
  </si>
  <si>
    <t xml:space="preserve">Search shows "Sumabid IV" Single Exit Price (ZAR) by pack; per-unit price × 0.0608. Site is a public viewer of the SA Single Exit Price registry</t>
  </si>
  <si>
    <t xml:space="preserve">1/5/10/24 x 20mL vial </t>
  </si>
  <si>
    <t xml:space="preserve">https://dmd-browser.nhsbsa.nhs.uk/ampp/view/198278</t>
  </si>
  <si>
    <t xml:space="preserve">User workbook, UK tab: Competitor dm+d proxy – GBP 8.21 for the priced/target pack of 1; GBP 8.21 ÷ 1 = GBP 8.21 per vial; × 1.322 (ECB, 24-Sep-2026) = USD 10.85 per vial. Exact maker price not available; competitor pack used as proxy.</t>
  </si>
  <si>
    <t xml:space="preserve">Teicoplanin Ranbaxy</t>
  </si>
  <si>
    <t xml:space="preserve">1 x 400 mg powder vial + 1 x 3 mL solvent ampoule</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</si>
  <si>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</si>
  <si>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Terlipressin Acetate Sun</t>
  </si>
  <si>
    <t xml:space="preserve">0.12 MG/ML</t>
  </si>
  <si>
    <t xml:space="preserve">5 x 8.5 mL ampoules</t>
  </si>
  <si>
    <t xml:space="preserve">https://dmd-browser.nhsbsa.nhs.uk/ampp/view/212956</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</si>
  <si>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</si>
  <si>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Terlipresina Sun</t>
  </si>
  <si>
    <t xml:space="preserve">850 mcg/8.5 mL</t>
  </si>
  <si>
    <t xml:space="preserve">User workbook, European Union tab: Exact maker price - Italy, AIFA Classe H list dated 30-Apr-2026; TERLIPRESSINA*5 fiale 8,5 ml 0,1 mg/ml, Sun Pharmaceutical Ind. Europe B.V.. Prezzo al pubblico EUR 160.18 per pack of 5 / 5 = EUR 32.04/ampoule.</t>
  </si>
  <si>
    <t xml:space="preserve">Taro-Testosterone Cypionate</t>
  </si>
  <si>
    <t xml:space="preserve">10 mL multi-dose vial (contains benzyl alcohol preservative)</t>
  </si>
  <si>
    <t xml:space="preserve">https://www.formulary.health.gov.on.ca/formulary/detail.xhtml?drugId=02496003</t>
  </si>
  <si>
    <t xml:space="preserve">User workbook, Canada tab: Exact product – Ontario formulary Sep-2026 (Limited Use), per 10 mL vial</t>
  </si>
  <si>
    <t xml:space="preserve">Testosterone</t>
  </si>
  <si>
    <t xml:space="preserve">1000 MG/4 ML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</si>
  <si>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</si>
  <si>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Testosteron Basics</t>
  </si>
  <si>
    <t xml:space="preserve">1 g/4 mL</t>
  </si>
  <si>
    <t xml:space="preserve">https://base-donnees-publique.medicaments.gouv.fr/medicament/61614600/extrait</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</si>
  <si>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</si>
  <si>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Testosterone Sun</t>
  </si>
  <si>
    <t xml:space="preserve">1000 mg/4 mL (250 mg/mL)</t>
  </si>
  <si>
    <t xml:space="preserve">1 × 4 mL 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</si>
  <si>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</si>
  <si>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Vecuronium Sun</t>
  </si>
  <si>
    <t xml:space="preserve">10 MG</t>
  </si>
  <si>
    <t xml:space="preserve">1/4/10/20 x 10mL vial </t>
  </si>
  <si>
    <t xml:space="preserve">https://dmd-browser.nhsbsa.nhs.uk/ampp/view/211689</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</si>
  <si>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</si>
  <si>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10 x 10 mg vials (powder)</t>
  </si>
  <si>
    <t xml:space="preserve">https://www.aliva.de/p/vecuronium-inresa-10-mg-pulver-z-herst-e-inj-lsg-10-pulver-zur-herstellung-einer-injektionsloesung-03379371</t>
  </si>
  <si>
    <t xml:space="preserve">User workbook, European Union tab: Competitor proxy - Germany, aliva.de online pharmacy; Vecuronium Inresa 10 mg powder, 10 vials, PZN 03379371. Retail price incl. VAT viewed 28-Sep-2026. EUR 166.17 per pack of 10 / 10 = EUR 16.62/vial.</t>
  </si>
  <si>
    <t xml:space="preserve">1 × 10 mg powder vial</t>
  </si>
  <si>
    <t xml:space="preserve">Muscuron</t>
  </si>
  <si>
    <t xml:space="preserve">4mg/2ml</t>
  </si>
  <si>
    <t xml:space="preserve">5 x 2 mL vials (powder)</t>
  </si>
  <si>
    <t xml:space="preserve">User workbook, South Africa (Updated) tab: Exact SA SEP (NDoH Database of Medicine Prices, 10-Sep-2026) – NAPPI 705378002, Pack Size 2, Quantity 5; R422.97 ÷ 5 = R84.594, rounded to R84.59 per unit. FX: R84.59 × 0.06083945 (ECB, 24-Sep-2026) = USD 5.15.</t>
  </si>
  <si>
    <t xml:space="preserve">10 x 2 mL vials (powder)</t>
  </si>
  <si>
    <t xml:space="preserve">User workbook, South Africa (Updated) tab: Exact SA SEP (NDoH Database of Medicine Prices, 10-Sep-2026) – NAPPI 705378001, Pack Size 2, Quantity 10; R845.90 ÷ 10 = R84.59 per unit. FX: R84.59 × 0.06083945 (ECB, 24-Sep-2026) = USD 5.15.</t>
  </si>
  <si>
    <t xml:space="preserve">Fulvestrant Heumann</t>
  </si>
  <si>
    <t xml:space="preserve">3 MG/3 ML</t>
  </si>
  <si>
    <t xml:space="preserve">5 x 3 mL ampoules</t>
  </si>
  <si>
    <t xml:space="preserve">https://dmd-browser.nhsbsa.nhs.uk/ampp/view/168374</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</si>
  <si>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</si>
  <si>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Granisetron Torrent Pharma</t>
  </si>
  <si>
    <t xml:space="preserve">5 x 3 mL ampoules (priced comparator pack)</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</si>
  <si>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</si>
  <si>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Levetiracetam Heumann</t>
  </si>
  <si>
    <t xml:space="preserve">Open zip → "October 2026 Medicare Part B Payment Limit File" → find HCPCS J1957 → "Payment Limit" (USD per billing unit); × units per vial as in note · J1957 $0.013/5 mg × 100 (assumed 500 mg/5 mL vial; strength not stated); cross-market proxy</t>
  </si>
  <si>
    <t xml:space="preserve">Meropenem Heumann</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</si>
  <si>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</si>
  <si>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Paliperidon Heumann</t>
  </si>
  <si>
    <t xml:space="preserve">1 x 0.5 mL pre-filled syringe</t>
  </si>
  <si>
    <t xml:space="preserve">https://www.sanidad.gob.es/profesionales/nomenclator.do?metodo=buscarProductos&amp;especialidad=XEPLION%25</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</si>
  <si>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</si>
  <si>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Rocuronium IV Biotech</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</si>
  <si>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</si>
  <si>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Voriconazol Heumann</t>
  </si>
  <si>
    <t xml:space="preserve">Open zip → "October 2026 Medicare Part B Payment Limit File" → find HCPCS J3465 → "Payment Limit" (USD per billing unit); × units per vial as in note · J3465 $0.548/10 mg × 20 (assumed 200 mg vial); cross-market proxy for EU</t>
  </si>
  <si>
    <t xml:space="preserve">Bleomycin Venus Pharma</t>
  </si>
  <si>
    <t xml:space="preserve">15,000 IU</t>
  </si>
  <si>
    <t xml:space="preserve">1 x 15,000 IU vial (powder)</t>
  </si>
  <si>
    <t xml:space="preserve">https://dmd-browser.nhsbsa.nhs.uk/ampp/view/208581</t>
  </si>
  <si>
    <t xml:space="preserve">User workbook, UK tab: Competitor dm+d proxy – GBP 62.00 for the priced/target pack of 1; GBP 62.00 ÷ 1 = GBP 62.00 per vial; × 1.322 (ECB, 24-Sep-2026) = USD 81.96 per vial. Exact maker price not available; competitor pack used as proxy.</t>
  </si>
  <si>
    <t xml:space="preserve">Ceftazidime Venus Pharma</t>
  </si>
  <si>
    <t xml:space="preserve">2 G</t>
  </si>
  <si>
    <t xml:space="preserve">https://dmd-browser.nhsbsa.nhs.uk/ampp/view/170191</t>
  </si>
  <si>
    <t xml:space="preserve">User workbook, UK tab: Competitor dm+d proxy – GBP 26.16 for the priced/target pack of 1; GBP 26.16 ÷ 1 = GBP 26.16 per vial; × 1.322 (ECB, 24-Sep-2026) = USD 34.58 per vial. Exact maker price not available; competitor pack used as proxy.</t>
  </si>
  <si>
    <t xml:space="preserve">10 x 2 g vials (powder)</t>
  </si>
  <si>
    <t xml:space="preserve">https://dmd-browser.nhsbsa.nhs.uk/ampp/view/190496</t>
  </si>
  <si>
    <t xml:space="preserve">User workbook, UK tab: Competitor dm+d proxy – GBP 191.80 for the priced/target pack of 10; GBP 191.80 ÷ 10 = GBP 19.18 per vial; × 1.322 (ECB, 24-Sep-2026) = USD 25.36 per vial. Exact maker price not available; competitor pack used as proxy.</t>
  </si>
  <si>
    <t xml:space="preserve">Meropenem Venus Pharma</t>
  </si>
  <si>
    <t xml:space="preserve">User workbook, UK tab: Competitor dm+d proxy – GBP 83.00 for the priced/target pack of 10; GBP 83.00 ÷ 10 = GBP 8.30 per vial; × 1.322 (ECB, 24-Sep-2026) = USD 10.97 per vial. Exact maker price not available; competitor pack used as proxy.</t>
  </si>
  <si>
    <t xml:space="preserve">Meropenem Venus</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</si>
  <si>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</si>
  <si>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3 MG/ML</t>
  </si>
  <si>
    <t xml:space="preserve">6 x 2 mL vials</t>
  </si>
  <si>
    <t xml:space="preserve">https://dmd-browser.nhsbsa.nhs.uk/ampp/view/87667</t>
  </si>
  <si>
    <t xml:space="preserve">User workbook, UK tab: Exact maker dm+d price – GBP 26.70 for the priced/target pack of 6; GBP 26.70 ÷ 6 = GBP 4.45 per vial; × 1.322 (ECB, 24-Sep-2026) = USD 5.88 per vial.</t>
  </si>
  <si>
    <t xml:space="preserve">Adenosine Wockhardt</t>
  </si>
  <si>
    <t xml:space="preserve">3 mg/mL</t>
  </si>
  <si>
    <t xml:space="preserve">https://www.aponeo.de/rx/17923772-adenosin-baxter-6-mg-2-ml-injektionsloesung.html</t>
  </si>
  <si>
    <t xml:space="preserve">User workbook, European Union tab: Competitor proxy – Germany; Adenosin Baxter 6 mg/2 mL injection. EUR 68.06 per pack of 10 ÷ 10 = EUR 6.81/vial. German private-prescription retail price.</t>
  </si>
  <si>
    <t xml:space="preserve">Amikacin Wockhardt</t>
  </si>
  <si>
    <t xml:space="preserve">Open zip → "October 2026 Medicare Part B Payment Limit File" → find HCPCS J0278 → "Payment Limit" (USD per billing unit); × units per vial as in note · J0278 $0.612/100 mg × 5 (500 mg/2 mL); cross-market proxy for Australia</t>
  </si>
  <si>
    <t xml:space="preserve">Caffeine Citrate</t>
  </si>
  <si>
    <t xml:space="preserve">10 x 1 mL ampoules</t>
  </si>
  <si>
    <t xml:space="preserve">https://dmd-browser.nhsbsa.nhs.uk/ampp/view/59566</t>
  </si>
  <si>
    <t xml:space="preserve">User workbook, UK tab: Competitor dm+d proxy – GBP 48.82 for the priced/target pack of 10; GBP 48.82 ÷ 10 = GBP 4.88 per ampoule; × 1.322 (ECB, 24-Sep-2026) = USD 6.45 per ampoule. Exact maker price not available; competitor pack used as proxy.</t>
  </si>
  <si>
    <t xml:space="preserve">https://dmd-browser.nhsbsa.nhs.uk/ampp/view/110863</t>
  </si>
  <si>
    <t xml:space="preserve">User workbook, UK tab: Exact maker dm+d price – GBP 218.80 for the priced/target pack of 10; GBP 218.80 ÷ 10 = GBP 21.88 per vial; × 1.322 (ECB, 24-Sep-2026) = USD 28.93 per vial.</t>
  </si>
  <si>
    <t xml:space="preserve">Ceftazadime</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</si>
  <si>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</si>
  <si>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EQ 250MG BASE/VIAL</t>
  </si>
  <si>
    <t xml:space="preserve">250 mg vials (glass); Box of 1 (NDC 64679-701-01), Box of 10 (NDC 64679-701-02), Box of 25 (NDC 64679-701-03)</t>
  </si>
  <si>
    <t xml:space="preserve">https://www.drugs.com/price-guide/ceftriaxone</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</si>
  <si>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</si>
  <si>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500 mg vials (glass); Box of 1 (NDC 64679-702-01) and Box of 10 (NDC 64679-702-02)</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</si>
  <si>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</si>
  <si>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https://dmd-browser.nhsbsa.nhs.uk/ampp/view/110861</t>
  </si>
  <si>
    <t xml:space="preserve">User workbook, UK tab: Exact maker dm+d price – GBP 191.80 for the priced/target pack of 10; GBP 191.80 ÷ 10 = GBP 19.18 per vial; × 1.322 (ECB, 24-Sep-2026) = USD 25.36 per vial.</t>
  </si>
  <si>
    <t xml:space="preserve">5 x 1 mL ampoules</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</si>
  <si>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</si>
  <si>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https://dmd-browser.nhsbsa.nhs.uk/ampp/view/197707</t>
  </si>
  <si>
    <t xml:space="preserve">Daptomycin Wockhardt</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</si>
  <si>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</si>
  <si>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Daptomycin WKT</t>
  </si>
  <si>
    <t xml:space="preserve">https://dmd-browser.nhsbsa.nhs.uk/ampp/view/210923</t>
  </si>
  <si>
    <t xml:space="preserve">User workbook, UK tab: Exact maker dm+d price – GBP 67.89 for the priced/target pack of 10; GBP 67.89 ÷ 10 = GBP 6.79 per ampoule; × 1.322 (ECB, 24-Sep-2026) = USD 8.98 per ampoule.</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</si>
  <si>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</si>
  <si>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</si>
  <si>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</si>
  <si>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</si>
  <si>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</si>
  <si>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600 MCG/ML</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</si>
  <si>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</si>
  <si>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Metaraminol Wockhardt</t>
  </si>
  <si>
    <t xml:space="preserve">https://mediately.co/gr/drugs/YCsx3j2n2qawnnaJDmFwug8Ahhz/metaraminol-so-inj-inf-10mg-ml</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</si>
  <si>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</si>
  <si>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10 x 10 mL ampoules</t>
  </si>
  <si>
    <t xml:space="preserve">https://dmd-browser.nhsbsa.nhs.uk/ampp/view/162030</t>
  </si>
  <si>
    <t xml:space="preserve">User workbook, UK tab: Exact maker dm+d price – GBP 199.06 for the priced/target pack of 10; GBP 199.06 ÷ 10 = GBP 19.91 per ampoule; × 1.322 (ECB, 24-Sep-2026) = USD 26.32 per ampoule.</t>
  </si>
  <si>
    <t xml:space="preserve">Milrinone Wockhardt</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</si>
  <si>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</si>
  <si>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Morphine Sulfate</t>
  </si>
  <si>
    <t xml:space="preserve">30 MG/ML</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</si>
  <si>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</si>
  <si>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Ondansetron Wockhardt</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</si>
  <si>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</si>
  <si>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1 gram powder vial, packaged in carton of ten vials</t>
  </si>
  <si>
    <t xml:space="preserve">Protamine Sulfate</t>
  </si>
  <si>
    <t xml:space="preserve">https://dmd-browser.nhsbsa.nhs.uk/ampp/view/64125</t>
  </si>
  <si>
    <t xml:space="preserve">User workbook, UK tab: Exact maker dm+d price – GBP 66.89 for the priced/target pack of 10; GBP 66.89 ÷ 10 = GBP 6.69 per ampoule; × 1.322 (ECB, 24-Sep-2026) = USD 8.84 per ampoule.</t>
  </si>
  <si>
    <t xml:space="preserve">Prosulf</t>
  </si>
  <si>
    <t xml:space="preserve">5 x 5 mL ampoules</t>
  </si>
  <si>
    <t xml:space="preserve">https://www.medicinpriser.dk/Default.aspx?VirksomtStof=Protamin</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</si>
  <si>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</si>
  <si>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5 MG</t>
  </si>
  <si>
    <t xml:space="preserve">5 x 5 mg vials (powder)</t>
  </si>
  <si>
    <t xml:space="preserve">https://dmd-browser.nhsbsa.nhs.uk/ampp/view/87654</t>
  </si>
  <si>
    <t xml:space="preserve">User workbook, UK tab: Exact maker dm+d price – GBP 145.00 for the priced/target pack of 5; GBP 145.00 ÷ 5 = GBP 29.00 per vial; × 1.322 (ECB, 24-Sep-2026) = USD 38.34 per vial.</t>
  </si>
  <si>
    <t xml:space="preserve">Remifentanil Wockhardt</t>
  </si>
  <si>
    <t xml:space="preserve">5 mg</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</si>
  <si>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</si>
  <si>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5 x 4 mL ampoules</t>
  </si>
  <si>
    <t xml:space="preserve">https://dmd-browser.nhsbsa.nhs.uk/ampp/view/102025</t>
  </si>
  <si>
    <t xml:space="preserve">User workbook, UK tab: Exact maker dm+d price – GBP 69.25 for the priced/target pack of 5; GBP 69.25 ÷ 5 = GBP 13.85 per ampoule; × 1.322 (ECB, 24-Sep-2026) = USD 18.31 per ampoule.</t>
  </si>
  <si>
    <t xml:space="preserve">Sodium Valproate Wockhardt</t>
  </si>
  <si>
    <t xml:space="preserve">400 mg/4 mL</t>
  </si>
  <si>
    <t xml:space="preserve">5 x 4 mL vials</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</si>
  <si>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</si>
  <si>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400 mg/4 mL (100 mg/mL)</t>
  </si>
  <si>
    <t xml:space="preserve">1 × 4 mL ampoule</t>
  </si>
  <si>
    <t xml:space="preserve">https://www.medshop.com.au/products/sodium-valproate-juno-400mg-4ml</t>
  </si>
  <si>
    <t xml:space="preserve">User workbook, Australia tab: Same-dose/form competitor proxy – Sodium Valproate Juno 400 mg/4 mL ampoule; Medshop Australia AUD 1,061.17 excl. GST per pack of 10 ÷ 10 = AUD 106.12 per ampoule; checked 25-Sep-2026.</t>
  </si>
  <si>
    <t xml:space="preserve">https://dmd-browser.nhsbsa.nhs.uk/ampp/view/197725</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</si>
  <si>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</si>
  <si>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</si>
  <si>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Vancomycin Wockhardt</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</si>
  <si>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</si>
  <si>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Acetazolamide Sodium</t>
  </si>
  <si>
    <t xml:space="preserve">https://www.drugs.com/price-guide/acetazolamide</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</si>
  <si>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</si>
  <si>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1 × 3.5 mg single-dose powder vial; NDC 70710-1411-1 (Zydus)</t>
  </si>
  <si>
    <t xml:space="preserve">Bortezomib Combix</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</si>
  <si>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</si>
  <si>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Zymib</t>
  </si>
  <si>
    <t xml:space="preserve">User workbook, South Africa (Updated) tab: Exact SA SEP (NDoH Database of Medicine Prices, 10-Sep-2026) – NAPPI 3010178001, Pack Size 1, Quantity 1; R2,508.85 ÷ 1 = R2,508.85 per unit. FX: R2,508.85 × 0.06083945 (ECB, 24-Sep-2026) = USD 152.64.</t>
  </si>
  <si>
    <t xml:space="preserve">Ceftriaxone Zydus</t>
  </si>
  <si>
    <t xml:space="preserve">https://base-donnees-publique.medicaments.gouv.fr/medicament/66127233/extrait</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</si>
  <si>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</si>
  <si>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1 mL or 2mL Single-Dose Vial x 25-Vial Carton</t>
  </si>
  <si>
    <t xml:space="preserve">5mL Single-Dose Vial x 10-Vial Carton</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</si>
  <si>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</si>
  <si>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20mL Single-Dose Vial x 10-Vial Carton</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</si>
  <si>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</si>
  <si>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25 × 1 mL multi-dose vials; 10 × 10 mL multi-dose vials; 25 × 10 mL multi-dose vials; 1 × 30 mL multi-dose vial; 5 × 30 mL multi-dose vials</t>
  </si>
  <si>
    <t xml:space="preserve">https://www.drugs.com/price-guide/cyanocobalamin</t>
  </si>
  <si>
    <t xml:space="preserve">User workbook, USA (Filled) tab: Generic retail proxy. 1000 mcg/mL cyanocobalamin injectable solution. Drugs.com cash price USD 31.25 for 30 milliliters. 31.25 ÷ 1 = USD 31.25/30 mL vial. Manufacturer not identified by source. Checked 27-Sep-2026.</t>
  </si>
  <si>
    <t xml:space="preserve">EQ 50MG BASE/VIAL</t>
  </si>
  <si>
    <t xml:space="preserve">https://www.drugs.com/price-guide/sodium-edecrin</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</si>
  <si>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</si>
  <si>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</si>
  <si>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5 ml single dose vial</t>
  </si>
  <si>
    <t xml:space="preserve">https://www.drugs.com/price-guide/fluorescein</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</si>
  <si>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</si>
  <si>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EQ 500MG BASE/2ML (EQ 250MG BASE/ML)</t>
  </si>
  <si>
    <t xml:space="preserve">2 × 5 mL single-dose syringes + safety needles; NDC 70710-1688-8</t>
  </si>
  <si>
    <t xml:space="preserve">EQ 50MG BASE/ML</t>
  </si>
  <si>
    <t xml:space="preserve">1 mL Single-Dose Vial,5 mL Multiple-Dose Vial</t>
  </si>
  <si>
    <t xml:space="preserve">https://www.drugs.com/price-guide/haloperidol</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</si>
  <si>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</si>
  <si>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EQ 100MG BASE/ML</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</si>
  <si>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</si>
  <si>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Single -dose, 2 mL in 1 VIAL</t>
  </si>
  <si>
    <t xml:space="preserve">25MG/VIAL</t>
  </si>
  <si>
    <t xml:space="preserve">Not found (not in current FDA NDC listing)</t>
  </si>
  <si>
    <t xml:space="preserve">https://www.drugs.com/price-guide/indocyanine-green</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</si>
  <si>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</si>
  <si>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Zypiron</t>
  </si>
  <si>
    <t xml:space="preserve">100mg/5ml</t>
  </si>
  <si>
    <t xml:space="preserve">User workbook, South Africa (Updated) tab: Exact SA SEP (NDoH Database of Medicine Prices, 10-Sep-2026) – NAPPI 720231001, Pack Size 5, Quantity 5; R623.01 ÷ 5 = R124.602, rounded to R124.60 per unit. FX: R124.60 × 0.06083945 (ECB, 24-Sep-2026) = USD 7.58.</t>
  </si>
  <si>
    <t xml:space="preserve">Zydus-Ondansetron</t>
  </si>
  <si>
    <t xml:space="preserve">8mg</t>
  </si>
  <si>
    <t xml:space="preserve">5 ampoules/vials</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</si>
  <si>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</si>
  <si>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25 × 10 mL multi-dose vials</t>
  </si>
  <si>
    <t xml:space="preserve">Single-dose fliptop vial (verapamil hydrochloride injection 2.5 mg/mL)</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</si>
  <si>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</si>
  <si>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</si>
  <si>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</si>
  <si>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</si>
  <si>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695 presentations from the user workbook tab "Shortlisted Drugs X Company (6)" (151 molecules). Prefilled syringes kept per client instruction.</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</si>
  <si>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</si>
  <si>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</si>
  <si>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filters</t>
  </si>
  <si>
    <t xml:space="preserve">(a) No Tier 1 market at company level. Tier 1 = US, UK, UK-NI, Germany, France, Netherlands, Belgium, Canada (strictest sharps-safety regimes, per Country Regulations tab). (b) Price: every priced presentation ≤ USD 5 per unit. Pairs with no price found are kept.</t>
  </si>
  <si>
    <t xml:space="preserve">Step 3 – Scoring</t>
  </si>
  <si>
    <t xml:space="preserve">Value score = percentile rank (share of other pairs with a lower value, 0–1) of average price per unit (presentations &gt; USD 5). Volume score = percentile rank of India injectable-adjusted export (FY24 export of HS 3002 + 3004 × injectable share of registrations, API_Injectable_Share.xlsx). Composite = 50% value + 50% volume; if one input is missing the other carries 100%. Volume is molecule-level (same for every company making the API).</t>
  </si>
  <si>
    <t xml:space="preserve">Step 4 – Prioritisation</t>
  </si>
  <si>
    <t xml:space="preserve">Eligible pairs ranked by composite within each company: Lead = top 5, Next wave = 6–10, Long list = rest. Company score = sum of Lead composites (max 5.0).</t>
  </si>
  <si>
    <t xml:space="preserve">Watch-outs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</si>
  <si>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Crowded (≥3 target companies make it – a differentiation argument for SurTrac);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</si>
  <si>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</si>
  <si>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</si>
  <si>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</si>
  <si>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</si>
  <si>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</si>
  <si>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</si>
  <si>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</si>
  <si>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Market Evidence (cols Q–T) for every EU/UK-NI market, Scoring (col R) for therapeutic area.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(519 of 557); 38 have no URL in the country tabs.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</si>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</sst>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2F2F2"/>
        <bgColor rgb="FFFFFFFF"/>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methotrexate+injection" TargetMode="External"/><Relationship Id="rId3" Type="http://schemas.openxmlformats.org/officeDocument/2006/relationships/hyperlink" Target="https://dailymed.nlm.nih.gov/dailymed/search.cfm?labeltype=all&amp;query=diazepam+injection" TargetMode="External"/><Relationship Id="rId4" Type="http://schemas.openxmlformats.org/officeDocument/2006/relationships/hyperlink" Target="https://dailymed.nlm.nih.gov/dailymed/search.cfm?labeltype=all&amp;query=carboprost"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doxorubicin" TargetMode="External"/><Relationship Id="rId17" Type="http://schemas.openxmlformats.org/officeDocument/2006/relationships/hyperlink" Target="https://dailymed.nlm.nih.gov/dailymed/search.cfm?labeltype=all&amp;query=esmolol"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tirofiban" TargetMode="External"/><Relationship Id="rId20" Type="http://schemas.openxmlformats.org/officeDocument/2006/relationships/hyperlink" Target="https://dailymed.nlm.nih.gov/dailymed/search.cfm?labeltype=all&amp;query=melphalan+hydrochloride"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fluphenazine+decanoate"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testosterone+cypion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argatroban"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sildenafil+injection" TargetMode="External"/><Relationship Id="rId31" Type="http://schemas.openxmlformats.org/officeDocument/2006/relationships/hyperlink" Target="https://dailymed.nlm.nih.gov/dailymed/search.cfm?labeltype=all&amp;query=carboprost" TargetMode="External"/><Relationship Id="rId32" Type="http://schemas.openxmlformats.org/officeDocument/2006/relationships/hyperlink" Target="https://dailymed.nlm.nih.gov/dailymed/search.cfm?labeltype=all&amp;query=ondansetron+injection" TargetMode="External"/><Relationship Id="rId33" Type="http://schemas.openxmlformats.org/officeDocument/2006/relationships/hyperlink" Target="https://dailymed.nlm.nih.gov/dailymed/search.cfm?labeltype=all&amp;query=methotrexate+injection" TargetMode="External"/><Relationship Id="rId34" Type="http://schemas.openxmlformats.org/officeDocument/2006/relationships/hyperlink" Target="https://dailymed.nlm.nih.gov/dailymed/search.cfm?labeltype=all&amp;query=ibandron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ropivacaine" TargetMode="External"/><Relationship Id="rId37" Type="http://schemas.openxmlformats.org/officeDocument/2006/relationships/hyperlink" Target="https://dailymed.nlm.nih.gov/dailymed/search.cfm?labeltype=all&amp;query=naloxone+hydrochloride+injection" TargetMode="External"/><Relationship Id="rId38" Type="http://schemas.openxmlformats.org/officeDocument/2006/relationships/hyperlink" Target="https://dailymed.nlm.nih.gov/dailymed/search.cfm?labeltype=all&amp;query=bupivacaine" TargetMode="External"/><Relationship Id="rId39" Type="http://schemas.openxmlformats.org/officeDocument/2006/relationships/hyperlink" Target="https://dailymed.nlm.nih.gov/dailymed/search.cfm?labeltype=all&amp;query=methylprednisolone+acetate" TargetMode="External"/><Relationship Id="rId40" Type="http://schemas.openxmlformats.org/officeDocument/2006/relationships/hyperlink" Target="https://dailymed.nlm.nih.gov/dailymed/search.cfm?labeltype=all&amp;query=ceftazidime" TargetMode="External"/><Relationship Id="rId41" Type="http://schemas.openxmlformats.org/officeDocument/2006/relationships/hyperlink" Target="https://dailymed.nlm.nih.gov/dailymed/search.cfm?labeltype=all&amp;query=testosterone+enanthate" TargetMode="External"/><Relationship Id="rId42" Type="http://schemas.openxmlformats.org/officeDocument/2006/relationships/hyperlink" Target="https://dailymed.nlm.nih.gov/dailymed/search.cfm?labeltype=all&amp;query=progesterone+injection" TargetMode="External"/><Relationship Id="rId43" Type="http://schemas.openxmlformats.org/officeDocument/2006/relationships/hyperlink" Target="https://dailymed.nlm.nih.gov/dailymed/search.cfm?labeltype=all&amp;query=vecuronium" TargetMode="External"/><Relationship Id="rId44" Type="http://schemas.openxmlformats.org/officeDocument/2006/relationships/hyperlink" Target="https://dailymed.nlm.nih.gov/dailymed/search.cfm?labeltype=all&amp;query=verapamil+hydrochloride+injection" TargetMode="External"/><Relationship Id="rId45" Type="http://schemas.openxmlformats.org/officeDocument/2006/relationships/hyperlink" Target="https://dailymed.nlm.nih.gov/dailymed/search.cfm?labeltype=all&amp;query=fluorouracil+injection" TargetMode="External"/><Relationship Id="rId46" Type="http://schemas.openxmlformats.org/officeDocument/2006/relationships/hyperlink" Target="https://dailymed.nlm.nih.gov/dailymed/search.cfm?labeltype=all&amp;query=hydralazine+injection" TargetMode="External"/><Relationship Id="rId47" Type="http://schemas.openxmlformats.org/officeDocument/2006/relationships/hyperlink" Target="https://dailymed.nlm.nih.gov/dailymed/search.cfm?labeltype=all&amp;query=palonosetron" TargetMode="External"/><Relationship Id="rId48" Type="http://schemas.openxmlformats.org/officeDocument/2006/relationships/hyperlink" Target="https://dailymed.nlm.nih.gov/dailymed/search.cfm?labeltype=all&amp;query=vinorelbine" TargetMode="External"/><Relationship Id="rId49" Type="http://schemas.openxmlformats.org/officeDocument/2006/relationships/hyperlink" Target="https://dailymed.nlm.nih.gov/dailymed/search.cfm?labeltype=all&amp;query=chlorpromazine" TargetMode="External"/><Relationship Id="rId50" Type="http://schemas.openxmlformats.org/officeDocument/2006/relationships/hyperlink" Target="https://dailymed.nlm.nih.gov/dailymed/search.cfm?labeltype=all&amp;query=mesna" TargetMode="External"/><Relationship Id="rId51" Type="http://schemas.openxmlformats.org/officeDocument/2006/relationships/hyperlink" Target="https://dailymed.nlm.nih.gov/dailymed/search.cfm?labeltype=all&amp;query=ephedrine+sulfate+injection" TargetMode="External"/><Relationship Id="rId52" Type="http://schemas.openxmlformats.org/officeDocument/2006/relationships/hyperlink" Target="https://dailymed.nlm.nih.gov/dailymed/search.cfm?labeltype=all&amp;query=regadenoson" TargetMode="External"/><Relationship Id="rId53" Type="http://schemas.openxmlformats.org/officeDocument/2006/relationships/hyperlink" Target="https://dailymed.nlm.nih.gov/dailymed/search.cfm?labeltype=all&amp;query=oxacillin" TargetMode="External"/><Relationship Id="rId54" Type="http://schemas.openxmlformats.org/officeDocument/2006/relationships/hyperlink" Target="https://dailymed.nlm.nih.gov/dailymed/search.cfm?labeltype=all&amp;query=nafcillin" TargetMode="External"/><Relationship Id="rId55" Type="http://schemas.openxmlformats.org/officeDocument/2006/relationships/hyperlink" Target="https://dailymed.nlm.nih.gov/dailymed/search.cfm?labeltype=all&amp;query=remifentanil" TargetMode="External"/><Relationship Id="rId56" Type="http://schemas.openxmlformats.org/officeDocument/2006/relationships/hyperlink" Target="https://dailymed.nlm.nih.gov/dailymed/search.cfm?labeltype=all&amp;query=mitomycin" TargetMode="External"/><Relationship Id="rId57" Type="http://schemas.openxmlformats.org/officeDocument/2006/relationships/hyperlink" Target="https://www.medicines.org.uk/emc/search?q=flucloxacillin" TargetMode="External"/><Relationship Id="rId58" Type="http://schemas.openxmlformats.org/officeDocument/2006/relationships/hyperlink" Target="https://dailymed.nlm.nih.gov/dailymed/search.cfm?labeltype=all&amp;query=triamcinolone+acetonide+injectable+suspension" TargetMode="External"/><Relationship Id="rId59" Type="http://schemas.openxmlformats.org/officeDocument/2006/relationships/hyperlink" Target="https://dailymed.nlm.nih.gov/dailymed/search.cfm?labeltype=all&amp;query=cefepime" TargetMode="External"/><Relationship Id="rId60" Type="http://schemas.openxmlformats.org/officeDocument/2006/relationships/hyperlink" Target="https://dailymed.nlm.nih.gov/dailymed/search.cfm?labeltype=all&amp;query=daptomycin"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dailymed.nlm.nih.gov/dailymed/search.cfm?labeltype=all&amp;query=sugammadex" TargetMode="External"/><Relationship Id="rId63" Type="http://schemas.openxmlformats.org/officeDocument/2006/relationships/hyperlink" Target="https://dailymed.nlm.nih.gov/dailymed/search.cfm?labeltype=all&amp;query=testosterone+cypionate" TargetMode="External"/><Relationship Id="rId64" Type="http://schemas.openxmlformats.org/officeDocument/2006/relationships/hyperlink" Target="https://dailymed.nlm.nih.gov/dailymed/search.cfm?labeltype=all&amp;query=lanreotide" TargetMode="External"/><Relationship Id="rId65" Type="http://schemas.openxmlformats.org/officeDocument/2006/relationships/hyperlink" Target="https://dailymed.nlm.nih.gov/dailymed/search.cfm?labeltype=all&amp;query=hydrocortisone+sodium+succinate" TargetMode="External"/><Relationship Id="rId66" Type="http://schemas.openxmlformats.org/officeDocument/2006/relationships/hyperlink" Target="https://dailymed.nlm.nih.gov/dailymed/search.cfm?labeltype=all&amp;query=phytonadione" TargetMode="External"/><Relationship Id="rId67" Type="http://schemas.openxmlformats.org/officeDocument/2006/relationships/hyperlink" Target="https://dailymed.nlm.nih.gov/dailymed/search.cfm?labeltype=all&amp;query=trastuzumab" TargetMode="External"/><Relationship Id="rId68" Type="http://schemas.openxmlformats.org/officeDocument/2006/relationships/hyperlink" Target="https://www.who.int/news-room/fact-sheets/detail/measles" TargetMode="External"/><Relationship Id="rId69" Type="http://schemas.openxmlformats.org/officeDocument/2006/relationships/hyperlink" Target="https://dailymed.nlm.nih.gov/dailymed/search.cfm?labeltype=all&amp;query=bortezomib" TargetMode="External"/><Relationship Id="rId70" Type="http://schemas.openxmlformats.org/officeDocument/2006/relationships/hyperlink" Target="https://dailymed.nlm.nih.gov/dailymed/search.cfm?labeltype=all&amp;query=doxorubicin" TargetMode="External"/><Relationship Id="rId71" Type="http://schemas.openxmlformats.org/officeDocument/2006/relationships/hyperlink" Target="https://dailymed.nlm.nih.gov/dailymed/search.cfm?labeltype=all&amp;query=azacitidine" TargetMode="External"/><Relationship Id="rId72" Type="http://schemas.openxmlformats.org/officeDocument/2006/relationships/hyperlink" Target="https://dailymed.nlm.nih.gov/dailymed/search.cfm?labeltype=all&amp;query=phenylephrine+hydrochloride+injection" TargetMode="External"/><Relationship Id="rId73" Type="http://schemas.openxmlformats.org/officeDocument/2006/relationships/hyperlink" Target="https://dailymed.nlm.nih.gov/dailymed/search.cfm?labeltype=all&amp;query=isoproterenol" TargetMode="External"/><Relationship Id="rId74" Type="http://schemas.openxmlformats.org/officeDocument/2006/relationships/hyperlink" Target="https://dailymed.nlm.nih.gov/dailymed/search.cfm?labeltype=all&amp;query=bleomycin" TargetMode="External"/><Relationship Id="rId75" Type="http://schemas.openxmlformats.org/officeDocument/2006/relationships/hyperlink" Target="https://dailymed.nlm.nih.gov/dailymed/search.cfm?labeltype=all&amp;query=cefepime" TargetMode="External"/><Relationship Id="rId76" Type="http://schemas.openxmlformats.org/officeDocument/2006/relationships/hyperlink" Target="https://list.essentialmeds.org/?query=streptokinase" TargetMode="External"/><Relationship Id="rId77" Type="http://schemas.openxmlformats.org/officeDocument/2006/relationships/hyperlink" Target="https://www.medicines.org.uk/emc/search?q=teicoplanin" TargetMode="External"/><Relationship Id="rId78" Type="http://schemas.openxmlformats.org/officeDocument/2006/relationships/hyperlink" Target="https://dailymed.nlm.nih.gov/dailymed/search.cfm?labeltype=all&amp;query=testosterone+undecanoate" TargetMode="External"/><Relationship Id="rId79" Type="http://schemas.openxmlformats.org/officeDocument/2006/relationships/hyperlink" Target="https://dailymed.nlm.nih.gov/dailymed/search.cfm?labeltype=all&amp;query=vinorelbine" TargetMode="External"/><Relationship Id="rId80" Type="http://schemas.openxmlformats.org/officeDocument/2006/relationships/hyperlink" Target="https://dailymed.nlm.nih.gov/dailymed/search.cfm?labeltype=all&amp;query=medroxyprogesterone+acetate+injectable"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neostigmine" TargetMode="External"/><Relationship Id="rId101" Type="http://schemas.openxmlformats.org/officeDocument/2006/relationships/hyperlink" Target="https://dailymed.nlm.nih.gov/dailymed/search.cfm?labeltype=all&amp;query=naloxone+hydrochloride+injection" TargetMode="External"/><Relationship Id="rId102" Type="http://schemas.openxmlformats.org/officeDocument/2006/relationships/hyperlink" Target="https://dailymed.nlm.nih.gov/dailymed/search.cfm?labeltype=all&amp;query=ephedrine+sulfate+injection" TargetMode="External"/><Relationship Id="rId103" Type="http://schemas.openxmlformats.org/officeDocument/2006/relationships/hyperlink" Target="https://dailymed.nlm.nih.gov/dailymed/search.cfm?labeltype=all&amp;query=diazepam+injecti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triamcinolone+acetonide+injectable+suspension" TargetMode="External"/><Relationship Id="rId106" Type="http://schemas.openxmlformats.org/officeDocument/2006/relationships/hyperlink" Target="https://dailymed.nlm.nih.gov/dailymed/search.cfm?labeltype=all&amp;query=ferric+carboxymaltose"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propofol" TargetMode="External"/><Relationship Id="rId118" Type="http://schemas.openxmlformats.org/officeDocument/2006/relationships/hyperlink" Target="https://dailymed.nlm.nih.gov/dailymed/search.cfm?labeltype=all&amp;query=pantoprazole+sodium+for+injection"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isoproterenol"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ondansetron+injection" TargetMode="External"/><Relationship Id="rId123" Type="http://schemas.openxmlformats.org/officeDocument/2006/relationships/hyperlink" Target="https://dailymed.nlm.nih.gov/dailymed/search.cfm?labeltype=all&amp;query=colistimethate" TargetMode="External"/><Relationship Id="rId124" Type="http://schemas.openxmlformats.org/officeDocument/2006/relationships/hyperlink" Target="https://dailymed.nlm.nih.gov/dailymed/search.cfm?labeltype=all&amp;query=acetazolamide" TargetMode="External"/><Relationship Id="rId125" Type="http://schemas.openxmlformats.org/officeDocument/2006/relationships/hyperlink" Target="https://dailymed.nlm.nih.gov/dailymed/search.cfm?labeltype=all&amp;query=neostigmine" TargetMode="External"/><Relationship Id="rId126" Type="http://schemas.openxmlformats.org/officeDocument/2006/relationships/hyperlink" Target="https://dailymed.nlm.nih.gov/dailymed/search.cfm?labeltype=all&amp;query=ampicillin" TargetMode="External"/><Relationship Id="rId127" Type="http://schemas.openxmlformats.org/officeDocument/2006/relationships/hyperlink" Target="https://dailymed.nlm.nih.gov/dailymed/search.cfm?labeltype=all&amp;query=fulvestrant" TargetMode="External"/><Relationship Id="rId128" Type="http://schemas.openxmlformats.org/officeDocument/2006/relationships/hyperlink" Target="https://dailymed.nlm.nih.gov/dailymed/search.cfm?labeltype=all&amp;query=sugammadex"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eribulin" TargetMode="External"/><Relationship Id="rId131" Type="http://schemas.openxmlformats.org/officeDocument/2006/relationships/hyperlink" Target="https://dailymed.nlm.nih.gov/dailymed/search.cfm?labeltype=all&amp;query=azacitidine" TargetMode="External"/><Relationship Id="rId132" Type="http://schemas.openxmlformats.org/officeDocument/2006/relationships/hyperlink" Target="https://dailymed.nlm.nih.gov/dailymed/search.cfm?labeltype=all&amp;query=plerixafor"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sodium+bicarbonate+injection" TargetMode="External"/><Relationship Id="rId147" Type="http://schemas.openxmlformats.org/officeDocument/2006/relationships/hyperlink" Target="https://dailymed.nlm.nih.gov/dailymed/search.cfm?labeltype=all&amp;query=chlorpromazine" TargetMode="External"/><Relationship Id="rId148" Type="http://schemas.openxmlformats.org/officeDocument/2006/relationships/hyperlink" Target="https://dailymed.nlm.nih.gov/dailymed/search.cfm?labeltype=all&amp;query=succinylcholine" TargetMode="External"/><Relationship Id="rId149" Type="http://schemas.openxmlformats.org/officeDocument/2006/relationships/hyperlink" Target="https://dailymed.nlm.nih.gov/dailymed/search.cfm?labeltype=all&amp;query=propofol" TargetMode="External"/><Relationship Id="rId150" Type="http://schemas.openxmlformats.org/officeDocument/2006/relationships/hyperlink" Target="https://dailymed.nlm.nih.gov/dailymed/search.cfm?labeltype=all&amp;query=lidocaine+hydrochloride+injection" TargetMode="External"/><Relationship Id="rId151" Type="http://schemas.openxmlformats.org/officeDocument/2006/relationships/hyperlink" Target="https://dailymed.nlm.nih.gov/dailymed/search.cfm?labeltype=all&amp;query=glycopyrrolate+injection" TargetMode="External"/><Relationship Id="rId152" Type="http://schemas.openxmlformats.org/officeDocument/2006/relationships/hyperlink" Target="https://dailymed.nlm.nih.gov/dailymed/search.cfm?labeltype=all&amp;query=palonosetr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dailymed.nlm.nih.gov/dailymed/search.cfm?labeltype=all&amp;query=cyclophosphamide" TargetMode="External"/><Relationship Id="rId177" Type="http://schemas.openxmlformats.org/officeDocument/2006/relationships/hyperlink" Target="https://dailymed.nlm.nih.gov/dailymed/search.cfm?labeltype=all&amp;query=bleomycin" TargetMode="External"/><Relationship Id="rId178" Type="http://schemas.openxmlformats.org/officeDocument/2006/relationships/hyperlink" Target="https://dailymed.nlm.nih.gov/dailymed/search.cfm?labeltype=all&amp;query=ranibizumab" TargetMode="External"/><Relationship Id="rId179" Type="http://schemas.openxmlformats.org/officeDocument/2006/relationships/hyperlink" Target="https://dailymed.nlm.nih.gov/dailymed/search.cfm?labeltype=all&amp;query=idarubicin" TargetMode="External"/><Relationship Id="rId180" Type="http://schemas.openxmlformats.org/officeDocument/2006/relationships/hyperlink" Target="https://dailymed.nlm.nih.gov/dailymed/search.cfm?labeltype=all&amp;query=tigecycline" TargetMode="External"/><Relationship Id="rId181" Type="http://schemas.openxmlformats.org/officeDocument/2006/relationships/hyperlink" Target="https://dailymed.nlm.nih.gov/dailymed/search.cfm?labeltype=all&amp;query=palonosetron" TargetMode="External"/><Relationship Id="rId182" Type="http://schemas.openxmlformats.org/officeDocument/2006/relationships/hyperlink" Target="https://dailymed.nlm.nih.gov/dailymed/search.cfm?labeltype=all&amp;query=argatroban" TargetMode="External"/><Relationship Id="rId183" Type="http://schemas.openxmlformats.org/officeDocument/2006/relationships/hyperlink" Target="https://dailymed.nlm.nih.gov/dailymed/search.cfm?labeltype=all&amp;query=bivalirudin" TargetMode="External"/><Relationship Id="rId184" Type="http://schemas.openxmlformats.org/officeDocument/2006/relationships/hyperlink" Target="https://dailymed.nlm.nih.gov/dailymed/search.cfm?labeltype=all&amp;query=epinephrine+injection" TargetMode="External"/><Relationship Id="rId185" Type="http://schemas.openxmlformats.org/officeDocument/2006/relationships/hyperlink" Target="https://dailymed.nlm.nih.gov/dailymed/search.cfm?labeltype=all&amp;query=atropine" TargetMode="External"/><Relationship Id="rId186" Type="http://schemas.openxmlformats.org/officeDocument/2006/relationships/hyperlink" Target="https://dailymed.nlm.nih.gov/dailymed/search.cfm?labeltype=all&amp;query=pantoprazole+sodium+for+injection" TargetMode="External"/><Relationship Id="rId187" Type="http://schemas.openxmlformats.org/officeDocument/2006/relationships/hyperlink" Target="https://dailymed.nlm.nih.gov/dailymed/search.cfm?labeltype=all&amp;query=mitoxantrone"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ibandronate+injection" TargetMode="External"/><Relationship Id="rId190" Type="http://schemas.openxmlformats.org/officeDocument/2006/relationships/hyperlink" Target="https://dailymed.nlm.nih.gov/dailymed/search.cfm?labeltype=all&amp;query=amiodarone" TargetMode="External"/><Relationship Id="rId191" Type="http://schemas.openxmlformats.org/officeDocument/2006/relationships/hyperlink" Target="https://dailymed.nlm.nih.gov/dailymed/search.cfm?labeltype=all&amp;query=vinorelbine"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someprazole+sodium" TargetMode="External"/><Relationship Id="rId194" Type="http://schemas.openxmlformats.org/officeDocument/2006/relationships/hyperlink" Target="https://dailymed.nlm.nih.gov/dailymed/search.cfm?labeltype=all&amp;query=degarelix" TargetMode="External"/><Relationship Id="rId195" Type="http://schemas.openxmlformats.org/officeDocument/2006/relationships/hyperlink" Target="https://dailymed.nlm.nih.gov/dailymed/search.cfm?labeltype=all&amp;query=midazolam+injection" TargetMode="External"/><Relationship Id="rId196" Type="http://schemas.openxmlformats.org/officeDocument/2006/relationships/hyperlink" Target="https://dailymed.nlm.nih.gov/dailymed/search.cfm?labeltype=all&amp;query=cefepime" TargetMode="External"/><Relationship Id="rId197" Type="http://schemas.openxmlformats.org/officeDocument/2006/relationships/hyperlink" Target="https://dailymed.nlm.nih.gov/dailymed/search.cfm?labeltype=all&amp;query=rocuronium" TargetMode="External"/><Relationship Id="rId198" Type="http://schemas.openxmlformats.org/officeDocument/2006/relationships/hyperlink" Target="https://dailymed.nlm.nih.gov/dailymed/search.cfm?labeltype=all&amp;query=cytarabine"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www.medicines.org.uk/emc/search?q=flucloxacillin" TargetMode="External"/><Relationship Id="rId201" Type="http://schemas.openxmlformats.org/officeDocument/2006/relationships/hyperlink" Target="https://dailymed.nlm.nih.gov/dailymed/search.cfm?labeltype=all&amp;query=colistimethate" TargetMode="External"/><Relationship Id="rId202" Type="http://schemas.openxmlformats.org/officeDocument/2006/relationships/hyperlink" Target="https://www.medicines.org.uk/emc/search?q=atracurium" TargetMode="External"/><Relationship Id="rId203" Type="http://schemas.openxmlformats.org/officeDocument/2006/relationships/hyperlink" Target="https://dailymed.nlm.nih.gov/dailymed/search.cfm?labeltype=all&amp;query=regadenoson"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www.medicines.org.uk/emc/search?q=hydroxocobalamin" TargetMode="External"/><Relationship Id="rId206" Type="http://schemas.openxmlformats.org/officeDocument/2006/relationships/hyperlink" Target="https://dailymed.nlm.nih.gov/dailymed/search.cfm?labeltype=all&amp;query=naloxone+hydrochloride+injection" TargetMode="External"/><Relationship Id="rId207" Type="http://schemas.openxmlformats.org/officeDocument/2006/relationships/hyperlink" Target="https://dailymed.nlm.nih.gov/dailymed/search.cfm?labeltype=all&amp;query=ceftriaxone" TargetMode="External"/><Relationship Id="rId208" Type="http://schemas.openxmlformats.org/officeDocument/2006/relationships/hyperlink" Target="https://dailymed.nlm.nih.gov/dailymed/search.cfm?labeltype=all&amp;query=lidocaine+hydrochloride+injection" TargetMode="External"/><Relationship Id="rId209" Type="http://schemas.openxmlformats.org/officeDocument/2006/relationships/hyperlink" Target="https://www.medicines.org.uk/emc/search?q=teicoplanin" TargetMode="External"/><Relationship Id="rId210" Type="http://schemas.openxmlformats.org/officeDocument/2006/relationships/hyperlink" Target="https://dailymed.nlm.nih.gov/dailymed/search.cfm?labeltype=all&amp;query=phenylephrine+hydrochloride+injection" TargetMode="External"/><Relationship Id="rId211" Type="http://schemas.openxmlformats.org/officeDocument/2006/relationships/hyperlink" Target="https://dailymed.nlm.nih.gov/dailymed/search.cfm?labeltype=all&amp;query=phenytoin+sodium+injection" TargetMode="External"/><Relationship Id="rId212" Type="http://schemas.openxmlformats.org/officeDocument/2006/relationships/hyperlink" Target="https://dailymed.nlm.nih.gov/dailymed/search.cfm?labeltype=all&amp;query=succinylcho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diazepam+injection" TargetMode="External"/><Relationship Id="rId217" Type="http://schemas.openxmlformats.org/officeDocument/2006/relationships/hyperlink" Target="https://dailymed.nlm.nih.gov/dailymed/search.cfm?labeltype=all&amp;query=ertapene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meropenem" TargetMode="External"/><Relationship Id="rId220" Type="http://schemas.openxmlformats.org/officeDocument/2006/relationships/hyperlink" Target="https://www.medicines.org.uk/emc/search?q=teicoplanin" TargetMode="External"/><Relationship Id="rId221" Type="http://schemas.openxmlformats.org/officeDocument/2006/relationships/hyperlink" Target="https://dailymed.nlm.nih.gov/dailymed/search.cfm?labeltype=all&amp;query=milrinone" TargetMode="External"/><Relationship Id="rId222" Type="http://schemas.openxmlformats.org/officeDocument/2006/relationships/hyperlink" Target="https://dailymed.nlm.nih.gov/dailymed/search.cfm?labeltype=all&amp;query=testosterone+undecanoate" TargetMode="External"/><Relationship Id="rId223" Type="http://schemas.openxmlformats.org/officeDocument/2006/relationships/hyperlink" Target="https://dailymed.nlm.nih.gov/dailymed/search.cfm?labeltype=all&amp;query=cisatracurium" TargetMode="External"/><Relationship Id="rId224" Type="http://schemas.openxmlformats.org/officeDocument/2006/relationships/hyperlink" Target="https://dailymed.nlm.nih.gov/dailymed/search.cfm?labeltype=all&amp;query=ephedrine+sulfate+injection" TargetMode="External"/><Relationship Id="rId225" Type="http://schemas.openxmlformats.org/officeDocument/2006/relationships/hyperlink" Target="https://dailymed.nlm.nih.gov/dailymed/search.cfm?labeltype=all&amp;query=oxytocin" TargetMode="External"/><Relationship Id="rId226" Type="http://schemas.openxmlformats.org/officeDocument/2006/relationships/hyperlink" Target="https://dailymed.nlm.nih.gov/dailymed/search.cfm?labeltype=all&amp;query=iron+sucrose" TargetMode="External"/><Relationship Id="rId227" Type="http://schemas.openxmlformats.org/officeDocument/2006/relationships/hyperlink" Target="https://dailymed.nlm.nih.gov/dailymed/search.cfm?labeltype=all&amp;query=olanzapine+for+injection" TargetMode="External"/><Relationship Id="rId228" Type="http://schemas.openxmlformats.org/officeDocument/2006/relationships/hyperlink" Target="https://dailymed.nlm.nih.gov/dailymed/search.cfm?labeltype=all&amp;query=cefazolin" TargetMode="External"/><Relationship Id="rId229" Type="http://schemas.openxmlformats.org/officeDocument/2006/relationships/hyperlink" Target="https://dailymed.nlm.nih.gov/dailymed/search.cfm?labeltype=all&amp;query=alfentanil" TargetMode="External"/><Relationship Id="rId230" Type="http://schemas.openxmlformats.org/officeDocument/2006/relationships/hyperlink" Target="https://dailymed.nlm.nih.gov/dailymed/search.cfm?labeltype=all&amp;query=famotidine+injection" TargetMode="External"/><Relationship Id="rId231" Type="http://schemas.openxmlformats.org/officeDocument/2006/relationships/hyperlink" Target="https://dailymed.nlm.nih.gov/dailymed/search.cfm?labeltype=all&amp;query=remifentanil" TargetMode="External"/><Relationship Id="rId232" Type="http://schemas.openxmlformats.org/officeDocument/2006/relationships/hyperlink" Target="https://dailymed.nlm.nih.gov/dailymed/search.cfm?labeltype=all&amp;query=fentanyl+citrate+injection" TargetMode="External"/><Relationship Id="rId233" Type="http://schemas.openxmlformats.org/officeDocument/2006/relationships/hyperlink" Target="https://dailymed.nlm.nih.gov/dailymed/search.cfm?labeltype=all&amp;query=droperidol"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lphalan+hydrochloride" TargetMode="External"/><Relationship Id="rId273" Type="http://schemas.openxmlformats.org/officeDocument/2006/relationships/hyperlink" Target="https://dailymed.nlm.nih.gov/dailymed/search.cfm?labeltype=all&amp;query=meropenem"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voriconazole" TargetMode="External"/><Relationship Id="rId289" Type="http://schemas.openxmlformats.org/officeDocument/2006/relationships/hyperlink" Target="https://dailymed.nlm.nih.gov/dailymed/search.cfm?labeltype=all&amp;query=granisetron" TargetMode="External"/><Relationship Id="rId290" Type="http://schemas.openxmlformats.org/officeDocument/2006/relationships/hyperlink" Target="https://dailymed.nlm.nih.gov/dailymed/search.cfm?labeltype=all&amp;query=levetiracetam+injection" TargetMode="External"/><Relationship Id="rId291" Type="http://schemas.openxmlformats.org/officeDocument/2006/relationships/hyperlink" Target="https://dailymed.nlm.nih.gov/dailymed/search.cfm?labeltype=all&amp;query=rocuronium"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remifentanil"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protamine" TargetMode="External"/><Relationship Id="rId309" Type="http://schemas.openxmlformats.org/officeDocument/2006/relationships/hyperlink" Target="https://www.medicines.org.uk/emc/search?q=hyoscine+hydrobromide+injection" TargetMode="External"/><Relationship Id="rId310" Type="http://schemas.openxmlformats.org/officeDocument/2006/relationships/hyperlink" Target="https://dailymed.nlm.nih.gov/dailymed/search.cfm?labeltype=all&amp;query=adenosine" TargetMode="External"/><Relationship Id="rId311" Type="http://schemas.openxmlformats.org/officeDocument/2006/relationships/hyperlink" Target="https://dailymed.nlm.nih.gov/dailymed/search.cfm?labeltype=all&amp;query=caffeine+citrate" TargetMode="External"/><Relationship Id="rId312" Type="http://schemas.openxmlformats.org/officeDocument/2006/relationships/hyperlink" Target="https://dailymed.nlm.nih.gov/dailymed/search.cfm?labeltype=all&amp;query=oxacillin" TargetMode="External"/><Relationship Id="rId313" Type="http://schemas.openxmlformats.org/officeDocument/2006/relationships/hyperlink" Target="https://dailymed.nlm.nih.gov/dailymed/search.cfm?labeltype=all&amp;query=morphine+sulfate+injection" TargetMode="External"/><Relationship Id="rId314" Type="http://schemas.openxmlformats.org/officeDocument/2006/relationships/hyperlink" Target="https://www.medicines.org.uk/emc/search?q=chlorphenamine+injection" TargetMode="External"/><Relationship Id="rId315" Type="http://schemas.openxmlformats.org/officeDocument/2006/relationships/hyperlink" Target="https://dailymed.nlm.nih.gov/dailymed/search.cfm?labeltype=all&amp;query=amikaci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cyanocobalamin+injection"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cisatracurium" TargetMode="External"/><Relationship Id="rId326" Type="http://schemas.openxmlformats.org/officeDocument/2006/relationships/hyperlink" Target="https://dailymed.nlm.nih.gov/dailymed/search.cfm?labeltype=all&amp;query=acetazolamide" TargetMode="External"/><Relationship Id="rId327" Type="http://schemas.openxmlformats.org/officeDocument/2006/relationships/hyperlink" Target="https://dailymed.nlm.nih.gov/dailymed/search.cfm?labeltype=all&amp;query=haloperidol+decanoate" TargetMode="External"/><Relationship Id="rId328" Type="http://schemas.openxmlformats.org/officeDocument/2006/relationships/hyperlink" Target="https://dailymed.nlm.nih.gov/dailymed/search.cfm?labeltype=all&amp;query=chlorpromazine" TargetMode="External"/><Relationship Id="rId329" Type="http://schemas.openxmlformats.org/officeDocument/2006/relationships/hyperlink" Target="https://dailymed.nlm.nih.gov/dailymed/search.cfm?labeltype=all&amp;query=succinylcholine" TargetMode="External"/><Relationship Id="rId330" Type="http://schemas.openxmlformats.org/officeDocument/2006/relationships/hyperlink" Target="https://dailymed.nlm.nih.gov/dailymed/search.cfm?labeltype=all&amp;query=iron+sucrose" TargetMode="External"/><Relationship Id="rId331" Type="http://schemas.openxmlformats.org/officeDocument/2006/relationships/hyperlink" Target="https://dailymed.nlm.nih.gov/dailymed/search.cfm?labeltype=all&amp;query=ondansetron+injection"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www.ema.europa.eu/en/documents/other/article-57-product-data_en.xlsx" TargetMode="External"/><Relationship Id="rId3" Type="http://schemas.openxmlformats.org/officeDocument/2006/relationships/hyperlink" Target="https://www.ema.europa.eu/en/documents/other/article-57-product-data_en.xlsx"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www.ema.europa.eu/en/documents/other/article-57-product-data_en.xlsx" TargetMode="External"/><Relationship Id="rId6" Type="http://schemas.openxmlformats.org/officeDocument/2006/relationships/hyperlink" Target="https://www.ema.europa.eu/en/documents/other/article-57-product-data_en.xlsx" TargetMode="External"/><Relationship Id="rId7" Type="http://schemas.openxmlformats.org/officeDocument/2006/relationships/hyperlink" Target="https://www.ema.europa.eu/en/documents/other/article-57-product-data_en.xlsx" TargetMode="External"/><Relationship Id="rId8" Type="http://schemas.openxmlformats.org/officeDocument/2006/relationships/hyperlink" Target="https://www.ema.europa.eu/en/documents/other/article-57-product-data_en.xlsx" TargetMode="External"/><Relationship Id="rId9" Type="http://schemas.openxmlformats.org/officeDocument/2006/relationships/hyperlink" Target="https://www.ema.europa.eu/en/documents/other/article-57-product-data_en.xlsx" TargetMode="External"/><Relationship Id="rId10" Type="http://schemas.openxmlformats.org/officeDocument/2006/relationships/hyperlink" Target="https://base-donnees-publique.medicaments.gouv.fr/index.php?page=1&amp;choixRecherche=medicament&amp;txtCaracteres=Azacitidine%20Arrow&amp;action=show" TargetMode="External"/><Relationship Id="rId11" Type="http://schemas.openxmlformats.org/officeDocument/2006/relationships/hyperlink" Target="https://www.ema.europa.eu/en/documents/other/article-57-product-data_en.xlsx" TargetMode="External"/><Relationship Id="rId12" Type="http://schemas.openxmlformats.org/officeDocument/2006/relationships/hyperlink" Target="https://base-donnees-publique.medicaments.gouv.fr/index.php?page=1&amp;choixRecherche=medicament&amp;txtCaracteres=Bortezomib%20Arrow&amp;action=show" TargetMode="External"/><Relationship Id="rId13" Type="http://schemas.openxmlformats.org/officeDocument/2006/relationships/hyperlink" Target="https://www.ema.europa.eu/en/documents/other/article-57-product-data_en.xlsx" TargetMode="External"/><Relationship Id="rId14" Type="http://schemas.openxmlformats.org/officeDocument/2006/relationships/hyperlink" Target="https://www.ema.europa.eu/en/documents/other/article-57-product-data_en.xlsx" TargetMode="External"/><Relationship Id="rId15" Type="http://schemas.openxmlformats.org/officeDocument/2006/relationships/hyperlink" Target="https://www.ema.europa.eu/en/documents/other/article-57-product-data_en.xlsx" TargetMode="External"/><Relationship Id="rId16" Type="http://schemas.openxmlformats.org/officeDocument/2006/relationships/hyperlink" Target="https://www.ema.europa.eu/en/documents/other/article-57-product-data_en.xlsx" TargetMode="External"/><Relationship Id="rId17" Type="http://schemas.openxmlformats.org/officeDocument/2006/relationships/hyperlink" Target="https://base-donnees-publique.medicaments.gouv.fr/index.php?page=1&amp;choixRecherche=medicament&amp;txtCaracteres=Ceftazidime%20Arrow&amp;action=show"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base-donnees-publique.medicaments.gouv.fr/index.php?page=1&amp;choixRecherche=medicament&amp;txtCaracteres=Ceftriaxone%20Almus&amp;action=show" TargetMode="External"/><Relationship Id="rId20" Type="http://schemas.openxmlformats.org/officeDocument/2006/relationships/hyperlink" Target="https://www.ema.europa.eu/en/documents/other/article-57-product-data_en.xlsx" TargetMode="External"/><Relationship Id="rId21" Type="http://schemas.openxmlformats.org/officeDocument/2006/relationships/hyperlink" Target="https://www.ema.europa.eu/en/documents/other/article-57-product-data_en.xlsx" TargetMode="External"/><Relationship Id="rId22" Type="http://schemas.openxmlformats.org/officeDocument/2006/relationships/hyperlink" Target="https://www.ema.europa.eu/en/documents/other/article-57-product-data_en.xlsx" TargetMode="External"/><Relationship Id="rId23" Type="http://schemas.openxmlformats.org/officeDocument/2006/relationships/hyperlink" Target="https://www.ema.europa.eu/en/documents/other/article-57-product-data_en.xlsx"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base-donnees-publique.medicaments.gouv.fr/index.php?page=1&amp;choixRecherche=medicament&amp;txtCaracteres=Doxorubicine%20Arrow&amp;action=show" TargetMode="External"/><Relationship Id="rId26" Type="http://schemas.openxmlformats.org/officeDocument/2006/relationships/hyperlink" Target="https://www.ema.europa.eu/en/documents/other/article-57-product-data_en.xlsx" TargetMode="External"/><Relationship Id="rId27" Type="http://schemas.openxmlformats.org/officeDocument/2006/relationships/hyperlink" Target="https://base-donnees-publique.medicaments.gouv.fr/index.php?page=1&amp;choixRecherche=medicament&amp;txtCaracteres=Ephedrine%20Arrow&amp;action=show" TargetMode="External"/><Relationship Id="rId28" Type="http://schemas.openxmlformats.org/officeDocument/2006/relationships/hyperlink" Target="https://www.ema.europa.eu/en/documents/other/article-57-product-data_en.xlsx" TargetMode="External"/><Relationship Id="rId29" Type="http://schemas.openxmlformats.org/officeDocument/2006/relationships/hyperlink" Target="https://www.ema.europa.eu/en/documents/other/article-57-product-data_en.xlsx" TargetMode="External"/><Relationship Id="rId30" Type="http://schemas.openxmlformats.org/officeDocument/2006/relationships/hyperlink" Target="https://www.ema.europa.eu/en/documents/other/article-57-product-data_en.xlsx" TargetMode="External"/><Relationship Id="rId31" Type="http://schemas.openxmlformats.org/officeDocument/2006/relationships/hyperlink" Target="https://base-donnees-publique.medicaments.gouv.fr/index.php?page=1&amp;choixRecherche=medicament&amp;txtCaracteres=Ertapenem%20Arrow&amp;action=show" TargetMode="External"/><Relationship Id="rId32" Type="http://schemas.openxmlformats.org/officeDocument/2006/relationships/hyperlink" Target="https://www.ema.europa.eu/en/documents/other/article-57-product-data_en.xlsx" TargetMode="External"/><Relationship Id="rId33" Type="http://schemas.openxmlformats.org/officeDocument/2006/relationships/hyperlink" Target="https://www.ema.europa.eu/en/documents/other/article-57-product-data_en.xlsx" TargetMode="External"/><Relationship Id="rId34" Type="http://schemas.openxmlformats.org/officeDocument/2006/relationships/hyperlink" Target="https://base-donnees-publique.medicaments.gouv.fr/index.php?page=1&amp;choixRecherche=medicament&amp;txtCaracteres=Flucloxacilline&amp;action=show"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www.ema.europa.eu/en/documents/other/article-57-product-data_en.xlsx" TargetMode="External"/><Relationship Id="rId37" Type="http://schemas.openxmlformats.org/officeDocument/2006/relationships/hyperlink" Target="https://www.ema.europa.eu/en/documents/other/article-57-product-data_en.xlsx"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base-donnees-publique.medicaments.gouv.fr/index.php?page=1&amp;choixRecherche=medicament&amp;txtCaracteres=Fulvestrant%20Arrow&amp;action=show" TargetMode="External"/><Relationship Id="rId40" Type="http://schemas.openxmlformats.org/officeDocument/2006/relationships/hyperlink" Target="https://www.ema.europa.eu/en/documents/other/article-57-product-data_en.xlsx" TargetMode="External"/><Relationship Id="rId41" Type="http://schemas.openxmlformats.org/officeDocument/2006/relationships/hyperlink" Target="https://www.ema.europa.eu/en/documents/other/article-57-product-data_en.xlsx"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www.ema.europa.eu/en/documents/other/article-57-product-data_en.xlsx"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base-donnees-publique.medicaments.gouv.fr/index.php?page=1&amp;choixRecherche=medicament&amp;txtCaracteres=Meropenem&amp;action=show" TargetMode="External"/><Relationship Id="rId46" Type="http://schemas.openxmlformats.org/officeDocument/2006/relationships/hyperlink" Target="https://www.ema.europa.eu/en/documents/other/article-57-product-data_en.xlsx" TargetMode="External"/><Relationship Id="rId47" Type="http://schemas.openxmlformats.org/officeDocument/2006/relationships/hyperlink" Target="https://www.ema.europa.eu/en/documents/other/article-57-product-data_en.xlsx" TargetMode="External"/><Relationship Id="rId48" Type="http://schemas.openxmlformats.org/officeDocument/2006/relationships/hyperlink" Target="https://www.ema.europa.eu/en/documents/other/article-57-product-data_en.xlsx" TargetMode="External"/><Relationship Id="rId49" Type="http://schemas.openxmlformats.org/officeDocument/2006/relationships/hyperlink" Target="https://www.ema.europa.eu/en/documents/other/article-57-product-data_en.xlsx" TargetMode="External"/><Relationship Id="rId50" Type="http://schemas.openxmlformats.org/officeDocument/2006/relationships/hyperlink" Target="https://www.ema.europa.eu/en/documents/other/article-57-product-data_en.xlsx"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www.ema.europa.eu/en/documents/other/article-57-product-data_en.xlsx" TargetMode="External"/><Relationship Id="rId53" Type="http://schemas.openxmlformats.org/officeDocument/2006/relationships/hyperlink" Target="https://www.ema.europa.eu/en/documents/other/article-57-product-data_en.xlsx"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www.ema.europa.eu/en/documents/other/article-57-product-data_en.xlsx" TargetMode="External"/><Relationship Id="rId56" Type="http://schemas.openxmlformats.org/officeDocument/2006/relationships/hyperlink" Target="https://base-donnees-publique.medicaments.gouv.fr/index.php?page=1&amp;choixRecherche=medicament&amp;txtCaracteres=Pantoprazole%20Arrow&amp;action=show" TargetMode="External"/><Relationship Id="rId57" Type="http://schemas.openxmlformats.org/officeDocument/2006/relationships/hyperlink" Target="https://www.ema.europa.eu/en/documents/other/article-57-product-data_en.xlsx" TargetMode="External"/><Relationship Id="rId58" Type="http://schemas.openxmlformats.org/officeDocument/2006/relationships/hyperlink" Target="https://base-donnees-publique.medicaments.gouv.fr/index.php?page=1&amp;choixRecherche=medicament&amp;txtCaracteres=Plerixafor%20Arrow&amp;action=show" TargetMode="External"/><Relationship Id="rId59" Type="http://schemas.openxmlformats.org/officeDocument/2006/relationships/hyperlink" Target="https://www.ema.europa.eu/en/documents/other/article-57-product-data_en.xlsx" TargetMode="External"/><Relationship Id="rId60" Type="http://schemas.openxmlformats.org/officeDocument/2006/relationships/hyperlink" Target="https://www.ema.europa.eu/en/documents/other/article-57-product-data_en.xlsx" TargetMode="External"/><Relationship Id="rId61" Type="http://schemas.openxmlformats.org/officeDocument/2006/relationships/hyperlink" Target="https://www.ema.europa.eu/en/documents/other/article-57-product-data_en.xlsx"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www.ema.europa.eu/en/documents/other/article-57-product-data_en.xlsx" TargetMode="External"/><Relationship Id="rId64" Type="http://schemas.openxmlformats.org/officeDocument/2006/relationships/hyperlink" Target="https://www.ema.europa.eu/en/documents/other/article-57-product-data_en.xlsx"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www.ema.europa.eu/en/documents/other/article-57-product-data_en.xlsx" TargetMode="External"/><Relationship Id="rId67" Type="http://schemas.openxmlformats.org/officeDocument/2006/relationships/hyperlink" Target="https://www.ema.europa.eu/en/documents/other/article-57-product-data_en.xlsx" TargetMode="External"/><Relationship Id="rId68" Type="http://schemas.openxmlformats.org/officeDocument/2006/relationships/hyperlink" Target="https://base-donnees-publique.medicaments.gouv.fr/index.php?page=1&amp;choixRecherche=medicament&amp;txtCaracteres=Acide%20Tranexamique&amp;action=show" TargetMode="External"/><Relationship Id="rId69" Type="http://schemas.openxmlformats.org/officeDocument/2006/relationships/hyperlink" Target="https://www.ema.europa.eu/en/documents/other/article-57-product-data_en.xlsx"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www.ema.europa.eu/en/documents/other/article-57-product-data_en.xlsx"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base-donnees-publique.medicaments.gouv.fr/index.php?page=1&amp;choixRecherche=medicament&amp;txtCaracteres=Vinorelbine&amp;action=show" TargetMode="External"/><Relationship Id="rId74" Type="http://schemas.openxmlformats.org/officeDocument/2006/relationships/hyperlink" Target="https://www.ema.europa.eu/en/documents/other/article-57-product-data_en.xlsx" TargetMode="External"/><Relationship Id="rId75" Type="http://schemas.openxmlformats.org/officeDocument/2006/relationships/hyperlink" Target="https://www.ema.europa.eu/en/documents/other/article-57-product-data_en.xlsx" TargetMode="External"/><Relationship Id="rId76" Type="http://schemas.openxmlformats.org/officeDocument/2006/relationships/hyperlink" Target="https://www.ema.europa.eu/en/documents/other/article-57-product-data_en.xlsx" TargetMode="External"/><Relationship Id="rId77" Type="http://schemas.openxmlformats.org/officeDocument/2006/relationships/hyperlink" Target="https://www.ema.europa.eu/en/documents/other/article-57-product-data_en.xlsx"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www.ema.europa.eu/en/documents/other/article-57-product-data_en.xlsx" TargetMode="External"/><Relationship Id="rId80" Type="http://schemas.openxmlformats.org/officeDocument/2006/relationships/hyperlink" Target="https://www.ema.europa.eu/en/documents/other/article-57-product-data_en.xlsx" TargetMode="External"/><Relationship Id="rId81" Type="http://schemas.openxmlformats.org/officeDocument/2006/relationships/hyperlink" Target="https://www.ema.europa.eu/en/documents/other/article-57-product-data_en.xlsx" TargetMode="External"/><Relationship Id="rId82" Type="http://schemas.openxmlformats.org/officeDocument/2006/relationships/hyperlink" Target="https://www.ema.europa.eu/en/documents/other/article-57-product-data_en.xlsx"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www.ema.europa.eu/en/documents/other/article-57-product-data_en.xlsx" TargetMode="External"/><Relationship Id="rId85" Type="http://schemas.openxmlformats.org/officeDocument/2006/relationships/hyperlink" Target="https://www.ema.europa.eu/en/documents/other/article-57-product-data_en.xlsx" TargetMode="External"/><Relationship Id="rId86" Type="http://schemas.openxmlformats.org/officeDocument/2006/relationships/hyperlink" Target="https://www.ema.europa.eu/en/documents/other/article-57-product-data_en.xlsx" TargetMode="External"/><Relationship Id="rId87" Type="http://schemas.openxmlformats.org/officeDocument/2006/relationships/hyperlink" Target="https://www.ema.europa.eu/en/documents/other/article-57-product-data_en.xlsx" TargetMode="External"/><Relationship Id="rId88" Type="http://schemas.openxmlformats.org/officeDocument/2006/relationships/hyperlink" Target="https://www.ema.europa.eu/en/documents/other/article-57-product-data_en.xlsx"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ema.europa.eu/en/documents/other/article-57-product-data_en.xlsx"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ema.europa.eu/en/documents/other/article-57-product-data_en.xlsx" TargetMode="External"/><Relationship Id="rId93" Type="http://schemas.openxmlformats.org/officeDocument/2006/relationships/hyperlink" Target="https://www.ema.europa.eu/en/documents/other/article-57-product-data_en.xlsx"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ema.europa.eu/en/documents/other/article-57-product-data_en.xlsx" TargetMode="External"/><Relationship Id="rId96" Type="http://schemas.openxmlformats.org/officeDocument/2006/relationships/hyperlink" Target="https://www.ema.europa.eu/en/documents/other/article-57-product-data_en.xlsx" TargetMode="External"/><Relationship Id="rId97" Type="http://schemas.openxmlformats.org/officeDocument/2006/relationships/hyperlink" Target="https://www.ema.europa.eu/en/documents/other/article-57-product-data_en.xlsx" TargetMode="External"/><Relationship Id="rId98" Type="http://schemas.openxmlformats.org/officeDocument/2006/relationships/hyperlink" Target="https://www.ema.europa.eu/en/medicines/human/EPAR/azacitidine-betapharm" TargetMode="External"/><Relationship Id="rId99" Type="http://schemas.openxmlformats.org/officeDocument/2006/relationships/hyperlink" Target="https://base-donnees-publique.medicaments.gouv.fr/index.php?page=1&amp;choixRecherche=medicament&amp;txtCaracteres=Azacitidine%20Reddy&amp;action=show" TargetMode="External"/><Relationship Id="rId100" Type="http://schemas.openxmlformats.org/officeDocument/2006/relationships/hyperlink" Target="https://www.ema.europa.eu/en/documents/other/article-57-product-data_en.xlsx" TargetMode="External"/><Relationship Id="rId101" Type="http://schemas.openxmlformats.org/officeDocument/2006/relationships/hyperlink" Target="https://www.ema.europa.eu/en/documents/other/article-57-product-data_en.xlsx" TargetMode="External"/><Relationship Id="rId102" Type="http://schemas.openxmlformats.org/officeDocument/2006/relationships/hyperlink" Target="https://base-donnees-publique.medicaments.gouv.fr/index.php?page=1&amp;choixRecherche=medicament&amp;txtCaracteres=Bortezomib&amp;action=show" TargetMode="External"/><Relationship Id="rId103" Type="http://schemas.openxmlformats.org/officeDocument/2006/relationships/hyperlink" Target="https://www.ema.europa.eu/en/documents/other/article-57-product-data_en.xlsx" TargetMode="External"/><Relationship Id="rId104" Type="http://schemas.openxmlformats.org/officeDocument/2006/relationships/hyperlink" Target="https://www.ema.europa.eu/en/documents/other/article-57-product-data_en.xlsx" TargetMode="External"/><Relationship Id="rId105" Type="http://schemas.openxmlformats.org/officeDocument/2006/relationships/hyperlink" Target="https://base-donnees-publique.medicaments.gouv.fr/index.php?page=1&amp;choixRecherche=medicament&amp;txtCaracteres=Cyclophosphamide%20Reddy&amp;action=show" TargetMode="External"/><Relationship Id="rId106" Type="http://schemas.openxmlformats.org/officeDocument/2006/relationships/hyperlink" Target="https://www.ema.europa.eu/en/documents/other/article-57-product-data_en.xlsx" TargetMode="External"/><Relationship Id="rId107" Type="http://schemas.openxmlformats.org/officeDocument/2006/relationships/hyperlink" Target="https://base-donnees-publique.medicaments.gouv.fr/index.php?page=1&amp;choixRecherche=medicament&amp;txtCaracteres=Daptomycine%20Reddy&amp;action=show" TargetMode="External"/><Relationship Id="rId108" Type="http://schemas.openxmlformats.org/officeDocument/2006/relationships/hyperlink" Target="https://www.ema.europa.eu/en/documents/other/article-57-product-data_en.xlsx" TargetMode="External"/><Relationship Id="rId109" Type="http://schemas.openxmlformats.org/officeDocument/2006/relationships/hyperlink" Target="https://www.ema.europa.eu/en/documents/other/article-57-product-data_en.xlsx" TargetMode="External"/><Relationship Id="rId110" Type="http://schemas.openxmlformats.org/officeDocument/2006/relationships/hyperlink" Target="https://www.ema.europa.eu/en/documents/other/article-57-product-data_en.xlsx" TargetMode="External"/><Relationship Id="rId111" Type="http://schemas.openxmlformats.org/officeDocument/2006/relationships/hyperlink" Target="https://www.ema.europa.eu/en/documents/other/article-57-product-data_en.xlsx" TargetMode="External"/><Relationship Id="rId112" Type="http://schemas.openxmlformats.org/officeDocument/2006/relationships/hyperlink" Target="https://www.ema.europa.eu/en/documents/other/article-57-product-data_en.xlsx" TargetMode="External"/><Relationship Id="rId113" Type="http://schemas.openxmlformats.org/officeDocument/2006/relationships/hyperlink" Target="https://www.ema.europa.eu/en/documents/other/article-57-product-data_en.xlsx" TargetMode="External"/><Relationship Id="rId114" Type="http://schemas.openxmlformats.org/officeDocument/2006/relationships/hyperlink" Target="https://www.ema.europa.eu/en/documents/other/article-57-product-data_en.xlsx" TargetMode="External"/><Relationship Id="rId115" Type="http://schemas.openxmlformats.org/officeDocument/2006/relationships/hyperlink" Target="https://www.ema.europa.eu/en/documents/other/article-57-product-data_en.xlsx" TargetMode="External"/><Relationship Id="rId116" Type="http://schemas.openxmlformats.org/officeDocument/2006/relationships/hyperlink" Target="https://www.ema.europa.eu/en/documents/other/article-57-product-data_en.xlsx"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www.ema.europa.eu/en/documents/other/article-57-product-data_en.xlsx"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www.ema.europa.eu/en/documents/other/article-57-product-data_en.xlsx" TargetMode="External"/><Relationship Id="rId121" Type="http://schemas.openxmlformats.org/officeDocument/2006/relationships/hyperlink" Target="https://www.ema.europa.eu/en/documents/other/article-57-product-data_en.xlsx" TargetMode="External"/><Relationship Id="rId122" Type="http://schemas.openxmlformats.org/officeDocument/2006/relationships/hyperlink" Target="https://www.ema.europa.eu/en/documents/other/article-57-product-data_en.xlsx" TargetMode="External"/><Relationship Id="rId123" Type="http://schemas.openxmlformats.org/officeDocument/2006/relationships/hyperlink" Target="https://www.ema.europa.eu/en/documents/other/article-57-product-data_en.xlsx" TargetMode="External"/><Relationship Id="rId124" Type="http://schemas.openxmlformats.org/officeDocument/2006/relationships/hyperlink" Target="https://base-donnees-publique.medicaments.gouv.fr/index.php?page=1&amp;choixRecherche=medicament&amp;txtCaracteres=Sugammadex&amp;action=show" TargetMode="External"/><Relationship Id="rId125" Type="http://schemas.openxmlformats.org/officeDocument/2006/relationships/hyperlink" Target="https://www.ema.europa.eu/en/documents/other/article-57-product-data_en.xlsx" TargetMode="External"/><Relationship Id="rId126" Type="http://schemas.openxmlformats.org/officeDocument/2006/relationships/hyperlink" Target="https://www.ema.europa.eu/en/documents/other/article-57-product-data_en.xlsx" TargetMode="External"/><Relationship Id="rId127" Type="http://schemas.openxmlformats.org/officeDocument/2006/relationships/hyperlink" Target="https://www.ema.europa.eu/en/documents/other/article-57-product-data_en.xlsx" TargetMode="External"/><Relationship Id="rId128" Type="http://schemas.openxmlformats.org/officeDocument/2006/relationships/hyperlink" Target="https://www.ema.europa.eu/en/documents/other/article-57-product-data_en.xlsx" TargetMode="External"/><Relationship Id="rId129" Type="http://schemas.openxmlformats.org/officeDocument/2006/relationships/hyperlink" Target="https://www.ema.europa.eu/en/documents/other/article-57-product-data_en.xlsx" TargetMode="External"/><Relationship Id="rId130" Type="http://schemas.openxmlformats.org/officeDocument/2006/relationships/hyperlink" Target="https://www.ema.europa.eu/en/documents/other/article-57-product-data_en.xlsx" TargetMode="External"/><Relationship Id="rId131" Type="http://schemas.openxmlformats.org/officeDocument/2006/relationships/hyperlink" Target="https://base-donnees-publique.medicaments.gouv.fr/index.php?page=1&amp;choixRecherche=medicament&amp;txtCaracteres=Azacitidine%20Tillomed&amp;action=show"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base-donnees-publique.medicaments.gouv.fr/index.php?page=1&amp;choixRecherche=medicament&amp;txtCaracteres=Bortezomib%20Tillomed&amp;action=show" TargetMode="External"/><Relationship Id="rId134" Type="http://schemas.openxmlformats.org/officeDocument/2006/relationships/hyperlink" Target="https://www.ema.europa.eu/en/documents/other/article-57-product-data_en.xlsx" TargetMode="External"/><Relationship Id="rId135" Type="http://schemas.openxmlformats.org/officeDocument/2006/relationships/hyperlink" Target="https://www.ema.europa.eu/en/documents/other/article-57-product-data_en.xlsx" TargetMode="External"/><Relationship Id="rId136" Type="http://schemas.openxmlformats.org/officeDocument/2006/relationships/hyperlink" Target="https://www.ema.europa.eu/en/documents/other/article-57-product-data_en.xlsx" TargetMode="External"/><Relationship Id="rId137" Type="http://schemas.openxmlformats.org/officeDocument/2006/relationships/hyperlink" Target="https://base-donnees-publique.medicaments.gouv.fr/index.php?page=1&amp;choixRecherche=medicament&amp;txtCaracteres=Daptomycin%20Tillomed&amp;action=show" TargetMode="External"/><Relationship Id="rId138" Type="http://schemas.openxmlformats.org/officeDocument/2006/relationships/hyperlink" Target="https://www.ema.europa.eu/en/documents/other/article-57-product-data_en.xlsx" TargetMode="External"/><Relationship Id="rId139" Type="http://schemas.openxmlformats.org/officeDocument/2006/relationships/hyperlink" Target="https://base-donnees-publique.medicaments.gouv.fr/index.php?page=1&amp;choixRecherche=medicament&amp;txtCaracteres=Eribuline%20Tillomed&amp;action=show" TargetMode="External"/><Relationship Id="rId140" Type="http://schemas.openxmlformats.org/officeDocument/2006/relationships/hyperlink" Target="https://www.ema.europa.eu/en/documents/other/article-57-product-data_en.xlsx" TargetMode="External"/><Relationship Id="rId141" Type="http://schemas.openxmlformats.org/officeDocument/2006/relationships/hyperlink" Target="https://base-donnees-publique.medicaments.gouv.fr/index.php?page=1&amp;choixRecherche=medicament&amp;txtCaracteres=Esomeprazole%20Tillomed&amp;action=show"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base-donnees-publique.medicaments.gouv.fr/index.php?page=1&amp;choixRecherche=medicament&amp;txtCaracteres=Isoprenaline%20Chlorhydrate&amp;action=show" TargetMode="External"/><Relationship Id="rId144" Type="http://schemas.openxmlformats.org/officeDocument/2006/relationships/hyperlink" Target="https://www.ema.europa.eu/en/documents/other/article-57-product-data_en.xlsx" TargetMode="External"/><Relationship Id="rId145" Type="http://schemas.openxmlformats.org/officeDocument/2006/relationships/hyperlink" Target="https://base-donnees-publique.medicaments.gouv.fr/index.php?page=1&amp;choixRecherche=medicament&amp;txtCaracteres=Melphalan%20Tillomed&amp;action=show"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base-donnees-publique.medicaments.gouv.fr/index.php?page=1&amp;choixRecherche=medicament&amp;txtCaracteres=Milrinone%20Tillomed&amp;action=show" TargetMode="External"/><Relationship Id="rId148" Type="http://schemas.openxmlformats.org/officeDocument/2006/relationships/hyperlink" Target="https://www.ema.europa.eu/en/documents/other/article-57-product-data_en.xlsx" TargetMode="External"/><Relationship Id="rId149" Type="http://schemas.openxmlformats.org/officeDocument/2006/relationships/hyperlink" Target="https://www.ema.europa.eu/en/documents/other/article-57-product-data_en.xlsx" TargetMode="External"/><Relationship Id="rId150" Type="http://schemas.openxmlformats.org/officeDocument/2006/relationships/hyperlink" Target="https://www.ema.europa.eu/en/documents/other/article-57-product-data_en.xlsx" TargetMode="External"/><Relationship Id="rId151" Type="http://schemas.openxmlformats.org/officeDocument/2006/relationships/hyperlink" Target="https://base-donnees-publique.medicaments.gouv.fr/index.php?page=1&amp;choixRecherche=medicament&amp;txtCaracteres=Pantoprazole%20Tillomed&amp;action=show" TargetMode="External"/><Relationship Id="rId152" Type="http://schemas.openxmlformats.org/officeDocument/2006/relationships/hyperlink" Target="https://www.ema.europa.eu/en/documents/other/article-57-product-data_en.xlsx" TargetMode="External"/><Relationship Id="rId153" Type="http://schemas.openxmlformats.org/officeDocument/2006/relationships/hyperlink" Target="https://base-donnees-publique.medicaments.gouv.fr/index.php?page=1&amp;choixRecherche=medicament&amp;txtCaracteres=Pentamidine%20Tillomed&amp;action=show"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base-donnees-publique.medicaments.gouv.fr/index.php?page=1&amp;choixRecherche=medicament&amp;txtCaracteres=Plerixafor%20Tillomed&amp;action=show" TargetMode="External"/><Relationship Id="rId156" Type="http://schemas.openxmlformats.org/officeDocument/2006/relationships/hyperlink" Target="https://www.ema.europa.eu/en/documents/other/article-57-product-data_en.xlsx" TargetMode="External"/><Relationship Id="rId157" Type="http://schemas.openxmlformats.org/officeDocument/2006/relationships/hyperlink" Target="https://www.ema.europa.eu/en/documents/other/article-57-product-data_en.xlsx" TargetMode="External"/><Relationship Id="rId158" Type="http://schemas.openxmlformats.org/officeDocument/2006/relationships/hyperlink" Target="https://www.ema.europa.eu/en/documents/other/article-57-product-data_en.xlsx"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www.ema.europa.eu/en/documents/other/article-57-product-data_en.xlsx" TargetMode="External"/><Relationship Id="rId161" Type="http://schemas.openxmlformats.org/officeDocument/2006/relationships/hyperlink" Target="https://www.ema.europa.eu/en/documents/other/article-57-product-data_en.xlsx" TargetMode="External"/><Relationship Id="rId162" Type="http://schemas.openxmlformats.org/officeDocument/2006/relationships/hyperlink" Target="https://www.ema.europa.eu/en/documents/other/article-57-product-data_en.xlsx" TargetMode="External"/><Relationship Id="rId163" Type="http://schemas.openxmlformats.org/officeDocument/2006/relationships/hyperlink" Target="https://www.ema.europa.eu/en/documents/other/article-57-product-data_en.xlsx" TargetMode="External"/><Relationship Id="rId164" Type="http://schemas.openxmlformats.org/officeDocument/2006/relationships/hyperlink" Target="https://www.ema.europa.eu/en/documents/other/article-57-product-data_en.xlsx"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www.ema.europa.eu/en/documents/other/article-57-product-data_en.xlsx" TargetMode="External"/><Relationship Id="rId167" Type="http://schemas.openxmlformats.org/officeDocument/2006/relationships/hyperlink" Target="https://www.ema.europa.eu/en/documents/other/article-57-product-data_en.xlsx" TargetMode="External"/><Relationship Id="rId168" Type="http://schemas.openxmlformats.org/officeDocument/2006/relationships/hyperlink" Target="https://www.ema.europa.eu/en/documents/other/article-57-product-data_en.xlsx" TargetMode="External"/><Relationship Id="rId169" Type="http://schemas.openxmlformats.org/officeDocument/2006/relationships/hyperlink" Target="https://www.ema.europa.eu/en/documents/other/article-57-product-data_en.xlsx"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www.ema.europa.eu/en/documents/other/article-57-product-data_en.xlsx" TargetMode="External"/><Relationship Id="rId172" Type="http://schemas.openxmlformats.org/officeDocument/2006/relationships/hyperlink" Target="https://www.ema.europa.eu/en/documents/other/article-57-product-data_en.xlsx" TargetMode="External"/><Relationship Id="rId173" Type="http://schemas.openxmlformats.org/officeDocument/2006/relationships/hyperlink" Target="https://www.ema.europa.eu/en/documents/other/article-57-product-data_en.xlsx" TargetMode="External"/><Relationship Id="rId174" Type="http://schemas.openxmlformats.org/officeDocument/2006/relationships/hyperlink" Target="https://www.ema.europa.eu/en/documents/other/article-57-product-data_en.xlsx" TargetMode="External"/><Relationship Id="rId175" Type="http://schemas.openxmlformats.org/officeDocument/2006/relationships/hyperlink" Target="https://www.ema.europa.eu/en/documents/other/article-57-product-data_en.xlsx" TargetMode="External"/><Relationship Id="rId176" Type="http://schemas.openxmlformats.org/officeDocument/2006/relationships/hyperlink" Target="https://www.ema.europa.eu/en/documents/other/article-57-product-data_en.xlsx" TargetMode="External"/><Relationship Id="rId177" Type="http://schemas.openxmlformats.org/officeDocument/2006/relationships/hyperlink" Target="https://www.ema.europa.eu/en/documents/other/article-57-product-data_en.xlsx"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www.ema.europa.eu/en/documents/other/article-57-product-data_en.xlsx" TargetMode="External"/><Relationship Id="rId180" Type="http://schemas.openxmlformats.org/officeDocument/2006/relationships/hyperlink" Target="https://www.ema.europa.eu/en/documents/other/article-57-product-data_en.xlsx" TargetMode="External"/><Relationship Id="rId181" Type="http://schemas.openxmlformats.org/officeDocument/2006/relationships/hyperlink" Target="https://www.ema.europa.eu/en/documents/other/article-57-product-data_en.xlsx" TargetMode="External"/><Relationship Id="rId182" Type="http://schemas.openxmlformats.org/officeDocument/2006/relationships/hyperlink" Target="https://www.ema.europa.eu/en/documents/other/article-57-product-data_en.xlsx" TargetMode="External"/><Relationship Id="rId183" Type="http://schemas.openxmlformats.org/officeDocument/2006/relationships/hyperlink" Target="https://www.ema.europa.eu/en/documents/other/article-57-product-data_en.xlsx" TargetMode="External"/><Relationship Id="rId184" Type="http://schemas.openxmlformats.org/officeDocument/2006/relationships/hyperlink" Target="https://www.ema.europa.eu/en/documents/other/article-57-product-data_en.xlsx" TargetMode="External"/><Relationship Id="rId185" Type="http://schemas.openxmlformats.org/officeDocument/2006/relationships/hyperlink" Target="https://www.ema.europa.eu/en/documents/other/article-57-product-data_en.xlsx" TargetMode="External"/><Relationship Id="rId186" Type="http://schemas.openxmlformats.org/officeDocument/2006/relationships/hyperlink" Target="https://www.ema.europa.eu/en/documents/other/article-57-product-data_en.xlsx" TargetMode="External"/><Relationship Id="rId187" Type="http://schemas.openxmlformats.org/officeDocument/2006/relationships/hyperlink" Target="https://www.ema.europa.eu/en/documents/other/article-57-product-data_en.xlsx" TargetMode="External"/><Relationship Id="rId188" Type="http://schemas.openxmlformats.org/officeDocument/2006/relationships/hyperlink" Target="https://www.ema.europa.eu/en/documents/other/article-57-product-data_en.xlsx" TargetMode="External"/><Relationship Id="rId189" Type="http://schemas.openxmlformats.org/officeDocument/2006/relationships/hyperlink" Target="https://base-donnees-publique.medicaments.gouv.fr/index.php?page=1&amp;choixRecherche=medicament&amp;txtCaracteres=Argatroban%20Accord&amp;action=show"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www.ema.europa.eu/en/documents/other/article-57-product-data_en.xlsx" TargetMode="External"/><Relationship Id="rId192" Type="http://schemas.openxmlformats.org/officeDocument/2006/relationships/hyperlink" Target="https://base-donnees-publique.medicaments.gouv.fr/index.php?page=1&amp;choixRecherche=medicament&amp;txtCaracteres=Atropine%20Sulfate&amp;action=show" TargetMode="External"/><Relationship Id="rId193" Type="http://schemas.openxmlformats.org/officeDocument/2006/relationships/hyperlink" Target="https://www.ema.europa.eu/en/documents/other/article-57-product-data_en.xlsx" TargetMode="External"/><Relationship Id="rId194" Type="http://schemas.openxmlformats.org/officeDocument/2006/relationships/hyperlink" Target="https://www.ema.europa.eu/en/medicines/human/EPAR/azacitidine-accord" TargetMode="External"/><Relationship Id="rId195" Type="http://schemas.openxmlformats.org/officeDocument/2006/relationships/hyperlink" Target="https://www.ema.europa.eu/en/documents/other/article-57-product-data_en.xlsx" TargetMode="External"/><Relationship Id="rId196" Type="http://schemas.openxmlformats.org/officeDocument/2006/relationships/hyperlink" Target="https://base-donnees-publique.medicaments.gouv.fr/index.php?page=1&amp;choixRecherche=medicament&amp;txtCaracteres=Bivalirudine%20Accord&amp;action=show" TargetMode="External"/><Relationship Id="rId197" Type="http://schemas.openxmlformats.org/officeDocument/2006/relationships/hyperlink" Target="https://www.ema.europa.eu/en/documents/other/article-57-product-data_en.xlsx" TargetMode="External"/><Relationship Id="rId198" Type="http://schemas.openxmlformats.org/officeDocument/2006/relationships/hyperlink" Target="https://base-donnees-publique.medicaments.gouv.fr/index.php?page=1&amp;choixRecherche=medicament&amp;txtCaracteres=Bleomycine%20Accord&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www.ema.europa.eu/en/medicines/human/EPAR/bortezomib-accord" TargetMode="External"/><Relationship Id="rId201" Type="http://schemas.openxmlformats.org/officeDocument/2006/relationships/hyperlink" Target="https://www.ema.europa.eu/en/documents/other/article-57-product-data_en.xlsx" TargetMode="External"/><Relationship Id="rId202" Type="http://schemas.openxmlformats.org/officeDocument/2006/relationships/hyperlink" Target="https://base-donnees-publique.medicaments.gouv.fr/index.php?page=1&amp;choixRecherche=medicament&amp;txtCaracteres=Cefepime%20Accord&amp;action=show" TargetMode="External"/><Relationship Id="rId203" Type="http://schemas.openxmlformats.org/officeDocument/2006/relationships/hyperlink" Target="https://www.ema.europa.eu/en/documents/other/article-57-product-data_en.xlsx" TargetMode="External"/><Relationship Id="rId204" Type="http://schemas.openxmlformats.org/officeDocument/2006/relationships/hyperlink" Target="https://www.ema.europa.eu/en/documents/other/article-57-product-data_en.xlsx" TargetMode="External"/><Relationship Id="rId205" Type="http://schemas.openxmlformats.org/officeDocument/2006/relationships/hyperlink" Target="https://base-donnees-publique.medicaments.gouv.fr/index.php?page=1&amp;choixRecherche=medicament&amp;txtCaracteres=Cisatracurium%20Accord&amp;action=show" TargetMode="External"/><Relationship Id="rId206" Type="http://schemas.openxmlformats.org/officeDocument/2006/relationships/hyperlink" Target="https://www.ema.europa.eu/en/documents/other/article-57-product-data_en.xlsx" TargetMode="External"/><Relationship Id="rId207" Type="http://schemas.openxmlformats.org/officeDocument/2006/relationships/hyperlink" Target="https://base-donnees-publique.medicaments.gouv.fr/index.php?page=1&amp;choixRecherche=medicament&amp;txtCaracteres=Colistimethate%20Sodiqu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www.ema.europa.eu/en/documents/other/article-57-product-data_en.xlsx" TargetMode="External"/><Relationship Id="rId210" Type="http://schemas.openxmlformats.org/officeDocument/2006/relationships/hyperlink" Target="https://base-donnees-publique.medicaments.gouv.fr/index.php?page=1&amp;choixRecherche=medicament&amp;txtCaracteres=Cytarabine%20Accord&amp;action=show" TargetMode="External"/><Relationship Id="rId211" Type="http://schemas.openxmlformats.org/officeDocument/2006/relationships/hyperlink" Target="https://www.ema.europa.eu/en/documents/other/article-57-product-data_en.xlsx" TargetMode="External"/><Relationship Id="rId212" Type="http://schemas.openxmlformats.org/officeDocument/2006/relationships/hyperlink" Target="https://base-donnees-publique.medicaments.gouv.fr/index.php?page=1&amp;choixRecherche=medicament&amp;txtCaracteres=Daptomycine&amp;action=show" TargetMode="External"/><Relationship Id="rId213" Type="http://schemas.openxmlformats.org/officeDocument/2006/relationships/hyperlink" Target="https://www.ema.europa.eu/en/documents/other/article-57-product-data_en.xlsx" TargetMode="External"/><Relationship Id="rId214" Type="http://schemas.openxmlformats.org/officeDocument/2006/relationships/hyperlink" Target="https://www.ema.europa.eu/en/medicines/human/EPAR/degarelix-accord" TargetMode="External"/><Relationship Id="rId215" Type="http://schemas.openxmlformats.org/officeDocument/2006/relationships/hyperlink" Target="https://www.ema.europa.eu/en/documents/other/article-57-product-data_en.xlsx" TargetMode="External"/><Relationship Id="rId216" Type="http://schemas.openxmlformats.org/officeDocument/2006/relationships/hyperlink" Target="https://www.ema.europa.eu/en/medicines/human/EPAR/jubereq" TargetMode="External"/><Relationship Id="rId217" Type="http://schemas.openxmlformats.org/officeDocument/2006/relationships/hyperlink" Target="https://www.ema.europa.eu/en/documents/other/article-57-product-data_en.xlsx" TargetMode="External"/><Relationship Id="rId218" Type="http://schemas.openxmlformats.org/officeDocument/2006/relationships/hyperlink" Target="https://www.ema.europa.eu/en/medicines/human/EPAR/zolsketil-pegylated-liposomal" TargetMode="External"/><Relationship Id="rId219" Type="http://schemas.openxmlformats.org/officeDocument/2006/relationships/hyperlink" Target="https://base-donnees-publique.medicaments.gouv.fr/index.php?page=1&amp;choixRecherche=medicament&amp;txtCaracteres=Doxorubicine%20Accord&amp;action=show" TargetMode="External"/><Relationship Id="rId220" Type="http://schemas.openxmlformats.org/officeDocument/2006/relationships/hyperlink" Target="https://www.ema.europa.eu/en/documents/other/article-57-product-data_en.xlsx" TargetMode="External"/><Relationship Id="rId221" Type="http://schemas.openxmlformats.org/officeDocument/2006/relationships/hyperlink" Target="https://base-donnees-publique.medicaments.gouv.fr/index.php?page=1&amp;choixRecherche=medicament&amp;txtCaracteres=Adrenaline%20Accord&amp;action=show"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base-donnees-publique.medicaments.gouv.fr/index.php?page=1&amp;choixRecherche=medicament&amp;txtCaracteres=Epirubicine%20Accord&amp;action=show" TargetMode="External"/><Relationship Id="rId224" Type="http://schemas.openxmlformats.org/officeDocument/2006/relationships/hyperlink" Target="https://www.ema.europa.eu/en/documents/other/article-57-product-data_en.xlsx" TargetMode="External"/><Relationship Id="rId225" Type="http://schemas.openxmlformats.org/officeDocument/2006/relationships/hyperlink" Target="https://www.ema.europa.eu/en/medicines/human/EPAR/eptifibatide-accord" TargetMode="External"/><Relationship Id="rId226" Type="http://schemas.openxmlformats.org/officeDocument/2006/relationships/hyperlink" Target="https://www.ema.europa.eu/en/documents/other/article-57-product-data_en.xlsx" TargetMode="External"/><Relationship Id="rId227" Type="http://schemas.openxmlformats.org/officeDocument/2006/relationships/hyperlink" Target="https://www.ema.europa.eu/en/documents/other/article-57-product-data_en.xlsx"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www.ema.europa.eu/en/documents/other/article-57-product-data_en.xlsx" TargetMode="External"/><Relationship Id="rId230" Type="http://schemas.openxmlformats.org/officeDocument/2006/relationships/hyperlink" Target="https://base-donnees-publique.medicaments.gouv.fr/index.php?page=1&amp;choixRecherche=medicament&amp;txtCaracteres=Fludarabine%20Accord&amp;action=show" TargetMode="External"/><Relationship Id="rId231" Type="http://schemas.openxmlformats.org/officeDocument/2006/relationships/hyperlink" Target="https://www.ema.europa.eu/en/documents/other/article-57-product-data_en.xlsx" TargetMode="External"/><Relationship Id="rId232" Type="http://schemas.openxmlformats.org/officeDocument/2006/relationships/hyperlink" Target="https://base-donnees-publique.medicaments.gouv.fr/index.php?page=1&amp;choixRecherche=medicament&amp;txtCaracteres=Fluorouracile%20Accord&amp;action=show" TargetMode="External"/><Relationship Id="rId233" Type="http://schemas.openxmlformats.org/officeDocument/2006/relationships/hyperlink" Target="https://www.ema.europa.eu/en/documents/other/article-57-product-data_en.xlsx" TargetMode="External"/><Relationship Id="rId234" Type="http://schemas.openxmlformats.org/officeDocument/2006/relationships/hyperlink" Target="https://base-donnees-publique.medicaments.gouv.fr/index.php?page=1&amp;choixRecherche=medicament&amp;txtCaracteres=Fulvestrant%20Accord&amp;action=show" TargetMode="External"/><Relationship Id="rId235" Type="http://schemas.openxmlformats.org/officeDocument/2006/relationships/hyperlink" Target="https://www.ema.europa.eu/en/documents/other/article-57-product-data_en.xlsx" TargetMode="External"/><Relationship Id="rId236" Type="http://schemas.openxmlformats.org/officeDocument/2006/relationships/hyperlink" Target="https://www.ema.europa.eu/en/documents/other/article-57-product-data_en.xlsx" TargetMode="External"/><Relationship Id="rId237" Type="http://schemas.openxmlformats.org/officeDocument/2006/relationships/hyperlink" Target="https://www.ema.europa.eu/en/documents/other/article-57-product-data_en.xlsx" TargetMode="External"/><Relationship Id="rId238" Type="http://schemas.openxmlformats.org/officeDocument/2006/relationships/hyperlink" Target="https://www.ema.europa.eu/en/medicines/human/EPAR/ibandronic-acid-accord" TargetMode="External"/><Relationship Id="rId239" Type="http://schemas.openxmlformats.org/officeDocument/2006/relationships/hyperlink" Target="https://www.ema.europa.eu/en/documents/other/article-57-product-data_en.xlsx" TargetMode="External"/><Relationship Id="rId240" Type="http://schemas.openxmlformats.org/officeDocument/2006/relationships/hyperlink" Target="https://base-donnees-publique.medicaments.gouv.fr/index.php?page=1&amp;choixRecherche=medicament&amp;txtCaracteres=Idarubicine%20Accord&amp;action=show" TargetMode="External"/><Relationship Id="rId241" Type="http://schemas.openxmlformats.org/officeDocument/2006/relationships/hyperlink" Target="https://www.ema.europa.eu/en/documents/other/article-57-product-data_en.xlsx" TargetMode="External"/><Relationship Id="rId242" Type="http://schemas.openxmlformats.org/officeDocument/2006/relationships/hyperlink" Target="https://www.ema.europa.eu/en/medicines/human/EPAR/camcevi" TargetMode="External"/><Relationship Id="rId243" Type="http://schemas.openxmlformats.org/officeDocument/2006/relationships/hyperlink" Target="https://www.ema.europa.eu/en/documents/other/article-57-product-data_en.xlsx" TargetMode="External"/><Relationship Id="rId244" Type="http://schemas.openxmlformats.org/officeDocument/2006/relationships/hyperlink" Target="https://www.ema.europa.eu/en/documents/other/article-57-product-data_en.xlsx" TargetMode="External"/><Relationship Id="rId245" Type="http://schemas.openxmlformats.org/officeDocument/2006/relationships/hyperlink" Target="https://www.ema.europa.eu/en/documents/other/article-57-product-data_en.xlsx" TargetMode="External"/><Relationship Id="rId246" Type="http://schemas.openxmlformats.org/officeDocument/2006/relationships/hyperlink" Target="https://base-donnees-publique.medicaments.gouv.fr/index.php?page=1&amp;choixRecherche=medicament&amp;txtCaracteres=Izixate&amp;action=show" TargetMode="External"/><Relationship Id="rId247" Type="http://schemas.openxmlformats.org/officeDocument/2006/relationships/hyperlink" Target="https://www.ema.europa.eu/en/documents/other/article-57-product-data_en.xlsx" TargetMode="External"/><Relationship Id="rId248" Type="http://schemas.openxmlformats.org/officeDocument/2006/relationships/hyperlink" Target="https://base-donnees-publique.medicaments.gouv.fr/index.php?page=1&amp;choixRecherche=medicament&amp;txtCaracteres=Midazolam%20Accord&amp;action=show" TargetMode="External"/><Relationship Id="rId249" Type="http://schemas.openxmlformats.org/officeDocument/2006/relationships/hyperlink" Target="https://www.ema.europa.eu/en/documents/other/article-57-product-data_en.xlsx" TargetMode="External"/><Relationship Id="rId250" Type="http://schemas.openxmlformats.org/officeDocument/2006/relationships/hyperlink" Target="https://base-donnees-publique.medicaments.gouv.fr/index.php?page=1&amp;choixRecherche=medicament&amp;txtCaracteres=Mitomycine%20Accord&amp;action=show" TargetMode="External"/><Relationship Id="rId251" Type="http://schemas.openxmlformats.org/officeDocument/2006/relationships/hyperlink" Target="https://www.ema.europa.eu/en/documents/other/article-57-product-data_en.xlsx" TargetMode="External"/><Relationship Id="rId252" Type="http://schemas.openxmlformats.org/officeDocument/2006/relationships/hyperlink" Target="https://base-donnees-publique.medicaments.gouv.fr/index.php?page=1&amp;choixRecherche=medicament&amp;txtCaracteres=Mitoxantrone%20Accord&amp;action=show" TargetMode="External"/><Relationship Id="rId253" Type="http://schemas.openxmlformats.org/officeDocument/2006/relationships/hyperlink" Target="https://www.ema.europa.eu/en/documents/other/article-57-product-data_en.xlsx" TargetMode="External"/><Relationship Id="rId254" Type="http://schemas.openxmlformats.org/officeDocument/2006/relationships/hyperlink" Target="https://www.ema.europa.eu/en/documents/other/article-57-product-data_en.xlsx" TargetMode="External"/><Relationship Id="rId255" Type="http://schemas.openxmlformats.org/officeDocument/2006/relationships/hyperlink" Target="https://base-donnees-publique.medicaments.gouv.fr/index.php?page=1&amp;choixRecherche=medicament&amp;txtCaracteres=Ondansetron%20Accord&amp;action=show" TargetMode="External"/><Relationship Id="rId256" Type="http://schemas.openxmlformats.org/officeDocument/2006/relationships/hyperlink" Target="https://www.ema.europa.eu/en/documents/other/article-57-product-data_en.xlsx" TargetMode="External"/><Relationship Id="rId257" Type="http://schemas.openxmlformats.org/officeDocument/2006/relationships/hyperlink" Target="https://www.ema.europa.eu/en/medicines/human/EPAR/naveruclif" TargetMode="External"/><Relationship Id="rId258" Type="http://schemas.openxmlformats.org/officeDocument/2006/relationships/hyperlink" Target="https://base-donnees-publique.medicaments.gouv.fr/index.php?page=1&amp;choixRecherche=medicament&amp;txtCaracteres=Paclitaxel%20Ahcl&amp;action=show" TargetMode="External"/><Relationship Id="rId259" Type="http://schemas.openxmlformats.org/officeDocument/2006/relationships/hyperlink" Target="https://www.ema.europa.eu/en/documents/other/article-57-product-data_en.xlsx" TargetMode="External"/><Relationship Id="rId260" Type="http://schemas.openxmlformats.org/officeDocument/2006/relationships/hyperlink" Target="https://www.ema.europa.eu/en/medicines/human/EPAR/palonosetron-accord" TargetMode="External"/><Relationship Id="rId261" Type="http://schemas.openxmlformats.org/officeDocument/2006/relationships/hyperlink" Target="https://www.ema.europa.eu/en/documents/other/article-57-product-data_en.xlsx" TargetMode="External"/><Relationship Id="rId262" Type="http://schemas.openxmlformats.org/officeDocument/2006/relationships/hyperlink" Target="https://www.ema.europa.eu/en/documents/other/article-57-product-data_en.xlsx" TargetMode="External"/><Relationship Id="rId263" Type="http://schemas.openxmlformats.org/officeDocument/2006/relationships/hyperlink" Target="https://www.ema.europa.eu/en/documents/other/article-57-product-data_en.xlsx" TargetMode="External"/><Relationship Id="rId264" Type="http://schemas.openxmlformats.org/officeDocument/2006/relationships/hyperlink" Target="https://www.ema.europa.eu/en/medicines/human/EPAR/pelgraz" TargetMode="External"/><Relationship Id="rId265" Type="http://schemas.openxmlformats.org/officeDocument/2006/relationships/hyperlink" Target="https://www.ema.europa.eu/en/documents/other/article-57-product-data_en.xlsx" TargetMode="External"/><Relationship Id="rId266" Type="http://schemas.openxmlformats.org/officeDocument/2006/relationships/hyperlink" Target="https://www.ema.europa.eu/en/documents/other/article-57-product-data_en.xlsx" TargetMode="External"/><Relationship Id="rId267" Type="http://schemas.openxmlformats.org/officeDocument/2006/relationships/hyperlink" Target="https://www.ema.europa.eu/en/documents/other/article-57-product-data_en.xlsx" TargetMode="External"/><Relationship Id="rId268" Type="http://schemas.openxmlformats.org/officeDocument/2006/relationships/hyperlink" Target="https://www.ema.europa.eu/en/medicines/human/EPAR/plerixafor-accord" TargetMode="External"/><Relationship Id="rId269" Type="http://schemas.openxmlformats.org/officeDocument/2006/relationships/hyperlink" Target="https://www.ema.europa.eu/en/documents/other/article-57-product-data_en.xlsx" TargetMode="External"/><Relationship Id="rId270" Type="http://schemas.openxmlformats.org/officeDocument/2006/relationships/hyperlink" Target="https://www.ema.europa.eu/en/documents/other/article-57-product-data_en.xlsx" TargetMode="External"/><Relationship Id="rId271" Type="http://schemas.openxmlformats.org/officeDocument/2006/relationships/hyperlink" Target="https://www.ema.europa.eu/en/documents/other/article-57-product-data_en.xlsx" TargetMode="External"/><Relationship Id="rId272" Type="http://schemas.openxmlformats.org/officeDocument/2006/relationships/hyperlink" Target="https://www.ema.europa.eu/en/documents/other/article-57-product-data_en.xlsx"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www.ema.europa.eu/en/documents/other/article-57-product-data_en.xlsx" TargetMode="External"/><Relationship Id="rId275" Type="http://schemas.openxmlformats.org/officeDocument/2006/relationships/hyperlink" Target="https://base-donnees-publique.medicaments.gouv.fr/index.php?page=1&amp;choixRecherche=medicament&amp;txtCaracteres=Sugammadex%20Accord&amp;action=show" TargetMode="External"/><Relationship Id="rId276" Type="http://schemas.openxmlformats.org/officeDocument/2006/relationships/hyperlink" Target="https://www.ema.europa.eu/en/documents/other/article-57-product-data_en.xlsx" TargetMode="External"/><Relationship Id="rId277" Type="http://schemas.openxmlformats.org/officeDocument/2006/relationships/hyperlink" Target="https://www.ema.europa.eu/en/documents/other/article-57-product-data_en.xlsx" TargetMode="External"/><Relationship Id="rId278" Type="http://schemas.openxmlformats.org/officeDocument/2006/relationships/hyperlink" Target="https://www.ema.europa.eu/en/medicines/human/EPAR/tigecycline-accord" TargetMode="External"/><Relationship Id="rId279" Type="http://schemas.openxmlformats.org/officeDocument/2006/relationships/hyperlink" Target="https://www.ema.europa.eu/en/documents/other/article-57-product-data_en.xlsx" TargetMode="External"/><Relationship Id="rId280" Type="http://schemas.openxmlformats.org/officeDocument/2006/relationships/hyperlink" Target="https://www.ema.europa.eu/en/medicines/human/EPAR/imuldosa" TargetMode="External"/><Relationship Id="rId281" Type="http://schemas.openxmlformats.org/officeDocument/2006/relationships/hyperlink" Target="https://www.ema.europa.eu/en/documents/other/article-57-product-data_en.xlsx" TargetMode="External"/><Relationship Id="rId282" Type="http://schemas.openxmlformats.org/officeDocument/2006/relationships/hyperlink" Target="https://www.ema.europa.eu/en/documents/other/article-57-product-data_en.xlsx" TargetMode="External"/><Relationship Id="rId283" Type="http://schemas.openxmlformats.org/officeDocument/2006/relationships/hyperlink" Target="https://base-donnees-publique.medicaments.gouv.fr/index.php?page=1&amp;choixRecherche=medicament&amp;txtCaracteres=Vinorelbine%20Accord&amp;action=show" TargetMode="External"/><Relationship Id="rId284" Type="http://schemas.openxmlformats.org/officeDocument/2006/relationships/hyperlink" Target="https://www.ema.europa.eu/en/documents/other/article-57-product-data_en.xlsx"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www.ema.europa.eu/en/documents/other/article-57-product-data_en.xlsx" TargetMode="External"/><Relationship Id="rId287" Type="http://schemas.openxmlformats.org/officeDocument/2006/relationships/hyperlink" Target="https://www.ema.europa.eu/en/documents/other/article-57-product-data_en.xlsx" TargetMode="External"/><Relationship Id="rId288" Type="http://schemas.openxmlformats.org/officeDocument/2006/relationships/hyperlink" Target="https://www.ema.europa.eu/en/documents/other/article-57-product-data_en.xlsx" TargetMode="External"/><Relationship Id="rId289" Type="http://schemas.openxmlformats.org/officeDocument/2006/relationships/hyperlink" Target="https://www.ema.europa.eu/en/documents/other/article-57-product-data_en.xlsx"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www.ema.europa.eu/en/documents/other/article-57-product-data_en.xlsx" TargetMode="External"/><Relationship Id="rId292" Type="http://schemas.openxmlformats.org/officeDocument/2006/relationships/hyperlink" Target="https://www.ema.europa.eu/en/documents/other/article-57-product-data_en.xlsx" TargetMode="External"/><Relationship Id="rId293" Type="http://schemas.openxmlformats.org/officeDocument/2006/relationships/hyperlink" Target="https://www.ema.europa.eu/en/documents/other/article-57-product-data_en.xlsx" TargetMode="External"/><Relationship Id="rId294" Type="http://schemas.openxmlformats.org/officeDocument/2006/relationships/hyperlink" Target="https://www.ema.europa.eu/en/documents/other/article-57-product-data_en.xlsx" TargetMode="External"/><Relationship Id="rId295" Type="http://schemas.openxmlformats.org/officeDocument/2006/relationships/hyperlink" Target="https://www.ema.europa.eu/en/documents/other/article-57-product-data_en.xlsx" TargetMode="External"/><Relationship Id="rId296" Type="http://schemas.openxmlformats.org/officeDocument/2006/relationships/hyperlink" Target="https://www.ema.europa.eu/en/documents/other/article-57-product-data_en.xlsx" TargetMode="External"/><Relationship Id="rId297" Type="http://schemas.openxmlformats.org/officeDocument/2006/relationships/hyperlink" Target="https://www.ema.europa.eu/en/documents/other/article-57-product-data_en.xlsx" TargetMode="External"/><Relationship Id="rId298" Type="http://schemas.openxmlformats.org/officeDocument/2006/relationships/hyperlink" Target="https://www.ema.europa.eu/en/documents/other/article-57-product-data_en.xlsx" TargetMode="External"/><Relationship Id="rId299" Type="http://schemas.openxmlformats.org/officeDocument/2006/relationships/hyperlink" Target="https://www.ema.europa.eu/en/documents/other/article-57-product-data_en.xlsx" TargetMode="External"/><Relationship Id="rId300" Type="http://schemas.openxmlformats.org/officeDocument/2006/relationships/hyperlink" Target="https://www.ema.europa.eu/en/documents/other/article-57-product-data_en.xlsx"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www.ema.europa.eu/en/documents/other/article-57-product-data_en.xlsx" TargetMode="External"/><Relationship Id="rId303" Type="http://schemas.openxmlformats.org/officeDocument/2006/relationships/hyperlink" Target="https://www.ema.europa.eu/en/documents/other/article-57-product-data_en.xlsx" TargetMode="External"/><Relationship Id="rId304" Type="http://schemas.openxmlformats.org/officeDocument/2006/relationships/hyperlink" Target="https://www.ema.europa.eu/en/documents/other/article-57-product-data_en.xlsx"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www.ema.europa.eu/en/documents/other/article-57-product-data_en.xlsx" TargetMode="External"/><Relationship Id="rId307" Type="http://schemas.openxmlformats.org/officeDocument/2006/relationships/hyperlink" Target="https://www.ema.europa.eu/en/documents/other/article-57-product-data_en.xlsx" TargetMode="External"/><Relationship Id="rId308" Type="http://schemas.openxmlformats.org/officeDocument/2006/relationships/hyperlink" Target="https://www.ema.europa.eu/en/documents/other/article-57-product-data_en.xlsx" TargetMode="External"/><Relationship Id="rId309" Type="http://schemas.openxmlformats.org/officeDocument/2006/relationships/hyperlink" Target="https://www.ema.europa.eu/en/documents/other/article-57-product-data_en.xlsx"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www.ema.europa.eu/en/documents/other/article-57-product-data_en.xlsx" TargetMode="External"/><Relationship Id="rId312" Type="http://schemas.openxmlformats.org/officeDocument/2006/relationships/hyperlink" Target="https://www.ema.europa.eu/en/documents/other/article-57-product-data_en.xlsx" TargetMode="External"/><Relationship Id="rId313" Type="http://schemas.openxmlformats.org/officeDocument/2006/relationships/hyperlink" Target="https://www.ema.europa.eu/en/documents/other/article-57-product-data_en.xlsx" TargetMode="External"/><Relationship Id="rId314" Type="http://schemas.openxmlformats.org/officeDocument/2006/relationships/hyperlink" Target="https://www.ema.europa.eu/en/documents/other/article-57-product-data_en.xlsx" TargetMode="External"/><Relationship Id="rId315" Type="http://schemas.openxmlformats.org/officeDocument/2006/relationships/hyperlink" Target="https://www.ema.europa.eu/en/documents/other/article-57-product-data_en.xlsx" TargetMode="External"/><Relationship Id="rId316" Type="http://schemas.openxmlformats.org/officeDocument/2006/relationships/hyperlink" Target="https://www.ema.europa.eu/en/documents/other/article-57-product-data_en.xlsx" TargetMode="External"/><Relationship Id="rId317" Type="http://schemas.openxmlformats.org/officeDocument/2006/relationships/hyperlink" Target="https://www.ema.europa.eu/en/documents/other/article-57-product-data_en.xlsx" TargetMode="External"/><Relationship Id="rId318" Type="http://schemas.openxmlformats.org/officeDocument/2006/relationships/hyperlink" Target="https://www.ema.europa.eu/en/documents/other/article-57-product-data_en.xlsx" TargetMode="External"/><Relationship Id="rId319" Type="http://schemas.openxmlformats.org/officeDocument/2006/relationships/hyperlink" Target="https://www.ema.europa.eu/en/documents/other/article-57-product-data_en.xlsx" TargetMode="External"/><Relationship Id="rId320" Type="http://schemas.openxmlformats.org/officeDocument/2006/relationships/hyperlink" Target="https://www.ema.europa.eu/en/documents/other/article-57-product-data_en.xlsx" TargetMode="External"/><Relationship Id="rId321" Type="http://schemas.openxmlformats.org/officeDocument/2006/relationships/hyperlink" Target="https://www.ema.europa.eu/en/documents/other/article-57-product-data_en.xlsx" TargetMode="External"/><Relationship Id="rId322" Type="http://schemas.openxmlformats.org/officeDocument/2006/relationships/hyperlink" Target="https://www.ema.europa.eu/en/documents/other/article-57-product-data_en.xlsx" TargetMode="External"/><Relationship Id="rId323" Type="http://schemas.openxmlformats.org/officeDocument/2006/relationships/hyperlink" Target="https://base-donnees-publique.medicaments.gouv.fr/index.php?page=1&amp;choixRecherche=medicament&amp;txtCaracteres=Meropenem%20Steriscience&amp;action=show"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www.ema.europa.eu/en/documents/other/article-57-product-data_en.xlsx" TargetMode="External"/><Relationship Id="rId326" Type="http://schemas.openxmlformats.org/officeDocument/2006/relationships/hyperlink" Target="https://www.ema.europa.eu/en/documents/other/article-57-product-data_en.xlsx" TargetMode="External"/><Relationship Id="rId327" Type="http://schemas.openxmlformats.org/officeDocument/2006/relationships/hyperlink" Target="https://base-donnees-publique.medicaments.gouv.fr/index.php?page=1&amp;choixRecherche=medicament&amp;txtCaracteres=Rapifen&amp;action=show"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base-donnees-publique.medicaments.gouv.fr/index.php?page=1&amp;choixRecherche=medicament&amp;txtCaracteres=Spacyr&amp;action=show" TargetMode="External"/><Relationship Id="rId330" Type="http://schemas.openxmlformats.org/officeDocument/2006/relationships/hyperlink" Target="https://www.ema.europa.eu/en/documents/other/article-57-product-data_en.xlsx" TargetMode="External"/><Relationship Id="rId331" Type="http://schemas.openxmlformats.org/officeDocument/2006/relationships/hyperlink" Target="https://www.ema.europa.eu/en/documents/other/article-57-product-data_en.xlsx" TargetMode="External"/><Relationship Id="rId332" Type="http://schemas.openxmlformats.org/officeDocument/2006/relationships/hyperlink" Target="https://base-donnees-publique.medicaments.gouv.fr/index.php?page=1&amp;choixRecherche=medicament&amp;txtCaracteres=Hypnomidate&amp;action=show" TargetMode="External"/><Relationship Id="rId333" Type="http://schemas.openxmlformats.org/officeDocument/2006/relationships/hyperlink" Target="https://www.ema.europa.eu/en/documents/other/article-57-product-data_en.xlsx" TargetMode="External"/><Relationship Id="rId334" Type="http://schemas.openxmlformats.org/officeDocument/2006/relationships/hyperlink" Target="https://base-donnees-publique.medicaments.gouv.fr/index.php?page=1&amp;choixRecherche=medicament&amp;txtCaracteres=Fentanyl%20Piramal&amp;action=show" TargetMode="External"/><Relationship Id="rId335" Type="http://schemas.openxmlformats.org/officeDocument/2006/relationships/hyperlink" Target="https://www.ema.europa.eu/en/documents/other/article-57-product-data_en.xlsx" TargetMode="External"/><Relationship Id="rId336" Type="http://schemas.openxmlformats.org/officeDocument/2006/relationships/hyperlink" Target="https://www.ema.europa.eu/en/documents/other/article-57-product-data_en.xlsx" TargetMode="External"/><Relationship Id="rId337" Type="http://schemas.openxmlformats.org/officeDocument/2006/relationships/hyperlink" Target="https://www.ema.europa.eu/en/medicines/human/EPAR/sugammadex-piramal" TargetMode="External"/><Relationship Id="rId338" Type="http://schemas.openxmlformats.org/officeDocument/2006/relationships/hyperlink" Target="https://www.ema.europa.eu/en/documents/other/article-57-product-data_en.xlsx" TargetMode="External"/><Relationship Id="rId339" Type="http://schemas.openxmlformats.org/officeDocument/2006/relationships/hyperlink" Target="https://www.ema.europa.eu/en/documents/other/article-57-product-data_en.xlsx" TargetMode="External"/><Relationship Id="rId340" Type="http://schemas.openxmlformats.org/officeDocument/2006/relationships/hyperlink" Target="https://www.ema.europa.eu/en/documents/other/article-57-product-data_en.xlsx" TargetMode="External"/><Relationship Id="rId341" Type="http://schemas.openxmlformats.org/officeDocument/2006/relationships/hyperlink" Target="https://www.ema.europa.eu/en/documents/other/article-57-product-data_en.xlsx"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www.ema.europa.eu/en/documents/other/article-57-product-data_en.xlsx"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www.ema.europa.eu/en/medicines/human/EPAR/bortezomib-sun" TargetMode="External"/><Relationship Id="rId346" Type="http://schemas.openxmlformats.org/officeDocument/2006/relationships/hyperlink" Target="https://www.ema.europa.eu/en/documents/other/article-57-product-data_en.xlsx" TargetMode="External"/><Relationship Id="rId347" Type="http://schemas.openxmlformats.org/officeDocument/2006/relationships/hyperlink" Target="https://www.ema.europa.eu/en/documents/other/article-57-product-data_en.xlsx"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base-donnees-publique.medicaments.gouv.fr/index.php?page=1&amp;choixRecherche=medicament&amp;txtCaracteres=Esomeprazole%20Sun&amp;action=show" TargetMode="External"/><Relationship Id="rId350" Type="http://schemas.openxmlformats.org/officeDocument/2006/relationships/hyperlink" Target="https://www.ema.europa.eu/en/documents/other/article-57-product-data_en.xlsx" TargetMode="External"/><Relationship Id="rId351" Type="http://schemas.openxmlformats.org/officeDocument/2006/relationships/hyperlink" Target="https://www.ema.europa.eu/en/documents/other/article-57-product-data_en.xlsx" TargetMode="External"/><Relationship Id="rId352" Type="http://schemas.openxmlformats.org/officeDocument/2006/relationships/hyperlink" Target="https://base-donnees-publique.medicaments.gouv.fr/index.php?page=1&amp;choixRecherche=medicament&amp;txtCaracteres=Melphalan%20Sun&amp;action=show" TargetMode="External"/><Relationship Id="rId353" Type="http://schemas.openxmlformats.org/officeDocument/2006/relationships/hyperlink" Target="https://www.ema.europa.eu/en/documents/other/article-57-product-data_en.xlsx" TargetMode="External"/><Relationship Id="rId354" Type="http://schemas.openxmlformats.org/officeDocument/2006/relationships/hyperlink" Target="https://www.ema.europa.eu/en/documents/other/article-57-product-data_en.xlsx" TargetMode="External"/><Relationship Id="rId355" Type="http://schemas.openxmlformats.org/officeDocument/2006/relationships/hyperlink" Target="https://www.ema.europa.eu/en/documents/other/article-57-product-data_en.xlsx" TargetMode="External"/><Relationship Id="rId356" Type="http://schemas.openxmlformats.org/officeDocument/2006/relationships/hyperlink" Target="https://base-donnees-publique.medicaments.gouv.fr/index.php?page=1&amp;choixRecherche=medicament&amp;txtCaracteres=Pantoprazole%20Sun&amp;action=show" TargetMode="External"/><Relationship Id="rId357" Type="http://schemas.openxmlformats.org/officeDocument/2006/relationships/hyperlink" Target="https://www.ema.europa.eu/en/documents/other/article-57-product-data_en.xlsx" TargetMode="External"/><Relationship Id="rId358" Type="http://schemas.openxmlformats.org/officeDocument/2006/relationships/hyperlink" Target="https://www.ema.europa.eu/en/documents/other/article-57-product-data_en.xlsx" TargetMode="External"/><Relationship Id="rId359" Type="http://schemas.openxmlformats.org/officeDocument/2006/relationships/hyperlink" Target="https://www.ema.europa.eu/en/documents/other/article-57-product-data_en.xlsx" TargetMode="External"/><Relationship Id="rId360" Type="http://schemas.openxmlformats.org/officeDocument/2006/relationships/hyperlink" Target="https://www.ema.europa.eu/en/documents/other/article-57-product-data_en.xlsx" TargetMode="External"/><Relationship Id="rId361" Type="http://schemas.openxmlformats.org/officeDocument/2006/relationships/hyperlink" Target="https://base-donnees-publique.medicaments.gouv.fr/index.php?page=1&amp;choixRecherche=medicament&amp;txtCaracteres=Terlipressine%20Sun&amp;action=show" TargetMode="External"/><Relationship Id="rId362" Type="http://schemas.openxmlformats.org/officeDocument/2006/relationships/hyperlink" Target="https://www.ema.europa.eu/en/documents/other/article-57-product-data_en.xlsx" TargetMode="External"/><Relationship Id="rId363" Type="http://schemas.openxmlformats.org/officeDocument/2006/relationships/hyperlink" Target="https://www.ema.europa.eu/en/documents/other/article-57-product-data_en.xlsx" TargetMode="External"/><Relationship Id="rId364" Type="http://schemas.openxmlformats.org/officeDocument/2006/relationships/hyperlink" Target="https://base-donnees-publique.medicaments.gouv.fr/index.php?page=1&amp;choixRecherche=medicament&amp;txtCaracteres=Undecanoate&amp;action=show" TargetMode="External"/><Relationship Id="rId365" Type="http://schemas.openxmlformats.org/officeDocument/2006/relationships/hyperlink" Target="https://www.ema.europa.eu/en/documents/other/article-57-product-data_en.xlsx" TargetMode="External"/><Relationship Id="rId366" Type="http://schemas.openxmlformats.org/officeDocument/2006/relationships/hyperlink" Target="https://www.ema.europa.eu/en/documents/other/article-57-product-data_en.xlsx" TargetMode="External"/><Relationship Id="rId367" Type="http://schemas.openxmlformats.org/officeDocument/2006/relationships/hyperlink" Target="https://www.ema.europa.eu/en/documents/other/article-57-product-data_en.xlsx" TargetMode="External"/><Relationship Id="rId368" Type="http://schemas.openxmlformats.org/officeDocument/2006/relationships/hyperlink" Target="https://www.ema.europa.eu/en/documents/other/article-57-product-data_en.xlsx" TargetMode="External"/><Relationship Id="rId369" Type="http://schemas.openxmlformats.org/officeDocument/2006/relationships/hyperlink" Target="https://www.ema.europa.eu/en/documents/other/article-57-product-data_en.xlsx" TargetMode="External"/><Relationship Id="rId370" Type="http://schemas.openxmlformats.org/officeDocument/2006/relationships/hyperlink" Target="https://www.ema.europa.eu/en/documents/other/article-57-product-data_en.xlsx" TargetMode="External"/><Relationship Id="rId371" Type="http://schemas.openxmlformats.org/officeDocument/2006/relationships/hyperlink" Target="https://www.ema.europa.eu/en/documents/other/article-57-product-data_en.xlsx" TargetMode="External"/><Relationship Id="rId372" Type="http://schemas.openxmlformats.org/officeDocument/2006/relationships/hyperlink" Target="https://www.ema.europa.eu/en/documents/other/article-57-product-data_en.xlsx" TargetMode="External"/><Relationship Id="rId373" Type="http://schemas.openxmlformats.org/officeDocument/2006/relationships/hyperlink" Target="https://www.ema.europa.eu/en/documents/other/article-57-product-data_en.xls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www.ema.europa.eu/en/documents/other/article-57-product-data_en.xlsx" TargetMode="External"/><Relationship Id="rId376" Type="http://schemas.openxmlformats.org/officeDocument/2006/relationships/hyperlink" Target="https://www.ema.europa.eu/en/documents/other/article-57-product-data_en.xlsx" TargetMode="External"/><Relationship Id="rId377" Type="http://schemas.openxmlformats.org/officeDocument/2006/relationships/hyperlink" Target="https://base-donnees-publique.medicaments.gouv.fr/index.php?page=1&amp;choixRecherche=medicament&amp;txtCaracteres=Meropenem%20Venus&amp;action=show" TargetMode="External"/><Relationship Id="rId378" Type="http://schemas.openxmlformats.org/officeDocument/2006/relationships/hyperlink" Target="https://www.ema.europa.eu/en/documents/other/article-57-product-data_en.xlsx" TargetMode="External"/><Relationship Id="rId379" Type="http://schemas.openxmlformats.org/officeDocument/2006/relationships/hyperlink" Target="https://www.ema.europa.eu/en/documents/other/article-57-product-data_en.xlsx" TargetMode="External"/><Relationship Id="rId380" Type="http://schemas.openxmlformats.org/officeDocument/2006/relationships/hyperlink" Target="https://www.ema.europa.eu/en/documents/other/article-57-product-data_en.xlsx" TargetMode="External"/><Relationship Id="rId381" Type="http://schemas.openxmlformats.org/officeDocument/2006/relationships/hyperlink" Target="https://www.ema.europa.eu/en/documents/other/article-57-product-data_en.xlsx" TargetMode="External"/><Relationship Id="rId382" Type="http://schemas.openxmlformats.org/officeDocument/2006/relationships/hyperlink" Target="https://www.ema.europa.eu/en/documents/other/article-57-product-data_en.xlsx" TargetMode="External"/><Relationship Id="rId383" Type="http://schemas.openxmlformats.org/officeDocument/2006/relationships/hyperlink" Target="https://www.ema.europa.eu/en/documents/other/article-57-product-data_en.xlsx" TargetMode="External"/><Relationship Id="rId384" Type="http://schemas.openxmlformats.org/officeDocument/2006/relationships/hyperlink" Target="https://www.ema.europa.eu/en/documents/other/article-57-product-data_en.xlsx" TargetMode="External"/><Relationship Id="rId385" Type="http://schemas.openxmlformats.org/officeDocument/2006/relationships/hyperlink" Target="https://www.ema.europa.eu/en/documents/other/article-57-product-data_en.xlsx" TargetMode="External"/><Relationship Id="rId386" Type="http://schemas.openxmlformats.org/officeDocument/2006/relationships/hyperlink" Target="https://www.ema.europa.eu/en/documents/other/article-57-product-data_en.xlsx" TargetMode="External"/><Relationship Id="rId387" Type="http://schemas.openxmlformats.org/officeDocument/2006/relationships/hyperlink" Target="https://www.ema.europa.eu/en/documents/other/article-57-product-data_en.xlsx" TargetMode="External"/><Relationship Id="rId388" Type="http://schemas.openxmlformats.org/officeDocument/2006/relationships/hyperlink" Target="https://www.ema.europa.eu/en/documents/other/article-57-product-data_en.xlsx"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www.ema.europa.eu/en/documents/other/article-57-product-data_en.xlsx" TargetMode="External"/><Relationship Id="rId391" Type="http://schemas.openxmlformats.org/officeDocument/2006/relationships/hyperlink" Target="https://www.ema.europa.eu/en/documents/other/article-57-product-data_en.xlsx" TargetMode="External"/><Relationship Id="rId392" Type="http://schemas.openxmlformats.org/officeDocument/2006/relationships/hyperlink" Target="https://www.ema.europa.eu/en/documents/other/article-57-product-data_en.xlsx"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www.ema.europa.eu/en/documents/other/article-57-product-data_en.xlsx" TargetMode="External"/><Relationship Id="rId395" Type="http://schemas.openxmlformats.org/officeDocument/2006/relationships/hyperlink" Target="https://www.ema.europa.eu/en/documents/other/article-57-product-data_en.xlsx" TargetMode="External"/><Relationship Id="rId396" Type="http://schemas.openxmlformats.org/officeDocument/2006/relationships/hyperlink" Target="https://www.ema.europa.eu/en/documents/other/article-57-product-data_en.xlsx"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www.ema.europa.eu/en/documents/other/article-57-product-data_en.xlsx" TargetMode="External"/><Relationship Id="rId399" Type="http://schemas.openxmlformats.org/officeDocument/2006/relationships/hyperlink" Target="https://www.ema.europa.eu/en/documents/other/article-57-product-data_en.xlsx" TargetMode="External"/><Relationship Id="rId400" Type="http://schemas.openxmlformats.org/officeDocument/2006/relationships/hyperlink" Target="https://www.ema.europa.eu/en/documents/other/article-57-product-data_en.xlsx" TargetMode="External"/><Relationship Id="rId401" Type="http://schemas.openxmlformats.org/officeDocument/2006/relationships/hyperlink" Target="https://base-donnees-publique.medicaments.gouv.fr/index.php?page=1&amp;choixRecherche=medicament&amp;txtCaracteres=Ceftriaxone%20Zydus&amp;action=show" TargetMode="External"/><Relationship Id="rId402" Type="http://schemas.openxmlformats.org/officeDocument/2006/relationships/hyperlink" Target="https://www.ema.europa.eu/en/documents/other/article-57-product-data_en.xlsx" TargetMode="External"/><Relationship Id="rId403" Type="http://schemas.openxmlformats.org/officeDocument/2006/relationships/hyperlink" Target="https://www.ema.europa.eu/en/documents/other/article-57-product-data_en.xlsx" TargetMode="External"/><Relationship Id="rId404" Type="http://schemas.openxmlformats.org/officeDocument/2006/relationships/hyperlink" Target="https://www.ema.europa.eu/en/documents/other/article-57-product-data_en.xlsx"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www.ema.europa.eu/en/documents/other/article-57-product-data_en.xlsx" TargetMode="External"/><Relationship Id="rId407" Type="http://schemas.openxmlformats.org/officeDocument/2006/relationships/hyperlink" Target="https://www.ema.europa.eu/en/documents/other/article-57-product-data_en.xlsx"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www.ema.europa.eu/en/documents/other/article-57-product-data_en.xlsx"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www.ema.europa.eu/en/documents/other/article-57-product-data_en.xlsx" TargetMode="External"/><Relationship Id="rId412" Type="http://schemas.openxmlformats.org/officeDocument/2006/relationships/hyperlink" Target="https://www.ema.europa.eu/en/documents/other/article-57-product-data_en.xlsx" TargetMode="External"/><Relationship Id="rId413" Type="http://schemas.openxmlformats.org/officeDocument/2006/relationships/hyperlink" Target="https://www.ema.europa.eu/en/documents/other/article-57-product-data_en.xlsx" TargetMode="External"/><Relationship Id="rId414" Type="http://schemas.openxmlformats.org/officeDocument/2006/relationships/hyperlink" Target="https://www.ema.europa.eu/en/documents/other/article-57-product-data_en.xlsx"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www.ema.europa.eu/en/documents/other/article-57-product-data_en.xlsx" TargetMode="External"/><Relationship Id="rId417"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priser.dk/Default.aspx?VirksomtStof=Carboprost&amp;lng=2"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fulvestrant"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ab.bluecross.ca/dbl/pdfs/ABCDPL_2026_01_07.pdf"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drugs.com/price-guide/argatroban" TargetMode="External"/><Relationship Id="rId11" Type="http://schemas.openxmlformats.org/officeDocument/2006/relationships/hyperlink" Target="https://dmd-browser.nhsbsa.nhs.uk/ampp/view/185061" TargetMode="External"/><Relationship Id="rId12" Type="http://schemas.openxmlformats.org/officeDocument/2006/relationships/hyperlink" Target="https://www.aifa.gov.it/documents/20142/3815901/Classe_H_per_principio_attivo_30-04-2026.csv" TargetMode="External"/><Relationship Id="rId13" Type="http://schemas.openxmlformats.org/officeDocument/2006/relationships/hyperlink" Target="https://www.pbs.gov.au/industry/pricing/ex-manufacturer-price/2026/09/ex-manufacturer-prices-non-efc-2026-09-01.XLSX" TargetMode="External"/><Relationship Id="rId14" Type="http://schemas.openxmlformats.org/officeDocument/2006/relationships/hyperlink" Target="https://www.drugs.com/price-guide/bortezomib" TargetMode="External"/><Relationship Id="rId15" Type="http://schemas.openxmlformats.org/officeDocument/2006/relationships/hyperlink" Target="https://dmd-browser.nhsbsa.nhs.uk/ampp/view/187562" TargetMode="External"/><Relationship Id="rId16" Type="http://schemas.openxmlformats.org/officeDocument/2006/relationships/hyperlink" Target="https://www.aifa.gov.it/documents/20142/3815901/Classe_H_per_principio_attivo_30-04-2026.csv" TargetMode="External"/><Relationship Id="rId17" Type="http://schemas.openxmlformats.org/officeDocument/2006/relationships/hyperlink" Target="https://www.pbs.gov.au/industry/pricing/ex-manufacturer-price/2026/09/ex-manufacturer-prices-efc-2026-09-01.XLSX" TargetMode="External"/><Relationship Id="rId18" Type="http://schemas.openxmlformats.org/officeDocument/2006/relationships/hyperlink" Target="https://www.aponeo.de/rx/12675950-bupivan-0-5-5-mg-ml-inj-l-25mg-5ml-glasamp.html" TargetMode="External"/><Relationship Id="rId19" Type="http://schemas.openxmlformats.org/officeDocument/2006/relationships/hyperlink" Target="https://www.drugs.com/price-guide/carboprost" TargetMode="External"/><Relationship Id="rId20" Type="http://schemas.openxmlformats.org/officeDocument/2006/relationships/hyperlink" Target="https://www.health.gov.za/nhi-pee/"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base-donnees-publique.medicaments.gouv.fr/medicament/64318859/extrait" TargetMode="External"/><Relationship Id="rId25" Type="http://schemas.openxmlformats.org/officeDocument/2006/relationships/hyperlink" Target="https://www.dovesalute.it/it/farmaci/med/36138/ceftriaxone-aurobindo" TargetMode="External"/><Relationship Id="rId26" Type="http://schemas.openxmlformats.org/officeDocument/2006/relationships/hyperlink" Target="https://www.aifa.gov.it/documents/20142/3815901/Classe_A_per_principio_attivo_30-04-2026.csv" TargetMode="External"/><Relationship Id="rId27" Type="http://schemas.openxmlformats.org/officeDocument/2006/relationships/hyperlink" Target="https://www.drugs.com/price-guide/chlorpromazine" TargetMode="External"/><Relationship Id="rId28" Type="http://schemas.openxmlformats.org/officeDocument/2006/relationships/hyperlink" Target="https://www.drugs.com/price-guide/cyclophosphamid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dactinomycin" TargetMode="External"/><Relationship Id="rId32" Type="http://schemas.openxmlformats.org/officeDocument/2006/relationships/hyperlink" Target="https://www.aifa.gov.it/documents/20142/3815901/Classe_H_per_principio_attivo_30-04-2026.csv"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drugs.com/price-guide/ephedrine" TargetMode="External"/><Relationship Id="rId35" Type="http://schemas.openxmlformats.org/officeDocument/2006/relationships/hyperlink" Target="https://www.aifa.gov.it/documents/20142/3815901/Classe_H_per_principio_attivo_30-04-2026.csv" TargetMode="External"/><Relationship Id="rId36" Type="http://schemas.openxmlformats.org/officeDocument/2006/relationships/hyperlink" Target="https://www.drugs.com/price-guide/eptifibatide" TargetMode="External"/><Relationship Id="rId37" Type="http://schemas.openxmlformats.org/officeDocument/2006/relationships/hyperlink" Target="https://www.drugs.com/price-guide/ertapenem" TargetMode="External"/><Relationship Id="rId38" Type="http://schemas.openxmlformats.org/officeDocument/2006/relationships/hyperlink" Target="https://www.ab.bluecross.ca/dbl/pdfs/ABCDPL_2026_09_04.pdf"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health.gov.za/nhi-pee/"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drugs.com/price-guide/esmolol" TargetMode="External"/><Relationship Id="rId45" Type="http://schemas.openxmlformats.org/officeDocument/2006/relationships/hyperlink" Target="https://dmd-browser.nhsbsa.nhs.uk/ampp/view/171701" TargetMode="External"/><Relationship Id="rId46" Type="http://schemas.openxmlformats.org/officeDocument/2006/relationships/hyperlink" Target="https://www.aifa.gov.it/documents/20142/3815901/Classe_H_per_principio_attivo_30-04-2026.csv" TargetMode="External"/><Relationship Id="rId47" Type="http://schemas.openxmlformats.org/officeDocument/2006/relationships/hyperlink" Target="https://www.drugs.com/price-guide/fluorouracil" TargetMode="External"/><Relationship Id="rId48" Type="http://schemas.openxmlformats.org/officeDocument/2006/relationships/hyperlink" Target="https://www.drugs.com/price-guide/fluphenazine" TargetMode="External"/><Relationship Id="rId49" Type="http://schemas.openxmlformats.org/officeDocument/2006/relationships/hyperlink" Target="https://www.medicinpriser.dk/Default.aspx?id=15&amp;vnr=540548" TargetMode="External"/><Relationship Id="rId50" Type="http://schemas.openxmlformats.org/officeDocument/2006/relationships/hyperlink" Target="https://www.nhsbsa.nhs.uk/sites/default/files/2026-08/Part%20VIIIA%20Sep%2026.xls.xlsx" TargetMode="External"/><Relationship Id="rId51" Type="http://schemas.openxmlformats.org/officeDocument/2006/relationships/hyperlink" Target="https://www.aifa.gov.it/documents/20142/3815901/Classe_H_per_principio_attivo_30-04-2026.csv" TargetMode="External"/><Relationship Id="rId52" Type="http://schemas.openxmlformats.org/officeDocument/2006/relationships/hyperlink" Target="https://www.pbs.gov.au/industry/pricing/ex-manufacturer-price/2026/09/ex-manufacturer-prices-non-efc-2026-09-01.XLSX" TargetMode="External"/><Relationship Id="rId53" Type="http://schemas.openxmlformats.org/officeDocument/2006/relationships/hyperlink" Target="https://www.formulary.health.gov.on.ca/formulary/detail.xhtml?drugId=02516160" TargetMode="External"/><Relationship Id="rId54" Type="http://schemas.openxmlformats.org/officeDocument/2006/relationships/hyperlink" Target="https://www.ab.bluecross.ca/dbl/pdfs/ABCDPL_2026_09_04.pdf" TargetMode="External"/><Relationship Id="rId55" Type="http://schemas.openxmlformats.org/officeDocument/2006/relationships/hyperlink" Target="https://www.drugs.com/price-guide/ibandronate" TargetMode="External"/><Relationship Id="rId56" Type="http://schemas.openxmlformats.org/officeDocument/2006/relationships/hyperlink" Target="https://www.drugs.com/price-guide/medroxyprogesterone" TargetMode="External"/><Relationship Id="rId57" Type="http://schemas.openxmlformats.org/officeDocument/2006/relationships/hyperlink" Target="https://www.mountainside-medical.com/products/medroxyprogesterone-acetate-injection-prefilled-syringe-150-mg-ml" TargetMode="External"/><Relationship Id="rId58" Type="http://schemas.openxmlformats.org/officeDocument/2006/relationships/hyperlink" Target="https://www.aifa.gov.it/documents/20142/3815901/Classe_H_per_principio_attivo_30-04-2026.csv"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b.bluecross.ca/dbl/pdfs/ABCDPL_2024_12_05.pdf"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drugs.com/price-guide/mesna" TargetMode="External"/><Relationship Id="rId67" Type="http://schemas.openxmlformats.org/officeDocument/2006/relationships/hyperlink" Target="https://www.drugs.com/price-guide/methotrexate"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cms.gov/files/zip/october-2026-medicare-part-b-payment-limit-files-final.zip"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drugs.com/price-guide/nafcillin"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loxone" TargetMode="External"/><Relationship Id="rId76" Type="http://schemas.openxmlformats.org/officeDocument/2006/relationships/hyperlink" Target="https://www.ab.bluecross.ca/dbl/pdfs/ABCDPL_2026_09_04.pdf" TargetMode="External"/><Relationship Id="rId77" Type="http://schemas.openxmlformats.org/officeDocument/2006/relationships/hyperlink" Target="https://dmd-browser.nhsbsa.nhs.uk/ampp/view/47382"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formulary.health.gov.on.ca/formulary/detail.xhtml?drugId=02491524" TargetMode="External"/><Relationship Id="rId80" Type="http://schemas.openxmlformats.org/officeDocument/2006/relationships/hyperlink" Target="https://www.formulary.health.gov.on.ca/formulary/detail.xhtml?drugId=02491532" TargetMode="External"/><Relationship Id="rId81" Type="http://schemas.openxmlformats.org/officeDocument/2006/relationships/hyperlink" Target="https://www.ab.bluecross.ca/dbl/pdfs/ABCDPL_2026_09_04.pdf" TargetMode="External"/><Relationship Id="rId82" Type="http://schemas.openxmlformats.org/officeDocument/2006/relationships/hyperlink" Target="https://www.drugs.com/price-guide/oxacillin" TargetMode="External"/><Relationship Id="rId83" Type="http://schemas.openxmlformats.org/officeDocument/2006/relationships/hyperlink" Target="https://www.drugs.com/price-guide/palonosetron" TargetMode="External"/><Relationship Id="rId84" Type="http://schemas.openxmlformats.org/officeDocument/2006/relationships/hyperlink" Target="https://dmd-browser.nhsbsa.nhs.uk/ampp/view/194984" TargetMode="External"/><Relationship Id="rId85" Type="http://schemas.openxmlformats.org/officeDocument/2006/relationships/hyperlink" Target="https://www.ab.bluecross.ca/dbl/pdfs/ABCDPL_2026_03_03.pdf"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drugs.com/price-guide/plerixafor" TargetMode="External"/><Relationship Id="rId88" Type="http://schemas.openxmlformats.org/officeDocument/2006/relationships/hyperlink" Target="https://dmd-browser.nhsbsa.nhs.uk/ampp/view/190293" TargetMode="External"/><Relationship Id="rId89" Type="http://schemas.openxmlformats.org/officeDocument/2006/relationships/hyperlink" Target="https://www.aifa.gov.it/documents/20142/3815901/Classe_H_per_principio_attivo_30-04-2026.csv" TargetMode="External"/><Relationship Id="rId90" Type="http://schemas.openxmlformats.org/officeDocument/2006/relationships/hyperlink" Target="https://www.ab.bluecross.ca/dbl/pdfs/ABCDPL_2026_09_04.pdf" TargetMode="External"/><Relationship Id="rId91" Type="http://schemas.openxmlformats.org/officeDocument/2006/relationships/hyperlink" Target="https://www.pbs.gov.au/industry/pricing/price-disclosure-spd/current-price-disclosure-cycle" TargetMode="External"/><Relationship Id="rId92" Type="http://schemas.openxmlformats.org/officeDocument/2006/relationships/hyperlink" Target="https://www.drugs.com/price-guide/progesterone" TargetMode="External"/><Relationship Id="rId93" Type="http://schemas.openxmlformats.org/officeDocument/2006/relationships/hyperlink" Target="https://www.cms.gov/files/zip/october-2026-medicare-part-b-payment-limit-files-final.zip" TargetMode="External"/><Relationship Id="rId94" Type="http://schemas.openxmlformats.org/officeDocument/2006/relationships/hyperlink" Target="https://www.medicinpriser.dk/Default.aspx?VirksomtStof=Remifentanil" TargetMode="External"/><Relationship Id="rId95" Type="http://schemas.openxmlformats.org/officeDocument/2006/relationships/hyperlink" Target="https://www.drugs.com/price-guide/ropivacaine"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sildenafil" TargetMode="External"/><Relationship Id="rId102" Type="http://schemas.openxmlformats.org/officeDocument/2006/relationships/hyperlink" Target="https://www.drugs.com/price-guide/testosterone"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irofiban"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ab.bluecross.ca/dbl/pdfs/ABCDPL_2026_04_07.pdf"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9_04.pdf" TargetMode="External"/><Relationship Id="rId110" Type="http://schemas.openxmlformats.org/officeDocument/2006/relationships/hyperlink" Target="https://www.cms.gov/files/zip/october-2026-medicare-part-b-payment-limit-files-final.zip" TargetMode="External"/><Relationship Id="rId111" Type="http://schemas.openxmlformats.org/officeDocument/2006/relationships/hyperlink" Target="https://medicineprices.org.za/" TargetMode="External"/><Relationship Id="rId112" Type="http://schemas.openxmlformats.org/officeDocument/2006/relationships/hyperlink" Target="https://www.drugs.com/price-guide/verapamil" TargetMode="External"/><Relationship Id="rId113" Type="http://schemas.openxmlformats.org/officeDocument/2006/relationships/hyperlink" Target="https://www.aifa.gov.it/documents/20142/3815901/Classe_H_per_principio_attivo_30-04-2026.csv"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pbs.gov.au/industry/pricing/ex-manufacturer-price/2026/09/ex-manufacturer-prices-non-efc-2026-09-01.XLSX" TargetMode="External"/><Relationship Id="rId116" Type="http://schemas.openxmlformats.org/officeDocument/2006/relationships/hyperlink" Target="https://www.pbs.gov.au/industry/pricing/ex-manufacturer-price/2026/09/ex-manufacturer-prices-efc-2026-09-01.XLSX" TargetMode="External"/><Relationship Id="rId117" Type="http://schemas.openxmlformats.org/officeDocument/2006/relationships/hyperlink" Target="https://www.health.gov.za/nhi-pee/" TargetMode="External"/><Relationship Id="rId118" Type="http://schemas.openxmlformats.org/officeDocument/2006/relationships/hyperlink" Target="https://www.health.gov.za/nhi-pee/" TargetMode="External"/><Relationship Id="rId119" Type="http://schemas.openxmlformats.org/officeDocument/2006/relationships/hyperlink" Target="https://medicineprices.org.za/" TargetMode="External"/><Relationship Id="rId120" Type="http://schemas.openxmlformats.org/officeDocument/2006/relationships/hyperlink" Target="https://medicineprices.org.za/" TargetMode="External"/><Relationship Id="rId121" Type="http://schemas.openxmlformats.org/officeDocument/2006/relationships/hyperlink" Target="https://dmd-browser.nhsbsa.nhs.uk/ampp/view/193506" TargetMode="External"/><Relationship Id="rId122" Type="http://schemas.openxmlformats.org/officeDocument/2006/relationships/hyperlink" Target="https://www.aifa.gov.it/documents/20142/3815901/Classe_H_per_principio_attivo_30-04-2026.csv" TargetMode="External"/><Relationship Id="rId123" Type="http://schemas.openxmlformats.org/officeDocument/2006/relationships/hyperlink" Target="https://www.health.gov.za/nhi-pee/" TargetMode="External"/><Relationship Id="rId124" Type="http://schemas.openxmlformats.org/officeDocument/2006/relationships/hyperlink" Target="https://www.health.gov.za/nhi-pee/"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cms.gov/files/zip/october-2026-medicare-part-b-payment-limit-files-final.zip"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department.va.gov/procurement-acquisition-and-logistics/wp-content/uploads/sites/56/2026/10/TPharmPrices2026-10-01.xlsx"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www.drugs.com/price-guide/somatuline-depot"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lanreotide" TargetMode="External"/><Relationship Id="rId134" Type="http://schemas.openxmlformats.org/officeDocument/2006/relationships/hyperlink" Target="https://www.health.gov.za/nhi-pee/" TargetMode="External"/><Relationship Id="rId135" Type="http://schemas.openxmlformats.org/officeDocument/2006/relationships/hyperlink" Target="https://www.health.gov.za/nhi-pee/" TargetMode="External"/><Relationship Id="rId136" Type="http://schemas.openxmlformats.org/officeDocument/2006/relationships/hyperlink" Target="https://www.pbs.gov.au/medicine/item/14160G" TargetMode="External"/><Relationship Id="rId137" Type="http://schemas.openxmlformats.org/officeDocument/2006/relationships/hyperlink" Target="https://www.pbs.gov.au/industry/pricing/ex-manufacturer-price/2026/09/ex-manufacturer-prices-non-efc-2026-09-01.XLSX" TargetMode="External"/><Relationship Id="rId138" Type="http://schemas.openxmlformats.org/officeDocument/2006/relationships/hyperlink" Target="https://www.cms.gov/files/zip/october-2026-medicare-part-b-payment-limit-files-final.zip"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medicineprices.org.za/" TargetMode="External"/><Relationship Id="rId142" Type="http://schemas.openxmlformats.org/officeDocument/2006/relationships/hyperlink" Target="https://medicineprices.org.za/" TargetMode="External"/><Relationship Id="rId143" Type="http://schemas.openxmlformats.org/officeDocument/2006/relationships/hyperlink" Target="https://www.aponeo.de/rx/18660518-sugammadex-amarox-100-mg-ml-injektionsloesung.html" TargetMode="External"/><Relationship Id="rId144" Type="http://schemas.openxmlformats.org/officeDocument/2006/relationships/hyperlink" Target="https://medicineprices.org.za/" TargetMode="External"/><Relationship Id="rId145" Type="http://schemas.openxmlformats.org/officeDocument/2006/relationships/hyperlink" Target="https://www.health.gov.za/nhi-pee/" TargetMode="External"/><Relationship Id="rId146" Type="http://schemas.openxmlformats.org/officeDocument/2006/relationships/hyperlink" Target="https://www.drugs.com/price-guide/testosteron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health.gov.za/nhi-pee/" TargetMode="External"/><Relationship Id="rId149" Type="http://schemas.openxmlformats.org/officeDocument/2006/relationships/hyperlink" Target="https://www.pbs.gov.au/industry/pricing/ex-manufacturer-price/2026/10/ex-manufacturer-prices-efc-2026-10-01.XLSX"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dmd-browser.nhsbsa.nhs.uk/ampp/view/185061" TargetMode="External"/><Relationship Id="rId154" Type="http://schemas.openxmlformats.org/officeDocument/2006/relationships/hyperlink" Target="https://www.aifa.gov.it/documents/20142/3815901/Classe_H_per_principio_attivo_30-04-2026.csv" TargetMode="External"/><Relationship Id="rId155" Type="http://schemas.openxmlformats.org/officeDocument/2006/relationships/hyperlink" Target="https://www.ab.bluecross.ca/dbl/pdfs/ABCDPL_2026_01_07.pdf" TargetMode="External"/><Relationship Id="rId156" Type="http://schemas.openxmlformats.org/officeDocument/2006/relationships/hyperlink" Target="https://www.pbs.gov.au/industry/pricing/ex-manufacturer-price/2026/09/ex-manufacturer-prices-non-efc-2026-09-01.XLSX" TargetMode="External"/><Relationship Id="rId157" Type="http://schemas.openxmlformats.org/officeDocument/2006/relationships/hyperlink" Target="https://www.health.gov.za/nhi-pee/" TargetMode="External"/><Relationship Id="rId158" Type="http://schemas.openxmlformats.org/officeDocument/2006/relationships/hyperlink" Target="https://www.drugs.com/price-guide/bivalirudin" TargetMode="External"/><Relationship Id="rId159" Type="http://schemas.openxmlformats.org/officeDocument/2006/relationships/hyperlink" Target="https://www.drugs.com/price-guide/bortezomib" TargetMode="External"/><Relationship Id="rId160" Type="http://schemas.openxmlformats.org/officeDocument/2006/relationships/hyperlink" Target="https://dmd-browser.nhsbsa.nhs.uk/ampp/view/175945" TargetMode="External"/><Relationship Id="rId161" Type="http://schemas.openxmlformats.org/officeDocument/2006/relationships/hyperlink" Target="https://www.aifa.gov.it/documents/20142/3815901/Classe_H_per_principio_attivo_30-04-2026.csv" TargetMode="External"/><Relationship Id="rId162" Type="http://schemas.openxmlformats.org/officeDocument/2006/relationships/hyperlink" Target="https://www.ab.bluecross.ca/dbl/pdfs/ABCDPL_2026_01_07.pdf" TargetMode="External"/><Relationship Id="rId163" Type="http://schemas.openxmlformats.org/officeDocument/2006/relationships/hyperlink" Target="https://medicineprices.org.za/" TargetMode="External"/><Relationship Id="rId164" Type="http://schemas.openxmlformats.org/officeDocument/2006/relationships/hyperlink" Target="https://department.va.gov/procurement-acquisition-and-logistics/wp-content/uploads/sites/56/2026/10/TPharmPrices2026-10-01.xlsx"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boe.es/boe/dias/2025/10/13/pdfs/BOE-A-2025-20356.pdf" TargetMode="External"/><Relationship Id="rId170" Type="http://schemas.openxmlformats.org/officeDocument/2006/relationships/hyperlink" Target="https://dmd-browser.nhsbsa.nhs.uk/ampp/view/169812" TargetMode="External"/><Relationship Id="rId171" Type="http://schemas.openxmlformats.org/officeDocument/2006/relationships/hyperlink" Target="https://www.formulary.health.gov.on.ca/formulary/detail.xhtml?drugId=02490463" TargetMode="External"/><Relationship Id="rId172" Type="http://schemas.openxmlformats.org/officeDocument/2006/relationships/hyperlink" Target="https://www.drugs.com/price-guide/desmopressin" TargetMode="External"/><Relationship Id="rId173" Type="http://schemas.openxmlformats.org/officeDocument/2006/relationships/hyperlink" Target="https://www.cms.gov/files/zip/october-2026-medicare-part-b-payment-limit-files-final.zip" TargetMode="External"/><Relationship Id="rId174" Type="http://schemas.openxmlformats.org/officeDocument/2006/relationships/hyperlink" Target="https://www.drugs.com/price-guide/ephedrine" TargetMode="External"/><Relationship Id="rId175" Type="http://schemas.openxmlformats.org/officeDocument/2006/relationships/hyperlink" Target="https://www.drugs.com/price-guide/eribulin" TargetMode="External"/><Relationship Id="rId176" Type="http://schemas.openxmlformats.org/officeDocument/2006/relationships/hyperlink" Target="https://dmd-browser.nhsbsa.nhs.uk/ampp/view/211180" TargetMode="External"/><Relationship Id="rId177" Type="http://schemas.openxmlformats.org/officeDocument/2006/relationships/hyperlink" Target="https://www.aifa.gov.it/documents/20142/3815901/Classe_H_per_principio_attivo_30-04-2026.csv" TargetMode="External"/><Relationship Id="rId178" Type="http://schemas.openxmlformats.org/officeDocument/2006/relationships/hyperlink" Target="https://www.ab.bluecross.ca/dbl/pdfs/ABCDPL_2026_09_04.pdf" TargetMode="External"/><Relationship Id="rId179" Type="http://schemas.openxmlformats.org/officeDocument/2006/relationships/hyperlink" Target="https://www.pbs.gov.au/industry/pricing/ex-manufacturer-price/2026/09/ex-manufacturer-prices-efc-2026-09-01.XLSX" TargetMode="External"/><Relationship Id="rId180" Type="http://schemas.openxmlformats.org/officeDocument/2006/relationships/hyperlink" Target="https://www.health.gov.za/nhi-pee/" TargetMode="External"/><Relationship Id="rId181" Type="http://schemas.openxmlformats.org/officeDocument/2006/relationships/hyperlink" Target="https://www.ab.bluecross.ca/dbl/pdfs/ABCDPL_2026_09_04.pdf" TargetMode="External"/><Relationship Id="rId182" Type="http://schemas.openxmlformats.org/officeDocument/2006/relationships/hyperlink" Target="https://www.pbs.gov.au/industry/pricing/ex-manufacturer-price/2026/09/ex-manufacturer-prices-non-efc-2026-09-01.XLSX"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publication/schedule/2026/10/2026-10-01-PBS-API-CSV-files.zip?variant=3" TargetMode="External"/><Relationship Id="rId185" Type="http://schemas.openxmlformats.org/officeDocument/2006/relationships/hyperlink" Target="https://www.drugs.com/price-guide/fulvestrant" TargetMode="External"/><Relationship Id="rId186" Type="http://schemas.openxmlformats.org/officeDocument/2006/relationships/hyperlink" Target="https://dmd-browser.nhsbsa.nhs.uk/ampp/view/183157"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medicineprices.org.za/"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department.va.gov/procurement-acquisition-and-logistics/wp-content/uploads/sites/56/2026/10/TPharmPrices2026-10-01.xlsx" TargetMode="External"/><Relationship Id="rId191" Type="http://schemas.openxmlformats.org/officeDocument/2006/relationships/hyperlink" Target="https://www.drugs.com/price-guide/neostigmine"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palonosetron" TargetMode="External"/><Relationship Id="rId195" Type="http://schemas.openxmlformats.org/officeDocument/2006/relationships/hyperlink" Target="https://www.aifa.gov.it/documents/20142/3815901/Classe_H_per_principio_attivo_30-04-2026.csv" TargetMode="External"/><Relationship Id="rId196" Type="http://schemas.openxmlformats.org/officeDocument/2006/relationships/hyperlink" Target="https://www.pbs.gov.au/industry/pricing/ex-manufacturer-price/2026/09/ex-manufacturer-prices-non-efc-2026-09-01.XLSX" TargetMode="External"/><Relationship Id="rId197" Type="http://schemas.openxmlformats.org/officeDocument/2006/relationships/hyperlink" Target="https://www.drugs.com/price-guide/phytonadione" TargetMode="External"/><Relationship Id="rId198" Type="http://schemas.openxmlformats.org/officeDocument/2006/relationships/hyperlink" Target="https://www.drugs.com/price-guide/plerixafor" TargetMode="External"/><Relationship Id="rId199" Type="http://schemas.openxmlformats.org/officeDocument/2006/relationships/hyperlink" Target="https://www.cms.gov/files/zip/october-2026-medicare-part-b-payment-limit-files-final.zip" TargetMode="External"/><Relationship Id="rId200" Type="http://schemas.openxmlformats.org/officeDocument/2006/relationships/hyperlink" Target="https://www.ab.bluecross.ca/dbl/pdfs/ABCDPL_2026_09_04.pdf" TargetMode="External"/><Relationship Id="rId201" Type="http://schemas.openxmlformats.org/officeDocument/2006/relationships/hyperlink" Target="https://www.drugs.com/price-guide/sugammadex"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dmd-browser.nhsbsa.nhs.uk/ampp/view/195075" TargetMode="External"/><Relationship Id="rId204" Type="http://schemas.openxmlformats.org/officeDocument/2006/relationships/hyperlink" Target="https://www.aifa.gov.it/documents/20142/3815901/Classe_H_per_principio_attivo_30-04-2026.csv"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medicineprices.org.za/" TargetMode="External"/><Relationship Id="rId207" Type="http://schemas.openxmlformats.org/officeDocument/2006/relationships/hyperlink" Target="https://www.drugs.com/price-guide/thiotepa" TargetMode="External"/><Relationship Id="rId208" Type="http://schemas.openxmlformats.org/officeDocument/2006/relationships/hyperlink" Target="https://www.cms.gov/files/zip/october-2026-medicare-part-b-payment-limit-files-final.zip"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dmd-browser.nhsbsa.nhs.uk/ampp/view/210747" TargetMode="External"/><Relationship Id="rId211" Type="http://schemas.openxmlformats.org/officeDocument/2006/relationships/hyperlink" Target="https://www.medicijnkosten.nl/medicijn?artikel=DIAMOX+INJECTIEPOEDER+FLACON+500MG&amp;id=eccf17da767207477dcc6b1f5efd1f4a" TargetMode="External"/><Relationship Id="rId212" Type="http://schemas.openxmlformats.org/officeDocument/2006/relationships/hyperlink" Target="https://dmd-browser.nhsbsa.nhs.uk/ampp/view/184215" TargetMode="External"/><Relationship Id="rId213" Type="http://schemas.openxmlformats.org/officeDocument/2006/relationships/hyperlink" Target="https://www.aifa.gov.it/documents/20142/3815901/Classe_A_per_principio_attivo_30-04-2026.csv" TargetMode="External"/><Relationship Id="rId214" Type="http://schemas.openxmlformats.org/officeDocument/2006/relationships/hyperlink" Target="https://www.ab.bluecross.ca/dbl/pdfs/ABCDPL_2026_04_07.pdf" TargetMode="External"/><Relationship Id="rId215" Type="http://schemas.openxmlformats.org/officeDocument/2006/relationships/hyperlink" Target="https://mediately.co/it/drugs/EW7GuNfn2hkEMxRggSwwiF1PMll/ampicillina-tillomed-1-g-polvere-per-soluzione-iniettabile-per-infusione" TargetMode="External"/><Relationship Id="rId216" Type="http://schemas.openxmlformats.org/officeDocument/2006/relationships/hyperlink" Target="https://dmd-browser.nhsbsa.nhs.uk/ampp/view/190490" TargetMode="External"/><Relationship Id="rId217" Type="http://schemas.openxmlformats.org/officeDocument/2006/relationships/hyperlink" Target="https://www.aifa.gov.it/documents/20142/3815901/Classe_H_per_principio_attivo_30-04-2026.csv"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b.bluecross.ca/dbl/pdfs/ABCDPL_2026_09_04.pdf"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dmd-browser.nhsbsa.nhs.uk/ampp/view/194983"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medicinpriser.dk/Default.aspx?VirksomtStof=Eribulin"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dmd-browser.nhsbsa.nhs.uk/ampp/view/169622"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b.bluecross.ca/dbl/pdfs/ABCDPL_2026_09_04.pdf" TargetMode="External"/><Relationship Id="rId231" Type="http://schemas.openxmlformats.org/officeDocument/2006/relationships/hyperlink" Target="https://dmd-browser.nhsbsa.nhs.uk/ampp/view/190885" TargetMode="External"/><Relationship Id="rId232" Type="http://schemas.openxmlformats.org/officeDocument/2006/relationships/hyperlink" Target="https://mediately.co/de/drugs/2JLSD2rNCbtip2an1uWLKQBCmLc/milrinon-carinopharm-1-mg-ml-injektions-infusionslosung" TargetMode="External"/><Relationship Id="rId233" Type="http://schemas.openxmlformats.org/officeDocument/2006/relationships/hyperlink" Target="https://www.ab.bluecross.ca/dbl/pdfs/ABCDPL_2026_09_04.pdf"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dmd-browser.nhsbsa.nhs.uk/ampp/view/194984" TargetMode="External"/><Relationship Id="rId237" Type="http://schemas.openxmlformats.org/officeDocument/2006/relationships/hyperlink" Target="https://dmd-browser.nhsbsa.nhs.uk/ampp/view/197400" TargetMode="External"/><Relationship Id="rId238" Type="http://schemas.openxmlformats.org/officeDocument/2006/relationships/hyperlink" Target="https://base-donnees-publique.medicaments.gouv.fr/medicament/61094142/extrait" TargetMode="External"/><Relationship Id="rId239" Type="http://schemas.openxmlformats.org/officeDocument/2006/relationships/hyperlink" Target="https://www.ab.bluecross.ca/dbl/pdfs/ABCDPL_2026_09_04.pdf" TargetMode="External"/><Relationship Id="rId240" Type="http://schemas.openxmlformats.org/officeDocument/2006/relationships/hyperlink" Target="https://dmd-browser.nhsbsa.nhs.uk/ampp/view/198696" TargetMode="External"/><Relationship Id="rId241" Type="http://schemas.openxmlformats.org/officeDocument/2006/relationships/hyperlink" Target="https://www.aifa.gov.it/documents/20142/3815901/Classe_H_per_principio_attivo_30-04-2026.csv"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dmd-browser.nhsbsa.nhs.uk/ampp/view/195295" TargetMode="External"/><Relationship Id="rId244" Type="http://schemas.openxmlformats.org/officeDocument/2006/relationships/hyperlink" Target="https://www.aifa.gov.it/documents/20142/3815901/Classe_H_per_principio_attivo_30-04-2026.csv"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boe.es/boe/dias/2025/10/13/pdfs/BOE-A-2025-20356.pdf" TargetMode="External"/><Relationship Id="rId247" Type="http://schemas.openxmlformats.org/officeDocument/2006/relationships/hyperlink" Target="https://www.pbs.gov.au/industry/pricing/ex-manufacturer-price/2026/09/ex-manufacturer-prices-efc-2026-09-01.XLSX"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drugs.com/price-guide/eribulin"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drugs.com/price-guide/fulvestrant" TargetMode="External"/><Relationship Id="rId253" Type="http://schemas.openxmlformats.org/officeDocument/2006/relationships/hyperlink" Target="https://www.nhsbsa.nhs.uk/sites/default/files/2026-08/Part%20VIIIA%20Sep%2026.xls.xlsx"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dmd-browser.nhsbsa.nhs.uk/ampp/view/195045" TargetMode="External"/><Relationship Id="rId257" Type="http://schemas.openxmlformats.org/officeDocument/2006/relationships/hyperlink" Target="https://www.aifa.gov.it/documents/20142/3815901/Classe_H_per_principio_attivo_30-04-2026.csv" TargetMode="External"/><Relationship Id="rId258" Type="http://schemas.openxmlformats.org/officeDocument/2006/relationships/hyperlink" Target="https://dmd-browser.nhsbsa.nhs.uk/ampp/view/185061" TargetMode="External"/><Relationship Id="rId259" Type="http://schemas.openxmlformats.org/officeDocument/2006/relationships/hyperlink" Target="https://www.drugs.com/price-guide/bortezomib" TargetMode="External"/><Relationship Id="rId260" Type="http://schemas.openxmlformats.org/officeDocument/2006/relationships/hyperlink" Target="https://dmd-browser.nhsbsa.nhs.uk/ampp/view/174545" TargetMode="External"/><Relationship Id="rId261" Type="http://schemas.openxmlformats.org/officeDocument/2006/relationships/hyperlink" Target="https://www.aifa.gov.it/documents/20142/3815901/Classe_H_per_principio_attivo_30-04-2026.csv" TargetMode="External"/><Relationship Id="rId262" Type="http://schemas.openxmlformats.org/officeDocument/2006/relationships/hyperlink" Target="https://medicineprices.org.za/"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www.health.gov.za/nhi-pee/" TargetMode="External"/><Relationship Id="rId266" Type="http://schemas.openxmlformats.org/officeDocument/2006/relationships/hyperlink" Target="https://dmd-browser.nhsbsa.nhs.uk/ampp/view/148217" TargetMode="External"/><Relationship Id="rId267" Type="http://schemas.openxmlformats.org/officeDocument/2006/relationships/hyperlink" Target="https://www.medicijnkosten.nl/medicijn?artikel=BRIVIACT+INF%2FINJVLST+10MG%2FML+FLACON+5ML&amp;id=8aa63cad90cad7246d95c19b8f6d410d" TargetMode="External"/><Relationship Id="rId268" Type="http://schemas.openxmlformats.org/officeDocument/2006/relationships/hyperlink" Target="https://www.drugs.com/price-guide/chlorpromazine" TargetMode="External"/><Relationship Id="rId269" Type="http://schemas.openxmlformats.org/officeDocument/2006/relationships/hyperlink" Target="https://www.cms.gov/files/zip/october-2026-medicare-part-b-payment-limit-files-final.zip" TargetMode="External"/><Relationship Id="rId270" Type="http://schemas.openxmlformats.org/officeDocument/2006/relationships/hyperlink" Target="https://dmd-browser.nhsbsa.nhs.uk/ampp/view/210375" TargetMode="External"/><Relationship Id="rId271" Type="http://schemas.openxmlformats.org/officeDocument/2006/relationships/hyperlink" Target="https://www.aifa.gov.it/documents/20142/3815901/Classe_H_per_principio_attivo_30-04-2026.csv" TargetMode="External"/><Relationship Id="rId272" Type="http://schemas.openxmlformats.org/officeDocument/2006/relationships/hyperlink" Target="https://department.va.gov/procurement-acquisition-and-logistics/wp-content/uploads/sites/56/2026/10/TPharmPrices2026-10-01.xlsx"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www.drugs.com/price-guide/magnesium-sulfate" TargetMode="External"/><Relationship Id="rId275" Type="http://schemas.openxmlformats.org/officeDocument/2006/relationships/hyperlink" Target="https://dmd-browser.nhsbsa.nhs.uk/ampp/view/101360" TargetMode="External"/><Relationship Id="rId276" Type="http://schemas.openxmlformats.org/officeDocument/2006/relationships/hyperlink" Target="https://www.medicijnkosten.nl/medicijn?artikel=MELFALAN+AMAROX+INJ%2FINFUSIEPOEDER+FL50MG%2BSV+10ML&amp;id=35352a89252a9fdd69fd915f3d070528" TargetMode="External"/><Relationship Id="rId277" Type="http://schemas.openxmlformats.org/officeDocument/2006/relationships/hyperlink" Target="https://www.aifa.gov.it/documents/20142/3815901/Classe_H_per_principio_attivo_30-04-2026.csv" TargetMode="External"/><Relationship Id="rId278" Type="http://schemas.openxmlformats.org/officeDocument/2006/relationships/hyperlink" Target="https://www.drugs.com/price-guide/methotrexate" TargetMode="External"/><Relationship Id="rId279" Type="http://schemas.openxmlformats.org/officeDocument/2006/relationships/hyperlink" Target="https://www.health.gov.za/nhi-pee/"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www.aifa.gov.it/documents/20142/3815901/Classe_H_per_principio_attivo_30-04-2026.csv" TargetMode="External"/><Relationship Id="rId282" Type="http://schemas.openxmlformats.org/officeDocument/2006/relationships/hyperlink" Target="https://www.drugs.com/price-guide/plerixafor" TargetMode="External"/><Relationship Id="rId283" Type="http://schemas.openxmlformats.org/officeDocument/2006/relationships/hyperlink" Target="https://dmd-browser.nhsbsa.nhs.uk/ampp/view/190293"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medicineprices.org.za/" TargetMode="External"/><Relationship Id="rId286" Type="http://schemas.openxmlformats.org/officeDocument/2006/relationships/hyperlink" Target="https://www.cms.gov/files/zip/october-2026-medicare-part-b-payment-limit-files-final.zip"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drugs.com/price-guide/sodium-bicarbonate" TargetMode="External"/><Relationship Id="rId289" Type="http://schemas.openxmlformats.org/officeDocument/2006/relationships/hyperlink" Target="https://department.va.gov/procurement-acquisition-and-logistics/wp-content/uploads/sites/56/2026/10/TPharmPrices2026-10-01.xlsx" TargetMode="External"/><Relationship Id="rId290" Type="http://schemas.openxmlformats.org/officeDocument/2006/relationships/hyperlink" Target="https://www.drugs.com/price-guide/sugammade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dmd-browser.nhsbsa.nhs.uk/ampp/view/195045" TargetMode="External"/><Relationship Id="rId293" Type="http://schemas.openxmlformats.org/officeDocument/2006/relationships/hyperlink" Target="https://www.aponeo.de/rx/18660518-sugammadex-amarox-100-mg-ml-injektionsloesung.html" TargetMode="External"/><Relationship Id="rId294" Type="http://schemas.openxmlformats.org/officeDocument/2006/relationships/hyperlink" Target="https://medicineprices.org.za/" TargetMode="External"/><Relationship Id="rId295" Type="http://schemas.openxmlformats.org/officeDocument/2006/relationships/hyperlink" Target="https://www.nhsbsa.nhs.uk/sites/default/files/2026-08/Part%20VIIIA%20Sep%2026.xls.xlsx" TargetMode="External"/><Relationship Id="rId296" Type="http://schemas.openxmlformats.org/officeDocument/2006/relationships/hyperlink" Target="https://www.aifa.gov.it/documents/20142/3815901/Classe_H_per_principio_attivo_30-04-2026.csv" TargetMode="External"/><Relationship Id="rId297" Type="http://schemas.openxmlformats.org/officeDocument/2006/relationships/hyperlink" Target="https://department.va.gov/procurement-acquisition-and-logistics/wp-content/uploads/sites/56/2026/10/TPharmPrices2026-10-01.xlsx"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argatroban" TargetMode="External"/><Relationship Id="rId300" Type="http://schemas.openxmlformats.org/officeDocument/2006/relationships/hyperlink" Target="https://www.aponeo.de/rx/04262642-atracurium-hikma-25-mg-2-5-ml-ampullen.html" TargetMode="External"/><Relationship Id="rId301" Type="http://schemas.openxmlformats.org/officeDocument/2006/relationships/hyperlink" Target="https://www.drugs.com/price-guide/atropine"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dmd-browser.nhsbsa.nhs.uk/ampp/view/190887" TargetMode="External"/><Relationship Id="rId307" Type="http://schemas.openxmlformats.org/officeDocument/2006/relationships/hyperlink" Target="https://www.aponeo.de/rx/17518273-atropin-accord-100-ug-ml-inj-lsg-i-e-fertigspr.html"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dmd-browser.nhsbsa.nhs.uk/ampp/view/185061" TargetMode="External"/><Relationship Id="rId310" Type="http://schemas.openxmlformats.org/officeDocument/2006/relationships/hyperlink" Target="https://www.aifa.gov.it/documents/20142/3815901/Classe_H_per_principio_attivo_30-04-2026.csv" TargetMode="External"/><Relationship Id="rId311" Type="http://schemas.openxmlformats.org/officeDocument/2006/relationships/hyperlink" Target="https://www.pbs.gov.au/industry/pricing/ex-manufacturer-price/2026/09/ex-manufacturer-prices-non-efc-2026-09-01.XLSX" TargetMode="External"/><Relationship Id="rId312" Type="http://schemas.openxmlformats.org/officeDocument/2006/relationships/hyperlink" Target="https://www.drugs.com/price-guide/bivalirudin" TargetMode="External"/><Relationship Id="rId313" Type="http://schemas.openxmlformats.org/officeDocument/2006/relationships/hyperlink" Target="https://dmd-browser.nhsbsa.nhs.uk/ampp/view/173756" TargetMode="External"/><Relationship Id="rId314" Type="http://schemas.openxmlformats.org/officeDocument/2006/relationships/hyperlink" Target="https://www.aifa.gov.it/documents/20142/3815901/Classe_H_per_principio_attivo_30-04-2026.csv" TargetMode="External"/><Relationship Id="rId315" Type="http://schemas.openxmlformats.org/officeDocument/2006/relationships/hyperlink" Target="https://dmd-browser.nhsbsa.nhs.uk/ampp/view/197277" TargetMode="External"/><Relationship Id="rId316" Type="http://schemas.openxmlformats.org/officeDocument/2006/relationships/hyperlink" Target="https://www.kuchler-apotheken.de/bleomycin-accord-15.000-i.e.-p.z.h.e.inj.-inf.-l./15883146" TargetMode="External"/><Relationship Id="rId317" Type="http://schemas.openxmlformats.org/officeDocument/2006/relationships/hyperlink" Target="https://www.pbs.gov.au/industry/pricing/ex-manufacturer-price/2026/09/ex-manufacturer-prices-efc-2026-09-01.XLSX" TargetMode="External"/><Relationship Id="rId318" Type="http://schemas.openxmlformats.org/officeDocument/2006/relationships/hyperlink" Target="https://www.aifa.gov.it/documents/20142/3815901/Classe_H_per_principio_attivo_30-04-2026.csv" TargetMode="External"/><Relationship Id="rId319" Type="http://schemas.openxmlformats.org/officeDocument/2006/relationships/hyperlink" Target="https://medicineprices.org.za/" TargetMode="External"/><Relationship Id="rId320" Type="http://schemas.openxmlformats.org/officeDocument/2006/relationships/hyperlink" Target="https://www.health.gov.za/nhi-pee/" TargetMode="External"/><Relationship Id="rId321" Type="http://schemas.openxmlformats.org/officeDocument/2006/relationships/hyperlink" Target="https://www.aifa.gov.it/documents/20142/3815901/Classe_H_per_principio_attivo_30-04-2026.csv"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cms.gov/files/zip/october-2026-medicare-part-b-payment-limit-files-final.zip" TargetMode="External"/><Relationship Id="rId324" Type="http://schemas.openxmlformats.org/officeDocument/2006/relationships/hyperlink" Target="https://dmd-browser.nhsbsa.nhs.uk/ampp/view/161747" TargetMode="External"/><Relationship Id="rId325" Type="http://schemas.openxmlformats.org/officeDocument/2006/relationships/hyperlink" Target="https://www.nhsbsa.nhs.uk/sites/default/files/2026-08/Part%20VIIIA%20Sep%2026.xls.xlsx" TargetMode="External"/><Relationship Id="rId326" Type="http://schemas.openxmlformats.org/officeDocument/2006/relationships/hyperlink" Target="https://www.medicinpriser.dk/Default.aspx?VirksomtStof=Colistin" TargetMode="External"/><Relationship Id="rId327" Type="http://schemas.openxmlformats.org/officeDocument/2006/relationships/hyperlink" Target="https://dmd-browser.nhsbsa.nhs.uk/ampp/view/209804" TargetMode="External"/><Relationship Id="rId328" Type="http://schemas.openxmlformats.org/officeDocument/2006/relationships/hyperlink" Target="https://dmd-browser.nhsbsa.nhs.uk/ampp/view/183004/" TargetMode="External"/><Relationship Id="rId329" Type="http://schemas.openxmlformats.org/officeDocument/2006/relationships/hyperlink" Target="https://www.pbs.gov.au/industry/pricing/ex-manufacturer-price/2026/09/ex-manufacturer-prices-efc-2026-09-01.XLSX" TargetMode="External"/><Relationship Id="rId330" Type="http://schemas.openxmlformats.org/officeDocument/2006/relationships/hyperlink" Target="https://dmd-browser.nhsbsa.nhs.uk/ampp/view/163290" TargetMode="External"/><Relationship Id="rId331" Type="http://schemas.openxmlformats.org/officeDocument/2006/relationships/hyperlink" Target="https://www.aifa.gov.it/documents/20142/3815901/Classe_H_per_principio_attivo_30-04-2026.csv" TargetMode="External"/><Relationship Id="rId332" Type="http://schemas.openxmlformats.org/officeDocument/2006/relationships/hyperlink" Target="https://medicineprices.org.za/" TargetMode="External"/><Relationship Id="rId333" Type="http://schemas.openxmlformats.org/officeDocument/2006/relationships/hyperlink" Target="https://dmd-browser.nhsbsa.nhs.uk/ampp/view/208291" TargetMode="External"/><Relationship Id="rId334" Type="http://schemas.openxmlformats.org/officeDocument/2006/relationships/hyperlink" Target="https://base-donnees-publique.medicaments.gouv.fr/medicament/65505947/extrait" TargetMode="External"/><Relationship Id="rId335" Type="http://schemas.openxmlformats.org/officeDocument/2006/relationships/hyperlink" Target="https://www.pbs.gov.au/industry/pricing/price-disclosure-spd/current-price-disclosure-cycle" TargetMode="External"/><Relationship Id="rId336" Type="http://schemas.openxmlformats.org/officeDocument/2006/relationships/hyperlink" Target="https://www.aifa.gov.it/documents/20142/3815901/Classe_H_per_principio_attivo_30-04-2026.csv" TargetMode="External"/><Relationship Id="rId337" Type="http://schemas.openxmlformats.org/officeDocument/2006/relationships/hyperlink" Target="https://www.ncbi.nlm.nih.gov/books/NBK611313/table/tr8269868067037182_ch02_t09/" TargetMode="External"/><Relationship Id="rId338" Type="http://schemas.openxmlformats.org/officeDocument/2006/relationships/hyperlink" Target="https://www.pbs.gov.au/industry/pricing/ex-manufacturer-price/2026/09/ex-manufacturer-prices-efc-2026-09-01.XLSX" TargetMode="External"/><Relationship Id="rId339" Type="http://schemas.openxmlformats.org/officeDocument/2006/relationships/hyperlink" Target="https://medicineprices.org.za/" TargetMode="External"/><Relationship Id="rId340" Type="http://schemas.openxmlformats.org/officeDocument/2006/relationships/hyperlink" Target="https://medicineprices.org.za/" TargetMode="External"/><Relationship Id="rId341" Type="http://schemas.openxmlformats.org/officeDocument/2006/relationships/hyperlink" Target="https://www.health.gov.za/nhi-pee/" TargetMode="External"/><Relationship Id="rId342" Type="http://schemas.openxmlformats.org/officeDocument/2006/relationships/hyperlink" Target="https://www.my-marien-apotheke.de/produkt/adrenalin-1-10-000-aguettant-inj-lsg-i-e-fert-s-11587497" TargetMode="External"/><Relationship Id="rId343" Type="http://schemas.openxmlformats.org/officeDocument/2006/relationships/hyperlink" Target="https://dmd-browser.nhsbsa.nhs.uk/ampp/view/90547"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pbs.gov.au/industry/pricing/ex-manufacturer-price/2026/09/ex-manufacturer-prices-efc-2026-09-01.XLSX"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health.gov.za/nhi-pee/"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medicinpriser.dk/Default.aspx?VirksomtStof=Eptifibatid"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dmd-browser.nhsbsa.nhs.uk/ampp/view/189948"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poneo.de/rx/08630485-staphylex-injektion-500-mg-plv-z-h-e-inj-inf-l.html" TargetMode="External"/><Relationship Id="rId357" Type="http://schemas.openxmlformats.org/officeDocument/2006/relationships/hyperlink" Target="https://dmd-browser.nhsbsa.nhs.uk/ampp/view/105990"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dmd-browser.nhsbsa.nhs.uk/ampp/view/90576" TargetMode="External"/><Relationship Id="rId360" Type="http://schemas.openxmlformats.org/officeDocument/2006/relationships/hyperlink" Target="https://www.ncbi.nlm.nih.gov/books/NBK601789/table/tr826986112990278_ch02_t06/" TargetMode="External"/><Relationship Id="rId361" Type="http://schemas.openxmlformats.org/officeDocument/2006/relationships/hyperlink" Target="https://www.drugs.com/price-guide/fulvestrant" TargetMode="External"/><Relationship Id="rId362" Type="http://schemas.openxmlformats.org/officeDocument/2006/relationships/hyperlink" Target="https://www.nhsbsa.nhs.uk/sites/default/files/2026-08/Part%20VIIIA%20Sep%2026.xls.xlsx"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health.gov.za/nhi-pee/" TargetMode="External"/><Relationship Id="rId365" Type="http://schemas.openxmlformats.org/officeDocument/2006/relationships/hyperlink" Target="https://www.cms.gov/files/zip/october-2026-medicare-part-b-payment-limit-files-final.zip" TargetMode="External"/><Relationship Id="rId366" Type="http://schemas.openxmlformats.org/officeDocument/2006/relationships/hyperlink" Target="https://www.apoteket.dk/medicin/laegemidler/hydroxocobalamin-alternova" TargetMode="External"/><Relationship Id="rId367" Type="http://schemas.openxmlformats.org/officeDocument/2006/relationships/hyperlink" Target="https://www.drugs.com/price-guide/ibandronate" TargetMode="External"/><Relationship Id="rId368" Type="http://schemas.openxmlformats.org/officeDocument/2006/relationships/hyperlink" Target="https://dmd-browser.nhsbsa.nhs.uk/amp/view/140839?ref=bmFtZT1sZXZvdGh5cm94aW5lK3NvZGl1bSZzaG93SW52YWxpZEl0ZW1zPWZhbHNlJnNvcnRPcmRlcj1hbHBoYSZwYWdlPTExOCZzaXplPTEwMA%3D%3D"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poneo.de/rx/17518209-camcevi-21-mg-3-monats-depot-inj-susp-fertigspr.html" TargetMode="External"/><Relationship Id="rId372" Type="http://schemas.openxmlformats.org/officeDocument/2006/relationships/hyperlink" Target="https://department.va.gov/procurement-acquisition-and-logistics/wp-content/uploads/sites/56/2026/10/TPharmPrices2026-10-01.xlsx" TargetMode="External"/><Relationship Id="rId373" Type="http://schemas.openxmlformats.org/officeDocument/2006/relationships/hyperlink" Target="https://department.va.gov/procurement-acquisition-and-logistics/wp-content/uploads/sites/56/2026/10/TPharmPrices2026-10-01.xlsx" TargetMode="External"/><Relationship Id="rId374" Type="http://schemas.openxmlformats.org/officeDocument/2006/relationships/hyperlink" Target="https://department.va.gov/procurement-acquisition-and-logistics/wp-content/uploads/sites/56/2026/10/TPharmPrices2026-10-01.xlsx" TargetMode="External"/><Relationship Id="rId375" Type="http://schemas.openxmlformats.org/officeDocument/2006/relationships/hyperlink" Target="https://department.va.gov/procurement-acquisition-and-logistics/wp-content/uploads/sites/56/2026/10/TPharmPrices2026-10-01.xlsx" TargetMode="External"/><Relationship Id="rId376" Type="http://schemas.openxmlformats.org/officeDocument/2006/relationships/hyperlink" Target="https://www.medicijnkosten.nl/medicijn?artikel=MELFALAN+AMAROX+INJ%2FINFUSIEPOEDER+FL50MG%2BSV+10ML&amp;id=35352a89252a9fdd69fd915f3d070528" TargetMode="External"/><Relationship Id="rId377" Type="http://schemas.openxmlformats.org/officeDocument/2006/relationships/hyperlink" Target="https://dmd-browser.nhsbsa.nhs.uk/ampp/view/133567"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formulary.health.gov.on.ca/formulary/detail.xhtml?drugId=02464365" TargetMode="External"/><Relationship Id="rId380" Type="http://schemas.openxmlformats.org/officeDocument/2006/relationships/hyperlink" Target="https://www.ab.bluecross.ca/dbl/pdfs/ABCDPL_2026_09_04.pdf"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formulary.health.gov.on.ca/formulary/detail.xhtml?drugId=02491281" TargetMode="External"/><Relationship Id="rId383" Type="http://schemas.openxmlformats.org/officeDocument/2006/relationships/hyperlink" Target="https://www.formulary.health.gov.on.ca/formulary/detail.xhtml?drugId=02491303" TargetMode="External"/><Relationship Id="rId384" Type="http://schemas.openxmlformats.org/officeDocument/2006/relationships/hyperlink" Target="https://www.pbs.gov.au/industry/pricing/ex-manufacturer-price/2026/09/ex-manufacturer-prices-efc-2026-09-01.XLSX" TargetMode="External"/><Relationship Id="rId385" Type="http://schemas.openxmlformats.org/officeDocument/2006/relationships/hyperlink" Target="https://www.chemistwarehouse.com.au/buy/90218/midazolam-5mg-ml-injection-10-midazolam" TargetMode="External"/><Relationship Id="rId386" Type="http://schemas.openxmlformats.org/officeDocument/2006/relationships/hyperlink" Target="https://www.pbs.gov.au/industry/pricing/ex-manufacturer-price/2026/09/ex-manufacturer-prices-non-efc-2026-09-01.XLSX" TargetMode="External"/><Relationship Id="rId387" Type="http://schemas.openxmlformats.org/officeDocument/2006/relationships/hyperlink" Target="https://dmd-browser.nhsbsa.nhs.uk/ampp/view/180360" TargetMode="External"/><Relationship Id="rId388" Type="http://schemas.openxmlformats.org/officeDocument/2006/relationships/hyperlink" Target="https://www.aifa.gov.it/documents/20142/3815901/Classe_H_per_principio_attivo_30-04-2026.csv" TargetMode="External"/><Relationship Id="rId389" Type="http://schemas.openxmlformats.org/officeDocument/2006/relationships/hyperlink" Target="https://www.ab.bluecross.ca/dbl/pdfs/ABCDPL_2026_04_07.pdf" TargetMode="External"/><Relationship Id="rId390" Type="http://schemas.openxmlformats.org/officeDocument/2006/relationships/hyperlink" Target="https://www.aifa.gov.it/documents/20142/3815901/Classe_H_per_principio_attivo_30-04-2026.csv" TargetMode="External"/><Relationship Id="rId391" Type="http://schemas.openxmlformats.org/officeDocument/2006/relationships/hyperlink" Target="https://dmd-browser.nhsbsa.nhs.uk/ampp/view/47446" TargetMode="External"/><Relationship Id="rId392" Type="http://schemas.openxmlformats.org/officeDocument/2006/relationships/hyperlink" Target="https://www.drugs.com/price-guide/ondansetron" TargetMode="External"/><Relationship Id="rId393" Type="http://schemas.openxmlformats.org/officeDocument/2006/relationships/hyperlink" Target="https://dmd-browser.nhsbsa.nhs.uk/ampp/view/197033" TargetMode="External"/><Relationship Id="rId394" Type="http://schemas.openxmlformats.org/officeDocument/2006/relationships/hyperlink" Target="https://www.aifa.gov.it/documents/20142/3815901/Classe_H_per_principio_attivo_30-04-2026.csv"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b.bluecross.ca/dbl/pdfs/ABCDPL_2026_04_07.pdf" TargetMode="External"/><Relationship Id="rId397" Type="http://schemas.openxmlformats.org/officeDocument/2006/relationships/hyperlink" Target="https://dmd-browser.nhsbsa.nhs.uk/ampp/view/161756" TargetMode="External"/><Relationship Id="rId398" Type="http://schemas.openxmlformats.org/officeDocument/2006/relationships/hyperlink" Target="https://www.aifa.gov.it/documents/20142/3815901/Classe_H_per_principio_attivo_30-04-2026.csv" TargetMode="External"/><Relationship Id="rId399" Type="http://schemas.openxmlformats.org/officeDocument/2006/relationships/hyperlink" Target="https://www.health.gov.za/nhi-pee/" TargetMode="External"/><Relationship Id="rId400" Type="http://schemas.openxmlformats.org/officeDocument/2006/relationships/hyperlink" Target="https://dmd-browser.nhsbsa.nhs.uk/ampp/view/194984" TargetMode="External"/><Relationship Id="rId401" Type="http://schemas.openxmlformats.org/officeDocument/2006/relationships/hyperlink" Target="https://www.aifa.gov.it/documents/20142/3815901/Classe_H_per_principio_attivo_30-04-2026.csv" TargetMode="External"/><Relationship Id="rId402" Type="http://schemas.openxmlformats.org/officeDocument/2006/relationships/hyperlink" Target="https://www.drugs.com/price-guide/paricalcitol"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medicineprices.org.za/" TargetMode="External"/><Relationship Id="rId405" Type="http://schemas.openxmlformats.org/officeDocument/2006/relationships/hyperlink" Target="https://www.cms.gov/files/zip/october-2026-medicare-part-b-payment-limit-files-final.zip" TargetMode="External"/><Relationship Id="rId406" Type="http://schemas.openxmlformats.org/officeDocument/2006/relationships/hyperlink" Target="https://dmd-browser.nhsbsa.nhs.uk/ampp/view/198886" TargetMode="External"/><Relationship Id="rId407" Type="http://schemas.openxmlformats.org/officeDocument/2006/relationships/hyperlink" Target="https://www.aifa.gov.it/documents/20142/3815901/Classe_H_per_principio_attivo_30-04-2026.csv" TargetMode="External"/><Relationship Id="rId408" Type="http://schemas.openxmlformats.org/officeDocument/2006/relationships/hyperlink" Target="https://www.pbs.gov.au/industry/pricing/price-disclosure-spd/current-price-disclosure-cycle" TargetMode="External"/><Relationship Id="rId409" Type="http://schemas.openxmlformats.org/officeDocument/2006/relationships/hyperlink" Target="https://www.cms.gov/files/zip/october-2026-medicare-part-b-payment-limit-files-final.zip"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aifa.gov.it/documents/20142/3815901/Classe_H_per_principio_attivo_30-04-2026.csv" TargetMode="External"/><Relationship Id="rId412" Type="http://schemas.openxmlformats.org/officeDocument/2006/relationships/hyperlink" Target="https://department.va.gov/procurement-acquisition-and-logistics/wp-content/uploads/sites/56/2026/10/TPharmPrices2026-10-01.xlsx" TargetMode="External"/><Relationship Id="rId413" Type="http://schemas.openxmlformats.org/officeDocument/2006/relationships/hyperlink" Target="https://dmd-browser.nhsbsa.nhs.uk/ampp/view/195045" TargetMode="External"/><Relationship Id="rId414" Type="http://schemas.openxmlformats.org/officeDocument/2006/relationships/hyperlink" Target="https://www.aifa.gov.it/documents/20142/3815901/Classe_H_per_principio_attivo_30-04-2026.csv" TargetMode="External"/><Relationship Id="rId415" Type="http://schemas.openxmlformats.org/officeDocument/2006/relationships/hyperlink" Target="https://www.aifa.gov.it/documents/20142/3815901/Classe_A_per_principio_attivo_30-04-2026.csv" TargetMode="External"/><Relationship Id="rId416" Type="http://schemas.openxmlformats.org/officeDocument/2006/relationships/hyperlink" Target="https://www.cms.gov/files/zip/october-2026-medicare-part-b-payment-limit-files-final.zip" TargetMode="External"/><Relationship Id="rId417" Type="http://schemas.openxmlformats.org/officeDocument/2006/relationships/hyperlink" Target="https://www.health.gov.za/nhi-pee/" TargetMode="External"/><Relationship Id="rId418" Type="http://schemas.openxmlformats.org/officeDocument/2006/relationships/hyperlink" Target="https://www.aifa.gov.it/documents/20142/3815901/Classe_H_per_principio_attivo_30-04-2026.csv"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michaelschemist.com.au/products/rapifenalfentanil1mg2f2mlampx5" TargetMode="External"/><Relationship Id="rId421" Type="http://schemas.openxmlformats.org/officeDocument/2006/relationships/hyperlink" Target="https://www.pbs.gov.au/industry/pricing/ex-manufacturer-price/2026/10/ex-manufacturer-prices-non-efc-2026-10-01.XLSX" TargetMode="External"/><Relationship Id="rId422" Type="http://schemas.openxmlformats.org/officeDocument/2006/relationships/hyperlink" Target="https://department.va.gov/procurement-acquisition-and-logistics/wp-content/uploads/sites/56/2026/10/TPharmPrices2026-10-01.xlsx" TargetMode="External"/><Relationship Id="rId423" Type="http://schemas.openxmlformats.org/officeDocument/2006/relationships/hyperlink" Target="https://medicineprices.org.za/" TargetMode="External"/><Relationship Id="rId424" Type="http://schemas.openxmlformats.org/officeDocument/2006/relationships/hyperlink" Target="https://www.cms.gov/files/zip/october-2026-medicare-part-b-payment-limit-files-final.zip"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health.gov.za/nhi-pee/" TargetMode="External"/><Relationship Id="rId430" Type="http://schemas.openxmlformats.org/officeDocument/2006/relationships/hyperlink" Target="https://department.va.gov/procurement-acquisition-and-logistics/wp-content/uploads/sites/56/2026/10/TPharmPrices2026-10-01.xlsx" TargetMode="External"/><Relationship Id="rId431" Type="http://schemas.openxmlformats.org/officeDocument/2006/relationships/hyperlink" Target="https://www.health.gov.za/nhi-pee/"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michaelschemist.com.au/products/meropenemran500mginj5" TargetMode="External"/><Relationship Id="rId436" Type="http://schemas.openxmlformats.org/officeDocument/2006/relationships/hyperlink" Target="https://www.medshop.com.au/products/meropenem-ranbaxy-1g-vial-5-meropenem-1000mg-vial" TargetMode="External"/><Relationship Id="rId437" Type="http://schemas.openxmlformats.org/officeDocument/2006/relationships/hyperlink" Target="https://medicineprices.org.za/" TargetMode="External"/><Relationship Id="rId438" Type="http://schemas.openxmlformats.org/officeDocument/2006/relationships/hyperlink" Target="https://medicineprices.org.za/"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zyprexavl10mg1" TargetMode="External"/><Relationship Id="rId441" Type="http://schemas.openxmlformats.org/officeDocument/2006/relationships/hyperlink" Target="https://www.healthylife.com.au/products/oxytocin-generic-10iu1ml-x-5-ampoules" TargetMode="External"/><Relationship Id="rId442" Type="http://schemas.openxmlformats.org/officeDocument/2006/relationships/hyperlink" Target="https://medicineprices.org.za/" TargetMode="External"/><Relationship Id="rId443" Type="http://schemas.openxmlformats.org/officeDocument/2006/relationships/hyperlink" Target="https://medicineprices.org.za/" TargetMode="External"/><Relationship Id="rId444" Type="http://schemas.openxmlformats.org/officeDocument/2006/relationships/hyperlink" Target="https://www.drugs.com/price-guide/sugammadex"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michaelschemist.com.au/products/teicoplaninpwdrforinj400mg1" TargetMode="External"/><Relationship Id="rId447" Type="http://schemas.openxmlformats.org/officeDocument/2006/relationships/hyperlink" Target="https://www.health.gov.za/nhi-pee/"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drugs.com/price-guide/bortezomib" TargetMode="External"/><Relationship Id="rId451" Type="http://schemas.openxmlformats.org/officeDocument/2006/relationships/hyperlink" Target="https://dmd-browser.nhsbsa.nhs.uk/ampp/view/203257" TargetMode="External"/><Relationship Id="rId452" Type="http://schemas.openxmlformats.org/officeDocument/2006/relationships/hyperlink" Target="https://zoek.officielebekendmakingen.nl/stcrt-2026-7257.html" TargetMode="External"/><Relationship Id="rId453" Type="http://schemas.openxmlformats.org/officeDocument/2006/relationships/hyperlink" Target="https://www.pbs.gov.au/industry/pricing/ex-manufacturer-price/2026/09/ex-manufacturer-prices-efc-2026-09-01.XLSX" TargetMode="External"/><Relationship Id="rId454" Type="http://schemas.openxmlformats.org/officeDocument/2006/relationships/hyperlink" Target="https://www.drugs.com/price-guide/brivaracetam" TargetMode="External"/><Relationship Id="rId455" Type="http://schemas.openxmlformats.org/officeDocument/2006/relationships/hyperlink" Target="https://www.drugs.com/price-guide/chlorpromazine" TargetMode="External"/><Relationship Id="rId456" Type="http://schemas.openxmlformats.org/officeDocument/2006/relationships/hyperlink" Target="https://www.drugs.com/price-guide/fluphenazine" TargetMode="External"/><Relationship Id="rId457" Type="http://schemas.openxmlformats.org/officeDocument/2006/relationships/hyperlink" Target="https://dmd-browser.nhsbsa.nhs.uk/ampp/view/204692" TargetMode="External"/><Relationship Id="rId458" Type="http://schemas.openxmlformats.org/officeDocument/2006/relationships/hyperlink" Target="https://www.drugs.com/price-guide/plerixafor" TargetMode="External"/><Relationship Id="rId459" Type="http://schemas.openxmlformats.org/officeDocument/2006/relationships/hyperlink" Target="https://www.drugs.com/price-guide/sugammadex"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dmd-browser.nhsbsa.nhs.uk/ampp/view/208635" TargetMode="External"/><Relationship Id="rId462" Type="http://schemas.openxmlformats.org/officeDocument/2006/relationships/hyperlink" Target="https://www.drugs.com/price-guide/brivaracetam" TargetMode="External"/><Relationship Id="rId463" Type="http://schemas.openxmlformats.org/officeDocument/2006/relationships/hyperlink" Target="https://www.medicinpriser.dk/Default.aspx?VirksomtStof=Caffein&amp;lng=2"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drugs.com/price-guide/carboprost" TargetMode="External"/><Relationship Id="rId466" Type="http://schemas.openxmlformats.org/officeDocument/2006/relationships/hyperlink" Target="https://michaelschemist.com.au/products/valoidinj50mg2f1ml5" TargetMode="External"/><Relationship Id="rId467" Type="http://schemas.openxmlformats.org/officeDocument/2006/relationships/hyperlink" Target="https://www.mountainside-medical.com/products/diphenhydramine-injection-50-mg-ml-single-dose-vials-1-ml-x-25-pack" TargetMode="External"/><Relationship Id="rId468" Type="http://schemas.openxmlformats.org/officeDocument/2006/relationships/hyperlink" Target="https://www.drugs.com/price-guide/isoproterenol" TargetMode="External"/><Relationship Id="rId469" Type="http://schemas.openxmlformats.org/officeDocument/2006/relationships/hyperlink" Target="https://www.medshop.com.au/products/levetiracetam-500mg5ml-vial-10-levetiracetam-500mg5ml-vial" TargetMode="External"/><Relationship Id="rId470" Type="http://schemas.openxmlformats.org/officeDocument/2006/relationships/hyperlink" Target="https://www.drugs.com/price-guide/lincomycin" TargetMode="External"/><Relationship Id="rId471" Type="http://schemas.openxmlformats.org/officeDocument/2006/relationships/hyperlink" Target="https://department.va.gov/procurement-acquisition-and-logistics/wp-content/uploads/sites/56/2026/10/TPharmPrices2026-10-01.xlsx" TargetMode="External"/><Relationship Id="rId472" Type="http://schemas.openxmlformats.org/officeDocument/2006/relationships/hyperlink" Target="https://www.drugs.com/price-guide/verapamil"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bupivacaine"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carboprost" TargetMode="External"/><Relationship Id="rId477" Type="http://schemas.openxmlformats.org/officeDocument/2006/relationships/hyperlink" Target="https://www.aponeo.de/rx/19949801-meropenem-hexal-500-mg-plv-z-her-e-inj-o-inf-lsg.html" TargetMode="External"/><Relationship Id="rId478" Type="http://schemas.openxmlformats.org/officeDocument/2006/relationships/hyperlink" Target="https://www.aifa.gov.it/documents/20142/3815901/Classe_H_per_principio_attivo_30-04-2026.csv" TargetMode="External"/><Relationship Id="rId479" Type="http://schemas.openxmlformats.org/officeDocument/2006/relationships/hyperlink" Target="https://www.aponeo.de/rx/19949801-meropenem-hexal-500-mg-plv-z-her-e-inj-o-inf-lsg.html" TargetMode="External"/><Relationship Id="rId480" Type="http://schemas.openxmlformats.org/officeDocument/2006/relationships/hyperlink" Target="https://department.va.gov/procurement-acquisition-and-logistics/wp-content/uploads/sites/56/2026/10/TPharmPrices2026-10-01.xlsx"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medicineprices.org.za/" TargetMode="External"/><Relationship Id="rId484" Type="http://schemas.openxmlformats.org/officeDocument/2006/relationships/hyperlink" Target="https://mediately.co/it/drugs/3ytjMRFtaIbVwcIRVFvxl1oiBXA/alfentanil-piramal-5-fiale-ev-10-ml-0-5-mg-ml" TargetMode="External"/><Relationship Id="rId485" Type="http://schemas.openxmlformats.org/officeDocument/2006/relationships/hyperlink" Target="https://michaelschemist.com.au/products/rapifenalfentanil1mg2f2mlampx5" TargetMode="External"/><Relationship Id="rId486" Type="http://schemas.openxmlformats.org/officeDocument/2006/relationships/hyperlink" Target="https://medicineprices.org.za/"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www.drugs.com/price-guide/cisatracurium"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www.health.gov.za/nhi-pee/" TargetMode="External"/><Relationship Id="rId492" Type="http://schemas.openxmlformats.org/officeDocument/2006/relationships/hyperlink" Target="https://medicineprices.org.za/" TargetMode="External"/><Relationship Id="rId493" Type="http://schemas.openxmlformats.org/officeDocument/2006/relationships/hyperlink" Target="https://medicineprices.org.za/" TargetMode="External"/><Relationship Id="rId494" Type="http://schemas.openxmlformats.org/officeDocument/2006/relationships/hyperlink" Target="https://department.va.gov/procurement-acquisition-and-logistics/wp-content/uploads/sites/56/2026/10/TPharmPrices2026-10-01.xlsx" TargetMode="External"/><Relationship Id="rId495" Type="http://schemas.openxmlformats.org/officeDocument/2006/relationships/hyperlink" Target="https://dmd-browser.nhsbsa.nhs.uk/ampp/view/195045" TargetMode="External"/><Relationship Id="rId496" Type="http://schemas.openxmlformats.org/officeDocument/2006/relationships/hyperlink" Target="https://www.aifa.gov.it/documents/20142/3815901/Classe_H_per_principio_attivo_30-04-2026.csv" TargetMode="External"/><Relationship Id="rId497" Type="http://schemas.openxmlformats.org/officeDocument/2006/relationships/hyperlink" Target="https://michaelschemist.com.au/products/cefepimepwdrforinj1gvial1" TargetMode="External"/><Relationship Id="rId498" Type="http://schemas.openxmlformats.org/officeDocument/2006/relationships/hyperlink" Target="https://michaelschemist.com.au/collections/prescriptions/products/cefepimepwdrforinj2gvial1" TargetMode="External"/><Relationship Id="rId499" Type="http://schemas.openxmlformats.org/officeDocument/2006/relationships/hyperlink" Target="https://www.healthylife.com.au/products/ceftazidime-1g-x-1-vial"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medicineprices.org.za/" TargetMode="External"/><Relationship Id="rId502" Type="http://schemas.openxmlformats.org/officeDocument/2006/relationships/hyperlink" Target="https://dmd-browser.nhsbsa.nhs.uk/ampp/view/175452" TargetMode="External"/><Relationship Id="rId503" Type="http://schemas.openxmlformats.org/officeDocument/2006/relationships/hyperlink" Target="https://www.aifa.gov.it/documents/20142/3815901/Classe_H_per_principio_attivo_30-04-2026.csv"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www.pbs.gov.au/industry/pricing/ex-manufacturer-price/2026/09/ex-manufacturer-prices-non-efc-2026-09-01.XLSX"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dmd-browser.nhsbsa.nhs.uk/ampp/view/193706" TargetMode="External"/><Relationship Id="rId510" Type="http://schemas.openxmlformats.org/officeDocument/2006/relationships/hyperlink" Target="https://www.aifa.gov.it/documents/20142/3815901/Classe_H_per_principio_attivo_30-04-2026.csv" TargetMode="External"/><Relationship Id="rId511" Type="http://schemas.openxmlformats.org/officeDocument/2006/relationships/hyperlink" Target="https://www.ab.bluecross.ca/dbl/pdfs/ABCDPL_2026_09_04.pdf" TargetMode="External"/><Relationship Id="rId512" Type="http://schemas.openxmlformats.org/officeDocument/2006/relationships/hyperlink" Target="https://medicineprices.org.za/" TargetMode="External"/><Relationship Id="rId513" Type="http://schemas.openxmlformats.org/officeDocument/2006/relationships/hyperlink" Target="https://www.drugs.com/price-guide/chlorothiazide" TargetMode="External"/><Relationship Id="rId514" Type="http://schemas.openxmlformats.org/officeDocument/2006/relationships/hyperlink" Target="https://www.drugs.com/price-guide/doxorubicin" TargetMode="External"/><Relationship Id="rId515" Type="http://schemas.openxmlformats.org/officeDocument/2006/relationships/hyperlink" Target="https://www.aifa.gov.it/documents/20142/3815901/Classe_H_per_principio_attivo_30-04-2026.csv" TargetMode="External"/><Relationship Id="rId516" Type="http://schemas.openxmlformats.org/officeDocument/2006/relationships/hyperlink" Target="https://www.nhsbsa.nhs.uk/sites/default/files/2022-06/Drug%20Tariff%20Part%20VIIIA%20July%202022.pdf" TargetMode="External"/><Relationship Id="rId517" Type="http://schemas.openxmlformats.org/officeDocument/2006/relationships/hyperlink" Target="https://www.aifa.gov.it/documents/20142/3815901/Classe_H_per_principio_attivo_30-04-2026.csv"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b.bluecross.ca/dbl/pdfs/ABCDPL_2026_09_04.pdf"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idbl.ab.bluecross.ca/idbl/drugsList?ptc=08120708"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www.medshop.com.au/products/meropenem-ranbaxy-1g-vial-5-meropenem-1000mg-vial" TargetMode="External"/><Relationship Id="rId526" Type="http://schemas.openxmlformats.org/officeDocument/2006/relationships/hyperlink" Target="https://michaelschemist.com.au/products/meropenemran500mginj5" TargetMode="External"/><Relationship Id="rId527" Type="http://schemas.openxmlformats.org/officeDocument/2006/relationships/hyperlink" Target="https://medicineprices.org.za/" TargetMode="External"/><Relationship Id="rId528" Type="http://schemas.openxmlformats.org/officeDocument/2006/relationships/hyperlink" Target="https://www.pbs.gov.au/industry/pricing/ex-manufacturer-price/2026/09/ex-manufacturer-prices-non-efc-2026-09-01.XLSX" TargetMode="External"/><Relationship Id="rId529" Type="http://schemas.openxmlformats.org/officeDocument/2006/relationships/hyperlink" Target="https://dmd-browser.nhsbsa.nhs.uk/ampp/view/96481"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poneo.de/rx/10735547-paricalcitol-hexal-2-mikrogramm-ml-injektionslsg.html" TargetMode="External"/><Relationship Id="rId532" Type="http://schemas.openxmlformats.org/officeDocument/2006/relationships/hyperlink" Target="https://www.drugs.com/price-guide/sugammadex"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dmd-browser.nhsbsa.nhs.uk/ampp/view/195579" TargetMode="External"/><Relationship Id="rId535" Type="http://schemas.openxmlformats.org/officeDocument/2006/relationships/hyperlink" Target="https://medicineprices.org.za/" TargetMode="External"/><Relationship Id="rId536" Type="http://schemas.openxmlformats.org/officeDocument/2006/relationships/hyperlink" Target="https://dmd-browser.nhsbsa.nhs.uk/ampp/view/198278" TargetMode="External"/><Relationship Id="rId537" Type="http://schemas.openxmlformats.org/officeDocument/2006/relationships/hyperlink" Target="https://www.aifa.gov.it/documents/20142/3815901/Classe_H_per_principio_attivo_30-04-2026.csv" TargetMode="External"/><Relationship Id="rId538" Type="http://schemas.openxmlformats.org/officeDocument/2006/relationships/hyperlink" Target="https://dmd-browser.nhsbsa.nhs.uk/ampp/view/212956" TargetMode="External"/><Relationship Id="rId539" Type="http://schemas.openxmlformats.org/officeDocument/2006/relationships/hyperlink" Target="https://www.aifa.gov.it/documents/20142/3815901/Classe_H_per_principio_attivo_30-04-2026.csv" TargetMode="External"/><Relationship Id="rId540" Type="http://schemas.openxmlformats.org/officeDocument/2006/relationships/hyperlink" Target="https://www.formulary.health.gov.on.ca/formulary/detail.xhtml?drugId=02496003" TargetMode="External"/><Relationship Id="rId541" Type="http://schemas.openxmlformats.org/officeDocument/2006/relationships/hyperlink" Target="https://www.nhsbsa.nhs.uk/sites/default/files/2026-08/Part%20VIIIA%20Sep%2026.xls.xlsx" TargetMode="External"/><Relationship Id="rId542" Type="http://schemas.openxmlformats.org/officeDocument/2006/relationships/hyperlink" Target="https://base-donnees-publique.medicaments.gouv.fr/medicament/61614600/extrait" TargetMode="External"/><Relationship Id="rId543" Type="http://schemas.openxmlformats.org/officeDocument/2006/relationships/hyperlink" Target="https://www.pbs.gov.au/industry/pricing/ex-manufacturer-price/2026/09/ex-manufacturer-prices-non-efc-2026-09-01.XLSX" TargetMode="External"/><Relationship Id="rId544" Type="http://schemas.openxmlformats.org/officeDocument/2006/relationships/hyperlink" Target="https://dmd-browser.nhsbsa.nhs.uk/ampp/view/211689" TargetMode="External"/><Relationship Id="rId545" Type="http://schemas.openxmlformats.org/officeDocument/2006/relationships/hyperlink" Target="https://www.aliva.de/p/vecuronium-inresa-10-mg-pulver-z-herst-e-inj-lsg-10-pulver-zur-herstellung-einer-injektionsloesung-03379371"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www.aifa.gov.it/documents/20142/3815901/Classe_H_per_principio_attivo_30-04-2026.csv"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cms.gov/files/zip/october-2026-medicare-part-b-payment-limit-files-final.zip"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sanidad.gob.es/profesionales/nomenclator.do?metodo=buscarProductos&amp;especialidad=XEPLION%25" TargetMode="External"/><Relationship Id="rId554" Type="http://schemas.openxmlformats.org/officeDocument/2006/relationships/hyperlink" Target="https://www.health.gov.za/nhi-pee/"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dmd-browser.nhsbsa.nhs.uk/ampp/view/208581" TargetMode="External"/><Relationship Id="rId557" Type="http://schemas.openxmlformats.org/officeDocument/2006/relationships/hyperlink" Target="https://dmd-browser.nhsbsa.nhs.uk/ampp/view/170191"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5452" TargetMode="External"/><Relationship Id="rId560" Type="http://schemas.openxmlformats.org/officeDocument/2006/relationships/hyperlink" Target="https://www.aifa.gov.it/documents/20142/3815901/Classe_H_per_principio_attivo_30-04-2026.csv"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dmd-browser.nhsbsa.nhs.uk/ampp/view/87667" TargetMode="External"/><Relationship Id="rId563" Type="http://schemas.openxmlformats.org/officeDocument/2006/relationships/hyperlink" Target="https://www.aponeo.de/rx/17923772-adenosin-baxter-6-mg-2-ml-injektionsloesung.html" TargetMode="External"/><Relationship Id="rId564" Type="http://schemas.openxmlformats.org/officeDocument/2006/relationships/hyperlink" Target="https://www.cms.gov/files/zip/october-2026-medicare-part-b-payment-limit-files-final.zip" TargetMode="External"/><Relationship Id="rId565" Type="http://schemas.openxmlformats.org/officeDocument/2006/relationships/hyperlink" Target="https://dmd-browser.nhsbsa.nhs.uk/ampp/view/59566" TargetMode="External"/><Relationship Id="rId566" Type="http://schemas.openxmlformats.org/officeDocument/2006/relationships/hyperlink" Target="https://dmd-browser.nhsbsa.nhs.uk/ampp/view/110863" TargetMode="External"/><Relationship Id="rId567" Type="http://schemas.openxmlformats.org/officeDocument/2006/relationships/hyperlink" Target="https://www.aifa.gov.it/documents/20142/3815901/Classe_H_per_principio_attivo_30-04-2026.csv" TargetMode="External"/><Relationship Id="rId568" Type="http://schemas.openxmlformats.org/officeDocument/2006/relationships/hyperlink" Target="https://www.drugs.com/price-guide/ceftriaxone"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dmd-browser.nhsbsa.nhs.uk/ampp/view/110861"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97707" TargetMode="External"/><Relationship Id="rId573" Type="http://schemas.openxmlformats.org/officeDocument/2006/relationships/hyperlink" Target="https://www.aifa.gov.it/documents/20142/3815901/Classe_H_per_principio_attivo_30-04-2026.csv"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medicijnkosten.nl/medicijn?artikel=HYALURONIDASE+INJ%2FINFUSIEPOEDER+AMPUL+1500IE&amp;id=b89726bfa881dc7b75ae7c2517d4b5b7"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mediately.co/gr/drugs/YCsx3j2n2qawnnaJDmFwug8Ahhz/metaraminol-so-inj-inf-10mg-ml" TargetMode="External"/><Relationship Id="rId578" Type="http://schemas.openxmlformats.org/officeDocument/2006/relationships/hyperlink" Target="https://dmd-browser.nhsbsa.nhs.uk/ampp/view/162030" TargetMode="External"/><Relationship Id="rId579" Type="http://schemas.openxmlformats.org/officeDocument/2006/relationships/hyperlink" Target="https://mediately.co/de/drugs/2JLSD2rNCbtip2an1uWLKQBCmLc/milrinon-carinopharm-1-mg-ml-injektions-infusionslosung" TargetMode="External"/><Relationship Id="rId580" Type="http://schemas.openxmlformats.org/officeDocument/2006/relationships/hyperlink" Target="https://www.nhsbsa.nhs.uk/sites/default/files/2026-08/Part%20VIIIA%20Sep%2026.xls.xlsx"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drugs.com/price-guide/oxacillin" TargetMode="External"/><Relationship Id="rId583" Type="http://schemas.openxmlformats.org/officeDocument/2006/relationships/hyperlink" Target="https://dmd-browser.nhsbsa.nhs.uk/ampp/view/64125" TargetMode="External"/><Relationship Id="rId584" Type="http://schemas.openxmlformats.org/officeDocument/2006/relationships/hyperlink" Target="https://www.medicinpriser.dk/Default.aspx?VirksomtStof=Protamin" TargetMode="External"/><Relationship Id="rId585" Type="http://schemas.openxmlformats.org/officeDocument/2006/relationships/hyperlink" Target="https://dmd-browser.nhsbsa.nhs.uk/ampp/view/87654" TargetMode="External"/><Relationship Id="rId586" Type="http://schemas.openxmlformats.org/officeDocument/2006/relationships/hyperlink" Target="https://www.medicinpriser.dk/Default.aspx?VirksomtStof=Remifentanil" TargetMode="External"/><Relationship Id="rId587" Type="http://schemas.openxmlformats.org/officeDocument/2006/relationships/hyperlink" Target="https://dmd-browser.nhsbsa.nhs.uk/ampp/view/102025" TargetMode="External"/><Relationship Id="rId588" Type="http://schemas.openxmlformats.org/officeDocument/2006/relationships/hyperlink" Target="https://www.aifa.gov.it/documents/20142/3815901/Classe_H_per_principio_attivo_30-04-2026.csv" TargetMode="External"/><Relationship Id="rId589" Type="http://schemas.openxmlformats.org/officeDocument/2006/relationships/hyperlink" Target="https://www.medshop.com.au/products/sodium-valproate-juno-400mg-4ml" TargetMode="External"/><Relationship Id="rId590" Type="http://schemas.openxmlformats.org/officeDocument/2006/relationships/hyperlink" Target="https://dmd-browser.nhsbsa.nhs.uk/ampp/view/197725"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drugs.com/price-guide/acetazolamide" TargetMode="External"/><Relationship Id="rId594" Type="http://schemas.openxmlformats.org/officeDocument/2006/relationships/hyperlink" Target="https://www.drugs.com/price-guide/bortezomib" TargetMode="External"/><Relationship Id="rId595" Type="http://schemas.openxmlformats.org/officeDocument/2006/relationships/hyperlink" Target="https://dmd-browser.nhsbsa.nhs.uk/ampp/view/187562" TargetMode="External"/><Relationship Id="rId596" Type="http://schemas.openxmlformats.org/officeDocument/2006/relationships/hyperlink" Target="https://www.aifa.gov.it/documents/20142/3815901/Classe_H_per_principio_attivo_30-04-2026.csv" TargetMode="External"/><Relationship Id="rId597" Type="http://schemas.openxmlformats.org/officeDocument/2006/relationships/hyperlink" Target="https://www.health.gov.za/nhi-pee/" TargetMode="External"/><Relationship Id="rId598" Type="http://schemas.openxmlformats.org/officeDocument/2006/relationships/hyperlink" Target="https://base-donnees-publique.medicaments.gouv.fr/medicament/66127233/extrait" TargetMode="External"/><Relationship Id="rId599" Type="http://schemas.openxmlformats.org/officeDocument/2006/relationships/hyperlink" Target="https://www.drugs.com/price-guide/chlorpromazine" TargetMode="External"/><Relationship Id="rId600" Type="http://schemas.openxmlformats.org/officeDocument/2006/relationships/hyperlink" Target="https://www.drugs.com/price-guide/cisatracurium"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yanocobalamin" TargetMode="External"/><Relationship Id="rId603" Type="http://schemas.openxmlformats.org/officeDocument/2006/relationships/hyperlink" Target="https://www.drugs.com/price-guide/sodium-edecrin" TargetMode="External"/><Relationship Id="rId604" Type="http://schemas.openxmlformats.org/officeDocument/2006/relationships/hyperlink" Target="https://department.va.gov/procurement-acquisition-and-logistics/wp-content/uploads/sites/56/2026/10/TPharmPrices2026-10-01.xlsx" TargetMode="External"/><Relationship Id="rId605" Type="http://schemas.openxmlformats.org/officeDocument/2006/relationships/hyperlink" Target="https://www.drugs.com/price-guide/fluorescein" TargetMode="External"/><Relationship Id="rId606" Type="http://schemas.openxmlformats.org/officeDocument/2006/relationships/hyperlink" Target="https://www.drugs.com/price-guide/fulvestrant" TargetMode="External"/><Relationship Id="rId607" Type="http://schemas.openxmlformats.org/officeDocument/2006/relationships/hyperlink" Target="https://www.drugs.com/price-guide/haloperidol"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cms.gov/files/zip/october-2026-medicare-part-b-payment-limit-files-final.zip" TargetMode="External"/><Relationship Id="rId610" Type="http://schemas.openxmlformats.org/officeDocument/2006/relationships/hyperlink" Target="https://www.drugs.com/price-guide/indocyanine-green" TargetMode="External"/><Relationship Id="rId611" Type="http://schemas.openxmlformats.org/officeDocument/2006/relationships/hyperlink" Target="https://www.health.gov.za/nhi-pee/" TargetMode="External"/><Relationship Id="rId612" Type="http://schemas.openxmlformats.org/officeDocument/2006/relationships/hyperlink" Target="https://www.health.gov.za/nhi-pee/" TargetMode="External"/><Relationship Id="rId613" Type="http://schemas.openxmlformats.org/officeDocument/2006/relationships/hyperlink" Target="https://department.va.gov/procurement-acquisition-and-logistics/wp-content/uploads/sites/56/2026/10/TPharmPrices2026-10-01.xlsx" TargetMode="External"/><Relationship Id="rId614" Type="http://schemas.openxmlformats.org/officeDocument/2006/relationships/hyperlink" Target="https://www.drugs.com/price-guide/sugammade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department.va.gov/procurement-acquisition-and-logistics/wp-content/uploads/sites/56/2026/10/TPharmPrices2026-10-01.xlsx" TargetMode="External"/><Relationship Id="rId617"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4.33551195071548</v>
      </c>
      <c r="D14" s="7" t="n">
        <v>5</v>
      </c>
      <c r="E14" s="10" t="s">
        <v>20</v>
      </c>
      <c r="F14" s="11" t="n">
        <v>498.6425</v>
      </c>
      <c r="G14" s="11" t="n">
        <v>153054.9</v>
      </c>
      <c r="H14" s="7" t="n">
        <v>52</v>
      </c>
    </row>
    <row r="15" customFormat="false" ht="15" hidden="false" customHeight="false" outlineLevel="0" collapsed="false">
      <c r="A15" s="7" t="n">
        <v>2</v>
      </c>
      <c r="B15" s="8" t="s">
        <v>21</v>
      </c>
      <c r="C15" s="9" t="n">
        <v>4.23326802355051</v>
      </c>
      <c r="D15" s="7" t="n">
        <v>5</v>
      </c>
      <c r="E15" s="10" t="s">
        <v>22</v>
      </c>
      <c r="F15" s="11" t="n">
        <v>1591.814</v>
      </c>
      <c r="G15" s="11" t="n">
        <v>170837.2</v>
      </c>
      <c r="H15" s="7" t="n">
        <v>19</v>
      </c>
    </row>
    <row r="16" customFormat="false" ht="15" hidden="false" customHeight="false" outlineLevel="0" collapsed="false">
      <c r="A16" s="7" t="n">
        <v>3</v>
      </c>
      <c r="B16" s="8" t="s">
        <v>23</v>
      </c>
      <c r="C16" s="9" t="n">
        <v>4.23033395718798</v>
      </c>
      <c r="D16" s="7" t="n">
        <v>5</v>
      </c>
      <c r="E16" s="10" t="s">
        <v>24</v>
      </c>
      <c r="F16" s="11" t="n">
        <v>990.498</v>
      </c>
      <c r="G16" s="11" t="n">
        <v>149373.1</v>
      </c>
      <c r="H16" s="7" t="n">
        <v>49</v>
      </c>
    </row>
    <row r="17" customFormat="false" ht="15" hidden="false" customHeight="false" outlineLevel="0" collapsed="false">
      <c r="A17" s="7" t="n">
        <v>4</v>
      </c>
      <c r="B17" s="8" t="s">
        <v>25</v>
      </c>
      <c r="C17" s="9" t="n">
        <v>4.18988088275432</v>
      </c>
      <c r="D17" s="7" t="n">
        <v>5</v>
      </c>
      <c r="E17" s="10" t="s">
        <v>26</v>
      </c>
      <c r="F17" s="11" t="n">
        <v>332.418</v>
      </c>
      <c r="G17" s="11" t="n">
        <v>149373.1</v>
      </c>
      <c r="H17" s="7" t="n">
        <v>22</v>
      </c>
    </row>
    <row r="18" customFormat="false" ht="15" hidden="false" customHeight="false" outlineLevel="0" collapsed="false">
      <c r="A18" s="7" t="n">
        <v>5</v>
      </c>
      <c r="B18" s="8" t="s">
        <v>27</v>
      </c>
      <c r="C18" s="9" t="n">
        <v>4.12485378406831</v>
      </c>
      <c r="D18" s="7" t="n">
        <v>5</v>
      </c>
      <c r="E18" s="10" t="s">
        <v>28</v>
      </c>
      <c r="F18" s="11" t="n">
        <v>1014.458</v>
      </c>
      <c r="G18" s="11" t="n">
        <v>170837.2</v>
      </c>
      <c r="H18" s="7" t="n">
        <v>16</v>
      </c>
    </row>
    <row r="19" customFormat="false" ht="15" hidden="false" customHeight="false" outlineLevel="0" collapsed="false">
      <c r="A19" s="7" t="n">
        <v>6</v>
      </c>
      <c r="B19" s="8" t="s">
        <v>29</v>
      </c>
      <c r="C19" s="9" t="n">
        <v>3.62466857722151</v>
      </c>
      <c r="D19" s="7" t="n">
        <v>5</v>
      </c>
      <c r="E19" s="10" t="s">
        <v>30</v>
      </c>
      <c r="F19" s="11" t="n">
        <v>312.486</v>
      </c>
      <c r="G19" s="11" t="n">
        <v>116678.9</v>
      </c>
      <c r="H19" s="7" t="n">
        <v>17</v>
      </c>
    </row>
    <row r="20" customFormat="false" ht="15" hidden="false" customHeight="false" outlineLevel="0" collapsed="false">
      <c r="A20" s="7" t="n">
        <v>7</v>
      </c>
      <c r="B20" s="12" t="s">
        <v>31</v>
      </c>
      <c r="C20" s="9" t="n">
        <v>3.37644753772371</v>
      </c>
      <c r="D20" s="7" t="n">
        <v>5</v>
      </c>
      <c r="E20" s="10" t="s">
        <v>32</v>
      </c>
      <c r="F20" s="11" t="n">
        <v>1330.072</v>
      </c>
      <c r="G20" s="11" t="n">
        <v>110917.4</v>
      </c>
      <c r="H20" s="7" t="n">
        <v>7</v>
      </c>
    </row>
    <row r="21" customFormat="false" ht="15" hidden="false" customHeight="false" outlineLevel="0" collapsed="false">
      <c r="A21" s="7" t="n">
        <v>8</v>
      </c>
      <c r="B21" s="12" t="s">
        <v>33</v>
      </c>
      <c r="C21" s="9" t="n">
        <v>3.30251101493352</v>
      </c>
      <c r="D21" s="7" t="n">
        <v>5</v>
      </c>
      <c r="E21" s="10" t="s">
        <v>34</v>
      </c>
      <c r="F21" s="11" t="n">
        <v>56.136</v>
      </c>
      <c r="G21" s="11" t="n">
        <v>233377.9</v>
      </c>
      <c r="H21" s="7" t="n">
        <v>19</v>
      </c>
    </row>
    <row r="22" customFormat="false" ht="15" hidden="false" customHeight="false" outlineLevel="0" collapsed="false">
      <c r="A22" s="7" t="n">
        <v>9</v>
      </c>
      <c r="B22" s="12" t="s">
        <v>35</v>
      </c>
      <c r="C22" s="9" t="n">
        <v>3.24901060552891</v>
      </c>
      <c r="D22" s="7" t="n">
        <v>5</v>
      </c>
      <c r="E22" s="10" t="s">
        <v>36</v>
      </c>
      <c r="F22" s="11" t="n">
        <v>173.414</v>
      </c>
      <c r="G22" s="11" t="n">
        <v>72370.9</v>
      </c>
      <c r="H22" s="7" t="n">
        <v>7</v>
      </c>
    </row>
    <row r="23" customFormat="false" ht="15" hidden="false" customHeight="false" outlineLevel="0" collapsed="false">
      <c r="A23" s="7" t="n">
        <v>10</v>
      </c>
      <c r="B23" s="12" t="s">
        <v>37</v>
      </c>
      <c r="C23" s="9" t="n">
        <v>3.24009630756034</v>
      </c>
      <c r="D23" s="7" t="n">
        <v>5</v>
      </c>
      <c r="E23" s="10" t="s">
        <v>38</v>
      </c>
      <c r="F23" s="11" t="n">
        <v>1196.336</v>
      </c>
      <c r="G23" s="11" t="n">
        <v>165556.1</v>
      </c>
      <c r="H23" s="7" t="n">
        <v>14</v>
      </c>
    </row>
    <row r="24" customFormat="false" ht="15" hidden="false" customHeight="false" outlineLevel="0" collapsed="false">
      <c r="A24" s="7" t="n">
        <v>11</v>
      </c>
      <c r="B24" s="12" t="s">
        <v>39</v>
      </c>
      <c r="C24" s="9" t="n">
        <v>2.88251062502437</v>
      </c>
      <c r="D24" s="7" t="n">
        <v>4</v>
      </c>
      <c r="E24" s="10" t="s">
        <v>40</v>
      </c>
      <c r="F24" s="11" t="n">
        <v>211.92</v>
      </c>
      <c r="G24" s="11" t="n">
        <v>74164.3</v>
      </c>
      <c r="H24" s="7" t="n">
        <v>4</v>
      </c>
    </row>
    <row r="25" customFormat="false" ht="15" hidden="false" customHeight="false" outlineLevel="0" collapsed="false">
      <c r="A25" s="7" t="n">
        <v>12</v>
      </c>
      <c r="B25" s="12" t="s">
        <v>41</v>
      </c>
      <c r="C25" s="9" t="n">
        <v>2.76431453971225</v>
      </c>
      <c r="D25" s="7" t="n">
        <v>5</v>
      </c>
      <c r="E25" s="10" t="s">
        <v>42</v>
      </c>
      <c r="F25" s="11" t="n">
        <v>137.092</v>
      </c>
      <c r="G25" s="11" t="n">
        <v>84431.1</v>
      </c>
      <c r="H25" s="7" t="n">
        <v>5</v>
      </c>
    </row>
    <row r="26" customFormat="false" ht="15" hidden="false" customHeight="false" outlineLevel="0" collapsed="false">
      <c r="A26" s="7" t="n">
        <v>13</v>
      </c>
      <c r="B26" s="12" t="s">
        <v>43</v>
      </c>
      <c r="C26" s="9" t="n">
        <v>2.60080613717004</v>
      </c>
      <c r="D26" s="7" t="n">
        <v>5</v>
      </c>
      <c r="E26" s="10" t="s">
        <v>44</v>
      </c>
      <c r="F26" s="11" t="n">
        <v>54.224</v>
      </c>
      <c r="G26" s="11" t="n">
        <v>28979.4</v>
      </c>
      <c r="H26" s="7" t="n">
        <v>10</v>
      </c>
    </row>
    <row r="27" customFormat="false" ht="15" hidden="false" customHeight="false" outlineLevel="0" collapsed="false">
      <c r="A27" s="7" t="n">
        <v>14</v>
      </c>
      <c r="B27" s="12" t="s">
        <v>45</v>
      </c>
      <c r="C27" s="9" t="n">
        <v>2.49905447030842</v>
      </c>
      <c r="D27" s="7" t="n">
        <v>4</v>
      </c>
      <c r="E27" s="10" t="s">
        <v>46</v>
      </c>
      <c r="F27" s="11" t="n">
        <v>38.4025</v>
      </c>
      <c r="G27" s="11" t="n">
        <v>161726.9</v>
      </c>
      <c r="H27" s="7" t="n">
        <v>4</v>
      </c>
    </row>
    <row r="28" customFormat="false" ht="15" hidden="false" customHeight="false" outlineLevel="0" collapsed="false">
      <c r="A28" s="7" t="n">
        <v>15</v>
      </c>
      <c r="B28" s="12" t="s">
        <v>47</v>
      </c>
      <c r="C28" s="9" t="n">
        <v>2.47343256521231</v>
      </c>
      <c r="D28" s="7" t="n">
        <v>5</v>
      </c>
      <c r="E28" s="10" t="s">
        <v>48</v>
      </c>
      <c r="F28" s="11" t="n">
        <v>73.386</v>
      </c>
      <c r="G28" s="11" t="n">
        <v>40542.1</v>
      </c>
      <c r="H28" s="7" t="n">
        <v>7</v>
      </c>
    </row>
    <row r="29" customFormat="false" ht="15" hidden="false" customHeight="false" outlineLevel="0" collapsed="false">
      <c r="A29" s="7" t="n">
        <v>16</v>
      </c>
      <c r="B29" s="12" t="s">
        <v>49</v>
      </c>
      <c r="C29" s="9" t="n">
        <v>2.04737883573128</v>
      </c>
      <c r="D29" s="7" t="n">
        <v>5</v>
      </c>
      <c r="E29" s="10" t="s">
        <v>50</v>
      </c>
      <c r="F29" s="11" t="n">
        <v>24.504</v>
      </c>
      <c r="G29" s="11" t="n">
        <v>79592.2</v>
      </c>
      <c r="H29" s="7" t="n">
        <v>5</v>
      </c>
    </row>
    <row r="30" customFormat="false" ht="15" hidden="false" customHeight="false" outlineLevel="0" collapsed="false">
      <c r="A30" s="7" t="n">
        <v>17</v>
      </c>
      <c r="B30" s="12" t="s">
        <v>51</v>
      </c>
      <c r="C30" s="9" t="n">
        <v>1.26566947401256</v>
      </c>
      <c r="D30" s="7" t="n">
        <v>3</v>
      </c>
      <c r="E30" s="10" t="s">
        <v>52</v>
      </c>
      <c r="F30" s="11" t="n">
        <v>16.8233333333333</v>
      </c>
      <c r="G30" s="11" t="n">
        <v>25465.3</v>
      </c>
      <c r="H30" s="7" t="n">
        <v>3</v>
      </c>
    </row>
    <row r="31" customFormat="false" ht="15" hidden="false" customHeight="false" outlineLevel="0" collapsed="false">
      <c r="A31" s="7" t="n">
        <v>18</v>
      </c>
      <c r="B31" s="12" t="s">
        <v>53</v>
      </c>
      <c r="C31" s="9" t="n">
        <v>0.879537567746715</v>
      </c>
      <c r="D31" s="7" t="n">
        <v>2</v>
      </c>
      <c r="E31" s="10" t="s">
        <v>54</v>
      </c>
      <c r="F31" s="11" t="n">
        <v>22.585</v>
      </c>
      <c r="G31" s="11" t="n">
        <v>33883.8</v>
      </c>
      <c r="H31" s="7" t="n">
        <v>2</v>
      </c>
    </row>
    <row r="32" customFormat="false" ht="15" hidden="false" customHeight="false" outlineLevel="0" collapsed="false">
      <c r="A32" s="7" t="n">
        <v>19</v>
      </c>
      <c r="B32" s="12" t="s">
        <v>55</v>
      </c>
      <c r="C32" s="9" t="n">
        <v>0.602677701095645</v>
      </c>
      <c r="D32" s="7" t="n">
        <v>1</v>
      </c>
      <c r="E32" s="10" t="s">
        <v>56</v>
      </c>
      <c r="F32" s="11" t="n">
        <v>11.71</v>
      </c>
      <c r="G32" s="11" t="n">
        <v>58920.4</v>
      </c>
      <c r="H32" s="7" t="n">
        <v>1</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N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1"/>
    <col collapsed="false" customWidth="true" hidden="false" outlineLevel="0" max="9" min="9" style="0" width="22"/>
    <col collapsed="false" customWidth="true" hidden="false" outlineLevel="0" max="10" min="10" style="0" width="8"/>
    <col collapsed="false" customWidth="true" hidden="false" outlineLevel="0" max="11" min="11" style="0" width="18"/>
    <col collapsed="false" customWidth="true" hidden="false" outlineLevel="0" max="12" min="12" style="0" width="14"/>
    <col collapsed="false" customWidth="true" hidden="false" outlineLevel="0" max="13" min="13" style="0" width="26"/>
    <col collapsed="false" customWidth="true" hidden="false" outlineLevel="0" max="14" min="14"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row>
    <row r="5" customFormat="false" ht="35.05" hidden="false" customHeight="false" outlineLevel="0" collapsed="false">
      <c r="A5" s="13" t="s">
        <v>19</v>
      </c>
      <c r="B5" s="14" t="s">
        <v>73</v>
      </c>
      <c r="C5" s="15" t="n">
        <v>1</v>
      </c>
      <c r="D5" s="14" t="s">
        <v>74</v>
      </c>
      <c r="E5" s="16" t="s">
        <v>75</v>
      </c>
      <c r="F5" s="17" t="n">
        <v>0.887306507583733</v>
      </c>
      <c r="G5" s="18" t="n">
        <v>256.12</v>
      </c>
      <c r="H5" s="19" t="n">
        <v>42181.7</v>
      </c>
      <c r="I5" s="16" t="s">
        <v>76</v>
      </c>
      <c r="J5" s="15" t="n">
        <v>32</v>
      </c>
      <c r="K5" s="14" t="s">
        <v>77</v>
      </c>
      <c r="L5" s="14" t="s">
        <v>78</v>
      </c>
      <c r="M5" s="16" t="s">
        <v>79</v>
      </c>
      <c r="N5" s="16" t="s">
        <v>80</v>
      </c>
    </row>
    <row r="6" customFormat="false" ht="23.85" hidden="false" customHeight="false" outlineLevel="0" collapsed="false">
      <c r="A6" s="12"/>
      <c r="B6" s="20" t="s">
        <v>73</v>
      </c>
      <c r="C6" s="21" t="n">
        <v>2</v>
      </c>
      <c r="D6" s="20" t="s">
        <v>81</v>
      </c>
      <c r="E6" s="22" t="s">
        <v>82</v>
      </c>
      <c r="F6" s="23" t="n">
        <v>0.877003158264124</v>
      </c>
      <c r="G6" s="24" t="n">
        <v>907.38</v>
      </c>
      <c r="H6" s="25" t="n">
        <v>22036.1</v>
      </c>
      <c r="I6" s="22" t="s">
        <v>76</v>
      </c>
      <c r="J6" s="21" t="n">
        <v>31</v>
      </c>
      <c r="K6" s="20" t="s">
        <v>83</v>
      </c>
      <c r="L6" s="20" t="s">
        <v>84</v>
      </c>
      <c r="M6" s="22" t="s">
        <v>85</v>
      </c>
      <c r="N6" s="22" t="s">
        <v>86</v>
      </c>
    </row>
    <row r="7" customFormat="false" ht="35.05" hidden="false" customHeight="false" outlineLevel="0" collapsed="false">
      <c r="A7" s="12"/>
      <c r="B7" s="20" t="s">
        <v>73</v>
      </c>
      <c r="C7" s="21" t="n">
        <v>3</v>
      </c>
      <c r="D7" s="20" t="s">
        <v>87</v>
      </c>
      <c r="E7" s="22" t="s">
        <v>88</v>
      </c>
      <c r="F7" s="23" t="n">
        <v>0.871812492689204</v>
      </c>
      <c r="G7" s="24" t="n">
        <v>569.27</v>
      </c>
      <c r="H7" s="25" t="n">
        <v>28093.4</v>
      </c>
      <c r="I7" s="22" t="s">
        <v>89</v>
      </c>
      <c r="J7" s="21" t="n">
        <v>34</v>
      </c>
      <c r="K7" s="20" t="s">
        <v>90</v>
      </c>
      <c r="L7" s="20" t="s">
        <v>84</v>
      </c>
      <c r="M7" s="22" t="s">
        <v>91</v>
      </c>
      <c r="N7" s="22" t="s">
        <v>80</v>
      </c>
    </row>
    <row r="8" customFormat="false" ht="23.85" hidden="false" customHeight="false" outlineLevel="0" collapsed="false">
      <c r="A8" s="12"/>
      <c r="B8" s="20" t="s">
        <v>73</v>
      </c>
      <c r="C8" s="21" t="n">
        <v>4</v>
      </c>
      <c r="D8" s="20" t="s">
        <v>92</v>
      </c>
      <c r="E8" s="22" t="s">
        <v>93</v>
      </c>
      <c r="F8" s="23" t="n">
        <v>0.86144578313253</v>
      </c>
      <c r="G8" s="24"/>
      <c r="H8" s="25" t="n">
        <v>33794.9</v>
      </c>
      <c r="I8" s="22" t="s">
        <v>94</v>
      </c>
      <c r="J8" s="21" t="n">
        <v>2</v>
      </c>
      <c r="K8" s="20" t="s">
        <v>95</v>
      </c>
      <c r="L8" s="20" t="s">
        <v>95</v>
      </c>
      <c r="M8" s="22" t="s">
        <v>96</v>
      </c>
      <c r="N8" s="22" t="s">
        <v>97</v>
      </c>
    </row>
    <row r="9" customFormat="false" ht="23.85" hidden="false" customHeight="false" outlineLevel="0" collapsed="false">
      <c r="A9" s="12"/>
      <c r="B9" s="20" t="s">
        <v>73</v>
      </c>
      <c r="C9" s="21" t="n">
        <v>5</v>
      </c>
      <c r="D9" s="20" t="s">
        <v>98</v>
      </c>
      <c r="E9" s="22" t="s">
        <v>99</v>
      </c>
      <c r="F9" s="23" t="n">
        <v>0.837944009045892</v>
      </c>
      <c r="G9" s="24" t="n">
        <v>261.8</v>
      </c>
      <c r="H9" s="25" t="n">
        <v>26948.8</v>
      </c>
      <c r="I9" s="22" t="s">
        <v>100</v>
      </c>
      <c r="J9" s="21" t="n">
        <v>32</v>
      </c>
      <c r="K9" s="20" t="s">
        <v>77</v>
      </c>
      <c r="L9" s="20" t="s">
        <v>84</v>
      </c>
      <c r="M9" s="22" t="s">
        <v>101</v>
      </c>
      <c r="N9" s="22" t="s">
        <v>102</v>
      </c>
    </row>
    <row r="10" customFormat="false" ht="23.85" hidden="false" customHeight="false" outlineLevel="0" collapsed="false">
      <c r="A10" s="12"/>
      <c r="B10" s="12" t="s">
        <v>103</v>
      </c>
      <c r="C10" s="7" t="n">
        <v>6</v>
      </c>
      <c r="D10" s="12" t="s">
        <v>104</v>
      </c>
      <c r="E10" s="10" t="s">
        <v>105</v>
      </c>
      <c r="F10" s="9" t="n">
        <v>0.825193979802706</v>
      </c>
      <c r="G10" s="26" t="n">
        <v>66.76</v>
      </c>
      <c r="H10" s="11" t="n">
        <v>59827.2</v>
      </c>
      <c r="I10" s="10" t="s">
        <v>106</v>
      </c>
      <c r="J10" s="7" t="n">
        <v>21</v>
      </c>
      <c r="K10" s="12" t="s">
        <v>77</v>
      </c>
      <c r="L10" s="12" t="s">
        <v>107</v>
      </c>
      <c r="M10" s="10" t="s">
        <v>108</v>
      </c>
      <c r="N10" s="10" t="s">
        <v>80</v>
      </c>
    </row>
    <row r="11" customFormat="false" ht="23.85" hidden="false" customHeight="false" outlineLevel="0" collapsed="false">
      <c r="A11" s="12"/>
      <c r="B11" s="12" t="s">
        <v>103</v>
      </c>
      <c r="C11" s="7" t="n">
        <v>7</v>
      </c>
      <c r="D11" s="12" t="s">
        <v>109</v>
      </c>
      <c r="E11" s="10" t="s">
        <v>110</v>
      </c>
      <c r="F11" s="9" t="n">
        <v>0.818828712909892</v>
      </c>
      <c r="G11" s="26" t="n">
        <v>4779</v>
      </c>
      <c r="H11" s="11" t="n">
        <v>7904.7</v>
      </c>
      <c r="I11" s="10" t="s">
        <v>76</v>
      </c>
      <c r="J11" s="7" t="n">
        <v>32</v>
      </c>
      <c r="K11" s="12" t="s">
        <v>77</v>
      </c>
      <c r="L11" s="12" t="s">
        <v>84</v>
      </c>
      <c r="M11" s="10" t="s">
        <v>111</v>
      </c>
      <c r="N11" s="10" t="s">
        <v>80</v>
      </c>
    </row>
    <row r="12" customFormat="false" ht="23.85" hidden="false" customHeight="false" outlineLevel="0" collapsed="false">
      <c r="A12" s="12"/>
      <c r="B12" s="12" t="s">
        <v>103</v>
      </c>
      <c r="C12" s="7" t="n">
        <v>8</v>
      </c>
      <c r="D12" s="12" t="s">
        <v>112</v>
      </c>
      <c r="E12" s="10" t="s">
        <v>113</v>
      </c>
      <c r="F12" s="9" t="n">
        <v>0.777030451904706</v>
      </c>
      <c r="G12" s="26" t="n">
        <v>246.46</v>
      </c>
      <c r="H12" s="11" t="n">
        <v>11366.1</v>
      </c>
      <c r="I12" s="10" t="s">
        <v>114</v>
      </c>
      <c r="J12" s="7" t="n">
        <v>30</v>
      </c>
      <c r="K12" s="12" t="s">
        <v>83</v>
      </c>
      <c r="L12" s="12" t="s">
        <v>84</v>
      </c>
      <c r="M12" s="10" t="s">
        <v>115</v>
      </c>
      <c r="N12" s="10" t="s">
        <v>86</v>
      </c>
    </row>
    <row r="13" customFormat="false" ht="23.85" hidden="false" customHeight="false" outlineLevel="0" collapsed="false">
      <c r="A13" s="12"/>
      <c r="B13" s="12" t="s">
        <v>103</v>
      </c>
      <c r="C13" s="7" t="n">
        <v>9</v>
      </c>
      <c r="D13" s="12" t="s">
        <v>116</v>
      </c>
      <c r="E13" s="10" t="s">
        <v>117</v>
      </c>
      <c r="F13" s="9" t="n">
        <v>0.770255780403166</v>
      </c>
      <c r="G13" s="26" t="n">
        <v>79.53</v>
      </c>
      <c r="H13" s="11" t="n">
        <v>32830.2</v>
      </c>
      <c r="I13" s="10" t="s">
        <v>118</v>
      </c>
      <c r="J13" s="7" t="n">
        <v>21</v>
      </c>
      <c r="K13" s="12" t="s">
        <v>77</v>
      </c>
      <c r="L13" s="12" t="s">
        <v>84</v>
      </c>
      <c r="M13" s="10" t="s">
        <v>119</v>
      </c>
      <c r="N13" s="10" t="s">
        <v>80</v>
      </c>
    </row>
    <row r="14" customFormat="false" ht="23.85" hidden="false" customHeight="false" outlineLevel="0" collapsed="false">
      <c r="A14" s="12"/>
      <c r="B14" s="12" t="s">
        <v>103</v>
      </c>
      <c r="C14" s="7" t="n">
        <v>10</v>
      </c>
      <c r="D14" s="12" t="s">
        <v>120</v>
      </c>
      <c r="E14" s="10" t="s">
        <v>121</v>
      </c>
      <c r="F14" s="9" t="n">
        <v>0.742123835146411</v>
      </c>
      <c r="G14" s="26" t="n">
        <v>41.32</v>
      </c>
      <c r="H14" s="11" t="n">
        <v>41503.2</v>
      </c>
      <c r="I14" s="10" t="s">
        <v>100</v>
      </c>
      <c r="J14" s="7" t="n">
        <v>34</v>
      </c>
      <c r="K14" s="12" t="s">
        <v>77</v>
      </c>
      <c r="L14" s="12" t="s">
        <v>84</v>
      </c>
      <c r="M14" s="10" t="s">
        <v>122</v>
      </c>
      <c r="N14" s="10" t="s">
        <v>80</v>
      </c>
    </row>
    <row r="15" customFormat="false" ht="35.05" hidden="false" customHeight="false" outlineLevel="0" collapsed="false">
      <c r="A15" s="13" t="s">
        <v>21</v>
      </c>
      <c r="B15" s="14" t="s">
        <v>73</v>
      </c>
      <c r="C15" s="15" t="n">
        <v>1</v>
      </c>
      <c r="D15" s="14" t="s">
        <v>74</v>
      </c>
      <c r="E15" s="16" t="s">
        <v>75</v>
      </c>
      <c r="F15" s="17" t="n">
        <v>0.913196475221273</v>
      </c>
      <c r="G15" s="18" t="n">
        <v>410.89</v>
      </c>
      <c r="H15" s="19" t="n">
        <v>42181.7</v>
      </c>
      <c r="I15" s="16" t="s">
        <v>106</v>
      </c>
      <c r="J15" s="15" t="n">
        <v>11</v>
      </c>
      <c r="K15" s="14" t="s">
        <v>77</v>
      </c>
      <c r="L15" s="14" t="s">
        <v>78</v>
      </c>
      <c r="M15" s="16" t="s">
        <v>79</v>
      </c>
      <c r="N15" s="16" t="s">
        <v>80</v>
      </c>
    </row>
    <row r="16" customFormat="false" ht="35.05" hidden="false" customHeight="false" outlineLevel="0" collapsed="false">
      <c r="A16" s="12"/>
      <c r="B16" s="20" t="s">
        <v>73</v>
      </c>
      <c r="C16" s="21" t="n">
        <v>2</v>
      </c>
      <c r="D16" s="20" t="s">
        <v>87</v>
      </c>
      <c r="E16" s="22" t="s">
        <v>88</v>
      </c>
      <c r="F16" s="23" t="n">
        <v>0.883139353530627</v>
      </c>
      <c r="G16" s="24" t="n">
        <v>1212.91</v>
      </c>
      <c r="H16" s="25" t="n">
        <v>28093.4</v>
      </c>
      <c r="I16" s="22" t="s">
        <v>123</v>
      </c>
      <c r="J16" s="21" t="n">
        <v>4</v>
      </c>
      <c r="K16" s="20" t="s">
        <v>77</v>
      </c>
      <c r="L16" s="20" t="s">
        <v>84</v>
      </c>
      <c r="M16" s="22" t="s">
        <v>91</v>
      </c>
      <c r="N16" s="22" t="s">
        <v>80</v>
      </c>
    </row>
    <row r="17" customFormat="false" ht="23.85" hidden="false" customHeight="false" outlineLevel="0" collapsed="false">
      <c r="A17" s="12"/>
      <c r="B17" s="20" t="s">
        <v>73</v>
      </c>
      <c r="C17" s="21" t="n">
        <v>3</v>
      </c>
      <c r="D17" s="20" t="s">
        <v>104</v>
      </c>
      <c r="E17" s="22" t="s">
        <v>105</v>
      </c>
      <c r="F17" s="23" t="n">
        <v>0.846229578508208</v>
      </c>
      <c r="G17" s="24" t="n">
        <v>87.85</v>
      </c>
      <c r="H17" s="25" t="n">
        <v>59827.2</v>
      </c>
      <c r="I17" s="22" t="s">
        <v>124</v>
      </c>
      <c r="J17" s="21" t="n">
        <v>5</v>
      </c>
      <c r="K17" s="20" t="s">
        <v>77</v>
      </c>
      <c r="L17" s="20" t="s">
        <v>78</v>
      </c>
      <c r="M17" s="22" t="s">
        <v>108</v>
      </c>
      <c r="N17" s="22" t="s">
        <v>80</v>
      </c>
    </row>
    <row r="18" customFormat="false" ht="23.85" hidden="false" customHeight="false" outlineLevel="0" collapsed="false">
      <c r="A18" s="12"/>
      <c r="B18" s="20" t="s">
        <v>73</v>
      </c>
      <c r="C18" s="21" t="n">
        <v>4</v>
      </c>
      <c r="D18" s="20" t="s">
        <v>109</v>
      </c>
      <c r="E18" s="22" t="s">
        <v>110</v>
      </c>
      <c r="F18" s="23" t="n">
        <v>0.823683081841931</v>
      </c>
      <c r="G18" s="24" t="n">
        <v>6173.01</v>
      </c>
      <c r="H18" s="25" t="n">
        <v>7904.7</v>
      </c>
      <c r="I18" s="22" t="s">
        <v>124</v>
      </c>
      <c r="J18" s="21" t="n">
        <v>4</v>
      </c>
      <c r="K18" s="20" t="s">
        <v>77</v>
      </c>
      <c r="L18" s="20" t="s">
        <v>84</v>
      </c>
      <c r="M18" s="22" t="s">
        <v>111</v>
      </c>
      <c r="N18" s="22" t="s">
        <v>80</v>
      </c>
    </row>
    <row r="19" customFormat="false" ht="23.85" hidden="false" customHeight="false" outlineLevel="0" collapsed="false">
      <c r="A19" s="12"/>
      <c r="B19" s="20" t="s">
        <v>73</v>
      </c>
      <c r="C19" s="21" t="n">
        <v>5</v>
      </c>
      <c r="D19" s="20" t="s">
        <v>116</v>
      </c>
      <c r="E19" s="22" t="s">
        <v>117</v>
      </c>
      <c r="F19" s="23" t="n">
        <v>0.767019534448474</v>
      </c>
      <c r="G19" s="24" t="n">
        <v>74.41</v>
      </c>
      <c r="H19" s="25" t="n">
        <v>32830.2</v>
      </c>
      <c r="I19" s="22" t="s">
        <v>106</v>
      </c>
      <c r="J19" s="21" t="n">
        <v>7</v>
      </c>
      <c r="K19" s="20" t="s">
        <v>77</v>
      </c>
      <c r="L19" s="20" t="s">
        <v>84</v>
      </c>
      <c r="M19" s="22" t="s">
        <v>119</v>
      </c>
      <c r="N19" s="22" t="s">
        <v>80</v>
      </c>
    </row>
    <row r="20" customFormat="false" ht="23.85" hidden="false" customHeight="false" outlineLevel="0" collapsed="false">
      <c r="A20" s="12"/>
      <c r="B20" s="12" t="s">
        <v>103</v>
      </c>
      <c r="C20" s="7" t="n">
        <v>6</v>
      </c>
      <c r="D20" s="12" t="s">
        <v>125</v>
      </c>
      <c r="E20" s="10" t="s">
        <v>126</v>
      </c>
      <c r="F20" s="9" t="n">
        <v>0.619828829882637</v>
      </c>
      <c r="G20" s="26" t="n">
        <v>92.75</v>
      </c>
      <c r="H20" s="11" t="n">
        <v>3871.2</v>
      </c>
      <c r="I20" s="10" t="s">
        <v>127</v>
      </c>
      <c r="J20" s="7" t="n">
        <v>1</v>
      </c>
      <c r="K20" s="12" t="s">
        <v>77</v>
      </c>
      <c r="L20" s="12" t="s">
        <v>128</v>
      </c>
      <c r="M20" s="10" t="s">
        <v>122</v>
      </c>
      <c r="N20" s="10" t="s">
        <v>80</v>
      </c>
    </row>
    <row r="21" customFormat="false" ht="35.05" hidden="false" customHeight="false" outlineLevel="0" collapsed="false">
      <c r="A21" s="12"/>
      <c r="B21" s="12" t="s">
        <v>103</v>
      </c>
      <c r="C21" s="7" t="n">
        <v>7</v>
      </c>
      <c r="D21" s="12" t="s">
        <v>129</v>
      </c>
      <c r="E21" s="10" t="s">
        <v>130</v>
      </c>
      <c r="F21" s="9" t="n">
        <v>0.612313330993878</v>
      </c>
      <c r="G21" s="26" t="n">
        <v>195.71</v>
      </c>
      <c r="H21" s="11" t="n">
        <v>2886</v>
      </c>
      <c r="I21" s="10" t="s">
        <v>131</v>
      </c>
      <c r="J21" s="7" t="n">
        <v>18</v>
      </c>
      <c r="K21" s="12" t="s">
        <v>77</v>
      </c>
      <c r="L21" s="12" t="s">
        <v>84</v>
      </c>
      <c r="M21" s="10" t="s">
        <v>132</v>
      </c>
      <c r="N21" s="10" t="s">
        <v>80</v>
      </c>
    </row>
    <row r="22" customFormat="false" ht="23.85" hidden="false" customHeight="false" outlineLevel="0" collapsed="false">
      <c r="A22" s="12"/>
      <c r="B22" s="12" t="s">
        <v>103</v>
      </c>
      <c r="C22" s="7" t="n">
        <v>8</v>
      </c>
      <c r="D22" s="12" t="s">
        <v>133</v>
      </c>
      <c r="E22" s="10" t="s">
        <v>134</v>
      </c>
      <c r="F22" s="9" t="n">
        <v>0.584771123328265</v>
      </c>
      <c r="G22" s="26" t="n">
        <v>404.59</v>
      </c>
      <c r="H22" s="11" t="n">
        <v>1874.6</v>
      </c>
      <c r="I22" s="10" t="s">
        <v>135</v>
      </c>
      <c r="J22" s="7" t="n">
        <v>7</v>
      </c>
      <c r="K22" s="12" t="s">
        <v>77</v>
      </c>
      <c r="L22" s="12" t="s">
        <v>84</v>
      </c>
      <c r="M22" s="10" t="s">
        <v>122</v>
      </c>
      <c r="N22" s="10" t="s">
        <v>80</v>
      </c>
    </row>
    <row r="23" customFormat="false" ht="23.85" hidden="false" customHeight="false" outlineLevel="0" collapsed="false">
      <c r="A23" s="12"/>
      <c r="B23" s="12" t="s">
        <v>103</v>
      </c>
      <c r="C23" s="7" t="n">
        <v>9</v>
      </c>
      <c r="D23" s="12" t="s">
        <v>136</v>
      </c>
      <c r="E23" s="10" t="s">
        <v>137</v>
      </c>
      <c r="F23" s="9" t="n">
        <v>0.576831598237611</v>
      </c>
      <c r="G23" s="26" t="n">
        <v>27.98</v>
      </c>
      <c r="H23" s="11" t="n">
        <v>8433.6</v>
      </c>
      <c r="I23" s="10" t="s">
        <v>138</v>
      </c>
      <c r="J23" s="7" t="n">
        <v>5</v>
      </c>
      <c r="K23" s="12" t="s">
        <v>77</v>
      </c>
      <c r="L23" s="12" t="s">
        <v>84</v>
      </c>
      <c r="M23" s="10"/>
      <c r="N23" s="10" t="s">
        <v>102</v>
      </c>
    </row>
    <row r="24" customFormat="false" ht="23.85" hidden="false" customHeight="false" outlineLevel="0" collapsed="false">
      <c r="A24" s="12"/>
      <c r="B24" s="12" t="s">
        <v>103</v>
      </c>
      <c r="C24" s="7" t="n">
        <v>10</v>
      </c>
      <c r="D24" s="12" t="s">
        <v>139</v>
      </c>
      <c r="E24" s="10" t="s">
        <v>140</v>
      </c>
      <c r="F24" s="9" t="n">
        <v>0.535394003197255</v>
      </c>
      <c r="G24" s="26" t="n">
        <v>186.04</v>
      </c>
      <c r="H24" s="11" t="n">
        <v>1652</v>
      </c>
      <c r="I24" s="10" t="s">
        <v>141</v>
      </c>
      <c r="J24" s="7" t="n">
        <v>12</v>
      </c>
      <c r="K24" s="12" t="s">
        <v>77</v>
      </c>
      <c r="L24" s="12" t="s">
        <v>107</v>
      </c>
      <c r="M24" s="10" t="s">
        <v>142</v>
      </c>
      <c r="N24" s="10" t="s">
        <v>102</v>
      </c>
    </row>
    <row r="25" customFormat="false" ht="35.05" hidden="false" customHeight="false" outlineLevel="0" collapsed="false">
      <c r="A25" s="13" t="s">
        <v>23</v>
      </c>
      <c r="B25" s="14" t="s">
        <v>73</v>
      </c>
      <c r="C25" s="15" t="n">
        <v>1</v>
      </c>
      <c r="D25" s="14" t="s">
        <v>74</v>
      </c>
      <c r="E25" s="16" t="s">
        <v>75</v>
      </c>
      <c r="F25" s="17" t="n">
        <v>0.887306507583733</v>
      </c>
      <c r="G25" s="18" t="n">
        <v>256.12</v>
      </c>
      <c r="H25" s="19" t="n">
        <v>42181.7</v>
      </c>
      <c r="I25" s="16" t="s">
        <v>89</v>
      </c>
      <c r="J25" s="15" t="n">
        <v>11</v>
      </c>
      <c r="K25" s="14" t="s">
        <v>77</v>
      </c>
      <c r="L25" s="14" t="s">
        <v>78</v>
      </c>
      <c r="M25" s="16" t="s">
        <v>79</v>
      </c>
      <c r="N25" s="16" t="s">
        <v>80</v>
      </c>
    </row>
    <row r="26" customFormat="false" ht="35.05" hidden="false" customHeight="false" outlineLevel="0" collapsed="false">
      <c r="A26" s="12"/>
      <c r="B26" s="20" t="s">
        <v>73</v>
      </c>
      <c r="C26" s="21" t="n">
        <v>2</v>
      </c>
      <c r="D26" s="20" t="s">
        <v>87</v>
      </c>
      <c r="E26" s="22" t="s">
        <v>88</v>
      </c>
      <c r="F26" s="23" t="n">
        <v>0.87343061566655</v>
      </c>
      <c r="G26" s="24" t="n">
        <v>584.34</v>
      </c>
      <c r="H26" s="25" t="n">
        <v>28093.4</v>
      </c>
      <c r="I26" s="22" t="s">
        <v>114</v>
      </c>
      <c r="J26" s="21" t="n">
        <v>12</v>
      </c>
      <c r="K26" s="20" t="s">
        <v>77</v>
      </c>
      <c r="L26" s="20" t="s">
        <v>78</v>
      </c>
      <c r="M26" s="22" t="s">
        <v>91</v>
      </c>
      <c r="N26" s="22" t="s">
        <v>80</v>
      </c>
    </row>
    <row r="27" customFormat="false" ht="23.85" hidden="false" customHeight="false" outlineLevel="0" collapsed="false">
      <c r="A27" s="12"/>
      <c r="B27" s="20" t="s">
        <v>73</v>
      </c>
      <c r="C27" s="21" t="n">
        <v>3</v>
      </c>
      <c r="D27" s="20" t="s">
        <v>104</v>
      </c>
      <c r="E27" s="22" t="s">
        <v>105</v>
      </c>
      <c r="F27" s="23" t="n">
        <v>0.86241080828167</v>
      </c>
      <c r="G27" s="24" t="n">
        <v>93.73</v>
      </c>
      <c r="H27" s="25" t="n">
        <v>59827.2</v>
      </c>
      <c r="I27" s="22" t="s">
        <v>143</v>
      </c>
      <c r="J27" s="21" t="n">
        <v>5</v>
      </c>
      <c r="K27" s="20" t="s">
        <v>77</v>
      </c>
      <c r="L27" s="20" t="s">
        <v>78</v>
      </c>
      <c r="M27" s="22" t="s">
        <v>108</v>
      </c>
      <c r="N27" s="22" t="s">
        <v>80</v>
      </c>
    </row>
    <row r="28" customFormat="false" ht="23.85" hidden="false" customHeight="false" outlineLevel="0" collapsed="false">
      <c r="A28" s="12"/>
      <c r="B28" s="20" t="s">
        <v>73</v>
      </c>
      <c r="C28" s="21" t="n">
        <v>4</v>
      </c>
      <c r="D28" s="20" t="s">
        <v>109</v>
      </c>
      <c r="E28" s="22" t="s">
        <v>110</v>
      </c>
      <c r="F28" s="23" t="n">
        <v>0.8155924669552</v>
      </c>
      <c r="G28" s="24" t="n">
        <v>3710.2</v>
      </c>
      <c r="H28" s="25" t="n">
        <v>7904.7</v>
      </c>
      <c r="I28" s="22" t="s">
        <v>144</v>
      </c>
      <c r="J28" s="21" t="n">
        <v>10</v>
      </c>
      <c r="K28" s="20" t="s">
        <v>77</v>
      </c>
      <c r="L28" s="20" t="s">
        <v>84</v>
      </c>
      <c r="M28" s="22" t="s">
        <v>111</v>
      </c>
      <c r="N28" s="22" t="s">
        <v>80</v>
      </c>
    </row>
    <row r="29" customFormat="false" ht="23.85" hidden="false" customHeight="false" outlineLevel="0" collapsed="false">
      <c r="A29" s="12"/>
      <c r="B29" s="20" t="s">
        <v>73</v>
      </c>
      <c r="C29" s="21" t="n">
        <v>5</v>
      </c>
      <c r="D29" s="20" t="s">
        <v>112</v>
      </c>
      <c r="E29" s="22" t="s">
        <v>113</v>
      </c>
      <c r="F29" s="23" t="n">
        <v>0.791593558700823</v>
      </c>
      <c r="G29" s="24" t="n">
        <v>308.1</v>
      </c>
      <c r="H29" s="25" t="n">
        <v>11366.1</v>
      </c>
      <c r="I29" s="22" t="s">
        <v>76</v>
      </c>
      <c r="J29" s="21" t="n">
        <v>10</v>
      </c>
      <c r="K29" s="20" t="s">
        <v>83</v>
      </c>
      <c r="L29" s="20" t="s">
        <v>84</v>
      </c>
      <c r="M29" s="22" t="s">
        <v>115</v>
      </c>
      <c r="N29" s="22" t="s">
        <v>86</v>
      </c>
    </row>
    <row r="30" customFormat="false" ht="23.85" hidden="false" customHeight="false" outlineLevel="0" collapsed="false">
      <c r="A30" s="12"/>
      <c r="B30" s="12" t="s">
        <v>103</v>
      </c>
      <c r="C30" s="7" t="n">
        <v>6</v>
      </c>
      <c r="D30" s="12" t="s">
        <v>145</v>
      </c>
      <c r="E30" s="10" t="s">
        <v>146</v>
      </c>
      <c r="F30" s="9" t="n">
        <v>0.728564744414551</v>
      </c>
      <c r="G30" s="26" t="n">
        <v>343.8</v>
      </c>
      <c r="H30" s="11" t="n">
        <v>5178.3</v>
      </c>
      <c r="I30" s="10" t="s">
        <v>147</v>
      </c>
      <c r="J30" s="7" t="n">
        <v>1</v>
      </c>
      <c r="K30" s="12" t="s">
        <v>77</v>
      </c>
      <c r="L30" s="12" t="s">
        <v>84</v>
      </c>
      <c r="M30" s="10"/>
      <c r="N30" s="10" t="s">
        <v>102</v>
      </c>
    </row>
    <row r="31" customFormat="false" ht="23.85" hidden="false" customHeight="false" outlineLevel="0" collapsed="false">
      <c r="A31" s="12"/>
      <c r="B31" s="12" t="s">
        <v>103</v>
      </c>
      <c r="C31" s="7" t="n">
        <v>7</v>
      </c>
      <c r="D31" s="12" t="s">
        <v>148</v>
      </c>
      <c r="E31" s="10" t="s">
        <v>149</v>
      </c>
      <c r="F31" s="9" t="n">
        <v>0.701943697118571</v>
      </c>
      <c r="G31" s="26" t="n">
        <v>28.55</v>
      </c>
      <c r="H31" s="11" t="n">
        <v>53539.9</v>
      </c>
      <c r="I31" s="10" t="s">
        <v>150</v>
      </c>
      <c r="J31" s="7" t="n">
        <v>10</v>
      </c>
      <c r="K31" s="12" t="s">
        <v>77</v>
      </c>
      <c r="L31" s="12" t="s">
        <v>107</v>
      </c>
      <c r="M31" s="10" t="s">
        <v>151</v>
      </c>
      <c r="N31" s="10" t="s">
        <v>80</v>
      </c>
    </row>
    <row r="32" customFormat="false" ht="23.85" hidden="false" customHeight="false" outlineLevel="0" collapsed="false">
      <c r="A32" s="12"/>
      <c r="B32" s="12" t="s">
        <v>103</v>
      </c>
      <c r="C32" s="7" t="n">
        <v>8</v>
      </c>
      <c r="D32" s="12" t="s">
        <v>125</v>
      </c>
      <c r="E32" s="10" t="s">
        <v>126</v>
      </c>
      <c r="F32" s="9" t="n">
        <v>0.668372519203026</v>
      </c>
      <c r="G32" s="26" t="n">
        <v>234.04</v>
      </c>
      <c r="H32" s="11" t="n">
        <v>3871.2</v>
      </c>
      <c r="I32" s="10" t="s">
        <v>147</v>
      </c>
      <c r="J32" s="7" t="n">
        <v>1</v>
      </c>
      <c r="K32" s="12" t="s">
        <v>77</v>
      </c>
      <c r="L32" s="12" t="s">
        <v>84</v>
      </c>
      <c r="M32" s="10" t="s">
        <v>122</v>
      </c>
      <c r="N32" s="10" t="s">
        <v>80</v>
      </c>
    </row>
    <row r="33" customFormat="false" ht="23.85" hidden="false" customHeight="false" outlineLevel="0" collapsed="false">
      <c r="A33" s="12"/>
      <c r="B33" s="12" t="s">
        <v>103</v>
      </c>
      <c r="C33" s="7" t="n">
        <v>9</v>
      </c>
      <c r="D33" s="12" t="s">
        <v>56</v>
      </c>
      <c r="E33" s="10" t="s">
        <v>152</v>
      </c>
      <c r="F33" s="9" t="n">
        <v>0.659312005302765</v>
      </c>
      <c r="G33" s="26" t="n">
        <v>20.14</v>
      </c>
      <c r="H33" s="11" t="n">
        <v>58920.4</v>
      </c>
      <c r="I33" s="10" t="s">
        <v>153</v>
      </c>
      <c r="J33" s="7" t="n">
        <v>10</v>
      </c>
      <c r="K33" s="12" t="s">
        <v>77</v>
      </c>
      <c r="L33" s="12" t="s">
        <v>107</v>
      </c>
      <c r="M33" s="10" t="s">
        <v>154</v>
      </c>
      <c r="N33" s="10" t="s">
        <v>80</v>
      </c>
    </row>
    <row r="34" customFormat="false" ht="23.85" hidden="false" customHeight="false" outlineLevel="0" collapsed="false">
      <c r="A34" s="12"/>
      <c r="B34" s="12" t="s">
        <v>103</v>
      </c>
      <c r="C34" s="7" t="n">
        <v>10</v>
      </c>
      <c r="D34" s="12" t="s">
        <v>120</v>
      </c>
      <c r="E34" s="10" t="s">
        <v>121</v>
      </c>
      <c r="F34" s="9" t="n">
        <v>0.617528365890747</v>
      </c>
      <c r="G34" s="26" t="n">
        <v>16.84</v>
      </c>
      <c r="H34" s="11" t="n">
        <v>41503.2</v>
      </c>
      <c r="I34" s="10" t="s">
        <v>155</v>
      </c>
      <c r="J34" s="7" t="n">
        <v>6</v>
      </c>
      <c r="K34" s="12" t="s">
        <v>77</v>
      </c>
      <c r="L34" s="12" t="s">
        <v>84</v>
      </c>
      <c r="M34" s="10" t="s">
        <v>122</v>
      </c>
      <c r="N34" s="10" t="s">
        <v>80</v>
      </c>
    </row>
    <row r="35" customFormat="false" ht="35.05" hidden="false" customHeight="false" outlineLevel="0" collapsed="false">
      <c r="A35" s="13" t="s">
        <v>25</v>
      </c>
      <c r="B35" s="14" t="s">
        <v>73</v>
      </c>
      <c r="C35" s="15" t="n">
        <v>1</v>
      </c>
      <c r="D35" s="14" t="s">
        <v>74</v>
      </c>
      <c r="E35" s="16" t="s">
        <v>75</v>
      </c>
      <c r="F35" s="17" t="n">
        <v>0.890542753538426</v>
      </c>
      <c r="G35" s="18" t="n">
        <v>259.25</v>
      </c>
      <c r="H35" s="19" t="n">
        <v>42181.7</v>
      </c>
      <c r="I35" s="16" t="s">
        <v>156</v>
      </c>
      <c r="J35" s="15" t="n">
        <v>34</v>
      </c>
      <c r="K35" s="14" t="s">
        <v>77</v>
      </c>
      <c r="L35" s="14" t="s">
        <v>107</v>
      </c>
      <c r="M35" s="16" t="s">
        <v>79</v>
      </c>
      <c r="N35" s="16" t="s">
        <v>80</v>
      </c>
    </row>
    <row r="36" customFormat="false" ht="35.05" hidden="false" customHeight="false" outlineLevel="0" collapsed="false">
      <c r="A36" s="12"/>
      <c r="B36" s="20" t="s">
        <v>73</v>
      </c>
      <c r="C36" s="21" t="n">
        <v>2</v>
      </c>
      <c r="D36" s="20" t="s">
        <v>87</v>
      </c>
      <c r="E36" s="22" t="s">
        <v>88</v>
      </c>
      <c r="F36" s="23" t="n">
        <v>0.878284984598589</v>
      </c>
      <c r="G36" s="24" t="n">
        <v>711.76</v>
      </c>
      <c r="H36" s="25" t="n">
        <v>28093.4</v>
      </c>
      <c r="I36" s="22" t="s">
        <v>157</v>
      </c>
      <c r="J36" s="21" t="n">
        <v>18</v>
      </c>
      <c r="K36" s="20" t="s">
        <v>77</v>
      </c>
      <c r="L36" s="20" t="s">
        <v>84</v>
      </c>
      <c r="M36" s="22" t="s">
        <v>91</v>
      </c>
      <c r="N36" s="22" t="s">
        <v>80</v>
      </c>
    </row>
    <row r="37" customFormat="false" ht="23.85" hidden="false" customHeight="false" outlineLevel="0" collapsed="false">
      <c r="A37" s="12"/>
      <c r="B37" s="20" t="s">
        <v>73</v>
      </c>
      <c r="C37" s="21" t="n">
        <v>3</v>
      </c>
      <c r="D37" s="20" t="s">
        <v>104</v>
      </c>
      <c r="E37" s="22" t="s">
        <v>105</v>
      </c>
      <c r="F37" s="23" t="n">
        <v>0.865647054236363</v>
      </c>
      <c r="G37" s="24" t="n">
        <v>98.68</v>
      </c>
      <c r="H37" s="25" t="n">
        <v>59827.2</v>
      </c>
      <c r="I37" s="22" t="s">
        <v>158</v>
      </c>
      <c r="J37" s="21" t="n">
        <v>15</v>
      </c>
      <c r="K37" s="20" t="s">
        <v>77</v>
      </c>
      <c r="L37" s="20" t="s">
        <v>78</v>
      </c>
      <c r="M37" s="22" t="s">
        <v>108</v>
      </c>
      <c r="N37" s="22" t="s">
        <v>80</v>
      </c>
    </row>
    <row r="38" customFormat="false" ht="23.85" hidden="false" customHeight="false" outlineLevel="0" collapsed="false">
      <c r="A38" s="12"/>
      <c r="B38" s="20" t="s">
        <v>73</v>
      </c>
      <c r="C38" s="21" t="n">
        <v>4</v>
      </c>
      <c r="D38" s="20" t="s">
        <v>112</v>
      </c>
      <c r="E38" s="22" t="s">
        <v>113</v>
      </c>
      <c r="F38" s="23" t="n">
        <v>0.778648574882052</v>
      </c>
      <c r="G38" s="24" t="n">
        <v>248.6</v>
      </c>
      <c r="H38" s="25" t="n">
        <v>11366.1</v>
      </c>
      <c r="I38" s="22" t="s">
        <v>159</v>
      </c>
      <c r="J38" s="21" t="n">
        <v>14</v>
      </c>
      <c r="K38" s="20" t="s">
        <v>83</v>
      </c>
      <c r="L38" s="20" t="s">
        <v>84</v>
      </c>
      <c r="M38" s="22" t="s">
        <v>115</v>
      </c>
      <c r="N38" s="22" t="s">
        <v>86</v>
      </c>
    </row>
    <row r="39" customFormat="false" ht="23.85" hidden="false" customHeight="false" outlineLevel="0" collapsed="false">
      <c r="A39" s="12"/>
      <c r="B39" s="20" t="s">
        <v>73</v>
      </c>
      <c r="C39" s="21" t="n">
        <v>5</v>
      </c>
      <c r="D39" s="20" t="s">
        <v>109</v>
      </c>
      <c r="E39" s="22" t="s">
        <v>110</v>
      </c>
      <c r="F39" s="23" t="n">
        <v>0.776757515498889</v>
      </c>
      <c r="G39" s="24" t="n">
        <v>343.8</v>
      </c>
      <c r="H39" s="25" t="n">
        <v>7904.7</v>
      </c>
      <c r="I39" s="22" t="s">
        <v>147</v>
      </c>
      <c r="J39" s="21" t="n">
        <v>1</v>
      </c>
      <c r="K39" s="20" t="s">
        <v>77</v>
      </c>
      <c r="L39" s="20" t="s">
        <v>84</v>
      </c>
      <c r="M39" s="22" t="s">
        <v>111</v>
      </c>
      <c r="N39" s="22" t="s">
        <v>80</v>
      </c>
    </row>
    <row r="40" customFormat="false" ht="23.85" hidden="false" customHeight="false" outlineLevel="0" collapsed="false">
      <c r="A40" s="12"/>
      <c r="B40" s="12" t="s">
        <v>103</v>
      </c>
      <c r="C40" s="7" t="n">
        <v>6</v>
      </c>
      <c r="D40" s="12" t="s">
        <v>160</v>
      </c>
      <c r="E40" s="10" t="s">
        <v>161</v>
      </c>
      <c r="F40" s="9" t="n">
        <v>0.752870706125473</v>
      </c>
      <c r="G40" s="26" t="n">
        <v>154.8</v>
      </c>
      <c r="H40" s="11" t="n">
        <v>11040.9</v>
      </c>
      <c r="I40" s="10" t="s">
        <v>147</v>
      </c>
      <c r="J40" s="7" t="n">
        <v>1</v>
      </c>
      <c r="K40" s="12" t="s">
        <v>77</v>
      </c>
      <c r="L40" s="12" t="s">
        <v>78</v>
      </c>
      <c r="M40" s="10" t="s">
        <v>162</v>
      </c>
      <c r="N40" s="10" t="s">
        <v>102</v>
      </c>
    </row>
    <row r="41" customFormat="false" ht="23.85" hidden="false" customHeight="false" outlineLevel="0" collapsed="false">
      <c r="A41" s="12"/>
      <c r="B41" s="12" t="s">
        <v>103</v>
      </c>
      <c r="C41" s="7" t="n">
        <v>7</v>
      </c>
      <c r="D41" s="12" t="s">
        <v>148</v>
      </c>
      <c r="E41" s="10" t="s">
        <v>149</v>
      </c>
      <c r="F41" s="9" t="n">
        <v>0.747251140484267</v>
      </c>
      <c r="G41" s="26" t="n">
        <v>36.59</v>
      </c>
      <c r="H41" s="11" t="n">
        <v>53539.9</v>
      </c>
      <c r="I41" s="10" t="s">
        <v>127</v>
      </c>
      <c r="J41" s="7" t="n">
        <v>1</v>
      </c>
      <c r="K41" s="12" t="s">
        <v>77</v>
      </c>
      <c r="L41" s="12" t="s">
        <v>95</v>
      </c>
      <c r="M41" s="10" t="s">
        <v>163</v>
      </c>
      <c r="N41" s="10" t="s">
        <v>80</v>
      </c>
    </row>
    <row r="42" customFormat="false" ht="23.85" hidden="false" customHeight="false" outlineLevel="0" collapsed="false">
      <c r="A42" s="12"/>
      <c r="B42" s="12" t="s">
        <v>103</v>
      </c>
      <c r="C42" s="7" t="n">
        <v>8</v>
      </c>
      <c r="D42" s="12" t="s">
        <v>116</v>
      </c>
      <c r="E42" s="10" t="s">
        <v>117</v>
      </c>
      <c r="F42" s="9" t="n">
        <v>0.741129566810933</v>
      </c>
      <c r="G42" s="26" t="n">
        <v>56.65</v>
      </c>
      <c r="H42" s="11" t="n">
        <v>32830.2</v>
      </c>
      <c r="I42" s="10" t="s">
        <v>164</v>
      </c>
      <c r="J42" s="7" t="n">
        <v>21</v>
      </c>
      <c r="K42" s="12" t="s">
        <v>77</v>
      </c>
      <c r="L42" s="12" t="s">
        <v>84</v>
      </c>
      <c r="M42" s="10" t="s">
        <v>119</v>
      </c>
      <c r="N42" s="10" t="s">
        <v>80</v>
      </c>
    </row>
    <row r="43" customFormat="false" ht="23.85" hidden="false" customHeight="false" outlineLevel="0" collapsed="false">
      <c r="A43" s="12"/>
      <c r="B43" s="12" t="s">
        <v>103</v>
      </c>
      <c r="C43" s="7" t="n">
        <v>9</v>
      </c>
      <c r="D43" s="12" t="s">
        <v>125</v>
      </c>
      <c r="E43" s="10" t="s">
        <v>126</v>
      </c>
      <c r="F43" s="9" t="n">
        <v>0.668372519203026</v>
      </c>
      <c r="G43" s="26" t="n">
        <v>234.04</v>
      </c>
      <c r="H43" s="11" t="n">
        <v>3871.2</v>
      </c>
      <c r="I43" s="10" t="s">
        <v>165</v>
      </c>
      <c r="J43" s="7" t="n">
        <v>5</v>
      </c>
      <c r="K43" s="12" t="s">
        <v>77</v>
      </c>
      <c r="L43" s="12" t="s">
        <v>84</v>
      </c>
      <c r="M43" s="10" t="s">
        <v>122</v>
      </c>
      <c r="N43" s="10" t="s">
        <v>80</v>
      </c>
    </row>
    <row r="44" customFormat="false" ht="23.85" hidden="false" customHeight="false" outlineLevel="0" collapsed="false">
      <c r="A44" s="12"/>
      <c r="B44" s="12" t="s">
        <v>103</v>
      </c>
      <c r="C44" s="7" t="n">
        <v>10</v>
      </c>
      <c r="D44" s="12" t="s">
        <v>166</v>
      </c>
      <c r="E44" s="10" t="s">
        <v>167</v>
      </c>
      <c r="F44" s="9" t="n">
        <v>0.627086013958748</v>
      </c>
      <c r="G44" s="26" t="n">
        <v>127.38</v>
      </c>
      <c r="H44" s="11" t="n">
        <v>3625.3</v>
      </c>
      <c r="I44" s="10" t="s">
        <v>147</v>
      </c>
      <c r="J44" s="7" t="n">
        <v>2</v>
      </c>
      <c r="K44" s="12" t="s">
        <v>90</v>
      </c>
      <c r="L44" s="12" t="s">
        <v>84</v>
      </c>
      <c r="M44" s="10" t="s">
        <v>168</v>
      </c>
      <c r="N44" s="10" t="s">
        <v>80</v>
      </c>
    </row>
    <row r="45" customFormat="false" ht="35.05" hidden="false" customHeight="false" outlineLevel="0" collapsed="false">
      <c r="A45" s="13" t="s">
        <v>27</v>
      </c>
      <c r="B45" s="14" t="s">
        <v>73</v>
      </c>
      <c r="C45" s="15" t="n">
        <v>1</v>
      </c>
      <c r="D45" s="14" t="s">
        <v>74</v>
      </c>
      <c r="E45" s="16" t="s">
        <v>75</v>
      </c>
      <c r="F45" s="17" t="n">
        <v>0.906723983311888</v>
      </c>
      <c r="G45" s="18" t="n">
        <v>360.71</v>
      </c>
      <c r="H45" s="19" t="n">
        <v>42181.7</v>
      </c>
      <c r="I45" s="16" t="s">
        <v>169</v>
      </c>
      <c r="J45" s="15" t="n">
        <v>2</v>
      </c>
      <c r="K45" s="14" t="s">
        <v>77</v>
      </c>
      <c r="L45" s="14" t="s">
        <v>78</v>
      </c>
      <c r="M45" s="16" t="s">
        <v>79</v>
      </c>
      <c r="N45" s="16" t="s">
        <v>80</v>
      </c>
    </row>
    <row r="46" customFormat="false" ht="23.85" hidden="false" customHeight="false" outlineLevel="0" collapsed="false">
      <c r="A46" s="12"/>
      <c r="B46" s="20" t="s">
        <v>73</v>
      </c>
      <c r="C46" s="21" t="n">
        <v>2</v>
      </c>
      <c r="D46" s="20" t="s">
        <v>104</v>
      </c>
      <c r="E46" s="22" t="s">
        <v>105</v>
      </c>
      <c r="F46" s="23" t="n">
        <v>0.844611455530861</v>
      </c>
      <c r="G46" s="24" t="n">
        <v>83.75</v>
      </c>
      <c r="H46" s="25" t="n">
        <v>59827.2</v>
      </c>
      <c r="I46" s="22" t="s">
        <v>170</v>
      </c>
      <c r="J46" s="21" t="n">
        <v>5</v>
      </c>
      <c r="K46" s="20" t="s">
        <v>77</v>
      </c>
      <c r="L46" s="20" t="s">
        <v>78</v>
      </c>
      <c r="M46" s="22" t="s">
        <v>108</v>
      </c>
      <c r="N46" s="22" t="s">
        <v>80</v>
      </c>
    </row>
    <row r="47" customFormat="false" ht="35.05" hidden="false" customHeight="false" outlineLevel="0" collapsed="false">
      <c r="A47" s="12"/>
      <c r="B47" s="20" t="s">
        <v>73</v>
      </c>
      <c r="C47" s="21" t="n">
        <v>3</v>
      </c>
      <c r="D47" s="20" t="s">
        <v>87</v>
      </c>
      <c r="E47" s="22" t="s">
        <v>88</v>
      </c>
      <c r="F47" s="23" t="n">
        <v>0.841068156119624</v>
      </c>
      <c r="G47" s="24" t="n">
        <v>295.75</v>
      </c>
      <c r="H47" s="25" t="n">
        <v>28093.4</v>
      </c>
      <c r="I47" s="22" t="s">
        <v>171</v>
      </c>
      <c r="J47" s="21" t="n">
        <v>8</v>
      </c>
      <c r="K47" s="20" t="s">
        <v>77</v>
      </c>
      <c r="L47" s="20" t="s">
        <v>84</v>
      </c>
      <c r="M47" s="22" t="s">
        <v>91</v>
      </c>
      <c r="N47" s="22" t="s">
        <v>80</v>
      </c>
    </row>
    <row r="48" customFormat="false" ht="23.85" hidden="false" customHeight="false" outlineLevel="0" collapsed="false">
      <c r="A48" s="12"/>
      <c r="B48" s="20" t="s">
        <v>73</v>
      </c>
      <c r="C48" s="21" t="n">
        <v>4</v>
      </c>
      <c r="D48" s="20" t="s">
        <v>109</v>
      </c>
      <c r="E48" s="22" t="s">
        <v>110</v>
      </c>
      <c r="F48" s="23" t="n">
        <v>0.817210589932546</v>
      </c>
      <c r="G48" s="24" t="n">
        <v>4289.93</v>
      </c>
      <c r="H48" s="25" t="n">
        <v>7904.7</v>
      </c>
      <c r="I48" s="22" t="s">
        <v>171</v>
      </c>
      <c r="J48" s="21" t="n">
        <v>7</v>
      </c>
      <c r="K48" s="20" t="s">
        <v>77</v>
      </c>
      <c r="L48" s="20" t="s">
        <v>84</v>
      </c>
      <c r="M48" s="22" t="s">
        <v>111</v>
      </c>
      <c r="N48" s="22" t="s">
        <v>80</v>
      </c>
    </row>
    <row r="49" customFormat="false" ht="23.85" hidden="false" customHeight="false" outlineLevel="0" collapsed="false">
      <c r="A49" s="12"/>
      <c r="B49" s="20" t="s">
        <v>73</v>
      </c>
      <c r="C49" s="21" t="n">
        <v>5</v>
      </c>
      <c r="D49" s="20" t="s">
        <v>116</v>
      </c>
      <c r="E49" s="22" t="s">
        <v>117</v>
      </c>
      <c r="F49" s="23" t="n">
        <v>0.715239599173393</v>
      </c>
      <c r="G49" s="24" t="n">
        <v>42.15</v>
      </c>
      <c r="H49" s="25" t="n">
        <v>32830.2</v>
      </c>
      <c r="I49" s="22" t="s">
        <v>171</v>
      </c>
      <c r="J49" s="21" t="n">
        <v>7</v>
      </c>
      <c r="K49" s="20" t="s">
        <v>172</v>
      </c>
      <c r="L49" s="20" t="s">
        <v>84</v>
      </c>
      <c r="M49" s="22" t="s">
        <v>119</v>
      </c>
      <c r="N49" s="22" t="s">
        <v>80</v>
      </c>
    </row>
    <row r="50" customFormat="false" ht="23.85" hidden="false" customHeight="false" outlineLevel="0" collapsed="false">
      <c r="A50" s="12"/>
      <c r="B50" s="12" t="s">
        <v>103</v>
      </c>
      <c r="C50" s="7" t="n">
        <v>6</v>
      </c>
      <c r="D50" s="12" t="s">
        <v>173</v>
      </c>
      <c r="E50" s="10" t="s">
        <v>174</v>
      </c>
      <c r="F50" s="9" t="n">
        <v>0.588894412601864</v>
      </c>
      <c r="G50" s="26" t="n">
        <v>36.53</v>
      </c>
      <c r="H50" s="11" t="n">
        <v>6632.6</v>
      </c>
      <c r="I50" s="10" t="s">
        <v>169</v>
      </c>
      <c r="J50" s="7" t="n">
        <v>2</v>
      </c>
      <c r="K50" s="12" t="s">
        <v>172</v>
      </c>
      <c r="L50" s="12" t="s">
        <v>84</v>
      </c>
      <c r="M50" s="10" t="s">
        <v>175</v>
      </c>
      <c r="N50" s="10" t="s">
        <v>80</v>
      </c>
    </row>
    <row r="51" customFormat="false" ht="35.05" hidden="false" customHeight="false" outlineLevel="0" collapsed="false">
      <c r="A51" s="12"/>
      <c r="B51" s="12" t="s">
        <v>103</v>
      </c>
      <c r="C51" s="7" t="n">
        <v>7</v>
      </c>
      <c r="D51" s="12" t="s">
        <v>129</v>
      </c>
      <c r="E51" s="10" t="s">
        <v>130</v>
      </c>
      <c r="F51" s="9" t="n">
        <v>0.567005887628183</v>
      </c>
      <c r="G51" s="26" t="n">
        <v>92.74</v>
      </c>
      <c r="H51" s="11" t="n">
        <v>2886</v>
      </c>
      <c r="I51" s="10" t="s">
        <v>170</v>
      </c>
      <c r="J51" s="7" t="n">
        <v>5</v>
      </c>
      <c r="K51" s="12" t="s">
        <v>77</v>
      </c>
      <c r="L51" s="12" t="s">
        <v>84</v>
      </c>
      <c r="M51" s="10" t="s">
        <v>132</v>
      </c>
      <c r="N51" s="10" t="s">
        <v>80</v>
      </c>
    </row>
    <row r="52" customFormat="false" ht="15" hidden="false" customHeight="false" outlineLevel="0" collapsed="false">
      <c r="A52" s="12"/>
      <c r="B52" s="12" t="s">
        <v>103</v>
      </c>
      <c r="C52" s="7" t="n">
        <v>8</v>
      </c>
      <c r="D52" s="12" t="s">
        <v>176</v>
      </c>
      <c r="E52" s="10" t="s">
        <v>177</v>
      </c>
      <c r="F52" s="9" t="n">
        <v>0.546803719733302</v>
      </c>
      <c r="G52" s="26" t="n">
        <v>69.18</v>
      </c>
      <c r="H52" s="11" t="n">
        <v>2931.4</v>
      </c>
      <c r="I52" s="10" t="s">
        <v>147</v>
      </c>
      <c r="J52" s="7" t="n">
        <v>1</v>
      </c>
      <c r="K52" s="12" t="s">
        <v>95</v>
      </c>
      <c r="L52" s="12" t="s">
        <v>95</v>
      </c>
      <c r="M52" s="10" t="s">
        <v>178</v>
      </c>
      <c r="N52" s="10" t="s">
        <v>97</v>
      </c>
    </row>
    <row r="53" customFormat="false" ht="23.85" hidden="false" customHeight="false" outlineLevel="0" collapsed="false">
      <c r="A53" s="12"/>
      <c r="B53" s="12" t="s">
        <v>103</v>
      </c>
      <c r="C53" s="7" t="n">
        <v>9</v>
      </c>
      <c r="D53" s="12" t="s">
        <v>179</v>
      </c>
      <c r="E53" s="10" t="s">
        <v>180</v>
      </c>
      <c r="F53" s="9" t="n">
        <v>0.461130931492962</v>
      </c>
      <c r="G53" s="26" t="n">
        <v>6.08</v>
      </c>
      <c r="H53" s="11" t="n">
        <v>35276.7</v>
      </c>
      <c r="I53" s="10" t="s">
        <v>170</v>
      </c>
      <c r="J53" s="7" t="n">
        <v>5</v>
      </c>
      <c r="K53" s="12" t="s">
        <v>77</v>
      </c>
      <c r="L53" s="12" t="s">
        <v>78</v>
      </c>
      <c r="M53" s="10" t="s">
        <v>175</v>
      </c>
      <c r="N53" s="10" t="s">
        <v>80</v>
      </c>
    </row>
    <row r="54" customFormat="false" ht="23.85" hidden="false" customHeight="false" outlineLevel="0" collapsed="false">
      <c r="A54" s="12"/>
      <c r="B54" s="12" t="s">
        <v>103</v>
      </c>
      <c r="C54" s="7" t="n">
        <v>10</v>
      </c>
      <c r="D54" s="12" t="s">
        <v>181</v>
      </c>
      <c r="E54" s="10" t="s">
        <v>182</v>
      </c>
      <c r="F54" s="9" t="n">
        <v>0.450778843529458</v>
      </c>
      <c r="G54" s="26" t="n">
        <v>9.12</v>
      </c>
      <c r="H54" s="11" t="n">
        <v>11544.4</v>
      </c>
      <c r="I54" s="10" t="s">
        <v>147</v>
      </c>
      <c r="J54" s="7" t="n">
        <v>1</v>
      </c>
      <c r="K54" s="12" t="s">
        <v>77</v>
      </c>
      <c r="L54" s="12" t="s">
        <v>128</v>
      </c>
      <c r="M54" s="10"/>
      <c r="N54" s="10" t="s">
        <v>102</v>
      </c>
    </row>
    <row r="55" customFormat="false" ht="35.05" hidden="false" customHeight="false" outlineLevel="0" collapsed="false">
      <c r="A55" s="13" t="s">
        <v>29</v>
      </c>
      <c r="B55" s="14" t="s">
        <v>73</v>
      </c>
      <c r="C55" s="15" t="n">
        <v>1</v>
      </c>
      <c r="D55" s="14" t="s">
        <v>87</v>
      </c>
      <c r="E55" s="16" t="s">
        <v>88</v>
      </c>
      <c r="F55" s="17" t="n">
        <v>0.879903107575935</v>
      </c>
      <c r="G55" s="18" t="n">
        <v>887.33</v>
      </c>
      <c r="H55" s="19" t="n">
        <v>28093.4</v>
      </c>
      <c r="I55" s="16" t="s">
        <v>131</v>
      </c>
      <c r="J55" s="15" t="n">
        <v>34</v>
      </c>
      <c r="K55" s="14" t="s">
        <v>77</v>
      </c>
      <c r="L55" s="14" t="s">
        <v>84</v>
      </c>
      <c r="M55" s="16" t="s">
        <v>91</v>
      </c>
      <c r="N55" s="16" t="s">
        <v>80</v>
      </c>
    </row>
    <row r="56" customFormat="false" ht="23.85" hidden="false" customHeight="false" outlineLevel="0" collapsed="false">
      <c r="A56" s="12"/>
      <c r="B56" s="20" t="s">
        <v>73</v>
      </c>
      <c r="C56" s="21" t="n">
        <v>2</v>
      </c>
      <c r="D56" s="20" t="s">
        <v>112</v>
      </c>
      <c r="E56" s="22" t="s">
        <v>113</v>
      </c>
      <c r="F56" s="23" t="n">
        <v>0.812629157406324</v>
      </c>
      <c r="G56" s="24" t="n">
        <v>438.59</v>
      </c>
      <c r="H56" s="25" t="n">
        <v>11366.1</v>
      </c>
      <c r="I56" s="22" t="s">
        <v>183</v>
      </c>
      <c r="J56" s="21" t="n">
        <v>7</v>
      </c>
      <c r="K56" s="20" t="s">
        <v>83</v>
      </c>
      <c r="L56" s="20" t="s">
        <v>84</v>
      </c>
      <c r="M56" s="22" t="s">
        <v>115</v>
      </c>
      <c r="N56" s="22" t="s">
        <v>86</v>
      </c>
    </row>
    <row r="57" customFormat="false" ht="23.85" hidden="false" customHeight="false" outlineLevel="0" collapsed="false">
      <c r="A57" s="12"/>
      <c r="B57" s="20" t="s">
        <v>73</v>
      </c>
      <c r="C57" s="21" t="n">
        <v>3</v>
      </c>
      <c r="D57" s="20" t="s">
        <v>116</v>
      </c>
      <c r="E57" s="22" t="s">
        <v>117</v>
      </c>
      <c r="F57" s="23" t="n">
        <v>0.708767107264008</v>
      </c>
      <c r="G57" s="24" t="n">
        <v>40.14</v>
      </c>
      <c r="H57" s="25" t="n">
        <v>32830.2</v>
      </c>
      <c r="I57" s="22" t="s">
        <v>184</v>
      </c>
      <c r="J57" s="21" t="n">
        <v>7</v>
      </c>
      <c r="K57" s="20" t="s">
        <v>77</v>
      </c>
      <c r="L57" s="20" t="s">
        <v>84</v>
      </c>
      <c r="M57" s="22" t="s">
        <v>119</v>
      </c>
      <c r="N57" s="22" t="s">
        <v>80</v>
      </c>
    </row>
    <row r="58" customFormat="false" ht="23.85" hidden="false" customHeight="false" outlineLevel="0" collapsed="false">
      <c r="A58" s="12"/>
      <c r="B58" s="20" t="s">
        <v>73</v>
      </c>
      <c r="C58" s="21" t="n">
        <v>4</v>
      </c>
      <c r="D58" s="20" t="s">
        <v>120</v>
      </c>
      <c r="E58" s="22" t="s">
        <v>121</v>
      </c>
      <c r="F58" s="23" t="n">
        <v>0.614292119936055</v>
      </c>
      <c r="G58" s="24" t="n">
        <v>15.95</v>
      </c>
      <c r="H58" s="25" t="n">
        <v>41503.2</v>
      </c>
      <c r="I58" s="22" t="s">
        <v>185</v>
      </c>
      <c r="J58" s="21" t="n">
        <v>2</v>
      </c>
      <c r="K58" s="20" t="s">
        <v>77</v>
      </c>
      <c r="L58" s="20" t="s">
        <v>128</v>
      </c>
      <c r="M58" s="22" t="s">
        <v>122</v>
      </c>
      <c r="N58" s="22" t="s">
        <v>80</v>
      </c>
    </row>
    <row r="59" customFormat="false" ht="35.05" hidden="false" customHeight="false" outlineLevel="0" collapsed="false">
      <c r="A59" s="12"/>
      <c r="B59" s="20" t="s">
        <v>73</v>
      </c>
      <c r="C59" s="21" t="n">
        <v>5</v>
      </c>
      <c r="D59" s="20" t="s">
        <v>129</v>
      </c>
      <c r="E59" s="22" t="s">
        <v>130</v>
      </c>
      <c r="F59" s="23" t="n">
        <v>0.609077085039186</v>
      </c>
      <c r="G59" s="24" t="n">
        <v>180.42</v>
      </c>
      <c r="H59" s="25" t="n">
        <v>2886</v>
      </c>
      <c r="I59" s="22" t="s">
        <v>186</v>
      </c>
      <c r="J59" s="21" t="n">
        <v>9</v>
      </c>
      <c r="K59" s="20" t="s">
        <v>77</v>
      </c>
      <c r="L59" s="20" t="s">
        <v>84</v>
      </c>
      <c r="M59" s="22" t="s">
        <v>132</v>
      </c>
      <c r="N59" s="22" t="s">
        <v>80</v>
      </c>
    </row>
    <row r="60" customFormat="false" ht="23.85" hidden="false" customHeight="false" outlineLevel="0" collapsed="false">
      <c r="A60" s="12"/>
      <c r="B60" s="12" t="s">
        <v>103</v>
      </c>
      <c r="C60" s="7" t="n">
        <v>6</v>
      </c>
      <c r="D60" s="12" t="s">
        <v>56</v>
      </c>
      <c r="E60" s="10" t="s">
        <v>152</v>
      </c>
      <c r="F60" s="9" t="n">
        <v>0.605913947050337</v>
      </c>
      <c r="G60" s="26" t="n">
        <v>11.91</v>
      </c>
      <c r="H60" s="11" t="n">
        <v>58920.4</v>
      </c>
      <c r="I60" s="10" t="s">
        <v>187</v>
      </c>
      <c r="J60" s="7" t="n">
        <v>18</v>
      </c>
      <c r="K60" s="12" t="s">
        <v>77</v>
      </c>
      <c r="L60" s="12" t="s">
        <v>107</v>
      </c>
      <c r="M60" s="10" t="s">
        <v>154</v>
      </c>
      <c r="N60" s="10" t="s">
        <v>80</v>
      </c>
    </row>
    <row r="61" customFormat="false" ht="23.85" hidden="false" customHeight="false" outlineLevel="0" collapsed="false">
      <c r="A61" s="12"/>
      <c r="B61" s="12" t="s">
        <v>103</v>
      </c>
      <c r="C61" s="7" t="n">
        <v>7</v>
      </c>
      <c r="D61" s="12" t="s">
        <v>173</v>
      </c>
      <c r="E61" s="10" t="s">
        <v>174</v>
      </c>
      <c r="F61" s="9" t="n">
        <v>0.588894412601864</v>
      </c>
      <c r="G61" s="26" t="n">
        <v>36.53</v>
      </c>
      <c r="H61" s="11" t="n">
        <v>6632.6</v>
      </c>
      <c r="I61" s="10" t="s">
        <v>183</v>
      </c>
      <c r="J61" s="7" t="n">
        <v>4</v>
      </c>
      <c r="K61" s="12" t="s">
        <v>172</v>
      </c>
      <c r="L61" s="12" t="s">
        <v>84</v>
      </c>
      <c r="M61" s="10" t="s">
        <v>175</v>
      </c>
      <c r="N61" s="10" t="s">
        <v>80</v>
      </c>
    </row>
    <row r="62" customFormat="false" ht="23.85" hidden="false" customHeight="false" outlineLevel="0" collapsed="false">
      <c r="A62" s="12"/>
      <c r="B62" s="12" t="s">
        <v>103</v>
      </c>
      <c r="C62" s="7" t="n">
        <v>8</v>
      </c>
      <c r="D62" s="12" t="s">
        <v>188</v>
      </c>
      <c r="E62" s="10" t="s">
        <v>189</v>
      </c>
      <c r="F62" s="9" t="n">
        <v>0.55820856240496</v>
      </c>
      <c r="G62" s="26" t="n">
        <v>198.74</v>
      </c>
      <c r="H62" s="11" t="n">
        <v>1976.6</v>
      </c>
      <c r="I62" s="10" t="s">
        <v>190</v>
      </c>
      <c r="J62" s="7" t="n">
        <v>2</v>
      </c>
      <c r="K62" s="12" t="s">
        <v>77</v>
      </c>
      <c r="L62" s="12" t="s">
        <v>84</v>
      </c>
      <c r="M62" s="10" t="s">
        <v>142</v>
      </c>
      <c r="N62" s="10" t="s">
        <v>102</v>
      </c>
    </row>
    <row r="63" customFormat="false" ht="23.85" hidden="false" customHeight="false" outlineLevel="0" collapsed="false">
      <c r="A63" s="12"/>
      <c r="B63" s="12" t="s">
        <v>103</v>
      </c>
      <c r="C63" s="7" t="n">
        <v>9</v>
      </c>
      <c r="D63" s="12" t="s">
        <v>191</v>
      </c>
      <c r="E63" s="10" t="s">
        <v>192</v>
      </c>
      <c r="F63" s="9" t="n">
        <v>0.544420400046789</v>
      </c>
      <c r="G63" s="26" t="n">
        <v>24.41</v>
      </c>
      <c r="H63" s="11" t="n">
        <v>6893.7</v>
      </c>
      <c r="I63" s="10" t="s">
        <v>127</v>
      </c>
      <c r="J63" s="7" t="n">
        <v>1</v>
      </c>
      <c r="K63" s="12" t="s">
        <v>77</v>
      </c>
      <c r="L63" s="12" t="s">
        <v>84</v>
      </c>
      <c r="M63" s="10" t="s">
        <v>163</v>
      </c>
      <c r="N63" s="10" t="s">
        <v>80</v>
      </c>
    </row>
    <row r="64" customFormat="false" ht="23.85" hidden="false" customHeight="false" outlineLevel="0" collapsed="false">
      <c r="A64" s="12"/>
      <c r="B64" s="12" t="s">
        <v>103</v>
      </c>
      <c r="C64" s="7" t="n">
        <v>10</v>
      </c>
      <c r="D64" s="12" t="s">
        <v>193</v>
      </c>
      <c r="E64" s="10" t="s">
        <v>194</v>
      </c>
      <c r="F64" s="9" t="n">
        <v>0.498937497563068</v>
      </c>
      <c r="G64" s="26" t="n">
        <v>14.55</v>
      </c>
      <c r="H64" s="11" t="n">
        <v>8594.3</v>
      </c>
      <c r="I64" s="10" t="s">
        <v>195</v>
      </c>
      <c r="J64" s="7" t="n">
        <v>7</v>
      </c>
      <c r="K64" s="12" t="s">
        <v>196</v>
      </c>
      <c r="L64" s="12" t="s">
        <v>84</v>
      </c>
      <c r="M64" s="10"/>
      <c r="N64" s="10" t="s">
        <v>102</v>
      </c>
    </row>
    <row r="65" customFormat="false" ht="23.85" hidden="false" customHeight="false" outlineLevel="0" collapsed="false">
      <c r="A65" s="13" t="s">
        <v>31</v>
      </c>
      <c r="B65" s="14" t="s">
        <v>73</v>
      </c>
      <c r="C65" s="15" t="n">
        <v>1</v>
      </c>
      <c r="D65" s="14" t="s">
        <v>104</v>
      </c>
      <c r="E65" s="16" t="s">
        <v>105</v>
      </c>
      <c r="F65" s="17" t="n">
        <v>0.846229578508208</v>
      </c>
      <c r="G65" s="18" t="n">
        <v>87.85</v>
      </c>
      <c r="H65" s="19" t="n">
        <v>59827.2</v>
      </c>
      <c r="I65" s="16" t="s">
        <v>197</v>
      </c>
      <c r="J65" s="15" t="n">
        <v>5</v>
      </c>
      <c r="K65" s="14" t="s">
        <v>77</v>
      </c>
      <c r="L65" s="14" t="s">
        <v>84</v>
      </c>
      <c r="M65" s="16" t="s">
        <v>108</v>
      </c>
      <c r="N65" s="16" t="s">
        <v>80</v>
      </c>
    </row>
    <row r="66" customFormat="false" ht="23.85" hidden="false" customHeight="false" outlineLevel="0" collapsed="false">
      <c r="A66" s="12"/>
      <c r="B66" s="20" t="s">
        <v>73</v>
      </c>
      <c r="C66" s="21" t="n">
        <v>2</v>
      </c>
      <c r="D66" s="20" t="s">
        <v>112</v>
      </c>
      <c r="E66" s="22" t="s">
        <v>113</v>
      </c>
      <c r="F66" s="23" t="n">
        <v>0.815865403361017</v>
      </c>
      <c r="G66" s="24" t="n">
        <v>531.87</v>
      </c>
      <c r="H66" s="25" t="n">
        <v>11366.1</v>
      </c>
      <c r="I66" s="22" t="s">
        <v>198</v>
      </c>
      <c r="J66" s="21" t="n">
        <v>1</v>
      </c>
      <c r="K66" s="20" t="s">
        <v>83</v>
      </c>
      <c r="L66" s="20" t="s">
        <v>84</v>
      </c>
      <c r="M66" s="22" t="s">
        <v>115</v>
      </c>
      <c r="N66" s="22" t="s">
        <v>86</v>
      </c>
    </row>
    <row r="67" customFormat="false" ht="23.85" hidden="false" customHeight="false" outlineLevel="0" collapsed="false">
      <c r="A67" s="12"/>
      <c r="B67" s="20" t="s">
        <v>73</v>
      </c>
      <c r="C67" s="21" t="n">
        <v>3</v>
      </c>
      <c r="D67" s="20" t="s">
        <v>116</v>
      </c>
      <c r="E67" s="22" t="s">
        <v>117</v>
      </c>
      <c r="F67" s="23" t="n">
        <v>0.705530861309315</v>
      </c>
      <c r="G67" s="24" t="n">
        <v>39.42</v>
      </c>
      <c r="H67" s="25" t="n">
        <v>32830.2</v>
      </c>
      <c r="I67" s="22" t="s">
        <v>198</v>
      </c>
      <c r="J67" s="21" t="n">
        <v>4</v>
      </c>
      <c r="K67" s="20" t="s">
        <v>77</v>
      </c>
      <c r="L67" s="20" t="s">
        <v>84</v>
      </c>
      <c r="M67" s="22" t="s">
        <v>119</v>
      </c>
      <c r="N67" s="22" t="s">
        <v>80</v>
      </c>
    </row>
    <row r="68" customFormat="false" ht="23.85" hidden="false" customHeight="false" outlineLevel="0" collapsed="false">
      <c r="A68" s="12"/>
      <c r="B68" s="20" t="s">
        <v>73</v>
      </c>
      <c r="C68" s="21" t="n">
        <v>4</v>
      </c>
      <c r="D68" s="20" t="s">
        <v>191</v>
      </c>
      <c r="E68" s="22" t="s">
        <v>192</v>
      </c>
      <c r="F68" s="23" t="n">
        <v>0.512057940499864</v>
      </c>
      <c r="G68" s="24" t="n">
        <v>20.63</v>
      </c>
      <c r="H68" s="25" t="n">
        <v>6893.7</v>
      </c>
      <c r="I68" s="22" t="s">
        <v>147</v>
      </c>
      <c r="J68" s="21" t="n">
        <v>1</v>
      </c>
      <c r="K68" s="20" t="s">
        <v>77</v>
      </c>
      <c r="L68" s="20" t="s">
        <v>84</v>
      </c>
      <c r="M68" s="22" t="s">
        <v>163</v>
      </c>
      <c r="N68" s="22" t="s">
        <v>80</v>
      </c>
    </row>
    <row r="69" customFormat="false" ht="23.85" hidden="false" customHeight="false" outlineLevel="0" collapsed="false">
      <c r="A69" s="12"/>
      <c r="B69" s="20" t="s">
        <v>73</v>
      </c>
      <c r="C69" s="21" t="n">
        <v>5</v>
      </c>
      <c r="D69" s="20" t="s">
        <v>199</v>
      </c>
      <c r="E69" s="22" t="s">
        <v>200</v>
      </c>
      <c r="F69" s="23" t="n">
        <v>0.496763754045307</v>
      </c>
      <c r="G69" s="24" t="n">
        <v>5970.59</v>
      </c>
      <c r="H69" s="25" t="n">
        <v>0.2</v>
      </c>
      <c r="I69" s="22" t="s">
        <v>147</v>
      </c>
      <c r="J69" s="21" t="n">
        <v>1</v>
      </c>
      <c r="K69" s="20" t="s">
        <v>83</v>
      </c>
      <c r="L69" s="20" t="s">
        <v>84</v>
      </c>
      <c r="M69" s="22" t="s">
        <v>85</v>
      </c>
      <c r="N69" s="22" t="s">
        <v>86</v>
      </c>
    </row>
    <row r="70" customFormat="false" ht="23.85" hidden="false" customHeight="false" outlineLevel="0" collapsed="false">
      <c r="A70" s="12"/>
      <c r="B70" s="12" t="s">
        <v>103</v>
      </c>
      <c r="C70" s="7" t="n">
        <v>6</v>
      </c>
      <c r="D70" s="12" t="s">
        <v>201</v>
      </c>
      <c r="E70" s="10" t="s">
        <v>202</v>
      </c>
      <c r="F70" s="9" t="n">
        <v>0.481776621047296</v>
      </c>
      <c r="G70" s="26" t="n">
        <v>23.15</v>
      </c>
      <c r="H70" s="11" t="n">
        <v>4790.5</v>
      </c>
      <c r="I70" s="10" t="s">
        <v>147</v>
      </c>
      <c r="J70" s="7" t="n">
        <v>2</v>
      </c>
      <c r="K70" s="12" t="s">
        <v>77</v>
      </c>
      <c r="L70" s="12" t="s">
        <v>78</v>
      </c>
      <c r="M70" s="10" t="s">
        <v>151</v>
      </c>
      <c r="N70" s="10" t="s">
        <v>80</v>
      </c>
    </row>
    <row r="71" customFormat="false" ht="23.85" hidden="false" customHeight="false" outlineLevel="0" collapsed="false">
      <c r="A71" s="12"/>
      <c r="B71" s="12" t="s">
        <v>103</v>
      </c>
      <c r="C71" s="7" t="n">
        <v>7</v>
      </c>
      <c r="D71" s="12" t="s">
        <v>203</v>
      </c>
      <c r="E71" s="10" t="s">
        <v>204</v>
      </c>
      <c r="F71" s="9" t="n">
        <v>0.460161032479432</v>
      </c>
      <c r="G71" s="26" t="n">
        <v>39.89</v>
      </c>
      <c r="H71" s="11" t="n">
        <v>2630</v>
      </c>
      <c r="I71" s="10" t="s">
        <v>147</v>
      </c>
      <c r="J71" s="7" t="n">
        <v>1</v>
      </c>
      <c r="K71" s="12" t="s">
        <v>90</v>
      </c>
      <c r="L71" s="12" t="s">
        <v>84</v>
      </c>
      <c r="M71" s="10" t="s">
        <v>163</v>
      </c>
      <c r="N71" s="10" t="s">
        <v>80</v>
      </c>
    </row>
    <row r="72" customFormat="false" ht="23.85" hidden="false" customHeight="false" outlineLevel="0" collapsed="false">
      <c r="A72" s="13" t="s">
        <v>33</v>
      </c>
      <c r="B72" s="14" t="s">
        <v>73</v>
      </c>
      <c r="C72" s="15" t="n">
        <v>1</v>
      </c>
      <c r="D72" s="14" t="s">
        <v>104</v>
      </c>
      <c r="E72" s="16" t="s">
        <v>105</v>
      </c>
      <c r="F72" s="17" t="n">
        <v>0.846229578508208</v>
      </c>
      <c r="G72" s="18" t="n">
        <v>87.85</v>
      </c>
      <c r="H72" s="19" t="n">
        <v>59827.2</v>
      </c>
      <c r="I72" s="16" t="s">
        <v>169</v>
      </c>
      <c r="J72" s="15" t="n">
        <v>3</v>
      </c>
      <c r="K72" s="14" t="s">
        <v>77</v>
      </c>
      <c r="L72" s="14" t="s">
        <v>78</v>
      </c>
      <c r="M72" s="16" t="s">
        <v>108</v>
      </c>
      <c r="N72" s="16" t="s">
        <v>80</v>
      </c>
    </row>
    <row r="73" customFormat="false" ht="23.85" hidden="false" customHeight="false" outlineLevel="0" collapsed="false">
      <c r="A73" s="12"/>
      <c r="B73" s="20" t="s">
        <v>73</v>
      </c>
      <c r="C73" s="21" t="n">
        <v>2</v>
      </c>
      <c r="D73" s="20" t="s">
        <v>116</v>
      </c>
      <c r="E73" s="22" t="s">
        <v>117</v>
      </c>
      <c r="F73" s="23" t="n">
        <v>0.818799469723554</v>
      </c>
      <c r="G73" s="24" t="n">
        <v>140.09</v>
      </c>
      <c r="H73" s="25" t="n">
        <v>32830.2</v>
      </c>
      <c r="I73" s="22" t="s">
        <v>169</v>
      </c>
      <c r="J73" s="21" t="n">
        <v>2</v>
      </c>
      <c r="K73" s="20" t="s">
        <v>172</v>
      </c>
      <c r="L73" s="20" t="s">
        <v>84</v>
      </c>
      <c r="M73" s="22" t="s">
        <v>119</v>
      </c>
      <c r="N73" s="22" t="s">
        <v>80</v>
      </c>
    </row>
    <row r="74" customFormat="false" ht="23.85" hidden="false" customHeight="false" outlineLevel="0" collapsed="false">
      <c r="A74" s="12"/>
      <c r="B74" s="20" t="s">
        <v>73</v>
      </c>
      <c r="C74" s="21" t="n">
        <v>3</v>
      </c>
      <c r="D74" s="20" t="s">
        <v>205</v>
      </c>
      <c r="E74" s="22" t="s">
        <v>206</v>
      </c>
      <c r="F74" s="23" t="n">
        <v>0.633358677428159</v>
      </c>
      <c r="G74" s="24" t="n">
        <v>12.3</v>
      </c>
      <c r="H74" s="25" t="n">
        <v>93119.2</v>
      </c>
      <c r="I74" s="22" t="s">
        <v>207</v>
      </c>
      <c r="J74" s="21" t="n">
        <v>5</v>
      </c>
      <c r="K74" s="20" t="s">
        <v>77</v>
      </c>
      <c r="L74" s="20" t="s">
        <v>78</v>
      </c>
      <c r="M74" s="22" t="s">
        <v>175</v>
      </c>
      <c r="N74" s="22" t="s">
        <v>80</v>
      </c>
    </row>
    <row r="75" customFormat="false" ht="23.85" hidden="false" customHeight="false" outlineLevel="0" collapsed="false">
      <c r="A75" s="12"/>
      <c r="B75" s="20" t="s">
        <v>73</v>
      </c>
      <c r="C75" s="21" t="n">
        <v>4</v>
      </c>
      <c r="D75" s="20" t="s">
        <v>208</v>
      </c>
      <c r="E75" s="22" t="s">
        <v>174</v>
      </c>
      <c r="F75" s="23" t="n">
        <v>0.507881038717979</v>
      </c>
      <c r="G75" s="24" t="n">
        <v>6.73</v>
      </c>
      <c r="H75" s="25" t="n">
        <v>44038.9</v>
      </c>
      <c r="I75" s="22" t="s">
        <v>94</v>
      </c>
      <c r="J75" s="21" t="n">
        <v>1</v>
      </c>
      <c r="K75" s="20" t="s">
        <v>77</v>
      </c>
      <c r="L75" s="20" t="s">
        <v>78</v>
      </c>
      <c r="M75" s="22" t="s">
        <v>142</v>
      </c>
      <c r="N75" s="22" t="s">
        <v>102</v>
      </c>
    </row>
    <row r="76" customFormat="false" ht="23.85" hidden="false" customHeight="false" outlineLevel="0" collapsed="false">
      <c r="A76" s="12"/>
      <c r="B76" s="20" t="s">
        <v>73</v>
      </c>
      <c r="C76" s="21" t="n">
        <v>5</v>
      </c>
      <c r="D76" s="20" t="s">
        <v>209</v>
      </c>
      <c r="E76" s="22" t="s">
        <v>210</v>
      </c>
      <c r="F76" s="23" t="n">
        <v>0.496242250555621</v>
      </c>
      <c r="G76" s="24" t="n">
        <v>33.71</v>
      </c>
      <c r="H76" s="25" t="n">
        <v>3562.4</v>
      </c>
      <c r="I76" s="22" t="s">
        <v>169</v>
      </c>
      <c r="J76" s="21" t="n">
        <v>3</v>
      </c>
      <c r="K76" s="20" t="s">
        <v>172</v>
      </c>
      <c r="L76" s="20" t="s">
        <v>84</v>
      </c>
      <c r="M76" s="22"/>
      <c r="N76" s="22" t="s">
        <v>102</v>
      </c>
    </row>
    <row r="77" customFormat="false" ht="23.85" hidden="false" customHeight="false" outlineLevel="0" collapsed="false">
      <c r="A77" s="12"/>
      <c r="B77" s="12" t="s">
        <v>103</v>
      </c>
      <c r="C77" s="7" t="n">
        <v>6</v>
      </c>
      <c r="D77" s="12" t="s">
        <v>211</v>
      </c>
      <c r="E77" s="10" t="s">
        <v>212</v>
      </c>
      <c r="F77" s="9" t="n">
        <v>0.478813311498421</v>
      </c>
      <c r="G77" s="26" t="n">
        <v>20.27</v>
      </c>
      <c r="H77" s="11" t="n">
        <v>5713.6</v>
      </c>
      <c r="I77" s="10" t="s">
        <v>169</v>
      </c>
      <c r="J77" s="7" t="n">
        <v>4</v>
      </c>
      <c r="K77" s="12" t="s">
        <v>77</v>
      </c>
      <c r="L77" s="12" t="s">
        <v>78</v>
      </c>
      <c r="M77" s="10" t="s">
        <v>213</v>
      </c>
      <c r="N77" s="10" t="s">
        <v>80</v>
      </c>
    </row>
    <row r="78" customFormat="false" ht="23.85" hidden="false" customHeight="false" outlineLevel="0" collapsed="false">
      <c r="A78" s="12"/>
      <c r="B78" s="12" t="s">
        <v>103</v>
      </c>
      <c r="C78" s="7" t="n">
        <v>7</v>
      </c>
      <c r="D78" s="12" t="s">
        <v>214</v>
      </c>
      <c r="E78" s="10" t="s">
        <v>215</v>
      </c>
      <c r="F78" s="9" t="n">
        <v>0.469952626038133</v>
      </c>
      <c r="G78" s="26" t="n">
        <v>23.71</v>
      </c>
      <c r="H78" s="11" t="n">
        <v>4036.6</v>
      </c>
      <c r="I78" s="10" t="s">
        <v>169</v>
      </c>
      <c r="J78" s="7" t="n">
        <v>3</v>
      </c>
      <c r="K78" s="12" t="s">
        <v>196</v>
      </c>
      <c r="L78" s="12" t="s">
        <v>84</v>
      </c>
      <c r="M78" s="10" t="s">
        <v>163</v>
      </c>
      <c r="N78" s="10" t="s">
        <v>80</v>
      </c>
    </row>
    <row r="79" customFormat="false" ht="23.85" hidden="false" customHeight="false" outlineLevel="0" collapsed="false">
      <c r="A79" s="12"/>
      <c r="B79" s="12" t="s">
        <v>103</v>
      </c>
      <c r="C79" s="7" t="n">
        <v>8</v>
      </c>
      <c r="D79" s="12" t="s">
        <v>216</v>
      </c>
      <c r="E79" s="10" t="s">
        <v>217</v>
      </c>
      <c r="F79" s="9" t="n">
        <v>0.378348344835653</v>
      </c>
      <c r="G79" s="26" t="n">
        <v>5.32</v>
      </c>
      <c r="H79" s="11" t="n">
        <v>17590.5</v>
      </c>
      <c r="I79" s="10" t="s">
        <v>94</v>
      </c>
      <c r="J79" s="7" t="n">
        <v>1</v>
      </c>
      <c r="K79" s="12" t="s">
        <v>196</v>
      </c>
      <c r="L79" s="12" t="s">
        <v>84</v>
      </c>
      <c r="M79" s="10" t="s">
        <v>168</v>
      </c>
      <c r="N79" s="10" t="s">
        <v>80</v>
      </c>
    </row>
    <row r="80" customFormat="false" ht="23.85" hidden="false" customHeight="false" outlineLevel="0" collapsed="false">
      <c r="A80" s="12"/>
      <c r="B80" s="12" t="s">
        <v>103</v>
      </c>
      <c r="C80" s="7" t="n">
        <v>9</v>
      </c>
      <c r="D80" s="12" t="s">
        <v>218</v>
      </c>
      <c r="E80" s="10" t="s">
        <v>219</v>
      </c>
      <c r="F80" s="9" t="n">
        <v>0.355699497017195</v>
      </c>
      <c r="G80" s="26" t="n">
        <v>59.12</v>
      </c>
      <c r="H80" s="11" t="n">
        <v>163.6</v>
      </c>
      <c r="I80" s="10" t="s">
        <v>94</v>
      </c>
      <c r="J80" s="7" t="n">
        <v>3</v>
      </c>
      <c r="K80" s="12" t="s">
        <v>196</v>
      </c>
      <c r="L80" s="12" t="s">
        <v>78</v>
      </c>
      <c r="M80" s="10" t="s">
        <v>142</v>
      </c>
      <c r="N80" s="10" t="s">
        <v>102</v>
      </c>
    </row>
    <row r="81" customFormat="false" ht="15" hidden="false" customHeight="false" outlineLevel="0" collapsed="false">
      <c r="A81" s="12"/>
      <c r="B81" s="12" t="s">
        <v>103</v>
      </c>
      <c r="C81" s="7" t="n">
        <v>10</v>
      </c>
      <c r="D81" s="12" t="s">
        <v>220</v>
      </c>
      <c r="E81" s="10" t="s">
        <v>221</v>
      </c>
      <c r="F81" s="9" t="n">
        <v>0.35104495652513</v>
      </c>
      <c r="G81" s="26" t="n">
        <v>8.98</v>
      </c>
      <c r="H81" s="11" t="n">
        <v>4492.8</v>
      </c>
      <c r="I81" s="10" t="s">
        <v>169</v>
      </c>
      <c r="J81" s="7" t="n">
        <v>2</v>
      </c>
      <c r="K81" s="12" t="s">
        <v>196</v>
      </c>
      <c r="L81" s="12" t="s">
        <v>84</v>
      </c>
      <c r="M81" s="10"/>
      <c r="N81" s="10" t="s">
        <v>102</v>
      </c>
    </row>
    <row r="82" customFormat="false" ht="35.05" hidden="false" customHeight="false" outlineLevel="0" collapsed="false">
      <c r="A82" s="13" t="s">
        <v>35</v>
      </c>
      <c r="B82" s="14" t="s">
        <v>73</v>
      </c>
      <c r="C82" s="15" t="n">
        <v>1</v>
      </c>
      <c r="D82" s="14" t="s">
        <v>87</v>
      </c>
      <c r="E82" s="16" t="s">
        <v>88</v>
      </c>
      <c r="F82" s="17" t="n">
        <v>0.852395016961048</v>
      </c>
      <c r="G82" s="18" t="n">
        <v>360.02</v>
      </c>
      <c r="H82" s="19" t="n">
        <v>28093.4</v>
      </c>
      <c r="I82" s="16" t="s">
        <v>207</v>
      </c>
      <c r="J82" s="15" t="n">
        <v>5</v>
      </c>
      <c r="K82" s="14" t="s">
        <v>77</v>
      </c>
      <c r="L82" s="14" t="s">
        <v>78</v>
      </c>
      <c r="M82" s="16" t="s">
        <v>91</v>
      </c>
      <c r="N82" s="16" t="s">
        <v>80</v>
      </c>
    </row>
    <row r="83" customFormat="false" ht="23.85" hidden="false" customHeight="false" outlineLevel="0" collapsed="false">
      <c r="A83" s="12"/>
      <c r="B83" s="20" t="s">
        <v>73</v>
      </c>
      <c r="C83" s="21" t="n">
        <v>2</v>
      </c>
      <c r="D83" s="20" t="s">
        <v>109</v>
      </c>
      <c r="E83" s="22" t="s">
        <v>110</v>
      </c>
      <c r="F83" s="23" t="n">
        <v>0.776757515498889</v>
      </c>
      <c r="G83" s="24" t="n">
        <v>343.8</v>
      </c>
      <c r="H83" s="25" t="n">
        <v>7904.7</v>
      </c>
      <c r="I83" s="22" t="s">
        <v>147</v>
      </c>
      <c r="J83" s="21" t="n">
        <v>9</v>
      </c>
      <c r="K83" s="20" t="s">
        <v>77</v>
      </c>
      <c r="L83" s="20" t="s">
        <v>84</v>
      </c>
      <c r="M83" s="22" t="s">
        <v>111</v>
      </c>
      <c r="N83" s="22" t="s">
        <v>80</v>
      </c>
    </row>
    <row r="84" customFormat="false" ht="23.85" hidden="false" customHeight="false" outlineLevel="0" collapsed="false">
      <c r="A84" s="12"/>
      <c r="B84" s="20" t="s">
        <v>73</v>
      </c>
      <c r="C84" s="21" t="n">
        <v>3</v>
      </c>
      <c r="D84" s="20" t="s">
        <v>116</v>
      </c>
      <c r="E84" s="22" t="s">
        <v>117</v>
      </c>
      <c r="F84" s="23" t="n">
        <v>0.713621476196046</v>
      </c>
      <c r="G84" s="24" t="n">
        <v>41.77</v>
      </c>
      <c r="H84" s="25" t="n">
        <v>32830.2</v>
      </c>
      <c r="I84" s="22" t="s">
        <v>222</v>
      </c>
      <c r="J84" s="21" t="n">
        <v>11</v>
      </c>
      <c r="K84" s="20" t="s">
        <v>77</v>
      </c>
      <c r="L84" s="20" t="s">
        <v>84</v>
      </c>
      <c r="M84" s="22" t="s">
        <v>119</v>
      </c>
      <c r="N84" s="22" t="s">
        <v>80</v>
      </c>
    </row>
    <row r="85" customFormat="false" ht="23.85" hidden="false" customHeight="false" outlineLevel="0" collapsed="false">
      <c r="A85" s="12"/>
      <c r="B85" s="20" t="s">
        <v>73</v>
      </c>
      <c r="C85" s="21" t="n">
        <v>4</v>
      </c>
      <c r="D85" s="20" t="s">
        <v>223</v>
      </c>
      <c r="E85" s="22" t="s">
        <v>224</v>
      </c>
      <c r="F85" s="23" t="n">
        <v>0.538761843490467</v>
      </c>
      <c r="G85" s="24" t="n">
        <v>54.55</v>
      </c>
      <c r="H85" s="25" t="n">
        <v>3407.5</v>
      </c>
      <c r="I85" s="22" t="s">
        <v>147</v>
      </c>
      <c r="J85" s="21" t="n">
        <v>1</v>
      </c>
      <c r="K85" s="20" t="s">
        <v>77</v>
      </c>
      <c r="L85" s="20" t="s">
        <v>84</v>
      </c>
      <c r="M85" s="22"/>
      <c r="N85" s="22" t="s">
        <v>102</v>
      </c>
    </row>
    <row r="86" customFormat="false" ht="15" hidden="false" customHeight="false" outlineLevel="0" collapsed="false">
      <c r="A86" s="12"/>
      <c r="B86" s="20" t="s">
        <v>73</v>
      </c>
      <c r="C86" s="21" t="n">
        <v>5</v>
      </c>
      <c r="D86" s="20" t="s">
        <v>225</v>
      </c>
      <c r="E86" s="22" t="s">
        <v>226</v>
      </c>
      <c r="F86" s="23" t="n">
        <v>0.367474753382462</v>
      </c>
      <c r="G86" s="24" t="n">
        <v>66.93</v>
      </c>
      <c r="H86" s="25" t="n">
        <v>135.1</v>
      </c>
      <c r="I86" s="22" t="s">
        <v>169</v>
      </c>
      <c r="J86" s="21" t="n">
        <v>2</v>
      </c>
      <c r="K86" s="20" t="s">
        <v>77</v>
      </c>
      <c r="L86" s="20" t="s">
        <v>84</v>
      </c>
      <c r="M86" s="22"/>
      <c r="N86" s="22" t="s">
        <v>102</v>
      </c>
    </row>
    <row r="87" customFormat="false" ht="23.85" hidden="false" customHeight="false" outlineLevel="0" collapsed="false">
      <c r="A87" s="12"/>
      <c r="B87" s="12" t="s">
        <v>103</v>
      </c>
      <c r="C87" s="7" t="n">
        <v>6</v>
      </c>
      <c r="D87" s="12" t="s">
        <v>227</v>
      </c>
      <c r="E87" s="10" t="s">
        <v>228</v>
      </c>
      <c r="F87" s="9" t="n">
        <v>0.31993995399072</v>
      </c>
      <c r="G87" s="26" t="n">
        <v>51.79</v>
      </c>
      <c r="H87" s="11" t="n">
        <v>21.8</v>
      </c>
      <c r="I87" s="10" t="s">
        <v>147</v>
      </c>
      <c r="J87" s="7" t="n">
        <v>1</v>
      </c>
      <c r="K87" s="12" t="s">
        <v>77</v>
      </c>
      <c r="L87" s="12" t="s">
        <v>84</v>
      </c>
      <c r="M87" s="10" t="s">
        <v>163</v>
      </c>
      <c r="N87" s="10" t="s">
        <v>80</v>
      </c>
    </row>
    <row r="88" customFormat="false" ht="23.85" hidden="false" customHeight="false" outlineLevel="0" collapsed="false">
      <c r="A88" s="12"/>
      <c r="B88" s="12" t="s">
        <v>103</v>
      </c>
      <c r="C88" s="7" t="n">
        <v>7</v>
      </c>
      <c r="D88" s="12" t="s">
        <v>229</v>
      </c>
      <c r="E88" s="10" t="s">
        <v>230</v>
      </c>
      <c r="F88" s="9" t="n">
        <v>0.256691815806917</v>
      </c>
      <c r="G88" s="26" t="n">
        <v>14.96</v>
      </c>
      <c r="H88" s="11" t="n">
        <v>1352.6</v>
      </c>
      <c r="I88" s="10" t="s">
        <v>147</v>
      </c>
      <c r="J88" s="7" t="n">
        <v>1</v>
      </c>
      <c r="K88" s="12" t="s">
        <v>77</v>
      </c>
      <c r="L88" s="12" t="s">
        <v>84</v>
      </c>
      <c r="M88" s="10" t="s">
        <v>178</v>
      </c>
      <c r="N88" s="10" t="s">
        <v>80</v>
      </c>
    </row>
    <row r="89" customFormat="false" ht="35.05" hidden="false" customHeight="false" outlineLevel="0" collapsed="false">
      <c r="A89" s="13" t="s">
        <v>37</v>
      </c>
      <c r="B89" s="14" t="s">
        <v>73</v>
      </c>
      <c r="C89" s="15" t="n">
        <v>1</v>
      </c>
      <c r="D89" s="14" t="s">
        <v>87</v>
      </c>
      <c r="E89" s="16" t="s">
        <v>88</v>
      </c>
      <c r="F89" s="17" t="n">
        <v>0.875048738643896</v>
      </c>
      <c r="G89" s="18" t="n">
        <v>618.92</v>
      </c>
      <c r="H89" s="19" t="n">
        <v>28093.4</v>
      </c>
      <c r="I89" s="16" t="s">
        <v>231</v>
      </c>
      <c r="J89" s="15" t="n">
        <v>6</v>
      </c>
      <c r="K89" s="14" t="s">
        <v>77</v>
      </c>
      <c r="L89" s="14" t="s">
        <v>84</v>
      </c>
      <c r="M89" s="16" t="s">
        <v>91</v>
      </c>
      <c r="N89" s="16" t="s">
        <v>80</v>
      </c>
    </row>
    <row r="90" customFormat="false" ht="23.85" hidden="false" customHeight="false" outlineLevel="0" collapsed="false">
      <c r="A90" s="12"/>
      <c r="B90" s="20" t="s">
        <v>73</v>
      </c>
      <c r="C90" s="21" t="n">
        <v>2</v>
      </c>
      <c r="D90" s="20" t="s">
        <v>116</v>
      </c>
      <c r="E90" s="22" t="s">
        <v>117</v>
      </c>
      <c r="F90" s="23" t="n">
        <v>0.687731508558506</v>
      </c>
      <c r="G90" s="24" t="n">
        <v>35.03</v>
      </c>
      <c r="H90" s="25" t="n">
        <v>32830.2</v>
      </c>
      <c r="I90" s="22" t="s">
        <v>147</v>
      </c>
      <c r="J90" s="21" t="n">
        <v>1</v>
      </c>
      <c r="K90" s="20" t="s">
        <v>77</v>
      </c>
      <c r="L90" s="20" t="s">
        <v>84</v>
      </c>
      <c r="M90" s="22" t="s">
        <v>119</v>
      </c>
      <c r="N90" s="22" t="s">
        <v>80</v>
      </c>
    </row>
    <row r="91" customFormat="false" ht="23.85" hidden="false" customHeight="false" outlineLevel="0" collapsed="false">
      <c r="A91" s="12"/>
      <c r="B91" s="20" t="s">
        <v>73</v>
      </c>
      <c r="C91" s="21" t="n">
        <v>3</v>
      </c>
      <c r="D91" s="20" t="s">
        <v>112</v>
      </c>
      <c r="E91" s="22" t="s">
        <v>113</v>
      </c>
      <c r="F91" s="23" t="n">
        <v>0.590946309509884</v>
      </c>
      <c r="G91" s="24" t="n">
        <v>29.97</v>
      </c>
      <c r="H91" s="25" t="n">
        <v>11366.1</v>
      </c>
      <c r="I91" s="22" t="s">
        <v>147</v>
      </c>
      <c r="J91" s="21" t="n">
        <v>1</v>
      </c>
      <c r="K91" s="20" t="s">
        <v>83</v>
      </c>
      <c r="L91" s="20" t="s">
        <v>84</v>
      </c>
      <c r="M91" s="22" t="s">
        <v>115</v>
      </c>
      <c r="N91" s="22" t="s">
        <v>86</v>
      </c>
    </row>
    <row r="92" customFormat="false" ht="23.85" hidden="false" customHeight="false" outlineLevel="0" collapsed="false">
      <c r="A92" s="12"/>
      <c r="B92" s="20" t="s">
        <v>73</v>
      </c>
      <c r="C92" s="21" t="n">
        <v>4</v>
      </c>
      <c r="D92" s="20" t="s">
        <v>205</v>
      </c>
      <c r="E92" s="22" t="s">
        <v>206</v>
      </c>
      <c r="F92" s="23" t="n">
        <v>0.568633758334308</v>
      </c>
      <c r="G92" s="24" t="n">
        <v>7.82</v>
      </c>
      <c r="H92" s="25" t="n">
        <v>93119.2</v>
      </c>
      <c r="I92" s="22" t="s">
        <v>232</v>
      </c>
      <c r="J92" s="21" t="n">
        <v>1</v>
      </c>
      <c r="K92" s="20" t="s">
        <v>196</v>
      </c>
      <c r="L92" s="20" t="s">
        <v>84</v>
      </c>
      <c r="M92" s="22" t="s">
        <v>175</v>
      </c>
      <c r="N92" s="22" t="s">
        <v>80</v>
      </c>
    </row>
    <row r="93" customFormat="false" ht="23.85" hidden="false" customHeight="false" outlineLevel="0" collapsed="false">
      <c r="A93" s="12"/>
      <c r="B93" s="20" t="s">
        <v>73</v>
      </c>
      <c r="C93" s="21" t="n">
        <v>5</v>
      </c>
      <c r="D93" s="20" t="s">
        <v>233</v>
      </c>
      <c r="E93" s="22" t="s">
        <v>234</v>
      </c>
      <c r="F93" s="23" t="n">
        <v>0.517735992513744</v>
      </c>
      <c r="G93" s="24" t="n">
        <v>5289.94</v>
      </c>
      <c r="H93" s="25" t="n">
        <v>147.2</v>
      </c>
      <c r="I93" s="22" t="s">
        <v>147</v>
      </c>
      <c r="J93" s="21" t="n">
        <v>1</v>
      </c>
      <c r="K93" s="20" t="s">
        <v>95</v>
      </c>
      <c r="L93" s="20" t="s">
        <v>95</v>
      </c>
      <c r="M93" s="22"/>
      <c r="N93" s="22" t="s">
        <v>97</v>
      </c>
    </row>
    <row r="94" customFormat="false" ht="23.85" hidden="false" customHeight="false" outlineLevel="0" collapsed="false">
      <c r="A94" s="12"/>
      <c r="B94" s="12" t="s">
        <v>103</v>
      </c>
      <c r="C94" s="7" t="n">
        <v>6</v>
      </c>
      <c r="D94" s="12" t="s">
        <v>201</v>
      </c>
      <c r="E94" s="10" t="s">
        <v>202</v>
      </c>
      <c r="F94" s="9" t="n">
        <v>0.481776621047296</v>
      </c>
      <c r="G94" s="26" t="n">
        <v>23.15</v>
      </c>
      <c r="H94" s="11" t="n">
        <v>4790.5</v>
      </c>
      <c r="I94" s="10" t="s">
        <v>147</v>
      </c>
      <c r="J94" s="7" t="n">
        <v>1</v>
      </c>
      <c r="K94" s="12" t="s">
        <v>77</v>
      </c>
      <c r="L94" s="12" t="s">
        <v>84</v>
      </c>
      <c r="M94" s="10" t="s">
        <v>163</v>
      </c>
      <c r="N94" s="10" t="s">
        <v>80</v>
      </c>
    </row>
    <row r="95" customFormat="false" ht="23.85" hidden="false" customHeight="false" outlineLevel="0" collapsed="false">
      <c r="A95" s="12"/>
      <c r="B95" s="12" t="s">
        <v>103</v>
      </c>
      <c r="C95" s="7" t="n">
        <v>7</v>
      </c>
      <c r="D95" s="12" t="s">
        <v>235</v>
      </c>
      <c r="E95" s="10" t="s">
        <v>236</v>
      </c>
      <c r="F95" s="9" t="n">
        <v>0.453844504230514</v>
      </c>
      <c r="G95" s="26" t="n">
        <v>179.58</v>
      </c>
      <c r="H95" s="11" t="n">
        <v>214.1</v>
      </c>
      <c r="I95" s="10" t="s">
        <v>147</v>
      </c>
      <c r="J95" s="7" t="n">
        <v>1</v>
      </c>
      <c r="K95" s="12" t="s">
        <v>95</v>
      </c>
      <c r="L95" s="12" t="s">
        <v>95</v>
      </c>
      <c r="M95" s="10"/>
      <c r="N95" s="10" t="s">
        <v>97</v>
      </c>
    </row>
    <row r="96" customFormat="false" ht="23.85" hidden="false" customHeight="false" outlineLevel="0" collapsed="false">
      <c r="A96" s="12"/>
      <c r="B96" s="12" t="s">
        <v>103</v>
      </c>
      <c r="C96" s="7" t="n">
        <v>8</v>
      </c>
      <c r="D96" s="12" t="s">
        <v>237</v>
      </c>
      <c r="E96" s="10" t="s">
        <v>238</v>
      </c>
      <c r="F96" s="9" t="n">
        <v>0.405320310367684</v>
      </c>
      <c r="G96" s="26" t="n">
        <v>31.25</v>
      </c>
      <c r="H96" s="11" t="n">
        <v>2405.4</v>
      </c>
      <c r="I96" s="10" t="s">
        <v>147</v>
      </c>
      <c r="J96" s="7" t="n">
        <v>1</v>
      </c>
      <c r="K96" s="12" t="s">
        <v>77</v>
      </c>
      <c r="L96" s="12" t="s">
        <v>84</v>
      </c>
      <c r="M96" s="10"/>
      <c r="N96" s="10" t="s">
        <v>102</v>
      </c>
    </row>
    <row r="97" customFormat="false" ht="15" hidden="false" customHeight="false" outlineLevel="0" collapsed="false">
      <c r="A97" s="12"/>
      <c r="B97" s="12" t="s">
        <v>103</v>
      </c>
      <c r="C97" s="7" t="n">
        <v>9</v>
      </c>
      <c r="D97" s="12" t="s">
        <v>239</v>
      </c>
      <c r="E97" s="10" t="s">
        <v>240</v>
      </c>
      <c r="F97" s="9" t="n">
        <v>0.38638047334971</v>
      </c>
      <c r="G97" s="26" t="n">
        <v>61.13</v>
      </c>
      <c r="H97" s="11" t="n">
        <v>451.8</v>
      </c>
      <c r="I97" s="10" t="s">
        <v>147</v>
      </c>
      <c r="J97" s="7" t="n">
        <v>1</v>
      </c>
      <c r="K97" s="12" t="s">
        <v>77</v>
      </c>
      <c r="L97" s="12" t="s">
        <v>84</v>
      </c>
      <c r="M97" s="10"/>
      <c r="N97" s="10" t="s">
        <v>102</v>
      </c>
    </row>
    <row r="98" customFormat="false" ht="23.85" hidden="false" customHeight="false" outlineLevel="0" collapsed="false">
      <c r="A98" s="12"/>
      <c r="B98" s="12" t="s">
        <v>103</v>
      </c>
      <c r="C98" s="7" t="n">
        <v>10</v>
      </c>
      <c r="D98" s="12" t="s">
        <v>241</v>
      </c>
      <c r="E98" s="10" t="s">
        <v>242</v>
      </c>
      <c r="F98" s="9" t="n">
        <v>0.362128124147074</v>
      </c>
      <c r="G98" s="26" t="n">
        <v>22.38</v>
      </c>
      <c r="H98" s="11" t="n">
        <v>2508.1</v>
      </c>
      <c r="I98" s="10" t="s">
        <v>147</v>
      </c>
      <c r="J98" s="7" t="n">
        <v>1</v>
      </c>
      <c r="K98" s="12" t="s">
        <v>77</v>
      </c>
      <c r="L98" s="12" t="s">
        <v>84</v>
      </c>
      <c r="M98" s="10" t="s">
        <v>178</v>
      </c>
      <c r="N98" s="10" t="s">
        <v>80</v>
      </c>
    </row>
    <row r="99" customFormat="false" ht="23.85" hidden="false" customHeight="false" outlineLevel="0" collapsed="false">
      <c r="A99" s="13" t="s">
        <v>39</v>
      </c>
      <c r="B99" s="14" t="s">
        <v>73</v>
      </c>
      <c r="C99" s="15" t="n">
        <v>1</v>
      </c>
      <c r="D99" s="14" t="s">
        <v>112</v>
      </c>
      <c r="E99" s="16" t="s">
        <v>113</v>
      </c>
      <c r="F99" s="17" t="n">
        <v>0.789975435723477</v>
      </c>
      <c r="G99" s="18" t="n">
        <v>302.38</v>
      </c>
      <c r="H99" s="19" t="n">
        <v>11366.1</v>
      </c>
      <c r="I99" s="16" t="s">
        <v>171</v>
      </c>
      <c r="J99" s="15" t="n">
        <v>8</v>
      </c>
      <c r="K99" s="14" t="s">
        <v>83</v>
      </c>
      <c r="L99" s="14" t="s">
        <v>84</v>
      </c>
      <c r="M99" s="16" t="s">
        <v>115</v>
      </c>
      <c r="N99" s="16" t="s">
        <v>86</v>
      </c>
    </row>
    <row r="100" customFormat="false" ht="23.85" hidden="false" customHeight="false" outlineLevel="0" collapsed="false">
      <c r="A100" s="12"/>
      <c r="B100" s="20" t="s">
        <v>73</v>
      </c>
      <c r="C100" s="21" t="n">
        <v>2</v>
      </c>
      <c r="D100" s="20" t="s">
        <v>116</v>
      </c>
      <c r="E100" s="22" t="s">
        <v>117</v>
      </c>
      <c r="F100" s="23" t="n">
        <v>0.770255780403166</v>
      </c>
      <c r="G100" s="24" t="n">
        <v>79.53</v>
      </c>
      <c r="H100" s="25" t="n">
        <v>32830.2</v>
      </c>
      <c r="I100" s="22" t="s">
        <v>243</v>
      </c>
      <c r="J100" s="21" t="n">
        <v>9</v>
      </c>
      <c r="K100" s="20" t="s">
        <v>77</v>
      </c>
      <c r="L100" s="20" t="s">
        <v>84</v>
      </c>
      <c r="M100" s="22" t="s">
        <v>119</v>
      </c>
      <c r="N100" s="22" t="s">
        <v>80</v>
      </c>
    </row>
    <row r="101" customFormat="false" ht="35.05" hidden="false" customHeight="false" outlineLevel="0" collapsed="false">
      <c r="A101" s="12"/>
      <c r="B101" s="20" t="s">
        <v>73</v>
      </c>
      <c r="C101" s="21" t="n">
        <v>3</v>
      </c>
      <c r="D101" s="20" t="s">
        <v>87</v>
      </c>
      <c r="E101" s="22" t="s">
        <v>88</v>
      </c>
      <c r="F101" s="23" t="n">
        <v>0.739126408546809</v>
      </c>
      <c r="G101" s="24" t="n">
        <v>64.91</v>
      </c>
      <c r="H101" s="25" t="n">
        <v>28093.4</v>
      </c>
      <c r="I101" s="22" t="s">
        <v>155</v>
      </c>
      <c r="J101" s="21" t="n">
        <v>12</v>
      </c>
      <c r="K101" s="20" t="s">
        <v>77</v>
      </c>
      <c r="L101" s="20" t="s">
        <v>84</v>
      </c>
      <c r="M101" s="22" t="s">
        <v>91</v>
      </c>
      <c r="N101" s="22" t="s">
        <v>80</v>
      </c>
    </row>
    <row r="102" customFormat="false" ht="23.85" hidden="false" customHeight="false" outlineLevel="0" collapsed="false">
      <c r="A102" s="12"/>
      <c r="B102" s="20" t="s">
        <v>73</v>
      </c>
      <c r="C102" s="21" t="n">
        <v>4</v>
      </c>
      <c r="D102" s="20" t="s">
        <v>133</v>
      </c>
      <c r="E102" s="22" t="s">
        <v>134</v>
      </c>
      <c r="F102" s="23" t="n">
        <v>0.583153000350918</v>
      </c>
      <c r="G102" s="24" t="n">
        <v>400.86</v>
      </c>
      <c r="H102" s="25" t="n">
        <v>1874.6</v>
      </c>
      <c r="I102" s="22" t="s">
        <v>207</v>
      </c>
      <c r="J102" s="21" t="n">
        <v>9</v>
      </c>
      <c r="K102" s="20" t="s">
        <v>77</v>
      </c>
      <c r="L102" s="20" t="s">
        <v>84</v>
      </c>
      <c r="M102" s="22" t="s">
        <v>122</v>
      </c>
      <c r="N102" s="22" t="s">
        <v>80</v>
      </c>
    </row>
    <row r="103" customFormat="false" ht="23.85" hidden="false" customHeight="false" outlineLevel="0" collapsed="false">
      <c r="A103" s="13" t="s">
        <v>41</v>
      </c>
      <c r="B103" s="14" t="s">
        <v>73</v>
      </c>
      <c r="C103" s="15" t="n">
        <v>1</v>
      </c>
      <c r="D103" s="14" t="s">
        <v>112</v>
      </c>
      <c r="E103" s="16" t="s">
        <v>113</v>
      </c>
      <c r="F103" s="17" t="n">
        <v>0.815865403361017</v>
      </c>
      <c r="G103" s="18" t="n">
        <v>531.87</v>
      </c>
      <c r="H103" s="19" t="n">
        <v>11366.1</v>
      </c>
      <c r="I103" s="16" t="s">
        <v>198</v>
      </c>
      <c r="J103" s="15" t="n">
        <v>1</v>
      </c>
      <c r="K103" s="14" t="s">
        <v>83</v>
      </c>
      <c r="L103" s="14" t="s">
        <v>84</v>
      </c>
      <c r="M103" s="16" t="s">
        <v>115</v>
      </c>
      <c r="N103" s="16" t="s">
        <v>86</v>
      </c>
    </row>
    <row r="104" customFormat="false" ht="23.85" hidden="false" customHeight="false" outlineLevel="0" collapsed="false">
      <c r="A104" s="12"/>
      <c r="B104" s="20" t="s">
        <v>73</v>
      </c>
      <c r="C104" s="21" t="n">
        <v>2</v>
      </c>
      <c r="D104" s="20" t="s">
        <v>244</v>
      </c>
      <c r="E104" s="22" t="s">
        <v>245</v>
      </c>
      <c r="F104" s="23" t="n">
        <v>0.683754435216595</v>
      </c>
      <c r="G104" s="24" t="n">
        <v>118.34</v>
      </c>
      <c r="H104" s="25" t="n">
        <v>6183.2</v>
      </c>
      <c r="I104" s="22" t="s">
        <v>198</v>
      </c>
      <c r="J104" s="21" t="n">
        <v>2</v>
      </c>
      <c r="K104" s="20" t="s">
        <v>83</v>
      </c>
      <c r="L104" s="20" t="s">
        <v>84</v>
      </c>
      <c r="M104" s="22" t="s">
        <v>85</v>
      </c>
      <c r="N104" s="22" t="s">
        <v>86</v>
      </c>
    </row>
    <row r="105" customFormat="false" ht="23.85" hidden="false" customHeight="false" outlineLevel="0" collapsed="false">
      <c r="A105" s="12"/>
      <c r="B105" s="20" t="s">
        <v>73</v>
      </c>
      <c r="C105" s="21" t="n">
        <v>3</v>
      </c>
      <c r="D105" s="20" t="s">
        <v>56</v>
      </c>
      <c r="E105" s="22" t="s">
        <v>152</v>
      </c>
      <c r="F105" s="23" t="n">
        <v>0.607532070027684</v>
      </c>
      <c r="G105" s="24" t="n">
        <v>12.08</v>
      </c>
      <c r="H105" s="25" t="n">
        <v>58920.4</v>
      </c>
      <c r="I105" s="22" t="s">
        <v>198</v>
      </c>
      <c r="J105" s="21" t="n">
        <v>1</v>
      </c>
      <c r="K105" s="20" t="s">
        <v>77</v>
      </c>
      <c r="L105" s="20" t="s">
        <v>78</v>
      </c>
      <c r="M105" s="22" t="s">
        <v>154</v>
      </c>
      <c r="N105" s="22" t="s">
        <v>80</v>
      </c>
    </row>
    <row r="106" customFormat="false" ht="23.85" hidden="false" customHeight="false" outlineLevel="0" collapsed="false">
      <c r="A106" s="12"/>
      <c r="B106" s="20" t="s">
        <v>73</v>
      </c>
      <c r="C106" s="21" t="n">
        <v>4</v>
      </c>
      <c r="D106" s="20" t="s">
        <v>246</v>
      </c>
      <c r="E106" s="22" t="s">
        <v>247</v>
      </c>
      <c r="F106" s="23" t="n">
        <v>0.450120871836862</v>
      </c>
      <c r="G106" s="24" t="n">
        <v>10.96</v>
      </c>
      <c r="H106" s="25" t="n">
        <v>7260.1</v>
      </c>
      <c r="I106" s="22" t="s">
        <v>198</v>
      </c>
      <c r="J106" s="21" t="n">
        <v>1</v>
      </c>
      <c r="K106" s="20" t="s">
        <v>95</v>
      </c>
      <c r="L106" s="20" t="s">
        <v>95</v>
      </c>
      <c r="M106" s="22"/>
      <c r="N106" s="22" t="s">
        <v>97</v>
      </c>
    </row>
    <row r="107" customFormat="false" ht="23.85" hidden="false" customHeight="false" outlineLevel="0" collapsed="false">
      <c r="A107" s="12"/>
      <c r="B107" s="20" t="s">
        <v>73</v>
      </c>
      <c r="C107" s="21" t="n">
        <v>5</v>
      </c>
      <c r="D107" s="20" t="s">
        <v>248</v>
      </c>
      <c r="E107" s="22" t="s">
        <v>217</v>
      </c>
      <c r="F107" s="23" t="n">
        <v>0.20704175927009</v>
      </c>
      <c r="G107" s="24" t="n">
        <v>12.21</v>
      </c>
      <c r="H107" s="25" t="n">
        <v>701.3</v>
      </c>
      <c r="I107" s="22" t="s">
        <v>169</v>
      </c>
      <c r="J107" s="21" t="n">
        <v>2</v>
      </c>
      <c r="K107" s="20" t="s">
        <v>196</v>
      </c>
      <c r="L107" s="20" t="s">
        <v>84</v>
      </c>
      <c r="M107" s="22"/>
      <c r="N107" s="22" t="s">
        <v>102</v>
      </c>
    </row>
    <row r="108" customFormat="false" ht="23.85" hidden="false" customHeight="false" outlineLevel="0" collapsed="false">
      <c r="A108" s="13" t="s">
        <v>43</v>
      </c>
      <c r="B108" s="14" t="s">
        <v>73</v>
      </c>
      <c r="C108" s="15" t="n">
        <v>1</v>
      </c>
      <c r="D108" s="14" t="s">
        <v>249</v>
      </c>
      <c r="E108" s="16" t="s">
        <v>210</v>
      </c>
      <c r="F108" s="17" t="n">
        <v>0.753192381175186</v>
      </c>
      <c r="G108" s="18" t="n">
        <v>90.21</v>
      </c>
      <c r="H108" s="19" t="n">
        <v>18568.8</v>
      </c>
      <c r="I108" s="16" t="s">
        <v>198</v>
      </c>
      <c r="J108" s="15" t="n">
        <v>3</v>
      </c>
      <c r="K108" s="14" t="s">
        <v>77</v>
      </c>
      <c r="L108" s="14" t="s">
        <v>84</v>
      </c>
      <c r="M108" s="16"/>
      <c r="N108" s="16" t="s">
        <v>102</v>
      </c>
    </row>
    <row r="109" customFormat="false" ht="15" hidden="false" customHeight="false" outlineLevel="0" collapsed="false">
      <c r="A109" s="12"/>
      <c r="B109" s="20" t="s">
        <v>73</v>
      </c>
      <c r="C109" s="21" t="n">
        <v>2</v>
      </c>
      <c r="D109" s="20" t="s">
        <v>250</v>
      </c>
      <c r="E109" s="22" t="s">
        <v>251</v>
      </c>
      <c r="F109" s="23" t="n">
        <v>0.513783288493781</v>
      </c>
      <c r="G109" s="24" t="n">
        <v>69.37</v>
      </c>
      <c r="H109" s="25" t="n">
        <v>2557.1</v>
      </c>
      <c r="I109" s="22" t="s">
        <v>94</v>
      </c>
      <c r="J109" s="21" t="n">
        <v>1</v>
      </c>
      <c r="K109" s="20" t="s">
        <v>77</v>
      </c>
      <c r="L109" s="20" t="s">
        <v>84</v>
      </c>
      <c r="M109" s="22"/>
      <c r="N109" s="22" t="s">
        <v>102</v>
      </c>
    </row>
    <row r="110" customFormat="false" ht="23.85" hidden="false" customHeight="false" outlineLevel="0" collapsed="false">
      <c r="A110" s="12"/>
      <c r="B110" s="20" t="s">
        <v>73</v>
      </c>
      <c r="C110" s="21" t="n">
        <v>3</v>
      </c>
      <c r="D110" s="20" t="s">
        <v>176</v>
      </c>
      <c r="E110" s="22" t="s">
        <v>177</v>
      </c>
      <c r="F110" s="23" t="n">
        <v>0.507968768276991</v>
      </c>
      <c r="G110" s="24" t="n">
        <v>51.18</v>
      </c>
      <c r="H110" s="25" t="n">
        <v>2931.4</v>
      </c>
      <c r="I110" s="22" t="s">
        <v>147</v>
      </c>
      <c r="J110" s="21" t="n">
        <v>2</v>
      </c>
      <c r="K110" s="20" t="s">
        <v>196</v>
      </c>
      <c r="L110" s="20" t="s">
        <v>84</v>
      </c>
      <c r="M110" s="22" t="s">
        <v>178</v>
      </c>
      <c r="N110" s="22" t="s">
        <v>80</v>
      </c>
    </row>
    <row r="111" customFormat="false" ht="23.85" hidden="false" customHeight="false" outlineLevel="0" collapsed="false">
      <c r="A111" s="12"/>
      <c r="B111" s="20" t="s">
        <v>73</v>
      </c>
      <c r="C111" s="21" t="n">
        <v>4</v>
      </c>
      <c r="D111" s="20" t="s">
        <v>166</v>
      </c>
      <c r="E111" s="22" t="s">
        <v>167</v>
      </c>
      <c r="F111" s="23" t="n">
        <v>0.47821870004289</v>
      </c>
      <c r="G111" s="24" t="n">
        <v>30.01</v>
      </c>
      <c r="H111" s="25" t="n">
        <v>3625.3</v>
      </c>
      <c r="I111" s="22" t="s">
        <v>147</v>
      </c>
      <c r="J111" s="21" t="n">
        <v>1</v>
      </c>
      <c r="K111" s="20" t="s">
        <v>77</v>
      </c>
      <c r="L111" s="20" t="s">
        <v>84</v>
      </c>
      <c r="M111" s="22" t="s">
        <v>168</v>
      </c>
      <c r="N111" s="22" t="s">
        <v>80</v>
      </c>
    </row>
    <row r="112" customFormat="false" ht="23.85" hidden="false" customHeight="false" outlineLevel="0" collapsed="false">
      <c r="A112" s="12"/>
      <c r="B112" s="20" t="s">
        <v>73</v>
      </c>
      <c r="C112" s="21" t="n">
        <v>5</v>
      </c>
      <c r="D112" s="20" t="s">
        <v>252</v>
      </c>
      <c r="E112" s="22" t="s">
        <v>253</v>
      </c>
      <c r="F112" s="23" t="n">
        <v>0.347642999181191</v>
      </c>
      <c r="G112" s="24" t="n">
        <v>30.35</v>
      </c>
      <c r="H112" s="25" t="n">
        <v>1296.8</v>
      </c>
      <c r="I112" s="22" t="s">
        <v>94</v>
      </c>
      <c r="J112" s="21" t="n">
        <v>2</v>
      </c>
      <c r="K112" s="20" t="s">
        <v>196</v>
      </c>
      <c r="L112" s="20" t="s">
        <v>84</v>
      </c>
      <c r="M112" s="22"/>
      <c r="N112" s="22" t="s">
        <v>102</v>
      </c>
    </row>
    <row r="113" customFormat="false" ht="23.85" hidden="false" customHeight="false" outlineLevel="0" collapsed="false">
      <c r="A113" s="12"/>
      <c r="B113" s="12" t="s">
        <v>103</v>
      </c>
      <c r="C113" s="7" t="n">
        <v>6</v>
      </c>
      <c r="D113" s="12" t="s">
        <v>227</v>
      </c>
      <c r="E113" s="10" t="s">
        <v>228</v>
      </c>
      <c r="F113" s="9" t="n">
        <v>0.31993995399072</v>
      </c>
      <c r="G113" s="26" t="n">
        <v>51.79</v>
      </c>
      <c r="H113" s="11" t="n">
        <v>21.8</v>
      </c>
      <c r="I113" s="10" t="s">
        <v>147</v>
      </c>
      <c r="J113" s="7" t="n">
        <v>1</v>
      </c>
      <c r="K113" s="12" t="s">
        <v>77</v>
      </c>
      <c r="L113" s="12" t="s">
        <v>84</v>
      </c>
      <c r="M113" s="10" t="s">
        <v>163</v>
      </c>
      <c r="N113" s="10" t="s">
        <v>80</v>
      </c>
    </row>
    <row r="114" customFormat="false" ht="23.85" hidden="false" customHeight="false" outlineLevel="0" collapsed="false">
      <c r="A114" s="12"/>
      <c r="B114" s="12" t="s">
        <v>103</v>
      </c>
      <c r="C114" s="7" t="n">
        <v>7</v>
      </c>
      <c r="D114" s="12" t="s">
        <v>254</v>
      </c>
      <c r="E114" s="10" t="s">
        <v>255</v>
      </c>
      <c r="F114" s="9" t="n">
        <v>0.29017526416345</v>
      </c>
      <c r="G114" s="26" t="n">
        <v>22.55</v>
      </c>
      <c r="H114" s="11" t="n">
        <v>1076.1</v>
      </c>
      <c r="I114" s="10" t="s">
        <v>147</v>
      </c>
      <c r="J114" s="7" t="n">
        <v>1</v>
      </c>
      <c r="K114" s="12" t="s">
        <v>77</v>
      </c>
      <c r="L114" s="12" t="s">
        <v>84</v>
      </c>
      <c r="M114" s="10"/>
      <c r="N114" s="10" t="s">
        <v>102</v>
      </c>
    </row>
    <row r="115" customFormat="false" ht="23.85" hidden="false" customHeight="false" outlineLevel="0" collapsed="false">
      <c r="A115" s="12"/>
      <c r="B115" s="12" t="s">
        <v>103</v>
      </c>
      <c r="C115" s="7" t="n">
        <v>8</v>
      </c>
      <c r="D115" s="12" t="s">
        <v>256</v>
      </c>
      <c r="E115" s="10" t="s">
        <v>257</v>
      </c>
      <c r="F115" s="9" t="n">
        <v>0.262477092837369</v>
      </c>
      <c r="G115" s="26" t="n">
        <v>10.12</v>
      </c>
      <c r="H115" s="11" t="n">
        <v>2476.9</v>
      </c>
      <c r="I115" s="10" t="s">
        <v>147</v>
      </c>
      <c r="J115" s="7" t="n">
        <v>1</v>
      </c>
      <c r="K115" s="12" t="s">
        <v>77</v>
      </c>
      <c r="L115" s="12" t="s">
        <v>84</v>
      </c>
      <c r="M115" s="10" t="s">
        <v>178</v>
      </c>
      <c r="N115" s="10" t="s">
        <v>80</v>
      </c>
    </row>
    <row r="116" customFormat="false" ht="23.85" hidden="false" customHeight="false" outlineLevel="0" collapsed="false">
      <c r="A116" s="12"/>
      <c r="B116" s="12" t="s">
        <v>103</v>
      </c>
      <c r="C116" s="7" t="n">
        <v>9</v>
      </c>
      <c r="D116" s="12" t="s">
        <v>258</v>
      </c>
      <c r="E116" s="10" t="s">
        <v>259</v>
      </c>
      <c r="F116" s="9" t="n">
        <v>0.23717686279097</v>
      </c>
      <c r="G116" s="26" t="n">
        <v>18</v>
      </c>
      <c r="H116" s="11" t="n">
        <v>513.2</v>
      </c>
      <c r="I116" s="10" t="s">
        <v>147</v>
      </c>
      <c r="J116" s="7" t="n">
        <v>1</v>
      </c>
      <c r="K116" s="12" t="s">
        <v>77</v>
      </c>
      <c r="L116" s="12" t="s">
        <v>84</v>
      </c>
      <c r="M116" s="10"/>
      <c r="N116" s="10" t="s">
        <v>102</v>
      </c>
    </row>
    <row r="117" customFormat="false" ht="23.85" hidden="false" customHeight="false" outlineLevel="0" collapsed="false">
      <c r="A117" s="12"/>
      <c r="B117" s="12" t="s">
        <v>103</v>
      </c>
      <c r="C117" s="7" t="n">
        <v>10</v>
      </c>
      <c r="D117" s="12" t="s">
        <v>260</v>
      </c>
      <c r="E117" s="10" t="s">
        <v>261</v>
      </c>
      <c r="F117" s="9" t="n">
        <v>0.225518579171053</v>
      </c>
      <c r="G117" s="26" t="n">
        <v>5.56</v>
      </c>
      <c r="H117" s="11" t="n">
        <v>3067.4</v>
      </c>
      <c r="I117" s="10" t="s">
        <v>147</v>
      </c>
      <c r="J117" s="7" t="n">
        <v>1</v>
      </c>
      <c r="K117" s="12" t="s">
        <v>77</v>
      </c>
      <c r="L117" s="12" t="s">
        <v>84</v>
      </c>
      <c r="M117" s="10" t="s">
        <v>168</v>
      </c>
      <c r="N117" s="10" t="s">
        <v>80</v>
      </c>
    </row>
    <row r="118" customFormat="false" ht="23.85" hidden="false" customHeight="false" outlineLevel="0" collapsed="false">
      <c r="A118" s="13" t="s">
        <v>45</v>
      </c>
      <c r="B118" s="14" t="s">
        <v>73</v>
      </c>
      <c r="C118" s="15" t="n">
        <v>1</v>
      </c>
      <c r="D118" s="14" t="s">
        <v>205</v>
      </c>
      <c r="E118" s="16" t="s">
        <v>206</v>
      </c>
      <c r="F118" s="17" t="n">
        <v>0.72882793309159</v>
      </c>
      <c r="G118" s="18" t="n">
        <v>25.36</v>
      </c>
      <c r="H118" s="19" t="n">
        <v>93119.2</v>
      </c>
      <c r="I118" s="16" t="s">
        <v>190</v>
      </c>
      <c r="J118" s="15" t="n">
        <v>1</v>
      </c>
      <c r="K118" s="14" t="s">
        <v>77</v>
      </c>
      <c r="L118" s="14" t="s">
        <v>78</v>
      </c>
      <c r="M118" s="16" t="s">
        <v>175</v>
      </c>
      <c r="N118" s="16" t="s">
        <v>80</v>
      </c>
    </row>
    <row r="119" customFormat="false" ht="35.05" hidden="false" customHeight="false" outlineLevel="0" collapsed="false">
      <c r="A119" s="12"/>
      <c r="B119" s="20" t="s">
        <v>73</v>
      </c>
      <c r="C119" s="21" t="n">
        <v>2</v>
      </c>
      <c r="D119" s="20" t="s">
        <v>262</v>
      </c>
      <c r="E119" s="22" t="s">
        <v>263</v>
      </c>
      <c r="F119" s="23" t="n">
        <v>0.609447498732795</v>
      </c>
      <c r="G119" s="24" t="n">
        <v>81.96</v>
      </c>
      <c r="H119" s="25" t="n">
        <v>3973.7</v>
      </c>
      <c r="I119" s="22" t="s">
        <v>190</v>
      </c>
      <c r="J119" s="21" t="n">
        <v>1</v>
      </c>
      <c r="K119" s="20" t="s">
        <v>77</v>
      </c>
      <c r="L119" s="20" t="s">
        <v>78</v>
      </c>
      <c r="M119" s="22" t="s">
        <v>264</v>
      </c>
      <c r="N119" s="22" t="s">
        <v>80</v>
      </c>
    </row>
    <row r="120" customFormat="false" ht="23.85" hidden="false" customHeight="false" outlineLevel="0" collapsed="false">
      <c r="A120" s="12"/>
      <c r="B120" s="20" t="s">
        <v>73</v>
      </c>
      <c r="C120" s="21" t="n">
        <v>3</v>
      </c>
      <c r="D120" s="20" t="s">
        <v>56</v>
      </c>
      <c r="E120" s="22" t="s">
        <v>152</v>
      </c>
      <c r="F120" s="23" t="n">
        <v>0.602677701095645</v>
      </c>
      <c r="G120" s="24" t="n">
        <v>11.71</v>
      </c>
      <c r="H120" s="25" t="n">
        <v>58920.4</v>
      </c>
      <c r="I120" s="22" t="s">
        <v>89</v>
      </c>
      <c r="J120" s="21" t="n">
        <v>10</v>
      </c>
      <c r="K120" s="20" t="s">
        <v>77</v>
      </c>
      <c r="L120" s="20" t="s">
        <v>78</v>
      </c>
      <c r="M120" s="22" t="s">
        <v>154</v>
      </c>
      <c r="N120" s="22" t="s">
        <v>80</v>
      </c>
    </row>
    <row r="121" customFormat="false" ht="23.85" hidden="false" customHeight="false" outlineLevel="0" collapsed="false">
      <c r="A121" s="12"/>
      <c r="B121" s="20" t="s">
        <v>73</v>
      </c>
      <c r="C121" s="21" t="n">
        <v>4</v>
      </c>
      <c r="D121" s="20" t="s">
        <v>211</v>
      </c>
      <c r="E121" s="22" t="s">
        <v>212</v>
      </c>
      <c r="F121" s="23" t="n">
        <v>0.558101337388389</v>
      </c>
      <c r="G121" s="24" t="n">
        <v>34.58</v>
      </c>
      <c r="H121" s="25" t="n">
        <v>5713.6</v>
      </c>
      <c r="I121" s="22" t="s">
        <v>190</v>
      </c>
      <c r="J121" s="21" t="n">
        <v>1</v>
      </c>
      <c r="K121" s="20" t="s">
        <v>77</v>
      </c>
      <c r="L121" s="20" t="s">
        <v>95</v>
      </c>
      <c r="M121" s="22" t="s">
        <v>178</v>
      </c>
      <c r="N121" s="22" t="s">
        <v>80</v>
      </c>
    </row>
    <row r="122" customFormat="false" ht="23.85" hidden="false" customHeight="false" outlineLevel="0" collapsed="false">
      <c r="A122" s="13" t="s">
        <v>47</v>
      </c>
      <c r="B122" s="14" t="s">
        <v>73</v>
      </c>
      <c r="C122" s="15" t="n">
        <v>1</v>
      </c>
      <c r="D122" s="14" t="s">
        <v>116</v>
      </c>
      <c r="E122" s="16" t="s">
        <v>117</v>
      </c>
      <c r="F122" s="17" t="n">
        <v>0.770255780403166</v>
      </c>
      <c r="G122" s="18" t="n">
        <v>79.53</v>
      </c>
      <c r="H122" s="19" t="n">
        <v>32830.2</v>
      </c>
      <c r="I122" s="16" t="s">
        <v>89</v>
      </c>
      <c r="J122" s="15" t="n">
        <v>32</v>
      </c>
      <c r="K122" s="14" t="s">
        <v>77</v>
      </c>
      <c r="L122" s="14" t="s">
        <v>84</v>
      </c>
      <c r="M122" s="16" t="s">
        <v>119</v>
      </c>
      <c r="N122" s="16" t="s">
        <v>80</v>
      </c>
    </row>
    <row r="123" customFormat="false" ht="23.85" hidden="false" customHeight="false" outlineLevel="0" collapsed="false">
      <c r="A123" s="12"/>
      <c r="B123" s="20" t="s">
        <v>73</v>
      </c>
      <c r="C123" s="21" t="n">
        <v>2</v>
      </c>
      <c r="D123" s="20" t="s">
        <v>265</v>
      </c>
      <c r="E123" s="22" t="s">
        <v>266</v>
      </c>
      <c r="F123" s="23" t="n">
        <v>0.607317619994541</v>
      </c>
      <c r="G123" s="24" t="n">
        <v>59.3</v>
      </c>
      <c r="H123" s="25" t="n">
        <v>5118.1</v>
      </c>
      <c r="I123" s="22" t="s">
        <v>114</v>
      </c>
      <c r="J123" s="21" t="n">
        <v>9</v>
      </c>
      <c r="K123" s="20" t="s">
        <v>83</v>
      </c>
      <c r="L123" s="20" t="s">
        <v>84</v>
      </c>
      <c r="M123" s="22" t="s">
        <v>85</v>
      </c>
      <c r="N123" s="22" t="s">
        <v>86</v>
      </c>
    </row>
    <row r="124" customFormat="false" ht="23.85" hidden="false" customHeight="false" outlineLevel="0" collapsed="false">
      <c r="A124" s="12"/>
      <c r="B124" s="20" t="s">
        <v>73</v>
      </c>
      <c r="C124" s="21" t="n">
        <v>3</v>
      </c>
      <c r="D124" s="20" t="s">
        <v>267</v>
      </c>
      <c r="E124" s="22" t="s">
        <v>268</v>
      </c>
      <c r="F124" s="23" t="n">
        <v>0.418981752251725</v>
      </c>
      <c r="G124" s="24" t="n">
        <v>163.51</v>
      </c>
      <c r="H124" s="25" t="n">
        <v>14.3</v>
      </c>
      <c r="I124" s="22" t="s">
        <v>89</v>
      </c>
      <c r="J124" s="21" t="n">
        <v>19</v>
      </c>
      <c r="K124" s="20" t="s">
        <v>196</v>
      </c>
      <c r="L124" s="20" t="s">
        <v>84</v>
      </c>
      <c r="M124" s="22"/>
      <c r="N124" s="22" t="s">
        <v>102</v>
      </c>
    </row>
    <row r="125" customFormat="false" ht="23.85" hidden="false" customHeight="false" outlineLevel="0" collapsed="false">
      <c r="A125" s="12"/>
      <c r="B125" s="20" t="s">
        <v>73</v>
      </c>
      <c r="C125" s="21" t="n">
        <v>4</v>
      </c>
      <c r="D125" s="20" t="s">
        <v>241</v>
      </c>
      <c r="E125" s="22" t="s">
        <v>242</v>
      </c>
      <c r="F125" s="23" t="n">
        <v>0.362128124147074</v>
      </c>
      <c r="G125" s="24" t="n">
        <v>22.38</v>
      </c>
      <c r="H125" s="25" t="n">
        <v>2508.1</v>
      </c>
      <c r="I125" s="22" t="s">
        <v>147</v>
      </c>
      <c r="J125" s="21" t="n">
        <v>1</v>
      </c>
      <c r="K125" s="20" t="s">
        <v>77</v>
      </c>
      <c r="L125" s="20" t="s">
        <v>84</v>
      </c>
      <c r="M125" s="22" t="s">
        <v>178</v>
      </c>
      <c r="N125" s="22" t="s">
        <v>80</v>
      </c>
    </row>
    <row r="126" customFormat="false" ht="23.85" hidden="false" customHeight="false" outlineLevel="0" collapsed="false">
      <c r="A126" s="12"/>
      <c r="B126" s="20" t="s">
        <v>73</v>
      </c>
      <c r="C126" s="21" t="n">
        <v>5</v>
      </c>
      <c r="D126" s="20" t="s">
        <v>269</v>
      </c>
      <c r="E126" s="22" t="s">
        <v>270</v>
      </c>
      <c r="F126" s="23" t="n">
        <v>0.314749288415799</v>
      </c>
      <c r="G126" s="24" t="n">
        <v>42.21</v>
      </c>
      <c r="H126" s="25" t="n">
        <v>71.4</v>
      </c>
      <c r="I126" s="22" t="s">
        <v>232</v>
      </c>
      <c r="J126" s="21" t="n">
        <v>1</v>
      </c>
      <c r="K126" s="20" t="s">
        <v>95</v>
      </c>
      <c r="L126" s="20" t="s">
        <v>95</v>
      </c>
      <c r="M126" s="22" t="s">
        <v>178</v>
      </c>
      <c r="N126" s="22" t="s">
        <v>97</v>
      </c>
    </row>
    <row r="127" customFormat="false" ht="23.85" hidden="false" customHeight="false" outlineLevel="0" collapsed="false">
      <c r="A127" s="12"/>
      <c r="B127" s="12" t="s">
        <v>103</v>
      </c>
      <c r="C127" s="7" t="n">
        <v>6</v>
      </c>
      <c r="D127" s="12" t="s">
        <v>271</v>
      </c>
      <c r="E127" s="10" t="s">
        <v>272</v>
      </c>
      <c r="F127" s="9" t="n">
        <v>0.207553515030998</v>
      </c>
      <c r="G127" s="26" t="n">
        <v>15.8</v>
      </c>
      <c r="H127" s="11" t="n">
        <v>287.5</v>
      </c>
      <c r="I127" s="10" t="s">
        <v>273</v>
      </c>
      <c r="J127" s="7" t="n">
        <v>18</v>
      </c>
      <c r="K127" s="12" t="s">
        <v>196</v>
      </c>
      <c r="L127" s="12" t="s">
        <v>84</v>
      </c>
      <c r="M127" s="10"/>
      <c r="N127" s="10" t="s">
        <v>102</v>
      </c>
    </row>
    <row r="128" customFormat="false" ht="23.85" hidden="false" customHeight="false" outlineLevel="0" collapsed="false">
      <c r="A128" s="12"/>
      <c r="B128" s="12" t="s">
        <v>103</v>
      </c>
      <c r="C128" s="7" t="n">
        <v>7</v>
      </c>
      <c r="D128" s="12" t="s">
        <v>274</v>
      </c>
      <c r="E128" s="10" t="s">
        <v>275</v>
      </c>
      <c r="F128" s="9" t="n">
        <v>0.200218349124654</v>
      </c>
      <c r="G128" s="26" t="n">
        <v>8.71</v>
      </c>
      <c r="H128" s="11" t="n">
        <v>1781.1</v>
      </c>
      <c r="I128" s="10" t="s">
        <v>273</v>
      </c>
      <c r="J128" s="7" t="n">
        <v>12</v>
      </c>
      <c r="K128" s="12" t="s">
        <v>196</v>
      </c>
      <c r="L128" s="12" t="s">
        <v>84</v>
      </c>
      <c r="M128" s="10"/>
      <c r="N128" s="10" t="s">
        <v>102</v>
      </c>
    </row>
    <row r="129" customFormat="false" ht="23.85" hidden="false" customHeight="false" outlineLevel="0" collapsed="false">
      <c r="A129" s="13" t="s">
        <v>49</v>
      </c>
      <c r="B129" s="14" t="s">
        <v>73</v>
      </c>
      <c r="C129" s="15" t="n">
        <v>1</v>
      </c>
      <c r="D129" s="14" t="s">
        <v>56</v>
      </c>
      <c r="E129" s="16" t="s">
        <v>152</v>
      </c>
      <c r="F129" s="17" t="n">
        <v>0.693292587827036</v>
      </c>
      <c r="G129" s="18" t="n">
        <v>24.1</v>
      </c>
      <c r="H129" s="19" t="n">
        <v>58920.4</v>
      </c>
      <c r="I129" s="16" t="s">
        <v>276</v>
      </c>
      <c r="J129" s="15" t="n">
        <v>23</v>
      </c>
      <c r="K129" s="14" t="s">
        <v>77</v>
      </c>
      <c r="L129" s="14" t="s">
        <v>78</v>
      </c>
      <c r="M129" s="16" t="s">
        <v>154</v>
      </c>
      <c r="N129" s="16" t="s">
        <v>80</v>
      </c>
    </row>
    <row r="130" customFormat="false" ht="23.85" hidden="false" customHeight="false" outlineLevel="0" collapsed="false">
      <c r="A130" s="12"/>
      <c r="B130" s="20" t="s">
        <v>73</v>
      </c>
      <c r="C130" s="21" t="n">
        <v>2</v>
      </c>
      <c r="D130" s="20" t="s">
        <v>166</v>
      </c>
      <c r="E130" s="22" t="s">
        <v>167</v>
      </c>
      <c r="F130" s="23" t="n">
        <v>0.47821870004289</v>
      </c>
      <c r="G130" s="24" t="n">
        <v>30.01</v>
      </c>
      <c r="H130" s="25" t="n">
        <v>3625.3</v>
      </c>
      <c r="I130" s="22" t="s">
        <v>147</v>
      </c>
      <c r="J130" s="21" t="n">
        <v>1</v>
      </c>
      <c r="K130" s="20" t="s">
        <v>77</v>
      </c>
      <c r="L130" s="20" t="s">
        <v>84</v>
      </c>
      <c r="M130" s="22" t="s">
        <v>168</v>
      </c>
      <c r="N130" s="22" t="s">
        <v>80</v>
      </c>
    </row>
    <row r="131" customFormat="false" ht="23.85" hidden="false" customHeight="false" outlineLevel="0" collapsed="false">
      <c r="A131" s="12"/>
      <c r="B131" s="20" t="s">
        <v>73</v>
      </c>
      <c r="C131" s="21" t="n">
        <v>3</v>
      </c>
      <c r="D131" s="20" t="s">
        <v>277</v>
      </c>
      <c r="E131" s="22" t="s">
        <v>278</v>
      </c>
      <c r="F131" s="23" t="n">
        <v>0.406080633212462</v>
      </c>
      <c r="G131" s="24" t="n">
        <v>6.38</v>
      </c>
      <c r="H131" s="25" t="n">
        <v>16359.3</v>
      </c>
      <c r="I131" s="22" t="s">
        <v>147</v>
      </c>
      <c r="J131" s="21" t="n">
        <v>1</v>
      </c>
      <c r="K131" s="20" t="s">
        <v>77</v>
      </c>
      <c r="L131" s="20" t="s">
        <v>84</v>
      </c>
      <c r="M131" s="22"/>
      <c r="N131" s="22" t="s">
        <v>102</v>
      </c>
    </row>
    <row r="132" customFormat="false" ht="23.85" hidden="false" customHeight="false" outlineLevel="0" collapsed="false">
      <c r="A132" s="12"/>
      <c r="B132" s="20" t="s">
        <v>73</v>
      </c>
      <c r="C132" s="21" t="n">
        <v>4</v>
      </c>
      <c r="D132" s="20" t="s">
        <v>279</v>
      </c>
      <c r="E132" s="22" t="s">
        <v>280</v>
      </c>
      <c r="F132" s="23" t="n">
        <v>0.341696884625882</v>
      </c>
      <c r="G132" s="24" t="n">
        <v>54.62</v>
      </c>
      <c r="H132" s="25" t="n">
        <v>117.1</v>
      </c>
      <c r="I132" s="22" t="s">
        <v>147</v>
      </c>
      <c r="J132" s="21" t="n">
        <v>1</v>
      </c>
      <c r="K132" s="20" t="s">
        <v>77</v>
      </c>
      <c r="L132" s="20" t="s">
        <v>95</v>
      </c>
      <c r="M132" s="22"/>
      <c r="N132" s="22" t="s">
        <v>102</v>
      </c>
    </row>
    <row r="133" customFormat="false" ht="15" hidden="false" customHeight="false" outlineLevel="0" collapsed="false">
      <c r="A133" s="12"/>
      <c r="B133" s="20" t="s">
        <v>73</v>
      </c>
      <c r="C133" s="21" t="n">
        <v>5</v>
      </c>
      <c r="D133" s="20" t="s">
        <v>281</v>
      </c>
      <c r="E133" s="22" t="s">
        <v>282</v>
      </c>
      <c r="F133" s="23" t="n">
        <v>0.128090030023005</v>
      </c>
      <c r="G133" s="24" t="n">
        <v>7.41</v>
      </c>
      <c r="H133" s="25" t="n">
        <v>570.1</v>
      </c>
      <c r="I133" s="22" t="s">
        <v>147</v>
      </c>
      <c r="J133" s="21" t="n">
        <v>1</v>
      </c>
      <c r="K133" s="20" t="s">
        <v>77</v>
      </c>
      <c r="L133" s="20" t="s">
        <v>78</v>
      </c>
      <c r="M133" s="22" t="s">
        <v>142</v>
      </c>
      <c r="N133" s="22" t="s">
        <v>102</v>
      </c>
    </row>
    <row r="134" customFormat="false" ht="23.85" hidden="false" customHeight="false" outlineLevel="0" collapsed="false">
      <c r="A134" s="13" t="s">
        <v>51</v>
      </c>
      <c r="B134" s="14" t="s">
        <v>73</v>
      </c>
      <c r="C134" s="15" t="n">
        <v>1</v>
      </c>
      <c r="D134" s="14" t="s">
        <v>112</v>
      </c>
      <c r="E134" s="16" t="s">
        <v>113</v>
      </c>
      <c r="F134" s="17" t="n">
        <v>0.590946309509884</v>
      </c>
      <c r="G134" s="18" t="n">
        <v>29.97</v>
      </c>
      <c r="H134" s="19" t="n">
        <v>11366.1</v>
      </c>
      <c r="I134" s="16" t="s">
        <v>147</v>
      </c>
      <c r="J134" s="15" t="n">
        <v>1</v>
      </c>
      <c r="K134" s="14" t="s">
        <v>83</v>
      </c>
      <c r="L134" s="14" t="s">
        <v>84</v>
      </c>
      <c r="M134" s="16" t="s">
        <v>115</v>
      </c>
      <c r="N134" s="16" t="s">
        <v>86</v>
      </c>
    </row>
    <row r="135" customFormat="false" ht="23.85" hidden="false" customHeight="false" outlineLevel="0" collapsed="false">
      <c r="A135" s="12"/>
      <c r="B135" s="20" t="s">
        <v>73</v>
      </c>
      <c r="C135" s="21" t="n">
        <v>2</v>
      </c>
      <c r="D135" s="20" t="s">
        <v>283</v>
      </c>
      <c r="E135" s="22" t="s">
        <v>284</v>
      </c>
      <c r="F135" s="23" t="n">
        <v>0.482917105314462</v>
      </c>
      <c r="G135" s="24" t="n">
        <v>10.36</v>
      </c>
      <c r="H135" s="25" t="n">
        <v>13045.6</v>
      </c>
      <c r="I135" s="22" t="s">
        <v>147</v>
      </c>
      <c r="J135" s="21" t="n">
        <v>1</v>
      </c>
      <c r="K135" s="20" t="s">
        <v>77</v>
      </c>
      <c r="L135" s="20" t="s">
        <v>84</v>
      </c>
      <c r="M135" s="22" t="s">
        <v>122</v>
      </c>
      <c r="N135" s="22" t="s">
        <v>80</v>
      </c>
    </row>
    <row r="136" customFormat="false" ht="23.85" hidden="false" customHeight="false" outlineLevel="0" collapsed="false">
      <c r="A136" s="12"/>
      <c r="B136" s="20" t="s">
        <v>73</v>
      </c>
      <c r="C136" s="21" t="n">
        <v>3</v>
      </c>
      <c r="D136" s="20" t="s">
        <v>285</v>
      </c>
      <c r="E136" s="22" t="s">
        <v>286</v>
      </c>
      <c r="F136" s="23" t="n">
        <v>0.191806059188209</v>
      </c>
      <c r="G136" s="24" t="n">
        <v>10.14</v>
      </c>
      <c r="H136" s="25" t="n">
        <v>1053.6</v>
      </c>
      <c r="I136" s="22" t="s">
        <v>147</v>
      </c>
      <c r="J136" s="21" t="n">
        <v>1</v>
      </c>
      <c r="K136" s="20" t="s">
        <v>83</v>
      </c>
      <c r="L136" s="20" t="s">
        <v>84</v>
      </c>
      <c r="M136" s="22" t="s">
        <v>287</v>
      </c>
      <c r="N136" s="22" t="s">
        <v>86</v>
      </c>
    </row>
    <row r="137" customFormat="false" ht="23.85" hidden="false" customHeight="false" outlineLevel="0" collapsed="false">
      <c r="A137" s="13" t="s">
        <v>53</v>
      </c>
      <c r="B137" s="14" t="s">
        <v>73</v>
      </c>
      <c r="C137" s="15" t="n">
        <v>1</v>
      </c>
      <c r="D137" s="14" t="s">
        <v>116</v>
      </c>
      <c r="E137" s="16" t="s">
        <v>117</v>
      </c>
      <c r="F137" s="17" t="n">
        <v>0.687731508558506</v>
      </c>
      <c r="G137" s="18" t="n">
        <v>35.03</v>
      </c>
      <c r="H137" s="19" t="n">
        <v>32830.2</v>
      </c>
      <c r="I137" s="16" t="s">
        <v>147</v>
      </c>
      <c r="J137" s="15" t="n">
        <v>2</v>
      </c>
      <c r="K137" s="14" t="s">
        <v>77</v>
      </c>
      <c r="L137" s="14" t="s">
        <v>84</v>
      </c>
      <c r="M137" s="16" t="s">
        <v>119</v>
      </c>
      <c r="N137" s="16" t="s">
        <v>80</v>
      </c>
    </row>
    <row r="138" customFormat="false" ht="23.85" hidden="false" customHeight="false" outlineLevel="0" collapsed="false">
      <c r="A138" s="12"/>
      <c r="B138" s="20" t="s">
        <v>73</v>
      </c>
      <c r="C138" s="21" t="n">
        <v>2</v>
      </c>
      <c r="D138" s="20" t="s">
        <v>285</v>
      </c>
      <c r="E138" s="22" t="s">
        <v>286</v>
      </c>
      <c r="F138" s="23" t="n">
        <v>0.191806059188209</v>
      </c>
      <c r="G138" s="24" t="n">
        <v>10.14</v>
      </c>
      <c r="H138" s="25" t="n">
        <v>1053.6</v>
      </c>
      <c r="I138" s="22" t="s">
        <v>147</v>
      </c>
      <c r="J138" s="21" t="n">
        <v>1</v>
      </c>
      <c r="K138" s="20" t="s">
        <v>95</v>
      </c>
      <c r="L138" s="20" t="s">
        <v>84</v>
      </c>
      <c r="M138" s="22" t="s">
        <v>163</v>
      </c>
      <c r="N138" s="22" t="s">
        <v>97</v>
      </c>
    </row>
    <row r="139" customFormat="false" ht="23.85" hidden="false" customHeight="false" outlineLevel="0" collapsed="false">
      <c r="A139" s="13" t="s">
        <v>55</v>
      </c>
      <c r="B139" s="14" t="s">
        <v>73</v>
      </c>
      <c r="C139" s="15" t="n">
        <v>1</v>
      </c>
      <c r="D139" s="14" t="s">
        <v>56</v>
      </c>
      <c r="E139" s="16" t="s">
        <v>152</v>
      </c>
      <c r="F139" s="17" t="n">
        <v>0.602677701095645</v>
      </c>
      <c r="G139" s="18" t="n">
        <v>11.71</v>
      </c>
      <c r="H139" s="19" t="n">
        <v>58920.4</v>
      </c>
      <c r="I139" s="16" t="s">
        <v>169</v>
      </c>
      <c r="J139" s="15" t="n">
        <v>2</v>
      </c>
      <c r="K139" s="14" t="s">
        <v>77</v>
      </c>
      <c r="L139" s="14" t="s">
        <v>78</v>
      </c>
      <c r="M139" s="16" t="s">
        <v>154</v>
      </c>
      <c r="N139" s="16" t="s">
        <v>80</v>
      </c>
    </row>
  </sheetData>
  <autoFilter ref="A4:N13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R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5" min="4" style="0" width="11"/>
    <col collapsed="false" customWidth="true" hidden="false" outlineLevel="0" max="6" min="6" style="0" width="20"/>
    <col collapsed="false" customWidth="true" hidden="false" outlineLevel="0" max="7" min="7" style="0" width="8"/>
    <col collapsed="false" customWidth="true" hidden="false" outlineLevel="0" max="8" min="8" style="0" width="18"/>
    <col collapsed="false" customWidth="true" hidden="false" outlineLevel="0" max="9" min="9" style="0" width="14"/>
    <col collapsed="false" customWidth="true" hidden="false" outlineLevel="0" max="10" min="10" style="0" width="24"/>
    <col collapsed="false" customWidth="true" hidden="false" outlineLevel="0" max="12" min="11" style="0" width="8"/>
    <col collapsed="false" customWidth="true" hidden="false" outlineLevel="0" max="13" min="13" style="0" width="9"/>
    <col collapsed="false" customWidth="true" hidden="false" outlineLevel="0" max="14" min="14" style="0" width="15"/>
    <col collapsed="false" customWidth="true" hidden="false" outlineLevel="0" max="15" min="15" style="0" width="8"/>
    <col collapsed="false" customWidth="true" hidden="false" outlineLevel="0" max="16" min="16" style="0" width="10"/>
    <col collapsed="false" customWidth="true" hidden="false" outlineLevel="0" max="17" min="17" style="0" width="30"/>
    <col collapsed="false" customWidth="true" hidden="false" outlineLevel="0" max="18" min="18" style="0" width="45"/>
  </cols>
  <sheetData>
    <row r="1" customFormat="false" ht="17.35" hidden="false" customHeight="false" outlineLevel="0" collapsed="false">
      <c r="A1" s="1" t="s">
        <v>288</v>
      </c>
    </row>
    <row r="2" customFormat="false" ht="15" hidden="false" customHeight="false" outlineLevel="0" collapsed="false">
      <c r="A2" s="2" t="s">
        <v>289</v>
      </c>
    </row>
    <row r="3" customFormat="false" ht="15" hidden="false" customHeight="false" outlineLevel="0" collapsed="false">
      <c r="A3" s="27" t="s">
        <v>290</v>
      </c>
      <c r="B3" s="28" t="s">
        <v>291</v>
      </c>
      <c r="C3" s="29" t="n">
        <v>0.5</v>
      </c>
      <c r="D3" s="28" t="s">
        <v>292</v>
      </c>
      <c r="E3" s="29" t="n">
        <v>0.5</v>
      </c>
    </row>
    <row r="5" customFormat="false" ht="42" hidden="false" customHeight="true" outlineLevel="0" collapsed="false">
      <c r="A5" s="6" t="s">
        <v>12</v>
      </c>
      <c r="B5" s="6" t="s">
        <v>62</v>
      </c>
      <c r="C5" s="6" t="s">
        <v>63</v>
      </c>
      <c r="D5" s="6" t="s">
        <v>293</v>
      </c>
      <c r="E5" s="6" t="s">
        <v>66</v>
      </c>
      <c r="F5" s="6" t="s">
        <v>67</v>
      </c>
      <c r="G5" s="6" t="s">
        <v>68</v>
      </c>
      <c r="H5" s="6" t="s">
        <v>69</v>
      </c>
      <c r="I5" s="6" t="s">
        <v>70</v>
      </c>
      <c r="J5" s="6" t="s">
        <v>71</v>
      </c>
      <c r="K5" s="6" t="s">
        <v>294</v>
      </c>
      <c r="L5" s="6" t="s">
        <v>295</v>
      </c>
      <c r="M5" s="6" t="s">
        <v>64</v>
      </c>
      <c r="N5" s="6" t="s">
        <v>296</v>
      </c>
      <c r="O5" s="6" t="s">
        <v>297</v>
      </c>
      <c r="P5" s="6" t="s">
        <v>60</v>
      </c>
      <c r="Q5" s="6" t="s">
        <v>72</v>
      </c>
      <c r="R5" s="6" t="s">
        <v>298</v>
      </c>
    </row>
    <row r="6" customFormat="false" ht="23.85" hidden="false" customHeight="false" outlineLevel="0" collapsed="false">
      <c r="A6" s="12" t="s">
        <v>51</v>
      </c>
      <c r="B6" s="12" t="s">
        <v>112</v>
      </c>
      <c r="C6" s="10" t="s">
        <v>113</v>
      </c>
      <c r="D6" s="26" t="n">
        <v>29.97</v>
      </c>
      <c r="E6" s="11" t="n">
        <v>11366.1</v>
      </c>
      <c r="F6" s="10" t="s">
        <v>147</v>
      </c>
      <c r="G6" s="7" t="n">
        <v>1</v>
      </c>
      <c r="H6" s="12" t="s">
        <v>83</v>
      </c>
      <c r="I6" s="12" t="s">
        <v>84</v>
      </c>
      <c r="J6" s="10" t="s">
        <v>115</v>
      </c>
      <c r="K6" s="9" t="n">
        <f aca="false">IF(ISNUMBER(D6),COUNTIF($D$6:$D$338,"&lt;"&amp;D6)/(COUNT($D$6:$D$338)-1),"")</f>
        <v>0.495145631067961</v>
      </c>
      <c r="L6" s="9" t="n">
        <f aca="false">IF(ISNUMBER(E6),COUNTIF($E$6:$E$338,"&lt;"&amp;E6)/(COUNT($E$6:$E$338)-1),"")</f>
        <v>0.686746987951807</v>
      </c>
      <c r="M6" s="9" t="n">
        <f aca="false">IF(AND(K6="",L6=""),"",(IF(ISNUMBER(K6),$C$3*K6,0)+IF(ISNUMBER(L6),$E$3*L6,0))/(IF(ISNUMBER(K6),$C$3,0)+IF(ISNUMBER(L6),$E$3,0)))</f>
        <v>0.590946309509884</v>
      </c>
      <c r="N6" s="12"/>
      <c r="O6" s="7" t="n">
        <f aca="false">IF(N6&lt;&gt;"","",COUNTIFS($A$6:$A$338,A6,$N$6:$N$338,"",$M$6:$M$338,"&gt;"&amp;M6)+COUNTIFS($A$6:A6,A6,$N$6:N6,"",$M$6:M6,M6))</f>
        <v>1</v>
      </c>
      <c r="P6" s="12" t="str">
        <f aca="false">IF(O6="","Excluded",IF(O6&lt;=5,"Lead",IF(O6&lt;=10,"Next wave","Long list")))</f>
        <v>Lead</v>
      </c>
      <c r="Q6" s="10" t="s">
        <v>86</v>
      </c>
      <c r="R6" s="30" t="s">
        <v>299</v>
      </c>
    </row>
    <row r="7" customFormat="false" ht="35.05" hidden="false" customHeight="false" outlineLevel="0" collapsed="false">
      <c r="A7" s="12" t="s">
        <v>51</v>
      </c>
      <c r="B7" s="12" t="s">
        <v>283</v>
      </c>
      <c r="C7" s="10" t="s">
        <v>284</v>
      </c>
      <c r="D7" s="26" t="n">
        <v>10.36</v>
      </c>
      <c r="E7" s="11" t="n">
        <v>13045.6</v>
      </c>
      <c r="F7" s="10" t="s">
        <v>147</v>
      </c>
      <c r="G7" s="7" t="n">
        <v>1</v>
      </c>
      <c r="H7" s="12" t="s">
        <v>77</v>
      </c>
      <c r="I7" s="12" t="s">
        <v>84</v>
      </c>
      <c r="J7" s="10" t="s">
        <v>122</v>
      </c>
      <c r="K7" s="9" t="n">
        <f aca="false">IF(ISNUMBER(D7),COUNTIF($D$6:$D$338,"&lt;"&amp;D7)/(COUNT($D$6:$D$338)-1),"")</f>
        <v>0.245954692556634</v>
      </c>
      <c r="L7" s="9" t="n">
        <f aca="false">IF(ISNUMBER(E7),COUNTIF($E$6:$E$338,"&lt;"&amp;E7)/(COUNT($E$6:$E$338)-1),"")</f>
        <v>0.719879518072289</v>
      </c>
      <c r="M7" s="9" t="n">
        <f aca="false">IF(AND(K7="",L7=""),"",(IF(ISNUMBER(K7),$C$3*K7,0)+IF(ISNUMBER(L7),$E$3*L7,0))/(IF(ISNUMBER(K7),$C$3,0)+IF(ISNUMBER(L7),$E$3,0)))</f>
        <v>0.482917105314462</v>
      </c>
      <c r="N7" s="12"/>
      <c r="O7" s="7" t="n">
        <f aca="false">IF(N7&lt;&gt;"","",COUNTIFS($A$6:$A$338,A7,$N$6:$N$338,"",$M$6:$M$338,"&gt;"&amp;M7)+COUNTIFS($A$6:A7,A7,$N$6:N7,"",$M$6:M7,M7))</f>
        <v>2</v>
      </c>
      <c r="P7" s="12" t="str">
        <f aca="false">IF(O7="","Excluded",IF(O7&lt;=5,"Lead",IF(O7&lt;=10,"Next wave","Long list")))</f>
        <v>Lead</v>
      </c>
      <c r="Q7" s="10" t="s">
        <v>80</v>
      </c>
      <c r="R7" s="30" t="s">
        <v>300</v>
      </c>
    </row>
    <row r="8" customFormat="false" ht="23.85" hidden="false" customHeight="false" outlineLevel="0" collapsed="false">
      <c r="A8" s="12" t="s">
        <v>51</v>
      </c>
      <c r="B8" s="12" t="s">
        <v>285</v>
      </c>
      <c r="C8" s="10" t="s">
        <v>286</v>
      </c>
      <c r="D8" s="26" t="n">
        <v>10.14</v>
      </c>
      <c r="E8" s="11" t="n">
        <v>1053.6</v>
      </c>
      <c r="F8" s="10" t="s">
        <v>147</v>
      </c>
      <c r="G8" s="7" t="n">
        <v>1</v>
      </c>
      <c r="H8" s="12" t="s">
        <v>83</v>
      </c>
      <c r="I8" s="12" t="s">
        <v>84</v>
      </c>
      <c r="J8" s="10" t="s">
        <v>287</v>
      </c>
      <c r="K8" s="9" t="n">
        <f aca="false">IF(ISNUMBER(D8),COUNTIF($D$6:$D$338,"&lt;"&amp;D8)/(COUNT($D$6:$D$338)-1),"")</f>
        <v>0.233009708737864</v>
      </c>
      <c r="L8" s="9" t="n">
        <f aca="false">IF(ISNUMBER(E8),COUNTIF($E$6:$E$338,"&lt;"&amp;E8)/(COUNT($E$6:$E$338)-1),"")</f>
        <v>0.150602409638554</v>
      </c>
      <c r="M8" s="9" t="n">
        <f aca="false">IF(AND(K8="",L8=""),"",(IF(ISNUMBER(K8),$C$3*K8,0)+IF(ISNUMBER(L8),$E$3*L8,0))/(IF(ISNUMBER(K8),$C$3,0)+IF(ISNUMBER(L8),$E$3,0)))</f>
        <v>0.191806059188209</v>
      </c>
      <c r="N8" s="12"/>
      <c r="O8" s="7" t="n">
        <f aca="false">IF(N8&lt;&gt;"","",COUNTIFS($A$6:$A$338,A8,$N$6:$N$338,"",$M$6:$M$338,"&gt;"&amp;M8)+COUNTIFS($A$6:A8,A8,$N$6:N8,"",$M$6:M8,M8))</f>
        <v>3</v>
      </c>
      <c r="P8" s="12" t="str">
        <f aca="false">IF(O8="","Excluded",IF(O8&lt;=5,"Lead",IF(O8&lt;=10,"Next wave","Long list")))</f>
        <v>Lead</v>
      </c>
      <c r="Q8" s="10" t="s">
        <v>86</v>
      </c>
      <c r="R8" s="30" t="s">
        <v>301</v>
      </c>
    </row>
    <row r="9" customFormat="false" ht="23.85" hidden="false" customHeight="false" outlineLevel="0" collapsed="false">
      <c r="A9" s="12" t="s">
        <v>51</v>
      </c>
      <c r="B9" s="12" t="s">
        <v>166</v>
      </c>
      <c r="C9" s="10" t="s">
        <v>167</v>
      </c>
      <c r="D9" s="26" t="n">
        <v>74.83</v>
      </c>
      <c r="E9" s="11" t="n">
        <v>3625.3</v>
      </c>
      <c r="F9" s="10" t="s">
        <v>302</v>
      </c>
      <c r="G9" s="7" t="n">
        <v>2</v>
      </c>
      <c r="H9" s="12" t="s">
        <v>77</v>
      </c>
      <c r="I9" s="12" t="s">
        <v>84</v>
      </c>
      <c r="J9" s="10" t="s">
        <v>168</v>
      </c>
      <c r="K9" s="9" t="n">
        <f aca="false">IF(ISNUMBER(D9),COUNTIF($D$6:$D$338,"&lt;"&amp;D9)/(COUNT($D$6:$D$338)-1),"")</f>
        <v>0.711974110032362</v>
      </c>
      <c r="L9" s="9" t="n">
        <f aca="false">IF(ISNUMBER(E9),COUNTIF($E$6:$E$338,"&lt;"&amp;E9)/(COUNT($E$6:$E$338)-1),"")</f>
        <v>0.454819277108434</v>
      </c>
      <c r="M9" s="9" t="n">
        <f aca="false">IF(AND(K9="",L9=""),"",(IF(ISNUMBER(K9),$C$3*K9,0)+IF(ISNUMBER(L9),$E$3*L9,0))/(IF(ISNUMBER(K9),$C$3,0)+IF(ISNUMBER(L9),$E$3,0)))</f>
        <v>0.583396693570398</v>
      </c>
      <c r="N9" s="12" t="s">
        <v>303</v>
      </c>
      <c r="O9" s="7" t="str">
        <f aca="false">IF(N9&lt;&gt;"","",COUNTIFS($A$6:$A$338,A9,$N$6:$N$338,"",$M$6:$M$338,"&gt;"&amp;M9)+COUNTIFS($A$6:A9,A9,$N$6:N9,"",$M$6:M9,M9))</f>
        <v/>
      </c>
      <c r="P9" s="12" t="str">
        <f aca="false">IF(O9="","Excluded",IF(O9&lt;=5,"Lead",IF(O9&lt;=10,"Next wave","Long list")))</f>
        <v>Excluded</v>
      </c>
      <c r="Q9" s="10" t="s">
        <v>80</v>
      </c>
      <c r="R9" s="30" t="s">
        <v>304</v>
      </c>
    </row>
    <row r="10" customFormat="false" ht="23.85" hidden="false" customHeight="false" outlineLevel="0" collapsed="false">
      <c r="A10" s="12" t="s">
        <v>51</v>
      </c>
      <c r="B10" s="12" t="s">
        <v>305</v>
      </c>
      <c r="C10" s="10" t="s">
        <v>306</v>
      </c>
      <c r="D10" s="26"/>
      <c r="E10" s="11" t="n">
        <v>4256.8</v>
      </c>
      <c r="F10" s="10" t="s">
        <v>147</v>
      </c>
      <c r="G10" s="7" t="n">
        <v>1</v>
      </c>
      <c r="H10" s="12" t="s">
        <v>95</v>
      </c>
      <c r="I10" s="12" t="s">
        <v>95</v>
      </c>
      <c r="J10" s="10" t="s">
        <v>163</v>
      </c>
      <c r="K10" s="9" t="str">
        <f aca="false">IF(ISNUMBER(D10),COUNTIF($D$6:$D$338,"&lt;"&amp;D10)/(COUNT($D$6:$D$338)-1),"")</f>
        <v/>
      </c>
      <c r="L10" s="9" t="n">
        <f aca="false">IF(ISNUMBER(E10),COUNTIF($E$6:$E$338,"&lt;"&amp;E10)/(COUNT($E$6:$E$338)-1),"")</f>
        <v>0.512048192771084</v>
      </c>
      <c r="M10" s="9" t="n">
        <f aca="false">IF(AND(K10="",L10=""),"",(IF(ISNUMBER(K10),$C$3*K10,0)+IF(ISNUMBER(L10),$E$3*L10,0))/(IF(ISNUMBER(K10),$C$3,0)+IF(ISNUMBER(L10),$E$3,0)))</f>
        <v>0.512048192771084</v>
      </c>
      <c r="N10" s="12" t="s">
        <v>307</v>
      </c>
      <c r="O10" s="7" t="str">
        <f aca="false">IF(N10&lt;&gt;"","",COUNTIFS($A$6:$A$338,A10,$N$6:$N$338,"",$M$6:$M$338,"&gt;"&amp;M10)+COUNTIFS($A$6:A10,A10,$N$6:N10,"",$M$6:M10,M10))</f>
        <v/>
      </c>
      <c r="P10" s="12" t="str">
        <f aca="false">IF(O10="","Excluded",IF(O10&lt;=5,"Lead",IF(O10&lt;=10,"Next wave","Long list")))</f>
        <v>Excluded</v>
      </c>
      <c r="Q10" s="10" t="s">
        <v>97</v>
      </c>
      <c r="R10" s="30" t="s">
        <v>308</v>
      </c>
    </row>
    <row r="11" customFormat="false" ht="23.85" hidden="false" customHeight="false" outlineLevel="0" collapsed="false">
      <c r="A11" s="12" t="s">
        <v>51</v>
      </c>
      <c r="B11" s="12" t="s">
        <v>203</v>
      </c>
      <c r="C11" s="10" t="s">
        <v>204</v>
      </c>
      <c r="D11" s="26"/>
      <c r="E11" s="11" t="n">
        <v>2630</v>
      </c>
      <c r="F11" s="10" t="s">
        <v>147</v>
      </c>
      <c r="G11" s="7" t="n">
        <v>1</v>
      </c>
      <c r="H11" s="12" t="s">
        <v>83</v>
      </c>
      <c r="I11" s="12" t="s">
        <v>84</v>
      </c>
      <c r="J11" s="10" t="s">
        <v>287</v>
      </c>
      <c r="K11" s="9" t="str">
        <f aca="false">IF(ISNUMBER(D11),COUNTIF($D$6:$D$338,"&lt;"&amp;D11)/(COUNT($D$6:$D$338)-1),"")</f>
        <v/>
      </c>
      <c r="L11" s="9" t="n">
        <f aca="false">IF(ISNUMBER(E11),COUNTIF($E$6:$E$338,"&lt;"&amp;E11)/(COUNT($E$6:$E$338)-1),"")</f>
        <v>0.331325301204819</v>
      </c>
      <c r="M11" s="9" t="n">
        <f aca="false">IF(AND(K11="",L11=""),"",(IF(ISNUMBER(K11),$C$3*K11,0)+IF(ISNUMBER(L11),$E$3*L11,0))/(IF(ISNUMBER(K11),$C$3,0)+IF(ISNUMBER(L11),$E$3,0)))</f>
        <v>0.331325301204819</v>
      </c>
      <c r="N11" s="12" t="s">
        <v>307</v>
      </c>
      <c r="O11" s="7" t="str">
        <f aca="false">IF(N11&lt;&gt;"","",COUNTIFS($A$6:$A$338,A11,$N$6:$N$338,"",$M$6:$M$338,"&gt;"&amp;M11)+COUNTIFS($A$6:A11,A11,$N$6:N11,"",$M$6:M11,M11))</f>
        <v/>
      </c>
      <c r="P11" s="12" t="str">
        <f aca="false">IF(O11="","Excluded",IF(O11&lt;=5,"Lead",IF(O11&lt;=10,"Next wave","Long list")))</f>
        <v>Excluded</v>
      </c>
      <c r="Q11" s="10" t="s">
        <v>86</v>
      </c>
      <c r="R11" s="30" t="s">
        <v>309</v>
      </c>
    </row>
    <row r="12" customFormat="false" ht="35.05" hidden="false" customHeight="false" outlineLevel="0" collapsed="false">
      <c r="A12" s="12" t="s">
        <v>23</v>
      </c>
      <c r="B12" s="12" t="s">
        <v>74</v>
      </c>
      <c r="C12" s="10" t="s">
        <v>75</v>
      </c>
      <c r="D12" s="26" t="n">
        <v>256.12</v>
      </c>
      <c r="E12" s="11" t="n">
        <v>42181.7</v>
      </c>
      <c r="F12" s="10" t="s">
        <v>89</v>
      </c>
      <c r="G12" s="7" t="n">
        <v>11</v>
      </c>
      <c r="H12" s="12" t="s">
        <v>77</v>
      </c>
      <c r="I12" s="12" t="s">
        <v>78</v>
      </c>
      <c r="J12" s="10" t="s">
        <v>79</v>
      </c>
      <c r="K12" s="9" t="n">
        <f aca="false">IF(ISNUMBER(D12),COUNTIF($D$6:$D$338,"&lt;"&amp;D12)/(COUNT($D$6:$D$338)-1),"")</f>
        <v>0.877022653721683</v>
      </c>
      <c r="L12" s="9" t="n">
        <f aca="false">IF(ISNUMBER(E12),COUNTIF($E$6:$E$338,"&lt;"&amp;E12)/(COUNT($E$6:$E$338)-1),"")</f>
        <v>0.897590361445783</v>
      </c>
      <c r="M12" s="9" t="n">
        <f aca="false">IF(AND(K12="",L12=""),"",(IF(ISNUMBER(K12),$C$3*K12,0)+IF(ISNUMBER(L12),$E$3*L12,0))/(IF(ISNUMBER(K12),$C$3,0)+IF(ISNUMBER(L12),$E$3,0)))</f>
        <v>0.887306507583733</v>
      </c>
      <c r="N12" s="12"/>
      <c r="O12" s="7" t="n">
        <f aca="false">IF(N12&lt;&gt;"","",COUNTIFS($A$6:$A$338,A12,$N$6:$N$338,"",$M$6:$M$338,"&gt;"&amp;M12)+COUNTIFS($A$6:A12,A12,$N$6:N12,"",$M$6:M12,M12))</f>
        <v>1</v>
      </c>
      <c r="P12" s="12" t="str">
        <f aca="false">IF(O12="","Excluded",IF(O12&lt;=5,"Lead",IF(O12&lt;=10,"Next wave","Long list")))</f>
        <v>Lead</v>
      </c>
      <c r="Q12" s="10" t="s">
        <v>80</v>
      </c>
      <c r="R12" s="30" t="s">
        <v>310</v>
      </c>
    </row>
    <row r="13" customFormat="false" ht="35.05" hidden="false" customHeight="false" outlineLevel="0" collapsed="false">
      <c r="A13" s="12" t="s">
        <v>23</v>
      </c>
      <c r="B13" s="12" t="s">
        <v>87</v>
      </c>
      <c r="C13" s="10" t="s">
        <v>88</v>
      </c>
      <c r="D13" s="26" t="n">
        <v>584.34</v>
      </c>
      <c r="E13" s="11" t="n">
        <v>28093.4</v>
      </c>
      <c r="F13" s="10" t="s">
        <v>114</v>
      </c>
      <c r="G13" s="7" t="n">
        <v>12</v>
      </c>
      <c r="H13" s="12" t="s">
        <v>77</v>
      </c>
      <c r="I13" s="12" t="s">
        <v>78</v>
      </c>
      <c r="J13" s="10" t="s">
        <v>91</v>
      </c>
      <c r="K13" s="9" t="n">
        <f aca="false">IF(ISNUMBER(D13),COUNTIF($D$6:$D$338,"&lt;"&amp;D13)/(COUNT($D$6:$D$338)-1),"")</f>
        <v>0.954692556634304</v>
      </c>
      <c r="L13" s="9" t="n">
        <f aca="false">IF(ISNUMBER(E13),COUNTIF($E$6:$E$338,"&lt;"&amp;E13)/(COUNT($E$6:$E$338)-1),"")</f>
        <v>0.792168674698795</v>
      </c>
      <c r="M13" s="9" t="n">
        <f aca="false">IF(AND(K13="",L13=""),"",(IF(ISNUMBER(K13),$C$3*K13,0)+IF(ISNUMBER(L13),$E$3*L13,0))/(IF(ISNUMBER(K13),$C$3,0)+IF(ISNUMBER(L13),$E$3,0)))</f>
        <v>0.87343061566655</v>
      </c>
      <c r="N13" s="12"/>
      <c r="O13" s="7" t="n">
        <f aca="false">IF(N13&lt;&gt;"","",COUNTIFS($A$6:$A$338,A13,$N$6:$N$338,"",$M$6:$M$338,"&gt;"&amp;M13)+COUNTIFS($A$6:A13,A13,$N$6:N13,"",$M$6:M13,M13))</f>
        <v>2</v>
      </c>
      <c r="P13" s="12" t="str">
        <f aca="false">IF(O13="","Excluded",IF(O13&lt;=5,"Lead",IF(O13&lt;=10,"Next wave","Long list")))</f>
        <v>Lead</v>
      </c>
      <c r="Q13" s="10" t="s">
        <v>80</v>
      </c>
      <c r="R13" s="30" t="s">
        <v>311</v>
      </c>
    </row>
    <row r="14" customFormat="false" ht="23.85" hidden="false" customHeight="false" outlineLevel="0" collapsed="false">
      <c r="A14" s="12" t="s">
        <v>23</v>
      </c>
      <c r="B14" s="12" t="s">
        <v>104</v>
      </c>
      <c r="C14" s="10" t="s">
        <v>105</v>
      </c>
      <c r="D14" s="26" t="n">
        <v>93.73</v>
      </c>
      <c r="E14" s="11" t="n">
        <v>59827.2</v>
      </c>
      <c r="F14" s="10" t="s">
        <v>143</v>
      </c>
      <c r="G14" s="7" t="n">
        <v>5</v>
      </c>
      <c r="H14" s="12" t="s">
        <v>77</v>
      </c>
      <c r="I14" s="12" t="s">
        <v>78</v>
      </c>
      <c r="J14" s="10" t="s">
        <v>108</v>
      </c>
      <c r="K14" s="9" t="n">
        <f aca="false">IF(ISNUMBER(D14),COUNTIF($D$6:$D$338,"&lt;"&amp;D14)/(COUNT($D$6:$D$338)-1),"")</f>
        <v>0.766990291262136</v>
      </c>
      <c r="L14" s="9" t="n">
        <f aca="false">IF(ISNUMBER(E14),COUNTIF($E$6:$E$338,"&lt;"&amp;E14)/(COUNT($E$6:$E$338)-1),"")</f>
        <v>0.957831325301205</v>
      </c>
      <c r="M14" s="9" t="n">
        <f aca="false">IF(AND(K14="",L14=""),"",(IF(ISNUMBER(K14),$C$3*K14,0)+IF(ISNUMBER(L14),$E$3*L14,0))/(IF(ISNUMBER(K14),$C$3,0)+IF(ISNUMBER(L14),$E$3,0)))</f>
        <v>0.86241080828167</v>
      </c>
      <c r="N14" s="12"/>
      <c r="O14" s="7" t="n">
        <f aca="false">IF(N14&lt;&gt;"","",COUNTIFS($A$6:$A$338,A14,$N$6:$N$338,"",$M$6:$M$338,"&gt;"&amp;M14)+COUNTIFS($A$6:A14,A14,$N$6:N14,"",$M$6:M14,M14))</f>
        <v>3</v>
      </c>
      <c r="P14" s="12" t="str">
        <f aca="false">IF(O14="","Excluded",IF(O14&lt;=5,"Lead",IF(O14&lt;=10,"Next wave","Long list")))</f>
        <v>Lead</v>
      </c>
      <c r="Q14" s="10" t="s">
        <v>80</v>
      </c>
      <c r="R14" s="30" t="s">
        <v>312</v>
      </c>
    </row>
    <row r="15" customFormat="false" ht="23.85" hidden="false" customHeight="false" outlineLevel="0" collapsed="false">
      <c r="A15" s="12" t="s">
        <v>23</v>
      </c>
      <c r="B15" s="12" t="s">
        <v>109</v>
      </c>
      <c r="C15" s="10" t="s">
        <v>110</v>
      </c>
      <c r="D15" s="26" t="n">
        <v>3710.2</v>
      </c>
      <c r="E15" s="11" t="n">
        <v>7904.7</v>
      </c>
      <c r="F15" s="10" t="s">
        <v>144</v>
      </c>
      <c r="G15" s="7" t="n">
        <v>10</v>
      </c>
      <c r="H15" s="12" t="s">
        <v>77</v>
      </c>
      <c r="I15" s="12" t="s">
        <v>84</v>
      </c>
      <c r="J15" s="10" t="s">
        <v>111</v>
      </c>
      <c r="K15" s="9" t="n">
        <f aca="false">IF(ISNUMBER(D15),COUNTIF($D$6:$D$338,"&lt;"&amp;D15)/(COUNT($D$6:$D$338)-1),"")</f>
        <v>0.980582524271845</v>
      </c>
      <c r="L15" s="9" t="n">
        <f aca="false">IF(ISNUMBER(E15),COUNTIF($E$6:$E$338,"&lt;"&amp;E15)/(COUNT($E$6:$E$338)-1),"")</f>
        <v>0.650602409638554</v>
      </c>
      <c r="M15" s="9" t="n">
        <f aca="false">IF(AND(K15="",L15=""),"",(IF(ISNUMBER(K15),$C$3*K15,0)+IF(ISNUMBER(L15),$E$3*L15,0))/(IF(ISNUMBER(K15),$C$3,0)+IF(ISNUMBER(L15),$E$3,0)))</f>
        <v>0.8155924669552</v>
      </c>
      <c r="N15" s="12"/>
      <c r="O15" s="7" t="n">
        <f aca="false">IF(N15&lt;&gt;"","",COUNTIFS($A$6:$A$338,A15,$N$6:$N$338,"",$M$6:$M$338,"&gt;"&amp;M15)+COUNTIFS($A$6:A15,A15,$N$6:N15,"",$M$6:M15,M15))</f>
        <v>4</v>
      </c>
      <c r="P15" s="12" t="str">
        <f aca="false">IF(O15="","Excluded",IF(O15&lt;=5,"Lead",IF(O15&lt;=10,"Next wave","Long list")))</f>
        <v>Lead</v>
      </c>
      <c r="Q15" s="10" t="s">
        <v>80</v>
      </c>
      <c r="R15" s="30" t="s">
        <v>313</v>
      </c>
    </row>
    <row r="16" customFormat="false" ht="23.85" hidden="false" customHeight="false" outlineLevel="0" collapsed="false">
      <c r="A16" s="12" t="s">
        <v>23</v>
      </c>
      <c r="B16" s="12" t="s">
        <v>112</v>
      </c>
      <c r="C16" s="10" t="s">
        <v>113</v>
      </c>
      <c r="D16" s="26" t="n">
        <v>308.1</v>
      </c>
      <c r="E16" s="11" t="n">
        <v>11366.1</v>
      </c>
      <c r="F16" s="10" t="s">
        <v>76</v>
      </c>
      <c r="G16" s="7" t="n">
        <v>10</v>
      </c>
      <c r="H16" s="12" t="s">
        <v>83</v>
      </c>
      <c r="I16" s="12" t="s">
        <v>84</v>
      </c>
      <c r="J16" s="10" t="s">
        <v>115</v>
      </c>
      <c r="K16" s="9" t="n">
        <f aca="false">IF(ISNUMBER(D16),COUNTIF($D$6:$D$338,"&lt;"&amp;D16)/(COUNT($D$6:$D$338)-1),"")</f>
        <v>0.896440129449838</v>
      </c>
      <c r="L16" s="9" t="n">
        <f aca="false">IF(ISNUMBER(E16),COUNTIF($E$6:$E$338,"&lt;"&amp;E16)/(COUNT($E$6:$E$338)-1),"")</f>
        <v>0.686746987951807</v>
      </c>
      <c r="M16" s="9" t="n">
        <f aca="false">IF(AND(K16="",L16=""),"",(IF(ISNUMBER(K16),$C$3*K16,0)+IF(ISNUMBER(L16),$E$3*L16,0))/(IF(ISNUMBER(K16),$C$3,0)+IF(ISNUMBER(L16),$E$3,0)))</f>
        <v>0.791593558700823</v>
      </c>
      <c r="N16" s="12"/>
      <c r="O16" s="7" t="n">
        <f aca="false">IF(N16&lt;&gt;"","",COUNTIFS($A$6:$A$338,A16,$N$6:$N$338,"",$M$6:$M$338,"&gt;"&amp;M16)+COUNTIFS($A$6:A16,A16,$N$6:N16,"",$M$6:M16,M16))</f>
        <v>5</v>
      </c>
      <c r="P16" s="12" t="str">
        <f aca="false">IF(O16="","Excluded",IF(O16&lt;=5,"Lead",IF(O16&lt;=10,"Next wave","Long list")))</f>
        <v>Lead</v>
      </c>
      <c r="Q16" s="10" t="s">
        <v>86</v>
      </c>
      <c r="R16" s="30" t="s">
        <v>299</v>
      </c>
    </row>
    <row r="17" customFormat="false" ht="23.85" hidden="false" customHeight="false" outlineLevel="0" collapsed="false">
      <c r="A17" s="12" t="s">
        <v>23</v>
      </c>
      <c r="B17" s="12" t="s">
        <v>145</v>
      </c>
      <c r="C17" s="10" t="s">
        <v>146</v>
      </c>
      <c r="D17" s="26" t="n">
        <v>343.8</v>
      </c>
      <c r="E17" s="11" t="n">
        <v>5178.3</v>
      </c>
      <c r="F17" s="10" t="s">
        <v>147</v>
      </c>
      <c r="G17" s="7" t="n">
        <v>1</v>
      </c>
      <c r="H17" s="12" t="s">
        <v>77</v>
      </c>
      <c r="I17" s="12" t="s">
        <v>84</v>
      </c>
      <c r="J17" s="10"/>
      <c r="K17" s="9" t="n">
        <f aca="false">IF(ISNUMBER(D17),COUNTIF($D$6:$D$338,"&lt;"&amp;D17)/(COUNT($D$6:$D$338)-1),"")</f>
        <v>0.902912621359223</v>
      </c>
      <c r="L17" s="9" t="n">
        <f aca="false">IF(ISNUMBER(E17),COUNTIF($E$6:$E$338,"&lt;"&amp;E17)/(COUNT($E$6:$E$338)-1),"")</f>
        <v>0.55421686746988</v>
      </c>
      <c r="M17" s="9" t="n">
        <f aca="false">IF(AND(K17="",L17=""),"",(IF(ISNUMBER(K17),$C$3*K17,0)+IF(ISNUMBER(L17),$E$3*L17,0))/(IF(ISNUMBER(K17),$C$3,0)+IF(ISNUMBER(L17),$E$3,0)))</f>
        <v>0.728564744414551</v>
      </c>
      <c r="N17" s="12"/>
      <c r="O17" s="7" t="n">
        <f aca="false">IF(N17&lt;&gt;"","",COUNTIFS($A$6:$A$338,A17,$N$6:$N$338,"",$M$6:$M$338,"&gt;"&amp;M17)+COUNTIFS($A$6:A17,A17,$N$6:N17,"",$M$6:M17,M17))</f>
        <v>6</v>
      </c>
      <c r="P17" s="12" t="str">
        <f aca="false">IF(O17="","Excluded",IF(O17&lt;=5,"Lead",IF(O17&lt;=10,"Next wave","Long list")))</f>
        <v>Next wave</v>
      </c>
      <c r="Q17" s="10" t="s">
        <v>102</v>
      </c>
      <c r="R17" s="30" t="s">
        <v>314</v>
      </c>
    </row>
    <row r="18" customFormat="false" ht="23.85" hidden="false" customHeight="false" outlineLevel="0" collapsed="false">
      <c r="A18" s="12" t="s">
        <v>23</v>
      </c>
      <c r="B18" s="12" t="s">
        <v>148</v>
      </c>
      <c r="C18" s="10" t="s">
        <v>149</v>
      </c>
      <c r="D18" s="26" t="n">
        <v>28.55</v>
      </c>
      <c r="E18" s="11" t="n">
        <v>53539.9</v>
      </c>
      <c r="F18" s="10" t="s">
        <v>150</v>
      </c>
      <c r="G18" s="7" t="n">
        <v>10</v>
      </c>
      <c r="H18" s="12" t="s">
        <v>77</v>
      </c>
      <c r="I18" s="12" t="s">
        <v>107</v>
      </c>
      <c r="J18" s="10" t="s">
        <v>151</v>
      </c>
      <c r="K18" s="9" t="n">
        <f aca="false">IF(ISNUMBER(D18),COUNTIF($D$6:$D$338,"&lt;"&amp;D18)/(COUNT($D$6:$D$338)-1),"")</f>
        <v>0.482200647249191</v>
      </c>
      <c r="L18" s="9" t="n">
        <f aca="false">IF(ISNUMBER(E18),COUNTIF($E$6:$E$338,"&lt;"&amp;E18)/(COUNT($E$6:$E$338)-1),"")</f>
        <v>0.921686746987952</v>
      </c>
      <c r="M18" s="9" t="n">
        <f aca="false">IF(AND(K18="",L18=""),"",(IF(ISNUMBER(K18),$C$3*K18,0)+IF(ISNUMBER(L18),$E$3*L18,0))/(IF(ISNUMBER(K18),$C$3,0)+IF(ISNUMBER(L18),$E$3,0)))</f>
        <v>0.701943697118571</v>
      </c>
      <c r="N18" s="12"/>
      <c r="O18" s="7" t="n">
        <f aca="false">IF(N18&lt;&gt;"","",COUNTIFS($A$6:$A$338,A18,$N$6:$N$338,"",$M$6:$M$338,"&gt;"&amp;M18)+COUNTIFS($A$6:A18,A18,$N$6:N18,"",$M$6:M18,M18))</f>
        <v>7</v>
      </c>
      <c r="P18" s="12" t="str">
        <f aca="false">IF(O18="","Excluded",IF(O18&lt;=5,"Lead",IF(O18&lt;=10,"Next wave","Long list")))</f>
        <v>Next wave</v>
      </c>
      <c r="Q18" s="10" t="s">
        <v>80</v>
      </c>
      <c r="R18" s="30" t="s">
        <v>315</v>
      </c>
    </row>
    <row r="19" customFormat="false" ht="35.05" hidden="false" customHeight="false" outlineLevel="0" collapsed="false">
      <c r="A19" s="12" t="s">
        <v>23</v>
      </c>
      <c r="B19" s="12" t="s">
        <v>125</v>
      </c>
      <c r="C19" s="10" t="s">
        <v>126</v>
      </c>
      <c r="D19" s="26" t="n">
        <v>234.04</v>
      </c>
      <c r="E19" s="11" t="n">
        <v>3871.2</v>
      </c>
      <c r="F19" s="10" t="s">
        <v>147</v>
      </c>
      <c r="G19" s="7" t="n">
        <v>1</v>
      </c>
      <c r="H19" s="12" t="s">
        <v>77</v>
      </c>
      <c r="I19" s="12" t="s">
        <v>84</v>
      </c>
      <c r="J19" s="10" t="s">
        <v>122</v>
      </c>
      <c r="K19" s="9" t="n">
        <f aca="false">IF(ISNUMBER(D19),COUNTIF($D$6:$D$338,"&lt;"&amp;D19)/(COUNT($D$6:$D$338)-1),"")</f>
        <v>0.86084142394822</v>
      </c>
      <c r="L19" s="9" t="n">
        <f aca="false">IF(ISNUMBER(E19),COUNTIF($E$6:$E$338,"&lt;"&amp;E19)/(COUNT($E$6:$E$338)-1),"")</f>
        <v>0.475903614457831</v>
      </c>
      <c r="M19" s="9" t="n">
        <f aca="false">IF(AND(K19="",L19=""),"",(IF(ISNUMBER(K19),$C$3*K19,0)+IF(ISNUMBER(L19),$E$3*L19,0))/(IF(ISNUMBER(K19),$C$3,0)+IF(ISNUMBER(L19),$E$3,0)))</f>
        <v>0.668372519203026</v>
      </c>
      <c r="N19" s="12"/>
      <c r="O19" s="7" t="n">
        <f aca="false">IF(N19&lt;&gt;"","",COUNTIFS($A$6:$A$338,A19,$N$6:$N$338,"",$M$6:$M$338,"&gt;"&amp;M19)+COUNTIFS($A$6:A19,A19,$N$6:N19,"",$M$6:M19,M19))</f>
        <v>8</v>
      </c>
      <c r="P19" s="12" t="str">
        <f aca="false">IF(O19="","Excluded",IF(O19&lt;=5,"Lead",IF(O19&lt;=10,"Next wave","Long list")))</f>
        <v>Next wave</v>
      </c>
      <c r="Q19" s="10" t="s">
        <v>80</v>
      </c>
      <c r="R19" s="30" t="s">
        <v>316</v>
      </c>
    </row>
    <row r="20" customFormat="false" ht="23.85" hidden="false" customHeight="false" outlineLevel="0" collapsed="false">
      <c r="A20" s="12" t="s">
        <v>23</v>
      </c>
      <c r="B20" s="12" t="s">
        <v>56</v>
      </c>
      <c r="C20" s="10" t="s">
        <v>152</v>
      </c>
      <c r="D20" s="26" t="n">
        <v>20.14</v>
      </c>
      <c r="E20" s="11" t="n">
        <v>58920.4</v>
      </c>
      <c r="F20" s="10" t="s">
        <v>153</v>
      </c>
      <c r="G20" s="7" t="n">
        <v>10</v>
      </c>
      <c r="H20" s="12" t="s">
        <v>77</v>
      </c>
      <c r="I20" s="12" t="s">
        <v>107</v>
      </c>
      <c r="J20" s="10" t="s">
        <v>154</v>
      </c>
      <c r="K20" s="9" t="n">
        <f aca="false">IF(ISNUMBER(D20),COUNTIF($D$6:$D$338,"&lt;"&amp;D20)/(COUNT($D$6:$D$338)-1),"")</f>
        <v>0.381877022653722</v>
      </c>
      <c r="L20" s="9" t="n">
        <f aca="false">IF(ISNUMBER(E20),COUNTIF($E$6:$E$338,"&lt;"&amp;E20)/(COUNT($E$6:$E$338)-1),"")</f>
        <v>0.936746987951807</v>
      </c>
      <c r="M20" s="9" t="n">
        <f aca="false">IF(AND(K20="",L20=""),"",(IF(ISNUMBER(K20),$C$3*K20,0)+IF(ISNUMBER(L20),$E$3*L20,0))/(IF(ISNUMBER(K20),$C$3,0)+IF(ISNUMBER(L20),$E$3,0)))</f>
        <v>0.659312005302765</v>
      </c>
      <c r="N20" s="12"/>
      <c r="O20" s="7" t="n">
        <f aca="false">IF(N20&lt;&gt;"","",COUNTIFS($A$6:$A$338,A20,$N$6:$N$338,"",$M$6:$M$338,"&gt;"&amp;M20)+COUNTIFS($A$6:A20,A20,$N$6:N20,"",$M$6:M20,M20))</f>
        <v>9</v>
      </c>
      <c r="P20" s="12" t="str">
        <f aca="false">IF(O20="","Excluded",IF(O20&lt;=5,"Lead",IF(O20&lt;=10,"Next wave","Long list")))</f>
        <v>Next wave</v>
      </c>
      <c r="Q20" s="10" t="s">
        <v>80</v>
      </c>
      <c r="R20" s="30" t="s">
        <v>317</v>
      </c>
    </row>
    <row r="21" customFormat="false" ht="35.05" hidden="false" customHeight="false" outlineLevel="0" collapsed="false">
      <c r="A21" s="12" t="s">
        <v>23</v>
      </c>
      <c r="B21" s="12" t="s">
        <v>120</v>
      </c>
      <c r="C21" s="10" t="s">
        <v>121</v>
      </c>
      <c r="D21" s="26" t="n">
        <v>16.84</v>
      </c>
      <c r="E21" s="11" t="n">
        <v>41503.2</v>
      </c>
      <c r="F21" s="10" t="s">
        <v>155</v>
      </c>
      <c r="G21" s="7" t="n">
        <v>6</v>
      </c>
      <c r="H21" s="12" t="s">
        <v>77</v>
      </c>
      <c r="I21" s="12" t="s">
        <v>84</v>
      </c>
      <c r="J21" s="10" t="s">
        <v>122</v>
      </c>
      <c r="K21" s="9" t="n">
        <f aca="false">IF(ISNUMBER(D21),COUNTIF($D$6:$D$338,"&lt;"&amp;D21)/(COUNT($D$6:$D$338)-1),"")</f>
        <v>0.349514563106796</v>
      </c>
      <c r="L21" s="9" t="n">
        <f aca="false">IF(ISNUMBER(E21),COUNTIF($E$6:$E$338,"&lt;"&amp;E21)/(COUNT($E$6:$E$338)-1),"")</f>
        <v>0.885542168674699</v>
      </c>
      <c r="M21" s="9" t="n">
        <f aca="false">IF(AND(K21="",L21=""),"",(IF(ISNUMBER(K21),$C$3*K21,0)+IF(ISNUMBER(L21),$E$3*L21,0))/(IF(ISNUMBER(K21),$C$3,0)+IF(ISNUMBER(L21),$E$3,0)))</f>
        <v>0.617528365890747</v>
      </c>
      <c r="N21" s="12"/>
      <c r="O21" s="7" t="n">
        <f aca="false">IF(N21&lt;&gt;"","",COUNTIFS($A$6:$A$338,A21,$N$6:$N$338,"",$M$6:$M$338,"&gt;"&amp;M21)+COUNTIFS($A$6:A21,A21,$N$6:N21,"",$M$6:M21,M21))</f>
        <v>10</v>
      </c>
      <c r="P21" s="12" t="str">
        <f aca="false">IF(O21="","Excluded",IF(O21&lt;=5,"Lead",IF(O21&lt;=10,"Next wave","Long list")))</f>
        <v>Next wave</v>
      </c>
      <c r="Q21" s="10" t="s">
        <v>80</v>
      </c>
      <c r="R21" s="30" t="s">
        <v>318</v>
      </c>
    </row>
    <row r="22" customFormat="false" ht="23.85" hidden="false" customHeight="false" outlineLevel="0" collapsed="false">
      <c r="A22" s="12" t="s">
        <v>23</v>
      </c>
      <c r="B22" s="12" t="s">
        <v>319</v>
      </c>
      <c r="C22" s="10" t="s">
        <v>320</v>
      </c>
      <c r="D22" s="26" t="n">
        <v>54.54</v>
      </c>
      <c r="E22" s="11" t="n">
        <v>5896.5</v>
      </c>
      <c r="F22" s="10" t="s">
        <v>147</v>
      </c>
      <c r="G22" s="7" t="n">
        <v>2</v>
      </c>
      <c r="H22" s="12" t="s">
        <v>321</v>
      </c>
      <c r="I22" s="12" t="s">
        <v>128</v>
      </c>
      <c r="J22" s="10"/>
      <c r="K22" s="9" t="n">
        <f aca="false">IF(ISNUMBER(D22),COUNTIF($D$6:$D$338,"&lt;"&amp;D22)/(COUNT($D$6:$D$338)-1),"")</f>
        <v>0.637540453074434</v>
      </c>
      <c r="L22" s="9" t="n">
        <f aca="false">IF(ISNUMBER(E22),COUNTIF($E$6:$E$338,"&lt;"&amp;E22)/(COUNT($E$6:$E$338)-1),"")</f>
        <v>0.581325301204819</v>
      </c>
      <c r="M22" s="9" t="n">
        <f aca="false">IF(AND(K22="",L22=""),"",(IF(ISNUMBER(K22),$C$3*K22,0)+IF(ISNUMBER(L22),$E$3*L22,0))/(IF(ISNUMBER(K22),$C$3,0)+IF(ISNUMBER(L22),$E$3,0)))</f>
        <v>0.609432877139627</v>
      </c>
      <c r="N22" s="12"/>
      <c r="O22" s="7" t="n">
        <f aca="false">IF(N22&lt;&gt;"","",COUNTIFS($A$6:$A$338,A22,$N$6:$N$338,"",$M$6:$M$338,"&gt;"&amp;M22)+COUNTIFS($A$6:A22,A22,$N$6:N22,"",$M$6:M22,M22))</f>
        <v>11</v>
      </c>
      <c r="P22" s="12" t="str">
        <f aca="false">IF(O22="","Excluded",IF(O22&lt;=5,"Lead",IF(O22&lt;=10,"Next wave","Long list")))</f>
        <v>Long list</v>
      </c>
      <c r="Q22" s="10" t="s">
        <v>102</v>
      </c>
      <c r="R22" s="30" t="s">
        <v>322</v>
      </c>
    </row>
    <row r="23" customFormat="false" ht="23.85" hidden="false" customHeight="false" outlineLevel="0" collapsed="false">
      <c r="A23" s="12" t="s">
        <v>23</v>
      </c>
      <c r="B23" s="12" t="s">
        <v>323</v>
      </c>
      <c r="C23" s="10" t="s">
        <v>324</v>
      </c>
      <c r="D23" s="26" t="n">
        <v>427.8</v>
      </c>
      <c r="E23" s="11" t="n">
        <v>2151.5</v>
      </c>
      <c r="F23" s="10" t="s">
        <v>147</v>
      </c>
      <c r="G23" s="7" t="n">
        <v>1</v>
      </c>
      <c r="H23" s="12" t="s">
        <v>77</v>
      </c>
      <c r="I23" s="12" t="s">
        <v>78</v>
      </c>
      <c r="J23" s="10" t="s">
        <v>162</v>
      </c>
      <c r="K23" s="9" t="n">
        <f aca="false">IF(ISNUMBER(D23),COUNTIF($D$6:$D$338,"&lt;"&amp;D23)/(COUNT($D$6:$D$338)-1),"")</f>
        <v>0.932038834951456</v>
      </c>
      <c r="L23" s="9" t="n">
        <f aca="false">IF(ISNUMBER(E23),COUNTIF($E$6:$E$338,"&lt;"&amp;E23)/(COUNT($E$6:$E$338)-1),"")</f>
        <v>0.280120481927711</v>
      </c>
      <c r="M23" s="9" t="n">
        <f aca="false">IF(AND(K23="",L23=""),"",(IF(ISNUMBER(K23),$C$3*K23,0)+IF(ISNUMBER(L23),$E$3*L23,0))/(IF(ISNUMBER(K23),$C$3,0)+IF(ISNUMBER(L23),$E$3,0)))</f>
        <v>0.606079658439584</v>
      </c>
      <c r="N23" s="12"/>
      <c r="O23" s="7" t="n">
        <f aca="false">IF(N23&lt;&gt;"","",COUNTIFS($A$6:$A$338,A23,$N$6:$N$338,"",$M$6:$M$338,"&gt;"&amp;M23)+COUNTIFS($A$6:A23,A23,$N$6:N23,"",$M$6:M23,M23))</f>
        <v>12</v>
      </c>
      <c r="P23" s="12" t="str">
        <f aca="false">IF(O23="","Excluded",IF(O23&lt;=5,"Lead",IF(O23&lt;=10,"Next wave","Long list")))</f>
        <v>Long list</v>
      </c>
      <c r="Q23" s="10" t="s">
        <v>102</v>
      </c>
      <c r="R23" s="30" t="s">
        <v>325</v>
      </c>
    </row>
    <row r="24" customFormat="false" ht="23.85" hidden="false" customHeight="false" outlineLevel="0" collapsed="false">
      <c r="A24" s="12" t="s">
        <v>23</v>
      </c>
      <c r="B24" s="12" t="s">
        <v>326</v>
      </c>
      <c r="C24" s="10" t="s">
        <v>327</v>
      </c>
      <c r="D24" s="26" t="n">
        <v>139.81</v>
      </c>
      <c r="E24" s="11" t="n">
        <v>2812.8</v>
      </c>
      <c r="F24" s="10" t="s">
        <v>328</v>
      </c>
      <c r="G24" s="7" t="n">
        <v>6</v>
      </c>
      <c r="H24" s="12" t="s">
        <v>321</v>
      </c>
      <c r="I24" s="12" t="s">
        <v>128</v>
      </c>
      <c r="J24" s="10"/>
      <c r="K24" s="9" t="n">
        <f aca="false">IF(ISNUMBER(D24),COUNTIF($D$6:$D$338,"&lt;"&amp;D24)/(COUNT($D$6:$D$338)-1),"")</f>
        <v>0.809061488673139</v>
      </c>
      <c r="L24" s="9" t="n">
        <f aca="false">IF(ISNUMBER(E24),COUNTIF($E$6:$E$338,"&lt;"&amp;E24)/(COUNT($E$6:$E$338)-1),"")</f>
        <v>0.367469879518072</v>
      </c>
      <c r="M24" s="9" t="n">
        <f aca="false">IF(AND(K24="",L24=""),"",(IF(ISNUMBER(K24),$C$3*K24,0)+IF(ISNUMBER(L24),$E$3*L24,0))/(IF(ISNUMBER(K24),$C$3,0)+IF(ISNUMBER(L24),$E$3,0)))</f>
        <v>0.588265684095606</v>
      </c>
      <c r="N24" s="12"/>
      <c r="O24" s="7" t="n">
        <f aca="false">IF(N24&lt;&gt;"","",COUNTIFS($A$6:$A$338,A24,$N$6:$N$338,"",$M$6:$M$338,"&gt;"&amp;M24)+COUNTIFS($A$6:A24,A24,$N$6:N24,"",$M$6:M24,M24))</f>
        <v>13</v>
      </c>
      <c r="P24" s="12" t="str">
        <f aca="false">IF(O24="","Excluded",IF(O24&lt;=5,"Lead",IF(O24&lt;=10,"Next wave","Long list")))</f>
        <v>Long list</v>
      </c>
      <c r="Q24" s="10" t="s">
        <v>102</v>
      </c>
      <c r="R24" s="30" t="s">
        <v>329</v>
      </c>
    </row>
    <row r="25" customFormat="false" ht="35.05" hidden="false" customHeight="false" outlineLevel="0" collapsed="false">
      <c r="A25" s="12" t="s">
        <v>23</v>
      </c>
      <c r="B25" s="12" t="s">
        <v>129</v>
      </c>
      <c r="C25" s="10" t="s">
        <v>130</v>
      </c>
      <c r="D25" s="26" t="n">
        <v>95.2</v>
      </c>
      <c r="E25" s="11" t="n">
        <v>2886</v>
      </c>
      <c r="F25" s="10" t="s">
        <v>330</v>
      </c>
      <c r="G25" s="7" t="n">
        <v>3</v>
      </c>
      <c r="H25" s="12" t="s">
        <v>77</v>
      </c>
      <c r="I25" s="12" t="s">
        <v>78</v>
      </c>
      <c r="J25" s="10" t="s">
        <v>132</v>
      </c>
      <c r="K25" s="9" t="n">
        <f aca="false">IF(ISNUMBER(D25),COUNTIF($D$6:$D$338,"&lt;"&amp;D25)/(COUNT($D$6:$D$338)-1),"")</f>
        <v>0.770226537216828</v>
      </c>
      <c r="L25" s="9" t="n">
        <f aca="false">IF(ISNUMBER(E25),COUNTIF($E$6:$E$338,"&lt;"&amp;E25)/(COUNT($E$6:$E$338)-1),"")</f>
        <v>0.373493975903614</v>
      </c>
      <c r="M25" s="9" t="n">
        <f aca="false">IF(AND(K25="",L25=""),"",(IF(ISNUMBER(K25),$C$3*K25,0)+IF(ISNUMBER(L25),$E$3*L25,0))/(IF(ISNUMBER(K25),$C$3,0)+IF(ISNUMBER(L25),$E$3,0)))</f>
        <v>0.571860256560221</v>
      </c>
      <c r="N25" s="12"/>
      <c r="O25" s="7" t="n">
        <f aca="false">IF(N25&lt;&gt;"","",COUNTIFS($A$6:$A$338,A25,$N$6:$N$338,"",$M$6:$M$338,"&gt;"&amp;M25)+COUNTIFS($A$6:A25,A25,$N$6:N25,"",$M$6:M25,M25))</f>
        <v>14</v>
      </c>
      <c r="P25" s="12" t="str">
        <f aca="false">IF(O25="","Excluded",IF(O25&lt;=5,"Lead",IF(O25&lt;=10,"Next wave","Long list")))</f>
        <v>Long list</v>
      </c>
      <c r="Q25" s="10" t="s">
        <v>80</v>
      </c>
      <c r="R25" s="30" t="s">
        <v>331</v>
      </c>
    </row>
    <row r="26" customFormat="false" ht="23.85" hidden="false" customHeight="false" outlineLevel="0" collapsed="false">
      <c r="A26" s="12" t="s">
        <v>23</v>
      </c>
      <c r="B26" s="12" t="s">
        <v>332</v>
      </c>
      <c r="C26" s="10" t="s">
        <v>333</v>
      </c>
      <c r="D26" s="26" t="n">
        <v>64.93</v>
      </c>
      <c r="E26" s="11" t="n">
        <v>3562.5</v>
      </c>
      <c r="F26" s="10" t="s">
        <v>198</v>
      </c>
      <c r="G26" s="7" t="n">
        <v>1</v>
      </c>
      <c r="H26" s="12" t="s">
        <v>77</v>
      </c>
      <c r="I26" s="12" t="s">
        <v>128</v>
      </c>
      <c r="J26" s="10"/>
      <c r="K26" s="9" t="n">
        <f aca="false">IF(ISNUMBER(D26),COUNTIF($D$6:$D$338,"&lt;"&amp;D26)/(COUNT($D$6:$D$338)-1),"")</f>
        <v>0.689320388349515</v>
      </c>
      <c r="L26" s="9" t="n">
        <f aca="false">IF(ISNUMBER(E26),COUNTIF($E$6:$E$338,"&lt;"&amp;E26)/(COUNT($E$6:$E$338)-1),"")</f>
        <v>0.451807228915663</v>
      </c>
      <c r="M26" s="9" t="n">
        <f aca="false">IF(AND(K26="",L26=""),"",(IF(ISNUMBER(K26),$C$3*K26,0)+IF(ISNUMBER(L26),$E$3*L26,0))/(IF(ISNUMBER(K26),$C$3,0)+IF(ISNUMBER(L26),$E$3,0)))</f>
        <v>0.570563808632589</v>
      </c>
      <c r="N26" s="12"/>
      <c r="O26" s="7" t="n">
        <f aca="false">IF(N26&lt;&gt;"","",COUNTIFS($A$6:$A$338,A26,$N$6:$N$338,"",$M$6:$M$338,"&gt;"&amp;M26)+COUNTIFS($A$6:A26,A26,$N$6:N26,"",$M$6:M26,M26))</f>
        <v>15</v>
      </c>
      <c r="P26" s="12" t="str">
        <f aca="false">IF(O26="","Excluded",IF(O26&lt;=5,"Lead",IF(O26&lt;=10,"Next wave","Long list")))</f>
        <v>Long list</v>
      </c>
      <c r="Q26" s="10" t="s">
        <v>102</v>
      </c>
      <c r="R26" s="30" t="s">
        <v>334</v>
      </c>
    </row>
    <row r="27" customFormat="false" ht="23.85" hidden="false" customHeight="false" outlineLevel="0" collapsed="false">
      <c r="A27" s="12" t="s">
        <v>23</v>
      </c>
      <c r="B27" s="12" t="s">
        <v>335</v>
      </c>
      <c r="C27" s="10" t="s">
        <v>336</v>
      </c>
      <c r="D27" s="26" t="n">
        <v>91.73</v>
      </c>
      <c r="E27" s="11" t="n">
        <v>2770.2</v>
      </c>
      <c r="F27" s="10" t="s">
        <v>337</v>
      </c>
      <c r="G27" s="7" t="n">
        <v>4</v>
      </c>
      <c r="H27" s="12" t="s">
        <v>77</v>
      </c>
      <c r="I27" s="12" t="s">
        <v>128</v>
      </c>
      <c r="J27" s="10" t="s">
        <v>101</v>
      </c>
      <c r="K27" s="9" t="n">
        <f aca="false">IF(ISNUMBER(D27),COUNTIF($D$6:$D$338,"&lt;"&amp;D27)/(COUNT($D$6:$D$338)-1),"")</f>
        <v>0.754045307443366</v>
      </c>
      <c r="L27" s="9" t="n">
        <f aca="false">IF(ISNUMBER(E27),COUNTIF($E$6:$E$338,"&lt;"&amp;E27)/(COUNT($E$6:$E$338)-1),"")</f>
        <v>0.346385542168675</v>
      </c>
      <c r="M27" s="9" t="n">
        <f aca="false">IF(AND(K27="",L27=""),"",(IF(ISNUMBER(K27),$C$3*K27,0)+IF(ISNUMBER(L27),$E$3*L27,0))/(IF(ISNUMBER(K27),$C$3,0)+IF(ISNUMBER(L27),$E$3,0)))</f>
        <v>0.55021542480602</v>
      </c>
      <c r="N27" s="12"/>
      <c r="O27" s="7" t="n">
        <f aca="false">IF(N27&lt;&gt;"","",COUNTIFS($A$6:$A$338,A27,$N$6:$N$338,"",$M$6:$M$338,"&gt;"&amp;M27)+COUNTIFS($A$6:A27,A27,$N$6:N27,"",$M$6:M27,M27))</f>
        <v>16</v>
      </c>
      <c r="P27" s="12" t="str">
        <f aca="false">IF(O27="","Excluded",IF(O27&lt;=5,"Lead",IF(O27&lt;=10,"Next wave","Long list")))</f>
        <v>Long list</v>
      </c>
      <c r="Q27" s="10" t="s">
        <v>102</v>
      </c>
      <c r="R27" s="30" t="s">
        <v>338</v>
      </c>
    </row>
    <row r="28" customFormat="false" ht="23.85" hidden="false" customHeight="false" outlineLevel="0" collapsed="false">
      <c r="A28" s="12" t="s">
        <v>23</v>
      </c>
      <c r="B28" s="12" t="s">
        <v>223</v>
      </c>
      <c r="C28" s="10" t="s">
        <v>224</v>
      </c>
      <c r="D28" s="26" t="n">
        <v>54.55</v>
      </c>
      <c r="E28" s="11" t="n">
        <v>3407.5</v>
      </c>
      <c r="F28" s="10" t="s">
        <v>147</v>
      </c>
      <c r="G28" s="7" t="n">
        <v>1</v>
      </c>
      <c r="H28" s="12" t="s">
        <v>77</v>
      </c>
      <c r="I28" s="12" t="s">
        <v>84</v>
      </c>
      <c r="J28" s="10"/>
      <c r="K28" s="9" t="n">
        <f aca="false">IF(ISNUMBER(D28),COUNTIF($D$6:$D$338,"&lt;"&amp;D28)/(COUNT($D$6:$D$338)-1),"")</f>
        <v>0.640776699029126</v>
      </c>
      <c r="L28" s="9" t="n">
        <f aca="false">IF(ISNUMBER(E28),COUNTIF($E$6:$E$338,"&lt;"&amp;E28)/(COUNT($E$6:$E$338)-1),"")</f>
        <v>0.436746987951807</v>
      </c>
      <c r="M28" s="9" t="n">
        <f aca="false">IF(AND(K28="",L28=""),"",(IF(ISNUMBER(K28),$C$3*K28,0)+IF(ISNUMBER(L28),$E$3*L28,0))/(IF(ISNUMBER(K28),$C$3,0)+IF(ISNUMBER(L28),$E$3,0)))</f>
        <v>0.538761843490467</v>
      </c>
      <c r="N28" s="12"/>
      <c r="O28" s="7" t="n">
        <f aca="false">IF(N28&lt;&gt;"","",COUNTIFS($A$6:$A$338,A28,$N$6:$N$338,"",$M$6:$M$338,"&gt;"&amp;M28)+COUNTIFS($A$6:A28,A28,$N$6:N28,"",$M$6:M28,M28))</f>
        <v>17</v>
      </c>
      <c r="P28" s="12" t="str">
        <f aca="false">IF(O28="","Excluded",IF(O28&lt;=5,"Lead",IF(O28&lt;=10,"Next wave","Long list")))</f>
        <v>Long list</v>
      </c>
      <c r="Q28" s="10" t="s">
        <v>102</v>
      </c>
      <c r="R28" s="30" t="s">
        <v>339</v>
      </c>
    </row>
    <row r="29" customFormat="false" ht="23.85" hidden="false" customHeight="false" outlineLevel="0" collapsed="false">
      <c r="A29" s="12" t="s">
        <v>23</v>
      </c>
      <c r="B29" s="12" t="s">
        <v>340</v>
      </c>
      <c r="C29" s="10" t="s">
        <v>341</v>
      </c>
      <c r="D29" s="26" t="n">
        <v>13.53</v>
      </c>
      <c r="E29" s="11" t="n">
        <v>22518.6</v>
      </c>
      <c r="F29" s="10" t="s">
        <v>123</v>
      </c>
      <c r="G29" s="7" t="n">
        <v>7</v>
      </c>
      <c r="H29" s="12" t="s">
        <v>172</v>
      </c>
      <c r="I29" s="12" t="s">
        <v>84</v>
      </c>
      <c r="J29" s="10"/>
      <c r="K29" s="9" t="n">
        <f aca="false">IF(ISNUMBER(D29),COUNTIF($D$6:$D$338,"&lt;"&amp;D29)/(COUNT($D$6:$D$338)-1),"")</f>
        <v>0.29126213592233</v>
      </c>
      <c r="L29" s="9" t="n">
        <f aca="false">IF(ISNUMBER(E29),COUNTIF($E$6:$E$338,"&lt;"&amp;E29)/(COUNT($E$6:$E$338)-1),"")</f>
        <v>0.786144578313253</v>
      </c>
      <c r="M29" s="9" t="n">
        <f aca="false">IF(AND(K29="",L29=""),"",(IF(ISNUMBER(K29),$C$3*K29,0)+IF(ISNUMBER(L29),$E$3*L29,0))/(IF(ISNUMBER(K29),$C$3,0)+IF(ISNUMBER(L29),$E$3,0)))</f>
        <v>0.538703357117792</v>
      </c>
      <c r="N29" s="12"/>
      <c r="O29" s="7" t="n">
        <f aca="false">IF(N29&lt;&gt;"","",COUNTIFS($A$6:$A$338,A29,$N$6:$N$338,"",$M$6:$M$338,"&gt;"&amp;M29)+COUNTIFS($A$6:A29,A29,$N$6:N29,"",$M$6:M29,M29))</f>
        <v>18</v>
      </c>
      <c r="P29" s="12" t="str">
        <f aca="false">IF(O29="","Excluded",IF(O29&lt;=5,"Lead",IF(O29&lt;=10,"Next wave","Long list")))</f>
        <v>Long list</v>
      </c>
      <c r="Q29" s="10" t="s">
        <v>102</v>
      </c>
      <c r="R29" s="30" t="s">
        <v>342</v>
      </c>
    </row>
    <row r="30" customFormat="false" ht="23.85" hidden="false" customHeight="false" outlineLevel="0" collapsed="false">
      <c r="A30" s="12" t="s">
        <v>23</v>
      </c>
      <c r="B30" s="12" t="s">
        <v>191</v>
      </c>
      <c r="C30" s="10" t="s">
        <v>192</v>
      </c>
      <c r="D30" s="26" t="n">
        <v>20.63</v>
      </c>
      <c r="E30" s="11" t="n">
        <v>6893.7</v>
      </c>
      <c r="F30" s="10" t="s">
        <v>147</v>
      </c>
      <c r="G30" s="7" t="n">
        <v>1</v>
      </c>
      <c r="H30" s="12" t="s">
        <v>77</v>
      </c>
      <c r="I30" s="12" t="s">
        <v>84</v>
      </c>
      <c r="J30" s="10" t="s">
        <v>163</v>
      </c>
      <c r="K30" s="9" t="n">
        <f aca="false">IF(ISNUMBER(D30),COUNTIF($D$6:$D$338,"&lt;"&amp;D30)/(COUNT($D$6:$D$338)-1),"")</f>
        <v>0.391585760517799</v>
      </c>
      <c r="L30" s="9" t="n">
        <f aca="false">IF(ISNUMBER(E30),COUNTIF($E$6:$E$338,"&lt;"&amp;E30)/(COUNT($E$6:$E$338)-1),"")</f>
        <v>0.632530120481928</v>
      </c>
      <c r="M30" s="9" t="n">
        <f aca="false">IF(AND(K30="",L30=""),"",(IF(ISNUMBER(K30),$C$3*K30,0)+IF(ISNUMBER(L30),$E$3*L30,0))/(IF(ISNUMBER(K30),$C$3,0)+IF(ISNUMBER(L30),$E$3,0)))</f>
        <v>0.512057940499864</v>
      </c>
      <c r="N30" s="12"/>
      <c r="O30" s="7" t="n">
        <f aca="false">IF(N30&lt;&gt;"","",COUNTIFS($A$6:$A$338,A30,$N$6:$N$338,"",$M$6:$M$338,"&gt;"&amp;M30)+COUNTIFS($A$6:A30,A30,$N$6:N30,"",$M$6:M30,M30))</f>
        <v>19</v>
      </c>
      <c r="P30" s="12" t="str">
        <f aca="false">IF(O30="","Excluded",IF(O30&lt;=5,"Lead",IF(O30&lt;=10,"Next wave","Long list")))</f>
        <v>Long list</v>
      </c>
      <c r="Q30" s="10" t="s">
        <v>80</v>
      </c>
      <c r="R30" s="30" t="s">
        <v>343</v>
      </c>
    </row>
    <row r="31" customFormat="false" ht="23.85" hidden="false" customHeight="false" outlineLevel="0" collapsed="false">
      <c r="A31" s="12" t="s">
        <v>23</v>
      </c>
      <c r="B31" s="12" t="s">
        <v>205</v>
      </c>
      <c r="C31" s="10" t="s">
        <v>206</v>
      </c>
      <c r="D31" s="26" t="n">
        <v>5.6</v>
      </c>
      <c r="E31" s="11" t="n">
        <v>93119.2</v>
      </c>
      <c r="F31" s="10" t="s">
        <v>143</v>
      </c>
      <c r="G31" s="7" t="n">
        <v>4</v>
      </c>
      <c r="H31" s="12" t="s">
        <v>196</v>
      </c>
      <c r="I31" s="12" t="s">
        <v>84</v>
      </c>
      <c r="J31" s="10" t="s">
        <v>175</v>
      </c>
      <c r="K31" s="9" t="n">
        <f aca="false">IF(ISNUMBER(D31),COUNTIF($D$6:$D$338,"&lt;"&amp;D31)/(COUNT($D$6:$D$338)-1),"")</f>
        <v>0.0420711974110032</v>
      </c>
      <c r="L31" s="9" t="n">
        <f aca="false">IF(ISNUMBER(E31),COUNTIF($E$6:$E$338,"&lt;"&amp;E31)/(COUNT($E$6:$E$338)-1),"")</f>
        <v>0.981927710843374</v>
      </c>
      <c r="M31" s="9" t="n">
        <f aca="false">IF(AND(K31="",L31=""),"",(IF(ISNUMBER(K31),$C$3*K31,0)+IF(ISNUMBER(L31),$E$3*L31,0))/(IF(ISNUMBER(K31),$C$3,0)+IF(ISNUMBER(L31),$E$3,0)))</f>
        <v>0.511999454127188</v>
      </c>
      <c r="N31" s="12"/>
      <c r="O31" s="7" t="n">
        <f aca="false">IF(N31&lt;&gt;"","",COUNTIFS($A$6:$A$338,A31,$N$6:$N$338,"",$M$6:$M$338,"&gt;"&amp;M31)+COUNTIFS($A$6:A31,A31,$N$6:N31,"",$M$6:M31,M31))</f>
        <v>20</v>
      </c>
      <c r="P31" s="12" t="str">
        <f aca="false">IF(O31="","Excluded",IF(O31&lt;=5,"Lead",IF(O31&lt;=10,"Next wave","Long list")))</f>
        <v>Long list</v>
      </c>
      <c r="Q31" s="10" t="s">
        <v>80</v>
      </c>
      <c r="R31" s="30" t="s">
        <v>344</v>
      </c>
    </row>
    <row r="32" customFormat="false" ht="23.85" hidden="false" customHeight="false" outlineLevel="0" collapsed="false">
      <c r="A32" s="12" t="s">
        <v>23</v>
      </c>
      <c r="B32" s="12" t="s">
        <v>345</v>
      </c>
      <c r="C32" s="10" t="s">
        <v>346</v>
      </c>
      <c r="D32" s="26" t="n">
        <v>90.4</v>
      </c>
      <c r="E32" s="11" t="n">
        <v>2127.3</v>
      </c>
      <c r="F32" s="10" t="s">
        <v>147</v>
      </c>
      <c r="G32" s="7" t="n">
        <v>1</v>
      </c>
      <c r="H32" s="12" t="s">
        <v>77</v>
      </c>
      <c r="I32" s="12" t="s">
        <v>128</v>
      </c>
      <c r="J32" s="10"/>
      <c r="K32" s="9" t="n">
        <f aca="false">IF(ISNUMBER(D32),COUNTIF($D$6:$D$338,"&lt;"&amp;D32)/(COUNT($D$6:$D$338)-1),"")</f>
        <v>0.747572815533981</v>
      </c>
      <c r="L32" s="9" t="n">
        <f aca="false">IF(ISNUMBER(E32),COUNTIF($E$6:$E$338,"&lt;"&amp;E32)/(COUNT($E$6:$E$338)-1),"")</f>
        <v>0.274096385542169</v>
      </c>
      <c r="M32" s="9" t="n">
        <f aca="false">IF(AND(K32="",L32=""),"",(IF(ISNUMBER(K32),$C$3*K32,0)+IF(ISNUMBER(L32),$E$3*L32,0))/(IF(ISNUMBER(K32),$C$3,0)+IF(ISNUMBER(L32),$E$3,0)))</f>
        <v>0.510834600538075</v>
      </c>
      <c r="N32" s="12"/>
      <c r="O32" s="7" t="n">
        <f aca="false">IF(N32&lt;&gt;"","",COUNTIFS($A$6:$A$338,A32,$N$6:$N$338,"",$M$6:$M$338,"&gt;"&amp;M32)+COUNTIFS($A$6:A32,A32,$N$6:N32,"",$M$6:M32,M32))</f>
        <v>21</v>
      </c>
      <c r="P32" s="12" t="str">
        <f aca="false">IF(O32="","Excluded",IF(O32&lt;=5,"Lead",IF(O32&lt;=10,"Next wave","Long list")))</f>
        <v>Long list</v>
      </c>
      <c r="Q32" s="10" t="s">
        <v>102</v>
      </c>
      <c r="R32" s="30" t="s">
        <v>347</v>
      </c>
    </row>
    <row r="33" customFormat="false" ht="23.85" hidden="false" customHeight="false" outlineLevel="0" collapsed="false">
      <c r="A33" s="12" t="s">
        <v>23</v>
      </c>
      <c r="B33" s="12" t="s">
        <v>348</v>
      </c>
      <c r="C33" s="10" t="s">
        <v>349</v>
      </c>
      <c r="D33" s="26" t="n">
        <v>7.79</v>
      </c>
      <c r="E33" s="11" t="n">
        <v>35129.8</v>
      </c>
      <c r="F33" s="10" t="s">
        <v>350</v>
      </c>
      <c r="G33" s="7" t="n">
        <v>2</v>
      </c>
      <c r="H33" s="12" t="s">
        <v>77</v>
      </c>
      <c r="I33" s="12" t="s">
        <v>128</v>
      </c>
      <c r="J33" s="10"/>
      <c r="K33" s="9" t="n">
        <f aca="false">IF(ISNUMBER(D33),COUNTIF($D$6:$D$338,"&lt;"&amp;D33)/(COUNT($D$6:$D$338)-1),"")</f>
        <v>0.15210355987055</v>
      </c>
      <c r="L33" s="9" t="n">
        <f aca="false">IF(ISNUMBER(E33),COUNTIF($E$6:$E$338,"&lt;"&amp;E33)/(COUNT($E$6:$E$338)-1),"")</f>
        <v>0.864457831325301</v>
      </c>
      <c r="M33" s="9" t="n">
        <f aca="false">IF(AND(K33="",L33=""),"",(IF(ISNUMBER(K33),$C$3*K33,0)+IF(ISNUMBER(L33),$E$3*L33,0))/(IF(ISNUMBER(K33),$C$3,0)+IF(ISNUMBER(L33),$E$3,0)))</f>
        <v>0.508280695597926</v>
      </c>
      <c r="N33" s="12"/>
      <c r="O33" s="7" t="n">
        <f aca="false">IF(N33&lt;&gt;"","",COUNTIFS($A$6:$A$338,A33,$N$6:$N$338,"",$M$6:$M$338,"&gt;"&amp;M33)+COUNTIFS($A$6:A33,A33,$N$6:N33,"",$M$6:M33,M33))</f>
        <v>22</v>
      </c>
      <c r="P33" s="12" t="str">
        <f aca="false">IF(O33="","Excluded",IF(O33&lt;=5,"Lead",IF(O33&lt;=10,"Next wave","Long list")))</f>
        <v>Long list</v>
      </c>
      <c r="Q33" s="10" t="s">
        <v>102</v>
      </c>
      <c r="R33" s="30" t="s">
        <v>351</v>
      </c>
    </row>
    <row r="34" customFormat="false" ht="23.85" hidden="false" customHeight="false" outlineLevel="0" collapsed="false">
      <c r="A34" s="12" t="s">
        <v>23</v>
      </c>
      <c r="B34" s="12" t="s">
        <v>179</v>
      </c>
      <c r="C34" s="10" t="s">
        <v>180</v>
      </c>
      <c r="D34" s="26" t="n">
        <v>7.7</v>
      </c>
      <c r="E34" s="11" t="n">
        <v>35276.7</v>
      </c>
      <c r="F34" s="10" t="s">
        <v>131</v>
      </c>
      <c r="G34" s="7" t="n">
        <v>11</v>
      </c>
      <c r="H34" s="12" t="s">
        <v>77</v>
      </c>
      <c r="I34" s="12" t="s">
        <v>84</v>
      </c>
      <c r="J34" s="10" t="s">
        <v>168</v>
      </c>
      <c r="K34" s="9" t="n">
        <f aca="false">IF(ISNUMBER(D34),COUNTIF($D$6:$D$338,"&lt;"&amp;D34)/(COUNT($D$6:$D$338)-1),"")</f>
        <v>0.145631067961165</v>
      </c>
      <c r="L34" s="9" t="n">
        <f aca="false">IF(ISNUMBER(E34),COUNTIF($E$6:$E$338,"&lt;"&amp;E34)/(COUNT($E$6:$E$338)-1),"")</f>
        <v>0.870481927710843</v>
      </c>
      <c r="M34" s="9" t="n">
        <f aca="false">IF(AND(K34="",L34=""),"",(IF(ISNUMBER(K34),$C$3*K34,0)+IF(ISNUMBER(L34),$E$3*L34,0))/(IF(ISNUMBER(K34),$C$3,0)+IF(ISNUMBER(L34),$E$3,0)))</f>
        <v>0.508056497836004</v>
      </c>
      <c r="N34" s="12"/>
      <c r="O34" s="7" t="n">
        <f aca="false">IF(N34&lt;&gt;"","",COUNTIFS($A$6:$A$338,A34,$N$6:$N$338,"",$M$6:$M$338,"&gt;"&amp;M34)+COUNTIFS($A$6:A34,A34,$N$6:N34,"",$M$6:M34,M34))</f>
        <v>23</v>
      </c>
      <c r="P34" s="12" t="str">
        <f aca="false">IF(O34="","Excluded",IF(O34&lt;=5,"Lead",IF(O34&lt;=10,"Next wave","Long list")))</f>
        <v>Long list</v>
      </c>
      <c r="Q34" s="10" t="s">
        <v>80</v>
      </c>
      <c r="R34" s="30" t="s">
        <v>352</v>
      </c>
    </row>
    <row r="35" customFormat="false" ht="23.85" hidden="false" customHeight="false" outlineLevel="0" collapsed="false">
      <c r="A35" s="12" t="s">
        <v>23</v>
      </c>
      <c r="B35" s="12" t="s">
        <v>353</v>
      </c>
      <c r="C35" s="10" t="s">
        <v>354</v>
      </c>
      <c r="D35" s="26" t="n">
        <v>161.8</v>
      </c>
      <c r="E35" s="11" t="n">
        <v>755</v>
      </c>
      <c r="F35" s="10" t="s">
        <v>147</v>
      </c>
      <c r="G35" s="7" t="n">
        <v>1</v>
      </c>
      <c r="H35" s="12" t="s">
        <v>77</v>
      </c>
      <c r="I35" s="12" t="s">
        <v>128</v>
      </c>
      <c r="J35" s="10"/>
      <c r="K35" s="9" t="n">
        <f aca="false">IF(ISNUMBER(D35),COUNTIF($D$6:$D$338,"&lt;"&amp;D35)/(COUNT($D$6:$D$338)-1),"")</f>
        <v>0.825242718446602</v>
      </c>
      <c r="L35" s="9" t="n">
        <f aca="false">IF(ISNUMBER(E35),COUNTIF($E$6:$E$338,"&lt;"&amp;E35)/(COUNT($E$6:$E$338)-1),"")</f>
        <v>0.135542168674699</v>
      </c>
      <c r="M35" s="9" t="n">
        <f aca="false">IF(AND(K35="",L35=""),"",(IF(ISNUMBER(K35),$C$3*K35,0)+IF(ISNUMBER(L35),$E$3*L35,0))/(IF(ISNUMBER(K35),$C$3,0)+IF(ISNUMBER(L35),$E$3,0)))</f>
        <v>0.48039244356065</v>
      </c>
      <c r="N35" s="12"/>
      <c r="O35" s="7" t="n">
        <f aca="false">IF(N35&lt;&gt;"","",COUNTIFS($A$6:$A$338,A35,$N$6:$N$338,"",$M$6:$M$338,"&gt;"&amp;M35)+COUNTIFS($A$6:A35,A35,$N$6:N35,"",$M$6:M35,M35))</f>
        <v>24</v>
      </c>
      <c r="P35" s="12" t="str">
        <f aca="false">IF(O35="","Excluded",IF(O35&lt;=5,"Lead",IF(O35&lt;=10,"Next wave","Long list")))</f>
        <v>Long list</v>
      </c>
      <c r="Q35" s="10" t="s">
        <v>102</v>
      </c>
      <c r="R35" s="30" t="s">
        <v>355</v>
      </c>
    </row>
    <row r="36" customFormat="false" ht="23.85" hidden="false" customHeight="false" outlineLevel="0" collapsed="false">
      <c r="A36" s="12" t="s">
        <v>23</v>
      </c>
      <c r="B36" s="12" t="s">
        <v>166</v>
      </c>
      <c r="C36" s="10" t="s">
        <v>167</v>
      </c>
      <c r="D36" s="26" t="n">
        <v>30.01</v>
      </c>
      <c r="E36" s="11" t="n">
        <v>3625.3</v>
      </c>
      <c r="F36" s="10" t="s">
        <v>147</v>
      </c>
      <c r="G36" s="7" t="n">
        <v>1</v>
      </c>
      <c r="H36" s="12" t="s">
        <v>77</v>
      </c>
      <c r="I36" s="12" t="s">
        <v>84</v>
      </c>
      <c r="J36" s="10" t="s">
        <v>168</v>
      </c>
      <c r="K36" s="9" t="n">
        <f aca="false">IF(ISNUMBER(D36),COUNTIF($D$6:$D$338,"&lt;"&amp;D36)/(COUNT($D$6:$D$338)-1),"")</f>
        <v>0.501618122977346</v>
      </c>
      <c r="L36" s="9" t="n">
        <f aca="false">IF(ISNUMBER(E36),COUNTIF($E$6:$E$338,"&lt;"&amp;E36)/(COUNT($E$6:$E$338)-1),"")</f>
        <v>0.454819277108434</v>
      </c>
      <c r="M36" s="9" t="n">
        <f aca="false">IF(AND(K36="",L36=""),"",(IF(ISNUMBER(K36),$C$3*K36,0)+IF(ISNUMBER(L36),$E$3*L36,0))/(IF(ISNUMBER(K36),$C$3,0)+IF(ISNUMBER(L36),$E$3,0)))</f>
        <v>0.47821870004289</v>
      </c>
      <c r="N36" s="12"/>
      <c r="O36" s="7" t="n">
        <f aca="false">IF(N36&lt;&gt;"","",COUNTIFS($A$6:$A$338,A36,$N$6:$N$338,"",$M$6:$M$338,"&gt;"&amp;M36)+COUNTIFS($A$6:A36,A36,$N$6:N36,"",$M$6:M36,M36))</f>
        <v>25</v>
      </c>
      <c r="P36" s="12" t="str">
        <f aca="false">IF(O36="","Excluded",IF(O36&lt;=5,"Lead",IF(O36&lt;=10,"Next wave","Long list")))</f>
        <v>Long list</v>
      </c>
      <c r="Q36" s="10" t="s">
        <v>80</v>
      </c>
      <c r="R36" s="30" t="s">
        <v>304</v>
      </c>
    </row>
    <row r="37" customFormat="false" ht="23.85" hidden="false" customHeight="false" outlineLevel="0" collapsed="false">
      <c r="A37" s="12" t="s">
        <v>23</v>
      </c>
      <c r="B37" s="12" t="s">
        <v>216</v>
      </c>
      <c r="C37" s="10" t="s">
        <v>217</v>
      </c>
      <c r="D37" s="26" t="n">
        <v>9.82</v>
      </c>
      <c r="E37" s="11" t="n">
        <v>17590.5</v>
      </c>
      <c r="F37" s="10" t="s">
        <v>356</v>
      </c>
      <c r="G37" s="7" t="n">
        <v>10</v>
      </c>
      <c r="H37" s="12" t="s">
        <v>172</v>
      </c>
      <c r="I37" s="12" t="s">
        <v>84</v>
      </c>
      <c r="J37" s="10" t="s">
        <v>168</v>
      </c>
      <c r="K37" s="9" t="n">
        <f aca="false">IF(ISNUMBER(D37),COUNTIF($D$6:$D$338,"&lt;"&amp;D37)/(COUNT($D$6:$D$338)-1),"")</f>
        <v>0.207119741100324</v>
      </c>
      <c r="L37" s="9" t="n">
        <f aca="false">IF(ISNUMBER(E37),COUNTIF($E$6:$E$338,"&lt;"&amp;E37)/(COUNT($E$6:$E$338)-1),"")</f>
        <v>0.746987951807229</v>
      </c>
      <c r="M37" s="9" t="n">
        <f aca="false">IF(AND(K37="",L37=""),"",(IF(ISNUMBER(K37),$C$3*K37,0)+IF(ISNUMBER(L37),$E$3*L37,0))/(IF(ISNUMBER(K37),$C$3,0)+IF(ISNUMBER(L37),$E$3,0)))</f>
        <v>0.477053846453776</v>
      </c>
      <c r="N37" s="12"/>
      <c r="O37" s="7" t="n">
        <f aca="false">IF(N37&lt;&gt;"","",COUNTIFS($A$6:$A$338,A37,$N$6:$N$338,"",$M$6:$M$338,"&gt;"&amp;M37)+COUNTIFS($A$6:A37,A37,$N$6:N37,"",$M$6:M37,M37))</f>
        <v>26</v>
      </c>
      <c r="P37" s="12" t="str">
        <f aca="false">IF(O37="","Excluded",IF(O37&lt;=5,"Lead",IF(O37&lt;=10,"Next wave","Long list")))</f>
        <v>Long list</v>
      </c>
      <c r="Q37" s="10" t="s">
        <v>80</v>
      </c>
      <c r="R37" s="30" t="s">
        <v>357</v>
      </c>
    </row>
    <row r="38" customFormat="false" ht="35.05" hidden="false" customHeight="false" outlineLevel="0" collapsed="false">
      <c r="A38" s="12" t="s">
        <v>23</v>
      </c>
      <c r="B38" s="12" t="s">
        <v>283</v>
      </c>
      <c r="C38" s="10" t="s">
        <v>284</v>
      </c>
      <c r="D38" s="26" t="n">
        <v>9.81</v>
      </c>
      <c r="E38" s="11" t="n">
        <v>13045.6</v>
      </c>
      <c r="F38" s="10" t="s">
        <v>147</v>
      </c>
      <c r="G38" s="7" t="n">
        <v>1</v>
      </c>
      <c r="H38" s="12" t="s">
        <v>77</v>
      </c>
      <c r="I38" s="12" t="s">
        <v>84</v>
      </c>
      <c r="J38" s="10" t="s">
        <v>122</v>
      </c>
      <c r="K38" s="9" t="n">
        <f aca="false">IF(ISNUMBER(D38),COUNTIF($D$6:$D$338,"&lt;"&amp;D38)/(COUNT($D$6:$D$338)-1),"")</f>
        <v>0.203883495145631</v>
      </c>
      <c r="L38" s="9" t="n">
        <f aca="false">IF(ISNUMBER(E38),COUNTIF($E$6:$E$338,"&lt;"&amp;E38)/(COUNT($E$6:$E$338)-1),"")</f>
        <v>0.719879518072289</v>
      </c>
      <c r="M38" s="9" t="n">
        <f aca="false">IF(AND(K38="",L38=""),"",(IF(ISNUMBER(K38),$C$3*K38,0)+IF(ISNUMBER(L38),$E$3*L38,0))/(IF(ISNUMBER(K38),$C$3,0)+IF(ISNUMBER(L38),$E$3,0)))</f>
        <v>0.46188150660896</v>
      </c>
      <c r="N38" s="12"/>
      <c r="O38" s="7" t="n">
        <f aca="false">IF(N38&lt;&gt;"","",COUNTIFS($A$6:$A$338,A38,$N$6:$N$338,"",$M$6:$M$338,"&gt;"&amp;M38)+COUNTIFS($A$6:A38,A38,$N$6:N38,"",$M$6:M38,M38))</f>
        <v>27</v>
      </c>
      <c r="P38" s="12" t="str">
        <f aca="false">IF(O38="","Excluded",IF(O38&lt;=5,"Lead",IF(O38&lt;=10,"Next wave","Long list")))</f>
        <v>Long list</v>
      </c>
      <c r="Q38" s="10" t="s">
        <v>80</v>
      </c>
      <c r="R38" s="30" t="s">
        <v>300</v>
      </c>
    </row>
    <row r="39" customFormat="false" ht="23.85" hidden="false" customHeight="false" outlineLevel="0" collapsed="false">
      <c r="A39" s="12" t="s">
        <v>23</v>
      </c>
      <c r="B39" s="12" t="s">
        <v>358</v>
      </c>
      <c r="C39" s="10" t="s">
        <v>359</v>
      </c>
      <c r="D39" s="26" t="n">
        <v>125</v>
      </c>
      <c r="E39" s="11" t="n">
        <v>517.1</v>
      </c>
      <c r="F39" s="10" t="s">
        <v>147</v>
      </c>
      <c r="G39" s="7" t="n">
        <v>1</v>
      </c>
      <c r="H39" s="12" t="s">
        <v>83</v>
      </c>
      <c r="I39" s="12" t="s">
        <v>84</v>
      </c>
      <c r="J39" s="10" t="s">
        <v>287</v>
      </c>
      <c r="K39" s="9" t="n">
        <f aca="false">IF(ISNUMBER(D39),COUNTIF($D$6:$D$338,"&lt;"&amp;D39)/(COUNT($D$6:$D$338)-1),"")</f>
        <v>0.792880258899676</v>
      </c>
      <c r="L39" s="9" t="n">
        <f aca="false">IF(ISNUMBER(E39),COUNTIF($E$6:$E$338,"&lt;"&amp;E39)/(COUNT($E$6:$E$338)-1),"")</f>
        <v>0.108433734939759</v>
      </c>
      <c r="M39" s="9" t="n">
        <f aca="false">IF(AND(K39="",L39=""),"",(IF(ISNUMBER(K39),$C$3*K39,0)+IF(ISNUMBER(L39),$E$3*L39,0))/(IF(ISNUMBER(K39),$C$3,0)+IF(ISNUMBER(L39),$E$3,0)))</f>
        <v>0.450656996919718</v>
      </c>
      <c r="N39" s="12"/>
      <c r="O39" s="7" t="n">
        <f aca="false">IF(N39&lt;&gt;"","",COUNTIFS($A$6:$A$338,A39,$N$6:$N$338,"",$M$6:$M$338,"&gt;"&amp;M39)+COUNTIFS($A$6:A39,A39,$N$6:N39,"",$M$6:M39,M39))</f>
        <v>28</v>
      </c>
      <c r="P39" s="12" t="str">
        <f aca="false">IF(O39="","Excluded",IF(O39&lt;=5,"Lead",IF(O39&lt;=10,"Next wave","Long list")))</f>
        <v>Long list</v>
      </c>
      <c r="Q39" s="10" t="s">
        <v>86</v>
      </c>
      <c r="R39" s="30" t="s">
        <v>360</v>
      </c>
    </row>
    <row r="40" customFormat="false" ht="23.85" hidden="false" customHeight="false" outlineLevel="0" collapsed="false">
      <c r="A40" s="12" t="s">
        <v>23</v>
      </c>
      <c r="B40" s="12" t="s">
        <v>361</v>
      </c>
      <c r="C40" s="10" t="s">
        <v>362</v>
      </c>
      <c r="D40" s="26" t="n">
        <v>35.26</v>
      </c>
      <c r="E40" s="11" t="n">
        <v>2690.1</v>
      </c>
      <c r="F40" s="10" t="s">
        <v>147</v>
      </c>
      <c r="G40" s="7" t="n">
        <v>1</v>
      </c>
      <c r="H40" s="12" t="s">
        <v>90</v>
      </c>
      <c r="I40" s="12" t="s">
        <v>84</v>
      </c>
      <c r="J40" s="10"/>
      <c r="K40" s="9" t="n">
        <f aca="false">IF(ISNUMBER(D40),COUNTIF($D$6:$D$338,"&lt;"&amp;D40)/(COUNT($D$6:$D$338)-1),"")</f>
        <v>0.55663430420712</v>
      </c>
      <c r="L40" s="9" t="n">
        <f aca="false">IF(ISNUMBER(E40),COUNTIF($E$6:$E$338,"&lt;"&amp;E40)/(COUNT($E$6:$E$338)-1),"")</f>
        <v>0.340361445783133</v>
      </c>
      <c r="M40" s="9" t="n">
        <f aca="false">IF(AND(K40="",L40=""),"",(IF(ISNUMBER(K40),$C$3*K40,0)+IF(ISNUMBER(L40),$E$3*L40,0))/(IF(ISNUMBER(K40),$C$3,0)+IF(ISNUMBER(L40),$E$3,0)))</f>
        <v>0.448497874995126</v>
      </c>
      <c r="N40" s="12"/>
      <c r="O40" s="7" t="n">
        <f aca="false">IF(N40&lt;&gt;"","",COUNTIFS($A$6:$A$338,A40,$N$6:$N$338,"",$M$6:$M$338,"&gt;"&amp;M40)+COUNTIFS($A$6:A40,A40,$N$6:N40,"",$M$6:M40,M40))</f>
        <v>29</v>
      </c>
      <c r="P40" s="12" t="str">
        <f aca="false">IF(O40="","Excluded",IF(O40&lt;=5,"Lead",IF(O40&lt;=10,"Next wave","Long list")))</f>
        <v>Long list</v>
      </c>
      <c r="Q40" s="10" t="s">
        <v>102</v>
      </c>
      <c r="R40" s="30" t="s">
        <v>363</v>
      </c>
    </row>
    <row r="41" customFormat="false" ht="23.85" hidden="false" customHeight="false" outlineLevel="0" collapsed="false">
      <c r="A41" s="12" t="s">
        <v>23</v>
      </c>
      <c r="B41" s="12" t="s">
        <v>364</v>
      </c>
      <c r="C41" s="10" t="s">
        <v>365</v>
      </c>
      <c r="D41" s="26" t="n">
        <v>8.84</v>
      </c>
      <c r="E41" s="11" t="n">
        <v>8072.6</v>
      </c>
      <c r="F41" s="10" t="s">
        <v>147</v>
      </c>
      <c r="G41" s="7" t="n">
        <v>1</v>
      </c>
      <c r="H41" s="12" t="s">
        <v>77</v>
      </c>
      <c r="I41" s="12" t="s">
        <v>84</v>
      </c>
      <c r="J41" s="10"/>
      <c r="K41" s="9" t="n">
        <f aca="false">IF(ISNUMBER(D41),COUNTIF($D$6:$D$338,"&lt;"&amp;D41)/(COUNT($D$6:$D$338)-1),"")</f>
        <v>0.174757281553398</v>
      </c>
      <c r="L41" s="9" t="n">
        <f aca="false">IF(ISNUMBER(E41),COUNTIF($E$6:$E$338,"&lt;"&amp;E41)/(COUNT($E$6:$E$338)-1),"")</f>
        <v>0.671686746987952</v>
      </c>
      <c r="M41" s="9" t="n">
        <f aca="false">IF(AND(K41="",L41=""),"",(IF(ISNUMBER(K41),$C$3*K41,0)+IF(ISNUMBER(L41),$E$3*L41,0))/(IF(ISNUMBER(K41),$C$3,0)+IF(ISNUMBER(L41),$E$3,0)))</f>
        <v>0.423222014270675</v>
      </c>
      <c r="N41" s="12"/>
      <c r="O41" s="7" t="n">
        <f aca="false">IF(N41&lt;&gt;"","",COUNTIFS($A$6:$A$338,A41,$N$6:$N$338,"",$M$6:$M$338,"&gt;"&amp;M41)+COUNTIFS($A$6:A41,A41,$N$6:N41,"",$M$6:M41,M41))</f>
        <v>30</v>
      </c>
      <c r="P41" s="12" t="str">
        <f aca="false">IF(O41="","Excluded",IF(O41&lt;=5,"Lead",IF(O41&lt;=10,"Next wave","Long list")))</f>
        <v>Long list</v>
      </c>
      <c r="Q41" s="10" t="s">
        <v>102</v>
      </c>
      <c r="R41" s="30" t="s">
        <v>366</v>
      </c>
    </row>
    <row r="42" customFormat="false" ht="23.85" hidden="false" customHeight="false" outlineLevel="0" collapsed="false">
      <c r="A42" s="12" t="s">
        <v>23</v>
      </c>
      <c r="B42" s="12" t="s">
        <v>367</v>
      </c>
      <c r="C42" s="10" t="s">
        <v>368</v>
      </c>
      <c r="D42" s="26" t="n">
        <v>51.32</v>
      </c>
      <c r="E42" s="11" t="n">
        <v>1437.9</v>
      </c>
      <c r="F42" s="10" t="s">
        <v>369</v>
      </c>
      <c r="G42" s="7" t="n">
        <v>2</v>
      </c>
      <c r="H42" s="12" t="s">
        <v>90</v>
      </c>
      <c r="I42" s="12" t="s">
        <v>84</v>
      </c>
      <c r="J42" s="10" t="s">
        <v>163</v>
      </c>
      <c r="K42" s="9" t="n">
        <f aca="false">IF(ISNUMBER(D42),COUNTIF($D$6:$D$338,"&lt;"&amp;D42)/(COUNT($D$6:$D$338)-1),"")</f>
        <v>0.624595469255663</v>
      </c>
      <c r="L42" s="9" t="n">
        <f aca="false">IF(ISNUMBER(E42),COUNTIF($E$6:$E$338,"&lt;"&amp;E42)/(COUNT($E$6:$E$338)-1),"")</f>
        <v>0.207831325301205</v>
      </c>
      <c r="M42" s="9" t="n">
        <f aca="false">IF(AND(K42="",L42=""),"",(IF(ISNUMBER(K42),$C$3*K42,0)+IF(ISNUMBER(L42),$E$3*L42,0))/(IF(ISNUMBER(K42),$C$3,0)+IF(ISNUMBER(L42),$E$3,0)))</f>
        <v>0.416213397278434</v>
      </c>
      <c r="N42" s="12"/>
      <c r="O42" s="7" t="n">
        <f aca="false">IF(N42&lt;&gt;"","",COUNTIFS($A$6:$A$338,A42,$N$6:$N$338,"",$M$6:$M$338,"&gt;"&amp;M42)+COUNTIFS($A$6:A42,A42,$N$6:N42,"",$M$6:M42,M42))</f>
        <v>31</v>
      </c>
      <c r="P42" s="12" t="str">
        <f aca="false">IF(O42="","Excluded",IF(O42&lt;=5,"Lead",IF(O42&lt;=10,"Next wave","Long list")))</f>
        <v>Long list</v>
      </c>
      <c r="Q42" s="10" t="s">
        <v>80</v>
      </c>
      <c r="R42" s="30" t="s">
        <v>370</v>
      </c>
    </row>
    <row r="43" customFormat="false" ht="23.85" hidden="false" customHeight="false" outlineLevel="0" collapsed="false">
      <c r="A43" s="12" t="s">
        <v>23</v>
      </c>
      <c r="B43" s="12" t="s">
        <v>277</v>
      </c>
      <c r="C43" s="10" t="s">
        <v>278</v>
      </c>
      <c r="D43" s="26" t="n">
        <v>5.15</v>
      </c>
      <c r="E43" s="11" t="n">
        <v>16359.3</v>
      </c>
      <c r="F43" s="10" t="s">
        <v>371</v>
      </c>
      <c r="G43" s="7" t="n">
        <v>6</v>
      </c>
      <c r="H43" s="12" t="s">
        <v>196</v>
      </c>
      <c r="I43" s="12" t="s">
        <v>84</v>
      </c>
      <c r="J43" s="10"/>
      <c r="K43" s="9" t="n">
        <f aca="false">IF(ISNUMBER(D43),COUNTIF($D$6:$D$338,"&lt;"&amp;D43)/(COUNT($D$6:$D$338)-1),"")</f>
        <v>0.00647249190938511</v>
      </c>
      <c r="L43" s="9" t="n">
        <f aca="false">IF(ISNUMBER(E43),COUNTIF($E$6:$E$338,"&lt;"&amp;E43)/(COUNT($E$6:$E$338)-1),"")</f>
        <v>0.740963855421687</v>
      </c>
      <c r="M43" s="9" t="n">
        <f aca="false">IF(AND(K43="",L43=""),"",(IF(ISNUMBER(K43),$C$3*K43,0)+IF(ISNUMBER(L43),$E$3*L43,0))/(IF(ISNUMBER(K43),$C$3,0)+IF(ISNUMBER(L43),$E$3,0)))</f>
        <v>0.373718173665536</v>
      </c>
      <c r="N43" s="12"/>
      <c r="O43" s="7" t="n">
        <f aca="false">IF(N43&lt;&gt;"","",COUNTIFS($A$6:$A$338,A43,$N$6:$N$338,"",$M$6:$M$338,"&gt;"&amp;M43)+COUNTIFS($A$6:A43,A43,$N$6:N43,"",$M$6:M43,M43))</f>
        <v>32</v>
      </c>
      <c r="P43" s="12" t="str">
        <f aca="false">IF(O43="","Excluded",IF(O43&lt;=5,"Lead",IF(O43&lt;=10,"Next wave","Long list")))</f>
        <v>Long list</v>
      </c>
      <c r="Q43" s="10" t="s">
        <v>102</v>
      </c>
      <c r="R43" s="30" t="s">
        <v>372</v>
      </c>
    </row>
    <row r="44" customFormat="false" ht="23.85" hidden="false" customHeight="false" outlineLevel="0" collapsed="false">
      <c r="A44" s="12" t="s">
        <v>23</v>
      </c>
      <c r="B44" s="12" t="s">
        <v>373</v>
      </c>
      <c r="C44" s="10" t="s">
        <v>374</v>
      </c>
      <c r="D44" s="26" t="n">
        <v>9.84</v>
      </c>
      <c r="E44" s="11" t="n">
        <v>4745.9</v>
      </c>
      <c r="F44" s="10" t="s">
        <v>147</v>
      </c>
      <c r="G44" s="7" t="n">
        <v>1</v>
      </c>
      <c r="H44" s="12" t="s">
        <v>77</v>
      </c>
      <c r="I44" s="12" t="s">
        <v>78</v>
      </c>
      <c r="J44" s="10" t="s">
        <v>142</v>
      </c>
      <c r="K44" s="9" t="n">
        <f aca="false">IF(ISNUMBER(D44),COUNTIF($D$6:$D$338,"&lt;"&amp;D44)/(COUNT($D$6:$D$338)-1),"")</f>
        <v>0.213592233009709</v>
      </c>
      <c r="L44" s="9" t="n">
        <f aca="false">IF(ISNUMBER(E44),COUNTIF($E$6:$E$338,"&lt;"&amp;E44)/(COUNT($E$6:$E$338)-1),"")</f>
        <v>0.530120481927711</v>
      </c>
      <c r="M44" s="9" t="n">
        <f aca="false">IF(AND(K44="",L44=""),"",(IF(ISNUMBER(K44),$C$3*K44,0)+IF(ISNUMBER(L44),$E$3*L44,0))/(IF(ISNUMBER(K44),$C$3,0)+IF(ISNUMBER(L44),$E$3,0)))</f>
        <v>0.37185635746871</v>
      </c>
      <c r="N44" s="12"/>
      <c r="O44" s="7" t="n">
        <f aca="false">IF(N44&lt;&gt;"","",COUNTIFS($A$6:$A$338,A44,$N$6:$N$338,"",$M$6:$M$338,"&gt;"&amp;M44)+COUNTIFS($A$6:A44,A44,$N$6:N44,"",$M$6:M44,M44))</f>
        <v>33</v>
      </c>
      <c r="P44" s="12" t="str">
        <f aca="false">IF(O44="","Excluded",IF(O44&lt;=5,"Lead",IF(O44&lt;=10,"Next wave","Long list")))</f>
        <v>Long list</v>
      </c>
      <c r="Q44" s="10" t="s">
        <v>102</v>
      </c>
      <c r="R44" s="30" t="s">
        <v>375</v>
      </c>
    </row>
    <row r="45" customFormat="false" ht="23.85" hidden="false" customHeight="false" outlineLevel="0" collapsed="false">
      <c r="A45" s="12" t="s">
        <v>23</v>
      </c>
      <c r="B45" s="12" t="s">
        <v>211</v>
      </c>
      <c r="C45" s="10" t="s">
        <v>212</v>
      </c>
      <c r="D45" s="26" t="n">
        <v>8.5</v>
      </c>
      <c r="E45" s="11" t="n">
        <v>5713.6</v>
      </c>
      <c r="F45" s="10" t="s">
        <v>232</v>
      </c>
      <c r="G45" s="7" t="n">
        <v>1</v>
      </c>
      <c r="H45" s="12" t="s">
        <v>77</v>
      </c>
      <c r="I45" s="12" t="s">
        <v>78</v>
      </c>
      <c r="J45" s="10" t="s">
        <v>213</v>
      </c>
      <c r="K45" s="9" t="n">
        <f aca="false">IF(ISNUMBER(D45),COUNTIF($D$6:$D$338,"&lt;"&amp;D45)/(COUNT($D$6:$D$338)-1),"")</f>
        <v>0.168284789644013</v>
      </c>
      <c r="L45" s="9" t="n">
        <f aca="false">IF(ISNUMBER(E45),COUNTIF($E$6:$E$338,"&lt;"&amp;E45)/(COUNT($E$6:$E$338)-1),"")</f>
        <v>0.569277108433735</v>
      </c>
      <c r="M45" s="9" t="n">
        <f aca="false">IF(AND(K45="",L45=""),"",(IF(ISNUMBER(K45),$C$3*K45,0)+IF(ISNUMBER(L45),$E$3*L45,0))/(IF(ISNUMBER(K45),$C$3,0)+IF(ISNUMBER(L45),$E$3,0)))</f>
        <v>0.368780949038874</v>
      </c>
      <c r="N45" s="12"/>
      <c r="O45" s="7" t="n">
        <f aca="false">IF(N45&lt;&gt;"","",COUNTIFS($A$6:$A$338,A45,$N$6:$N$338,"",$M$6:$M$338,"&gt;"&amp;M45)+COUNTIFS($A$6:A45,A45,$N$6:N45,"",$M$6:M45,M45))</f>
        <v>34</v>
      </c>
      <c r="P45" s="12" t="str">
        <f aca="false">IF(O45="","Excluded",IF(O45&lt;=5,"Lead",IF(O45&lt;=10,"Next wave","Long list")))</f>
        <v>Long list</v>
      </c>
      <c r="Q45" s="10" t="s">
        <v>80</v>
      </c>
      <c r="R45" s="30" t="s">
        <v>376</v>
      </c>
    </row>
    <row r="46" customFormat="false" ht="23.85" hidden="false" customHeight="false" outlineLevel="0" collapsed="false">
      <c r="A46" s="12" t="s">
        <v>23</v>
      </c>
      <c r="B46" s="12" t="s">
        <v>377</v>
      </c>
      <c r="C46" s="10" t="s">
        <v>378</v>
      </c>
      <c r="D46" s="26" t="n">
        <v>36.17</v>
      </c>
      <c r="E46" s="11" t="n">
        <v>1202.2</v>
      </c>
      <c r="F46" s="10" t="s">
        <v>147</v>
      </c>
      <c r="G46" s="7" t="n">
        <v>1</v>
      </c>
      <c r="H46" s="12" t="s">
        <v>77</v>
      </c>
      <c r="I46" s="12" t="s">
        <v>84</v>
      </c>
      <c r="J46" s="10"/>
      <c r="K46" s="9" t="n">
        <f aca="false">IF(ISNUMBER(D46),COUNTIF($D$6:$D$338,"&lt;"&amp;D46)/(COUNT($D$6:$D$338)-1),"")</f>
        <v>0.563106796116505</v>
      </c>
      <c r="L46" s="9" t="n">
        <f aca="false">IF(ISNUMBER(E46),COUNTIF($E$6:$E$338,"&lt;"&amp;E46)/(COUNT($E$6:$E$338)-1),"")</f>
        <v>0.171686746987952</v>
      </c>
      <c r="M46" s="9" t="n">
        <f aca="false">IF(AND(K46="",L46=""),"",(IF(ISNUMBER(K46),$C$3*K46,0)+IF(ISNUMBER(L46),$E$3*L46,0))/(IF(ISNUMBER(K46),$C$3,0)+IF(ISNUMBER(L46),$E$3,0)))</f>
        <v>0.367396771552228</v>
      </c>
      <c r="N46" s="12"/>
      <c r="O46" s="7" t="n">
        <f aca="false">IF(N46&lt;&gt;"","",COUNTIFS($A$6:$A$338,A46,$N$6:$N$338,"",$M$6:$M$338,"&gt;"&amp;M46)+COUNTIFS($A$6:A46,A46,$N$6:N46,"",$M$6:M46,M46))</f>
        <v>35</v>
      </c>
      <c r="P46" s="12" t="str">
        <f aca="false">IF(O46="","Excluded",IF(O46&lt;=5,"Lead",IF(O46&lt;=10,"Next wave","Long list")))</f>
        <v>Long list</v>
      </c>
      <c r="Q46" s="10" t="s">
        <v>102</v>
      </c>
      <c r="R46" s="30" t="s">
        <v>379</v>
      </c>
    </row>
    <row r="47" customFormat="false" ht="23.85" hidden="false" customHeight="false" outlineLevel="0" collapsed="false">
      <c r="A47" s="12" t="s">
        <v>23</v>
      </c>
      <c r="B47" s="12" t="s">
        <v>380</v>
      </c>
      <c r="C47" s="10" t="s">
        <v>381</v>
      </c>
      <c r="D47" s="26" t="n">
        <v>22.25</v>
      </c>
      <c r="E47" s="11" t="n">
        <v>2441.2</v>
      </c>
      <c r="F47" s="10" t="s">
        <v>147</v>
      </c>
      <c r="G47" s="7" t="n">
        <v>1</v>
      </c>
      <c r="H47" s="12" t="s">
        <v>77</v>
      </c>
      <c r="I47" s="12" t="s">
        <v>84</v>
      </c>
      <c r="J47" s="10"/>
      <c r="K47" s="9" t="n">
        <f aca="false">IF(ISNUMBER(D47),COUNTIF($D$6:$D$338,"&lt;"&amp;D47)/(COUNT($D$6:$D$338)-1),"")</f>
        <v>0.40453074433657</v>
      </c>
      <c r="L47" s="9" t="n">
        <f aca="false">IF(ISNUMBER(E47),COUNTIF($E$6:$E$338,"&lt;"&amp;E47)/(COUNT($E$6:$E$338)-1),"")</f>
        <v>0.289156626506024</v>
      </c>
      <c r="M47" s="9" t="n">
        <f aca="false">IF(AND(K47="",L47=""),"",(IF(ISNUMBER(K47),$C$3*K47,0)+IF(ISNUMBER(L47),$E$3*L47,0))/(IF(ISNUMBER(K47),$C$3,0)+IF(ISNUMBER(L47),$E$3,0)))</f>
        <v>0.346843685421297</v>
      </c>
      <c r="N47" s="12"/>
      <c r="O47" s="7" t="n">
        <f aca="false">IF(N47&lt;&gt;"","",COUNTIFS($A$6:$A$338,A47,$N$6:$N$338,"",$M$6:$M$338,"&gt;"&amp;M47)+COUNTIFS($A$6:A47,A47,$N$6:N47,"",$M$6:M47,M47))</f>
        <v>36</v>
      </c>
      <c r="P47" s="12" t="str">
        <f aca="false">IF(O47="","Excluded",IF(O47&lt;=5,"Lead",IF(O47&lt;=10,"Next wave","Long list")))</f>
        <v>Long list</v>
      </c>
      <c r="Q47" s="10" t="s">
        <v>102</v>
      </c>
      <c r="R47" s="30" t="s">
        <v>382</v>
      </c>
    </row>
    <row r="48" customFormat="false" ht="23.85" hidden="false" customHeight="false" outlineLevel="0" collapsed="false">
      <c r="A48" s="12" t="s">
        <v>23</v>
      </c>
      <c r="B48" s="12" t="s">
        <v>383</v>
      </c>
      <c r="C48" s="10" t="s">
        <v>384</v>
      </c>
      <c r="D48" s="26" t="n">
        <v>7.95</v>
      </c>
      <c r="E48" s="11" t="n">
        <v>3923.6</v>
      </c>
      <c r="F48" s="10" t="s">
        <v>147</v>
      </c>
      <c r="G48" s="7" t="n">
        <v>1</v>
      </c>
      <c r="H48" s="12" t="s">
        <v>77</v>
      </c>
      <c r="I48" s="12" t="s">
        <v>95</v>
      </c>
      <c r="J48" s="10"/>
      <c r="K48" s="9" t="n">
        <f aca="false">IF(ISNUMBER(D48),COUNTIF($D$6:$D$338,"&lt;"&amp;D48)/(COUNT($D$6:$D$338)-1),"")</f>
        <v>0.158576051779935</v>
      </c>
      <c r="L48" s="9" t="n">
        <f aca="false">IF(ISNUMBER(E48),COUNTIF($E$6:$E$338,"&lt;"&amp;E48)/(COUNT($E$6:$E$338)-1),"")</f>
        <v>0.487951807228916</v>
      </c>
      <c r="M48" s="9" t="n">
        <f aca="false">IF(AND(K48="",L48=""),"",(IF(ISNUMBER(K48),$C$3*K48,0)+IF(ISNUMBER(L48),$E$3*L48,0))/(IF(ISNUMBER(K48),$C$3,0)+IF(ISNUMBER(L48),$E$3,0)))</f>
        <v>0.323263929504426</v>
      </c>
      <c r="N48" s="12"/>
      <c r="O48" s="7" t="n">
        <f aca="false">IF(N48&lt;&gt;"","",COUNTIFS($A$6:$A$338,A48,$N$6:$N$338,"",$M$6:$M$338,"&gt;"&amp;M48)+COUNTIFS($A$6:A48,A48,$N$6:N48,"",$M$6:M48,M48))</f>
        <v>37</v>
      </c>
      <c r="P48" s="12" t="str">
        <f aca="false">IF(O48="","Excluded",IF(O48&lt;=5,"Lead",IF(O48&lt;=10,"Next wave","Long list")))</f>
        <v>Long list</v>
      </c>
      <c r="Q48" s="10" t="s">
        <v>102</v>
      </c>
      <c r="R48" s="30" t="s">
        <v>385</v>
      </c>
    </row>
    <row r="49" customFormat="false" ht="23.85" hidden="false" customHeight="false" outlineLevel="0" collapsed="false">
      <c r="A49" s="12" t="s">
        <v>23</v>
      </c>
      <c r="B49" s="12" t="s">
        <v>256</v>
      </c>
      <c r="C49" s="10" t="s">
        <v>257</v>
      </c>
      <c r="D49" s="26" t="n">
        <v>13.63</v>
      </c>
      <c r="E49" s="11" t="n">
        <v>2476.9</v>
      </c>
      <c r="F49" s="10" t="s">
        <v>147</v>
      </c>
      <c r="G49" s="7" t="n">
        <v>1</v>
      </c>
      <c r="H49" s="12" t="s">
        <v>77</v>
      </c>
      <c r="I49" s="12" t="s">
        <v>84</v>
      </c>
      <c r="J49" s="10" t="s">
        <v>178</v>
      </c>
      <c r="K49" s="9" t="n">
        <f aca="false">IF(ISNUMBER(D49),COUNTIF($D$6:$D$338,"&lt;"&amp;D49)/(COUNT($D$6:$D$338)-1),"")</f>
        <v>0.297734627831715</v>
      </c>
      <c r="L49" s="9" t="n">
        <f aca="false">IF(ISNUMBER(E49),COUNTIF($E$6:$E$338,"&lt;"&amp;E49)/(COUNT($E$6:$E$338)-1),"")</f>
        <v>0.295180722891566</v>
      </c>
      <c r="M49" s="9" t="n">
        <f aca="false">IF(AND(K49="",L49=""),"",(IF(ISNUMBER(K49),$C$3*K49,0)+IF(ISNUMBER(L49),$E$3*L49,0))/(IF(ISNUMBER(K49),$C$3,0)+IF(ISNUMBER(L49),$E$3,0)))</f>
        <v>0.296457675361641</v>
      </c>
      <c r="N49" s="12"/>
      <c r="O49" s="7" t="n">
        <f aca="false">IF(N49&lt;&gt;"","",COUNTIFS($A$6:$A$338,A49,$N$6:$N$338,"",$M$6:$M$338,"&gt;"&amp;M49)+COUNTIFS($A$6:A49,A49,$N$6:N49,"",$M$6:M49,M49))</f>
        <v>38</v>
      </c>
      <c r="P49" s="12" t="str">
        <f aca="false">IF(O49="","Excluded",IF(O49&lt;=5,"Lead",IF(O49&lt;=10,"Next wave","Long list")))</f>
        <v>Long list</v>
      </c>
      <c r="Q49" s="10" t="s">
        <v>80</v>
      </c>
      <c r="R49" s="30" t="s">
        <v>386</v>
      </c>
    </row>
    <row r="50" customFormat="false" ht="23.85" hidden="false" customHeight="false" outlineLevel="0" collapsed="false">
      <c r="A50" s="12" t="s">
        <v>23</v>
      </c>
      <c r="B50" s="12" t="s">
        <v>387</v>
      </c>
      <c r="C50" s="10" t="s">
        <v>388</v>
      </c>
      <c r="D50" s="26" t="n">
        <v>5.68</v>
      </c>
      <c r="E50" s="11" t="n">
        <v>4878</v>
      </c>
      <c r="F50" s="10" t="s">
        <v>147</v>
      </c>
      <c r="G50" s="7" t="n">
        <v>1</v>
      </c>
      <c r="H50" s="12" t="s">
        <v>77</v>
      </c>
      <c r="I50" s="12" t="s">
        <v>128</v>
      </c>
      <c r="J50" s="10" t="s">
        <v>101</v>
      </c>
      <c r="K50" s="9" t="n">
        <f aca="false">IF(ISNUMBER(D50),COUNTIF($D$6:$D$338,"&lt;"&amp;D50)/(COUNT($D$6:$D$338)-1),"")</f>
        <v>0.0453074433656958</v>
      </c>
      <c r="L50" s="9" t="n">
        <f aca="false">IF(ISNUMBER(E50),COUNTIF($E$6:$E$338,"&lt;"&amp;E50)/(COUNT($E$6:$E$338)-1),"")</f>
        <v>0.542168674698795</v>
      </c>
      <c r="M50" s="9" t="n">
        <f aca="false">IF(AND(K50="",L50=""),"",(IF(ISNUMBER(K50),$C$3*K50,0)+IF(ISNUMBER(L50),$E$3*L50,0))/(IF(ISNUMBER(K50),$C$3,0)+IF(ISNUMBER(L50),$E$3,0)))</f>
        <v>0.293738059032246</v>
      </c>
      <c r="N50" s="12"/>
      <c r="O50" s="7" t="n">
        <f aca="false">IF(N50&lt;&gt;"","",COUNTIFS($A$6:$A$338,A50,$N$6:$N$338,"",$M$6:$M$338,"&gt;"&amp;M50)+COUNTIFS($A$6:A50,A50,$N$6:N50,"",$M$6:M50,M50))</f>
        <v>39</v>
      </c>
      <c r="P50" s="12" t="str">
        <f aca="false">IF(O50="","Excluded",IF(O50&lt;=5,"Lead",IF(O50&lt;=10,"Next wave","Long list")))</f>
        <v>Long list</v>
      </c>
      <c r="Q50" s="10" t="s">
        <v>102</v>
      </c>
      <c r="R50" s="30" t="s">
        <v>389</v>
      </c>
    </row>
    <row r="51" customFormat="false" ht="23.85" hidden="false" customHeight="false" outlineLevel="0" collapsed="false">
      <c r="A51" s="12" t="s">
        <v>23</v>
      </c>
      <c r="B51" s="12" t="s">
        <v>390</v>
      </c>
      <c r="C51" s="10" t="s">
        <v>391</v>
      </c>
      <c r="D51" s="26" t="n">
        <v>7.36</v>
      </c>
      <c r="E51" s="11" t="n">
        <v>3519.3</v>
      </c>
      <c r="F51" s="10" t="s">
        <v>127</v>
      </c>
      <c r="G51" s="7" t="n">
        <v>1</v>
      </c>
      <c r="H51" s="12" t="s">
        <v>77</v>
      </c>
      <c r="I51" s="12" t="s">
        <v>84</v>
      </c>
      <c r="J51" s="10"/>
      <c r="K51" s="9" t="n">
        <f aca="false">IF(ISNUMBER(D51),COUNTIF($D$6:$D$338,"&lt;"&amp;D51)/(COUNT($D$6:$D$338)-1),"")</f>
        <v>0.129449838187702</v>
      </c>
      <c r="L51" s="9" t="n">
        <f aca="false">IF(ISNUMBER(E51),COUNTIF($E$6:$E$338,"&lt;"&amp;E51)/(COUNT($E$6:$E$338)-1),"")</f>
        <v>0.445783132530121</v>
      </c>
      <c r="M51" s="9" t="n">
        <f aca="false">IF(AND(K51="",L51=""),"",(IF(ISNUMBER(K51),$C$3*K51,0)+IF(ISNUMBER(L51),$E$3*L51,0))/(IF(ISNUMBER(K51),$C$3,0)+IF(ISNUMBER(L51),$E$3,0)))</f>
        <v>0.287616485358911</v>
      </c>
      <c r="N51" s="12"/>
      <c r="O51" s="7" t="n">
        <f aca="false">IF(N51&lt;&gt;"","",COUNTIFS($A$6:$A$338,A51,$N$6:$N$338,"",$M$6:$M$338,"&gt;"&amp;M51)+COUNTIFS($A$6:A51,A51,$N$6:N51,"",$M$6:M51,M51))</f>
        <v>40</v>
      </c>
      <c r="P51" s="12" t="str">
        <f aca="false">IF(O51="","Excluded",IF(O51&lt;=5,"Lead",IF(O51&lt;=10,"Next wave","Long list")))</f>
        <v>Long list</v>
      </c>
      <c r="Q51" s="10" t="s">
        <v>102</v>
      </c>
      <c r="R51" s="30" t="s">
        <v>392</v>
      </c>
    </row>
    <row r="52" customFormat="false" ht="23.85" hidden="false" customHeight="false" outlineLevel="0" collapsed="false">
      <c r="A52" s="12" t="s">
        <v>23</v>
      </c>
      <c r="B52" s="12" t="s">
        <v>393</v>
      </c>
      <c r="C52" s="10" t="s">
        <v>394</v>
      </c>
      <c r="D52" s="26" t="n">
        <v>9.74</v>
      </c>
      <c r="E52" s="11" t="n">
        <v>2802.1</v>
      </c>
      <c r="F52" s="10" t="s">
        <v>147</v>
      </c>
      <c r="G52" s="7" t="n">
        <v>1</v>
      </c>
      <c r="H52" s="12" t="s">
        <v>77</v>
      </c>
      <c r="I52" s="12" t="s">
        <v>84</v>
      </c>
      <c r="J52" s="10" t="s">
        <v>168</v>
      </c>
      <c r="K52" s="9" t="n">
        <f aca="false">IF(ISNUMBER(D52),COUNTIF($D$6:$D$338,"&lt;"&amp;D52)/(COUNT($D$6:$D$338)-1),"")</f>
        <v>0.194174757281553</v>
      </c>
      <c r="L52" s="9" t="n">
        <f aca="false">IF(ISNUMBER(E52),COUNTIF($E$6:$E$338,"&lt;"&amp;E52)/(COUNT($E$6:$E$338)-1),"")</f>
        <v>0.352409638554217</v>
      </c>
      <c r="M52" s="9" t="n">
        <f aca="false">IF(AND(K52="",L52=""),"",(IF(ISNUMBER(K52),$C$3*K52,0)+IF(ISNUMBER(L52),$E$3*L52,0))/(IF(ISNUMBER(K52),$C$3,0)+IF(ISNUMBER(L52),$E$3,0)))</f>
        <v>0.273292197917885</v>
      </c>
      <c r="N52" s="12"/>
      <c r="O52" s="7" t="n">
        <f aca="false">IF(N52&lt;&gt;"","",COUNTIFS($A$6:$A$338,A52,$N$6:$N$338,"",$M$6:$M$338,"&gt;"&amp;M52)+COUNTIFS($A$6:A52,A52,$N$6:N52,"",$M$6:M52,M52))</f>
        <v>41</v>
      </c>
      <c r="P52" s="12" t="str">
        <f aca="false">IF(O52="","Excluded",IF(O52&lt;=5,"Lead",IF(O52&lt;=10,"Next wave","Long list")))</f>
        <v>Long list</v>
      </c>
      <c r="Q52" s="10" t="s">
        <v>80</v>
      </c>
      <c r="R52" s="30" t="s">
        <v>395</v>
      </c>
    </row>
    <row r="53" customFormat="false" ht="35.05" hidden="false" customHeight="false" outlineLevel="0" collapsed="false">
      <c r="A53" s="12" t="s">
        <v>23</v>
      </c>
      <c r="B53" s="12" t="s">
        <v>396</v>
      </c>
      <c r="C53" s="10" t="s">
        <v>397</v>
      </c>
      <c r="D53" s="26" t="n">
        <v>24.4</v>
      </c>
      <c r="E53" s="11" t="n">
        <v>301.7</v>
      </c>
      <c r="F53" s="10" t="s">
        <v>398</v>
      </c>
      <c r="G53" s="7" t="n">
        <v>7</v>
      </c>
      <c r="H53" s="12" t="s">
        <v>77</v>
      </c>
      <c r="I53" s="12" t="s">
        <v>84</v>
      </c>
      <c r="J53" s="10" t="s">
        <v>399</v>
      </c>
      <c r="K53" s="9" t="n">
        <f aca="false">IF(ISNUMBER(D53),COUNTIF($D$6:$D$338,"&lt;"&amp;D53)/(COUNT($D$6:$D$338)-1),"")</f>
        <v>0.453074433656958</v>
      </c>
      <c r="L53" s="9" t="n">
        <f aca="false">IF(ISNUMBER(E53),COUNTIF($E$6:$E$338,"&lt;"&amp;E53)/(COUNT($E$6:$E$338)-1),"")</f>
        <v>0.0813253012048193</v>
      </c>
      <c r="M53" s="9" t="n">
        <f aca="false">IF(AND(K53="",L53=""),"",(IF(ISNUMBER(K53),$C$3*K53,0)+IF(ISNUMBER(L53),$E$3*L53,0))/(IF(ISNUMBER(K53),$C$3,0)+IF(ISNUMBER(L53),$E$3,0)))</f>
        <v>0.267199867430889</v>
      </c>
      <c r="N53" s="12"/>
      <c r="O53" s="7" t="n">
        <f aca="false">IF(N53&lt;&gt;"","",COUNTIFS($A$6:$A$338,A53,$N$6:$N$338,"",$M$6:$M$338,"&gt;"&amp;M53)+COUNTIFS($A$6:A53,A53,$N$6:N53,"",$M$6:M53,M53))</f>
        <v>42</v>
      </c>
      <c r="P53" s="12" t="str">
        <f aca="false">IF(O53="","Excluded",IF(O53&lt;=5,"Lead",IF(O53&lt;=10,"Next wave","Long list")))</f>
        <v>Long list</v>
      </c>
      <c r="Q53" s="10" t="s">
        <v>80</v>
      </c>
      <c r="R53" s="30" t="s">
        <v>400</v>
      </c>
    </row>
    <row r="54" customFormat="false" ht="23.85" hidden="false" customHeight="false" outlineLevel="0" collapsed="false">
      <c r="A54" s="12" t="s">
        <v>23</v>
      </c>
      <c r="B54" s="12" t="s">
        <v>229</v>
      </c>
      <c r="C54" s="10" t="s">
        <v>230</v>
      </c>
      <c r="D54" s="26" t="n">
        <v>14.96</v>
      </c>
      <c r="E54" s="11" t="n">
        <v>1352.6</v>
      </c>
      <c r="F54" s="10" t="s">
        <v>147</v>
      </c>
      <c r="G54" s="7" t="n">
        <v>1</v>
      </c>
      <c r="H54" s="12" t="s">
        <v>95</v>
      </c>
      <c r="I54" s="12" t="s">
        <v>84</v>
      </c>
      <c r="J54" s="10" t="s">
        <v>178</v>
      </c>
      <c r="K54" s="9" t="n">
        <f aca="false">IF(ISNUMBER(D54),COUNTIF($D$6:$D$338,"&lt;"&amp;D54)/(COUNT($D$6:$D$338)-1),"")</f>
        <v>0.323624595469256</v>
      </c>
      <c r="L54" s="9" t="n">
        <f aca="false">IF(ISNUMBER(E54),COUNTIF($E$6:$E$338,"&lt;"&amp;E54)/(COUNT($E$6:$E$338)-1),"")</f>
        <v>0.189759036144578</v>
      </c>
      <c r="M54" s="9" t="n">
        <f aca="false">IF(AND(K54="",L54=""),"",(IF(ISNUMBER(K54),$C$3*K54,0)+IF(ISNUMBER(L54),$E$3*L54,0))/(IF(ISNUMBER(K54),$C$3,0)+IF(ISNUMBER(L54),$E$3,0)))</f>
        <v>0.256691815806917</v>
      </c>
      <c r="N54" s="12"/>
      <c r="O54" s="7" t="n">
        <f aca="false">IF(N54&lt;&gt;"","",COUNTIFS($A$6:$A$338,A54,$N$6:$N$338,"",$M$6:$M$338,"&gt;"&amp;M54)+COUNTIFS($A$6:A54,A54,$N$6:N54,"",$M$6:M54,M54))</f>
        <v>43</v>
      </c>
      <c r="P54" s="12" t="str">
        <f aca="false">IF(O54="","Excluded",IF(O54&lt;=5,"Lead",IF(O54&lt;=10,"Next wave","Long list")))</f>
        <v>Long list</v>
      </c>
      <c r="Q54" s="10" t="s">
        <v>97</v>
      </c>
      <c r="R54" s="30" t="s">
        <v>401</v>
      </c>
    </row>
    <row r="55" customFormat="false" ht="23.85" hidden="false" customHeight="false" outlineLevel="0" collapsed="false">
      <c r="A55" s="12" t="s">
        <v>23</v>
      </c>
      <c r="B55" s="12" t="s">
        <v>402</v>
      </c>
      <c r="C55" s="10" t="s">
        <v>403</v>
      </c>
      <c r="D55" s="26" t="n">
        <v>22.25</v>
      </c>
      <c r="E55" s="11" t="n">
        <v>484.3</v>
      </c>
      <c r="F55" s="10" t="s">
        <v>147</v>
      </c>
      <c r="G55" s="7" t="n">
        <v>1</v>
      </c>
      <c r="H55" s="12" t="s">
        <v>77</v>
      </c>
      <c r="I55" s="12" t="s">
        <v>84</v>
      </c>
      <c r="J55" s="10"/>
      <c r="K55" s="9" t="n">
        <f aca="false">IF(ISNUMBER(D55),COUNTIF($D$6:$D$338,"&lt;"&amp;D55)/(COUNT($D$6:$D$338)-1),"")</f>
        <v>0.40453074433657</v>
      </c>
      <c r="L55" s="9" t="n">
        <f aca="false">IF(ISNUMBER(E55),COUNTIF($E$6:$E$338,"&lt;"&amp;E55)/(COUNT($E$6:$E$338)-1),"")</f>
        <v>0.0993975903614458</v>
      </c>
      <c r="M55" s="9" t="n">
        <f aca="false">IF(AND(K55="",L55=""),"",(IF(ISNUMBER(K55),$C$3*K55,0)+IF(ISNUMBER(L55),$E$3*L55,0))/(IF(ISNUMBER(K55),$C$3,0)+IF(ISNUMBER(L55),$E$3,0)))</f>
        <v>0.251964167349008</v>
      </c>
      <c r="N55" s="12"/>
      <c r="O55" s="7" t="n">
        <f aca="false">IF(N55&lt;&gt;"","",COUNTIFS($A$6:$A$338,A55,$N$6:$N$338,"",$M$6:$M$338,"&gt;"&amp;M55)+COUNTIFS($A$6:A55,A55,$N$6:N55,"",$M$6:M55,M55))</f>
        <v>44</v>
      </c>
      <c r="P55" s="12" t="str">
        <f aca="false">IF(O55="","Excluded",IF(O55&lt;=5,"Lead",IF(O55&lt;=10,"Next wave","Long list")))</f>
        <v>Long list</v>
      </c>
      <c r="Q55" s="10" t="s">
        <v>102</v>
      </c>
      <c r="R55" s="30" t="s">
        <v>404</v>
      </c>
    </row>
    <row r="56" customFormat="false" ht="23.85" hidden="false" customHeight="false" outlineLevel="0" collapsed="false">
      <c r="A56" s="12" t="s">
        <v>23</v>
      </c>
      <c r="B56" s="12" t="s">
        <v>405</v>
      </c>
      <c r="C56" s="10" t="s">
        <v>406</v>
      </c>
      <c r="D56" s="26" t="n">
        <v>5.35</v>
      </c>
      <c r="E56" s="11" t="n">
        <v>2937.3</v>
      </c>
      <c r="F56" s="10" t="s">
        <v>407</v>
      </c>
      <c r="G56" s="7" t="n">
        <v>2</v>
      </c>
      <c r="H56" s="12" t="s">
        <v>77</v>
      </c>
      <c r="I56" s="12" t="s">
        <v>84</v>
      </c>
      <c r="J56" s="10" t="s">
        <v>163</v>
      </c>
      <c r="K56" s="9" t="n">
        <f aca="false">IF(ISNUMBER(D56),COUNTIF($D$6:$D$338,"&lt;"&amp;D56)/(COUNT($D$6:$D$338)-1),"")</f>
        <v>0.0161812297734628</v>
      </c>
      <c r="L56" s="9" t="n">
        <f aca="false">IF(ISNUMBER(E56),COUNTIF($E$6:$E$338,"&lt;"&amp;E56)/(COUNT($E$6:$E$338)-1),"")</f>
        <v>0.406626506024096</v>
      </c>
      <c r="M56" s="9" t="n">
        <f aca="false">IF(AND(K56="",L56=""),"",(IF(ISNUMBER(K56),$C$3*K56,0)+IF(ISNUMBER(L56),$E$3*L56,0))/(IF(ISNUMBER(K56),$C$3,0)+IF(ISNUMBER(L56),$E$3,0)))</f>
        <v>0.21140386789878</v>
      </c>
      <c r="N56" s="12"/>
      <c r="O56" s="7" t="n">
        <f aca="false">IF(N56&lt;&gt;"","",COUNTIFS($A$6:$A$338,A56,$N$6:$N$338,"",$M$6:$M$338,"&gt;"&amp;M56)+COUNTIFS($A$6:A56,A56,$N$6:N56,"",$M$6:M56,M56))</f>
        <v>45</v>
      </c>
      <c r="P56" s="12" t="str">
        <f aca="false">IF(O56="","Excluded",IF(O56&lt;=5,"Lead",IF(O56&lt;=10,"Next wave","Long list")))</f>
        <v>Long list</v>
      </c>
      <c r="Q56" s="10" t="s">
        <v>80</v>
      </c>
      <c r="R56" s="30" t="s">
        <v>408</v>
      </c>
    </row>
    <row r="57" customFormat="false" ht="23.85" hidden="false" customHeight="false" outlineLevel="0" collapsed="false">
      <c r="A57" s="12" t="s">
        <v>23</v>
      </c>
      <c r="B57" s="12" t="s">
        <v>409</v>
      </c>
      <c r="C57" s="10" t="s">
        <v>410</v>
      </c>
      <c r="D57" s="26" t="n">
        <v>10.03</v>
      </c>
      <c r="E57" s="11" t="n">
        <v>1127.6</v>
      </c>
      <c r="F57" s="10" t="s">
        <v>147</v>
      </c>
      <c r="G57" s="7" t="n">
        <v>1</v>
      </c>
      <c r="H57" s="12" t="s">
        <v>83</v>
      </c>
      <c r="I57" s="12" t="s">
        <v>84</v>
      </c>
      <c r="J57" s="10" t="s">
        <v>287</v>
      </c>
      <c r="K57" s="9" t="n">
        <f aca="false">IF(ISNUMBER(D57),COUNTIF($D$6:$D$338,"&lt;"&amp;D57)/(COUNT($D$6:$D$338)-1),"")</f>
        <v>0.220064724919094</v>
      </c>
      <c r="L57" s="9" t="n">
        <f aca="false">IF(ISNUMBER(E57),COUNTIF($E$6:$E$338,"&lt;"&amp;E57)/(COUNT($E$6:$E$338)-1),"")</f>
        <v>0.162650602409639</v>
      </c>
      <c r="M57" s="9" t="n">
        <f aca="false">IF(AND(K57="",L57=""),"",(IF(ISNUMBER(K57),$C$3*K57,0)+IF(ISNUMBER(L57),$E$3*L57,0))/(IF(ISNUMBER(K57),$C$3,0)+IF(ISNUMBER(L57),$E$3,0)))</f>
        <v>0.191357663664366</v>
      </c>
      <c r="N57" s="12"/>
      <c r="O57" s="7" t="n">
        <f aca="false">IF(N57&lt;&gt;"","",COUNTIFS($A$6:$A$338,A57,$N$6:$N$338,"",$M$6:$M$338,"&gt;"&amp;M57)+COUNTIFS($A$6:A57,A57,$N$6:N57,"",$M$6:M57,M57))</f>
        <v>46</v>
      </c>
      <c r="P57" s="12" t="str">
        <f aca="false">IF(O57="","Excluded",IF(O57&lt;=5,"Lead",IF(O57&lt;=10,"Next wave","Long list")))</f>
        <v>Long list</v>
      </c>
      <c r="Q57" s="10" t="s">
        <v>86</v>
      </c>
      <c r="R57" s="30" t="s">
        <v>411</v>
      </c>
    </row>
    <row r="58" customFormat="false" ht="23.85" hidden="false" customHeight="false" outlineLevel="0" collapsed="false">
      <c r="A58" s="12" t="s">
        <v>23</v>
      </c>
      <c r="B58" s="12" t="s">
        <v>412</v>
      </c>
      <c r="C58" s="10" t="s">
        <v>282</v>
      </c>
      <c r="D58" s="26" t="n">
        <v>10.93</v>
      </c>
      <c r="E58" s="11" t="n">
        <v>260.9</v>
      </c>
      <c r="F58" s="10" t="s">
        <v>147</v>
      </c>
      <c r="G58" s="7" t="n">
        <v>1</v>
      </c>
      <c r="H58" s="12" t="s">
        <v>77</v>
      </c>
      <c r="I58" s="12" t="s">
        <v>78</v>
      </c>
      <c r="J58" s="10" t="s">
        <v>142</v>
      </c>
      <c r="K58" s="9" t="n">
        <f aca="false">IF(ISNUMBER(D58),COUNTIF($D$6:$D$338,"&lt;"&amp;D58)/(COUNT($D$6:$D$338)-1),"")</f>
        <v>0.249190938511327</v>
      </c>
      <c r="L58" s="9" t="n">
        <f aca="false">IF(ISNUMBER(E58),COUNTIF($E$6:$E$338,"&lt;"&amp;E58)/(COUNT($E$6:$E$338)-1),"")</f>
        <v>0.0692771084337349</v>
      </c>
      <c r="M58" s="9" t="n">
        <f aca="false">IF(AND(K58="",L58=""),"",(IF(ISNUMBER(K58),$C$3*K58,0)+IF(ISNUMBER(L58),$E$3*L58,0))/(IF(ISNUMBER(K58),$C$3,0)+IF(ISNUMBER(L58),$E$3,0)))</f>
        <v>0.159234023472531</v>
      </c>
      <c r="N58" s="12"/>
      <c r="O58" s="7" t="n">
        <f aca="false">IF(N58&lt;&gt;"","",COUNTIFS($A$6:$A$338,A58,$N$6:$N$338,"",$M$6:$M$338,"&gt;"&amp;M58)+COUNTIFS($A$6:A58,A58,$N$6:N58,"",$M$6:M58,M58))</f>
        <v>47</v>
      </c>
      <c r="P58" s="12" t="str">
        <f aca="false">IF(O58="","Excluded",IF(O58&lt;=5,"Lead",IF(O58&lt;=10,"Next wave","Long list")))</f>
        <v>Long list</v>
      </c>
      <c r="Q58" s="10" t="s">
        <v>102</v>
      </c>
      <c r="R58" s="30" t="s">
        <v>413</v>
      </c>
    </row>
    <row r="59" customFormat="false" ht="23.85" hidden="false" customHeight="false" outlineLevel="0" collapsed="false">
      <c r="A59" s="12" t="s">
        <v>23</v>
      </c>
      <c r="B59" s="12" t="s">
        <v>281</v>
      </c>
      <c r="C59" s="10" t="s">
        <v>282</v>
      </c>
      <c r="D59" s="26" t="n">
        <v>7.41</v>
      </c>
      <c r="E59" s="11" t="n">
        <v>570.1</v>
      </c>
      <c r="F59" s="10" t="s">
        <v>147</v>
      </c>
      <c r="G59" s="7" t="n">
        <v>1</v>
      </c>
      <c r="H59" s="12" t="s">
        <v>77</v>
      </c>
      <c r="I59" s="12" t="s">
        <v>78</v>
      </c>
      <c r="J59" s="10" t="s">
        <v>142</v>
      </c>
      <c r="K59" s="9" t="n">
        <f aca="false">IF(ISNUMBER(D59),COUNTIF($D$6:$D$338,"&lt;"&amp;D59)/(COUNT($D$6:$D$338)-1),"")</f>
        <v>0.132686084142395</v>
      </c>
      <c r="L59" s="9" t="n">
        <f aca="false">IF(ISNUMBER(E59),COUNTIF($E$6:$E$338,"&lt;"&amp;E59)/(COUNT($E$6:$E$338)-1),"")</f>
        <v>0.123493975903614</v>
      </c>
      <c r="M59" s="9" t="n">
        <f aca="false">IF(AND(K59="",L59=""),"",(IF(ISNUMBER(K59),$C$3*K59,0)+IF(ISNUMBER(L59),$E$3*L59,0))/(IF(ISNUMBER(K59),$C$3,0)+IF(ISNUMBER(L59),$E$3,0)))</f>
        <v>0.128090030023005</v>
      </c>
      <c r="N59" s="12"/>
      <c r="O59" s="7" t="n">
        <f aca="false">IF(N59&lt;&gt;"","",COUNTIFS($A$6:$A$338,A59,$N$6:$N$338,"",$M$6:$M$338,"&gt;"&amp;M59)+COUNTIFS($A$6:A59,A59,$N$6:N59,"",$M$6:M59,M59))</f>
        <v>48</v>
      </c>
      <c r="P59" s="12" t="str">
        <f aca="false">IF(O59="","Excluded",IF(O59&lt;=5,"Lead",IF(O59&lt;=10,"Next wave","Long list")))</f>
        <v>Long list</v>
      </c>
      <c r="Q59" s="10" t="s">
        <v>102</v>
      </c>
      <c r="R59" s="30" t="s">
        <v>414</v>
      </c>
    </row>
    <row r="60" customFormat="false" ht="23.85" hidden="false" customHeight="false" outlineLevel="0" collapsed="false">
      <c r="A60" s="12" t="s">
        <v>23</v>
      </c>
      <c r="B60" s="12" t="s">
        <v>269</v>
      </c>
      <c r="C60" s="10" t="s">
        <v>270</v>
      </c>
      <c r="D60" s="26" t="n">
        <v>7.04</v>
      </c>
      <c r="E60" s="11" t="n">
        <v>71.4</v>
      </c>
      <c r="F60" s="10" t="s">
        <v>415</v>
      </c>
      <c r="G60" s="7" t="n">
        <v>1</v>
      </c>
      <c r="H60" s="12" t="s">
        <v>77</v>
      </c>
      <c r="I60" s="12" t="s">
        <v>78</v>
      </c>
      <c r="J60" s="10" t="s">
        <v>213</v>
      </c>
      <c r="K60" s="9" t="n">
        <f aca="false">IF(ISNUMBER(D60),COUNTIF($D$6:$D$338,"&lt;"&amp;D60)/(COUNT($D$6:$D$338)-1),"")</f>
        <v>0.116504854368932</v>
      </c>
      <c r="L60" s="9" t="n">
        <f aca="false">IF(ISNUMBER(E60),COUNTIF($E$6:$E$338,"&lt;"&amp;E60)/(COUNT($E$6:$E$338)-1),"")</f>
        <v>0.0210843373493976</v>
      </c>
      <c r="M60" s="9" t="n">
        <f aca="false">IF(AND(K60="",L60=""),"",(IF(ISNUMBER(K60),$C$3*K60,0)+IF(ISNUMBER(L60),$E$3*L60,0))/(IF(ISNUMBER(K60),$C$3,0)+IF(ISNUMBER(L60),$E$3,0)))</f>
        <v>0.0687945958591648</v>
      </c>
      <c r="N60" s="12"/>
      <c r="O60" s="7" t="n">
        <f aca="false">IF(N60&lt;&gt;"","",COUNTIFS($A$6:$A$338,A60,$N$6:$N$338,"",$M$6:$M$338,"&gt;"&amp;M60)+COUNTIFS($A$6:A60,A60,$N$6:N60,"",$M$6:M60,M60))</f>
        <v>49</v>
      </c>
      <c r="P60" s="12" t="str">
        <f aca="false">IF(O60="","Excluded",IF(O60&lt;=5,"Lead",IF(O60&lt;=10,"Next wave","Long list")))</f>
        <v>Long list</v>
      </c>
      <c r="Q60" s="10" t="s">
        <v>80</v>
      </c>
      <c r="R60" s="30" t="s">
        <v>416</v>
      </c>
    </row>
    <row r="61" customFormat="false" ht="23.85" hidden="false" customHeight="false" outlineLevel="0" collapsed="false">
      <c r="A61" s="12" t="s">
        <v>23</v>
      </c>
      <c r="B61" s="12" t="s">
        <v>417</v>
      </c>
      <c r="C61" s="10" t="s">
        <v>418</v>
      </c>
      <c r="D61" s="26" t="n">
        <v>55.89</v>
      </c>
      <c r="E61" s="11" t="n">
        <v>6754.2</v>
      </c>
      <c r="F61" s="10" t="s">
        <v>302</v>
      </c>
      <c r="G61" s="7" t="n">
        <v>2</v>
      </c>
      <c r="H61" s="12" t="s">
        <v>77</v>
      </c>
      <c r="I61" s="12" t="s">
        <v>78</v>
      </c>
      <c r="J61" s="10" t="s">
        <v>162</v>
      </c>
      <c r="K61" s="9" t="n">
        <f aca="false">IF(ISNUMBER(D61),COUNTIF($D$6:$D$338,"&lt;"&amp;D61)/(COUNT($D$6:$D$338)-1),"")</f>
        <v>0.650485436893204</v>
      </c>
      <c r="L61" s="9" t="n">
        <f aca="false">IF(ISNUMBER(E61),COUNTIF($E$6:$E$338,"&lt;"&amp;E61)/(COUNT($E$6:$E$338)-1),"")</f>
        <v>0.626506024096386</v>
      </c>
      <c r="M61" s="9" t="n">
        <f aca="false">IF(AND(K61="",L61=""),"",(IF(ISNUMBER(K61),$C$3*K61,0)+IF(ISNUMBER(L61),$E$3*L61,0))/(IF(ISNUMBER(K61),$C$3,0)+IF(ISNUMBER(L61),$E$3,0)))</f>
        <v>0.638495730494795</v>
      </c>
      <c r="N61" s="12" t="s">
        <v>303</v>
      </c>
      <c r="O61" s="7" t="str">
        <f aca="false">IF(N61&lt;&gt;"","",COUNTIFS($A$6:$A$338,A61,$N$6:$N$338,"",$M$6:$M$338,"&gt;"&amp;M61)+COUNTIFS($A$6:A61,A61,$N$6:N61,"",$M$6:M61,M61))</f>
        <v/>
      </c>
      <c r="P61" s="12" t="str">
        <f aca="false">IF(O61="","Excluded",IF(O61&lt;=5,"Lead",IF(O61&lt;=10,"Next wave","Long list")))</f>
        <v>Excluded</v>
      </c>
      <c r="Q61" s="10" t="s">
        <v>102</v>
      </c>
      <c r="R61" s="30" t="s">
        <v>419</v>
      </c>
    </row>
    <row r="62" customFormat="false" ht="23.85" hidden="false" customHeight="false" outlineLevel="0" collapsed="false">
      <c r="A62" s="12" t="s">
        <v>23</v>
      </c>
      <c r="B62" s="12" t="s">
        <v>420</v>
      </c>
      <c r="C62" s="10" t="s">
        <v>421</v>
      </c>
      <c r="D62" s="26"/>
      <c r="E62" s="11" t="n">
        <v>6287.6</v>
      </c>
      <c r="F62" s="10" t="s">
        <v>273</v>
      </c>
      <c r="G62" s="7" t="n">
        <v>8</v>
      </c>
      <c r="H62" s="12" t="s">
        <v>77</v>
      </c>
      <c r="I62" s="12" t="s">
        <v>78</v>
      </c>
      <c r="J62" s="10" t="s">
        <v>142</v>
      </c>
      <c r="K62" s="9" t="str">
        <f aca="false">IF(ISNUMBER(D62),COUNTIF($D$6:$D$338,"&lt;"&amp;D62)/(COUNT($D$6:$D$338)-1),"")</f>
        <v/>
      </c>
      <c r="L62" s="9" t="n">
        <f aca="false">IF(ISNUMBER(E62),COUNTIF($E$6:$E$338,"&lt;"&amp;E62)/(COUNT($E$6:$E$338)-1),"")</f>
        <v>0.587349397590361</v>
      </c>
      <c r="M62" s="9" t="n">
        <f aca="false">IF(AND(K62="",L62=""),"",(IF(ISNUMBER(K62),$C$3*K62,0)+IF(ISNUMBER(L62),$E$3*L62,0))/(IF(ISNUMBER(K62),$C$3,0)+IF(ISNUMBER(L62),$E$3,0)))</f>
        <v>0.587349397590361</v>
      </c>
      <c r="N62" s="12" t="s">
        <v>307</v>
      </c>
      <c r="O62" s="7" t="str">
        <f aca="false">IF(N62&lt;&gt;"","",COUNTIFS($A$6:$A$338,A62,$N$6:$N$338,"",$M$6:$M$338,"&gt;"&amp;M62)+COUNTIFS($A$6:A62,A62,$N$6:N62,"",$M$6:M62,M62))</f>
        <v/>
      </c>
      <c r="P62" s="12" t="str">
        <f aca="false">IF(O62="","Excluded",IF(O62&lt;=5,"Lead",IF(O62&lt;=10,"Next wave","Long list")))</f>
        <v>Excluded</v>
      </c>
      <c r="Q62" s="10" t="s">
        <v>102</v>
      </c>
      <c r="R62" s="30" t="s">
        <v>422</v>
      </c>
    </row>
    <row r="63" customFormat="false" ht="23.85" hidden="false" customHeight="false" outlineLevel="0" collapsed="false">
      <c r="A63" s="12" t="s">
        <v>23</v>
      </c>
      <c r="B63" s="12" t="s">
        <v>305</v>
      </c>
      <c r="C63" s="10" t="s">
        <v>306</v>
      </c>
      <c r="D63" s="26"/>
      <c r="E63" s="11" t="n">
        <v>4256.8</v>
      </c>
      <c r="F63" s="10" t="s">
        <v>147</v>
      </c>
      <c r="G63" s="7" t="n">
        <v>1</v>
      </c>
      <c r="H63" s="12" t="s">
        <v>95</v>
      </c>
      <c r="I63" s="12" t="s">
        <v>95</v>
      </c>
      <c r="J63" s="10" t="s">
        <v>163</v>
      </c>
      <c r="K63" s="9" t="str">
        <f aca="false">IF(ISNUMBER(D63),COUNTIF($D$6:$D$338,"&lt;"&amp;D63)/(COUNT($D$6:$D$338)-1),"")</f>
        <v/>
      </c>
      <c r="L63" s="9" t="n">
        <f aca="false">IF(ISNUMBER(E63),COUNTIF($E$6:$E$338,"&lt;"&amp;E63)/(COUNT($E$6:$E$338)-1),"")</f>
        <v>0.512048192771084</v>
      </c>
      <c r="M63" s="9" t="n">
        <f aca="false">IF(AND(K63="",L63=""),"",(IF(ISNUMBER(K63),$C$3*K63,0)+IF(ISNUMBER(L63),$E$3*L63,0))/(IF(ISNUMBER(K63),$C$3,0)+IF(ISNUMBER(L63),$E$3,0)))</f>
        <v>0.512048192771084</v>
      </c>
      <c r="N63" s="12" t="s">
        <v>307</v>
      </c>
      <c r="O63" s="7" t="str">
        <f aca="false">IF(N63&lt;&gt;"","",COUNTIFS($A$6:$A$338,A63,$N$6:$N$338,"",$M$6:$M$338,"&gt;"&amp;M63)+COUNTIFS($A$6:A63,A63,$N$6:N63,"",$M$6:M63,M63))</f>
        <v/>
      </c>
      <c r="P63" s="12" t="str">
        <f aca="false">IF(O63="","Excluded",IF(O63&lt;=5,"Lead",IF(O63&lt;=10,"Next wave","Long list")))</f>
        <v>Excluded</v>
      </c>
      <c r="Q63" s="10" t="s">
        <v>97</v>
      </c>
      <c r="R63" s="30" t="s">
        <v>308</v>
      </c>
    </row>
    <row r="64" customFormat="false" ht="35.05" hidden="false" customHeight="false" outlineLevel="0" collapsed="false">
      <c r="A64" s="12" t="s">
        <v>23</v>
      </c>
      <c r="B64" s="12" t="s">
        <v>423</v>
      </c>
      <c r="C64" s="10" t="s">
        <v>424</v>
      </c>
      <c r="D64" s="26" t="n">
        <v>9.08</v>
      </c>
      <c r="E64" s="11" t="n">
        <v>6294.9</v>
      </c>
      <c r="F64" s="10" t="s">
        <v>302</v>
      </c>
      <c r="G64" s="7" t="n">
        <v>1</v>
      </c>
      <c r="H64" s="12" t="s">
        <v>77</v>
      </c>
      <c r="I64" s="12" t="s">
        <v>107</v>
      </c>
      <c r="J64" s="10" t="s">
        <v>213</v>
      </c>
      <c r="K64" s="9" t="n">
        <f aca="false">IF(ISNUMBER(D64),COUNTIF($D$6:$D$338,"&lt;"&amp;D64)/(COUNT($D$6:$D$338)-1),"")</f>
        <v>0.184466019417476</v>
      </c>
      <c r="L64" s="9" t="n">
        <f aca="false">IF(ISNUMBER(E64),COUNTIF($E$6:$E$338,"&lt;"&amp;E64)/(COUNT($E$6:$E$338)-1),"")</f>
        <v>0.593373493975904</v>
      </c>
      <c r="M64" s="9" t="n">
        <f aca="false">IF(AND(K64="",L64=""),"",(IF(ISNUMBER(K64),$C$3*K64,0)+IF(ISNUMBER(L64),$E$3*L64,0))/(IF(ISNUMBER(K64),$C$3,0)+IF(ISNUMBER(L64),$E$3,0)))</f>
        <v>0.38891975669669</v>
      </c>
      <c r="N64" s="12" t="s">
        <v>303</v>
      </c>
      <c r="O64" s="7" t="str">
        <f aca="false">IF(N64&lt;&gt;"","",COUNTIFS($A$6:$A$338,A64,$N$6:$N$338,"",$M$6:$M$338,"&gt;"&amp;M64)+COUNTIFS($A$6:A64,A64,$N$6:N64,"",$M$6:M64,M64))</f>
        <v/>
      </c>
      <c r="P64" s="12" t="str">
        <f aca="false">IF(O64="","Excluded",IF(O64&lt;=5,"Lead",IF(O64&lt;=10,"Next wave","Long list")))</f>
        <v>Excluded</v>
      </c>
      <c r="Q64" s="10" t="s">
        <v>80</v>
      </c>
      <c r="R64" s="30" t="s">
        <v>425</v>
      </c>
    </row>
    <row r="65" customFormat="false" ht="23.85" hidden="false" customHeight="false" outlineLevel="0" collapsed="false">
      <c r="A65" s="12" t="s">
        <v>31</v>
      </c>
      <c r="B65" s="12" t="s">
        <v>104</v>
      </c>
      <c r="C65" s="10" t="s">
        <v>105</v>
      </c>
      <c r="D65" s="26" t="n">
        <v>87.85</v>
      </c>
      <c r="E65" s="11" t="n">
        <v>59827.2</v>
      </c>
      <c r="F65" s="10" t="s">
        <v>197</v>
      </c>
      <c r="G65" s="7" t="n">
        <v>5</v>
      </c>
      <c r="H65" s="12" t="s">
        <v>77</v>
      </c>
      <c r="I65" s="12" t="s">
        <v>84</v>
      </c>
      <c r="J65" s="10" t="s">
        <v>108</v>
      </c>
      <c r="K65" s="9" t="n">
        <f aca="false">IF(ISNUMBER(D65),COUNTIF($D$6:$D$338,"&lt;"&amp;D65)/(COUNT($D$6:$D$338)-1),"")</f>
        <v>0.73462783171521</v>
      </c>
      <c r="L65" s="9" t="n">
        <f aca="false">IF(ISNUMBER(E65),COUNTIF($E$6:$E$338,"&lt;"&amp;E65)/(COUNT($E$6:$E$338)-1),"")</f>
        <v>0.957831325301205</v>
      </c>
      <c r="M65" s="9" t="n">
        <f aca="false">IF(AND(K65="",L65=""),"",(IF(ISNUMBER(K65),$C$3*K65,0)+IF(ISNUMBER(L65),$E$3*L65,0))/(IF(ISNUMBER(K65),$C$3,0)+IF(ISNUMBER(L65),$E$3,0)))</f>
        <v>0.846229578508208</v>
      </c>
      <c r="N65" s="12"/>
      <c r="O65" s="7" t="n">
        <f aca="false">IF(N65&lt;&gt;"","",COUNTIFS($A$6:$A$338,A65,$N$6:$N$338,"",$M$6:$M$338,"&gt;"&amp;M65)+COUNTIFS($A$6:A65,A65,$N$6:N65,"",$M$6:M65,M65))</f>
        <v>1</v>
      </c>
      <c r="P65" s="12" t="str">
        <f aca="false">IF(O65="","Excluded",IF(O65&lt;=5,"Lead",IF(O65&lt;=10,"Next wave","Long list")))</f>
        <v>Lead</v>
      </c>
      <c r="Q65" s="10" t="s">
        <v>80</v>
      </c>
      <c r="R65" s="30" t="s">
        <v>312</v>
      </c>
    </row>
    <row r="66" customFormat="false" ht="23.85" hidden="false" customHeight="false" outlineLevel="0" collapsed="false">
      <c r="A66" s="12" t="s">
        <v>31</v>
      </c>
      <c r="B66" s="12" t="s">
        <v>112</v>
      </c>
      <c r="C66" s="10" t="s">
        <v>113</v>
      </c>
      <c r="D66" s="26" t="n">
        <v>531.87</v>
      </c>
      <c r="E66" s="11" t="n">
        <v>11366.1</v>
      </c>
      <c r="F66" s="10" t="s">
        <v>198</v>
      </c>
      <c r="G66" s="7" t="n">
        <v>1</v>
      </c>
      <c r="H66" s="12" t="s">
        <v>83</v>
      </c>
      <c r="I66" s="12" t="s">
        <v>84</v>
      </c>
      <c r="J66" s="10" t="s">
        <v>115</v>
      </c>
      <c r="K66" s="9" t="n">
        <f aca="false">IF(ISNUMBER(D66),COUNTIF($D$6:$D$338,"&lt;"&amp;D66)/(COUNT($D$6:$D$338)-1),"")</f>
        <v>0.944983818770227</v>
      </c>
      <c r="L66" s="9" t="n">
        <f aca="false">IF(ISNUMBER(E66),COUNTIF($E$6:$E$338,"&lt;"&amp;E66)/(COUNT($E$6:$E$338)-1),"")</f>
        <v>0.686746987951807</v>
      </c>
      <c r="M66" s="9" t="n">
        <f aca="false">IF(AND(K66="",L66=""),"",(IF(ISNUMBER(K66),$C$3*K66,0)+IF(ISNUMBER(L66),$E$3*L66,0))/(IF(ISNUMBER(K66),$C$3,0)+IF(ISNUMBER(L66),$E$3,0)))</f>
        <v>0.815865403361017</v>
      </c>
      <c r="N66" s="12"/>
      <c r="O66" s="7" t="n">
        <f aca="false">IF(N66&lt;&gt;"","",COUNTIFS($A$6:$A$338,A66,$N$6:$N$338,"",$M$6:$M$338,"&gt;"&amp;M66)+COUNTIFS($A$6:A66,A66,$N$6:N66,"",$M$6:M66,M66))</f>
        <v>2</v>
      </c>
      <c r="P66" s="12" t="str">
        <f aca="false">IF(O66="","Excluded",IF(O66&lt;=5,"Lead",IF(O66&lt;=10,"Next wave","Long list")))</f>
        <v>Lead</v>
      </c>
      <c r="Q66" s="10" t="s">
        <v>86</v>
      </c>
      <c r="R66" s="30" t="s">
        <v>299</v>
      </c>
    </row>
    <row r="67" customFormat="false" ht="23.85" hidden="false" customHeight="false" outlineLevel="0" collapsed="false">
      <c r="A67" s="12" t="s">
        <v>31</v>
      </c>
      <c r="B67" s="12" t="s">
        <v>116</v>
      </c>
      <c r="C67" s="10" t="s">
        <v>117</v>
      </c>
      <c r="D67" s="26" t="n">
        <v>39.42</v>
      </c>
      <c r="E67" s="11" t="n">
        <v>32830.2</v>
      </c>
      <c r="F67" s="10" t="s">
        <v>198</v>
      </c>
      <c r="G67" s="7" t="n">
        <v>4</v>
      </c>
      <c r="H67" s="12" t="s">
        <v>77</v>
      </c>
      <c r="I67" s="12" t="s">
        <v>84</v>
      </c>
      <c r="J67" s="10" t="s">
        <v>119</v>
      </c>
      <c r="K67" s="9" t="n">
        <f aca="false">IF(ISNUMBER(D67),COUNTIF($D$6:$D$338,"&lt;"&amp;D67)/(COUNT($D$6:$D$338)-1),"")</f>
        <v>0.585760517799353</v>
      </c>
      <c r="L67" s="9" t="n">
        <f aca="false">IF(ISNUMBER(E67),COUNTIF($E$6:$E$338,"&lt;"&amp;E67)/(COUNT($E$6:$E$338)-1),"")</f>
        <v>0.825301204819277</v>
      </c>
      <c r="M67" s="9" t="n">
        <f aca="false">IF(AND(K67="",L67=""),"",(IF(ISNUMBER(K67),$C$3*K67,0)+IF(ISNUMBER(L67),$E$3*L67,0))/(IF(ISNUMBER(K67),$C$3,0)+IF(ISNUMBER(L67),$E$3,0)))</f>
        <v>0.705530861309315</v>
      </c>
      <c r="N67" s="12"/>
      <c r="O67" s="7" t="n">
        <f aca="false">IF(N67&lt;&gt;"","",COUNTIFS($A$6:$A$338,A67,$N$6:$N$338,"",$M$6:$M$338,"&gt;"&amp;M67)+COUNTIFS($A$6:A67,A67,$N$6:N67,"",$M$6:M67,M67))</f>
        <v>3</v>
      </c>
      <c r="P67" s="12" t="str">
        <f aca="false">IF(O67="","Excluded",IF(O67&lt;=5,"Lead",IF(O67&lt;=10,"Next wave","Long list")))</f>
        <v>Lead</v>
      </c>
      <c r="Q67" s="10" t="s">
        <v>80</v>
      </c>
      <c r="R67" s="30" t="s">
        <v>426</v>
      </c>
    </row>
    <row r="68" customFormat="false" ht="23.85" hidden="false" customHeight="false" outlineLevel="0" collapsed="false">
      <c r="A68" s="12" t="s">
        <v>31</v>
      </c>
      <c r="B68" s="12" t="s">
        <v>191</v>
      </c>
      <c r="C68" s="10" t="s">
        <v>192</v>
      </c>
      <c r="D68" s="26" t="n">
        <v>20.63</v>
      </c>
      <c r="E68" s="11" t="n">
        <v>6893.7</v>
      </c>
      <c r="F68" s="10" t="s">
        <v>147</v>
      </c>
      <c r="G68" s="7" t="n">
        <v>1</v>
      </c>
      <c r="H68" s="12" t="s">
        <v>77</v>
      </c>
      <c r="I68" s="12" t="s">
        <v>84</v>
      </c>
      <c r="J68" s="10" t="s">
        <v>163</v>
      </c>
      <c r="K68" s="9" t="n">
        <f aca="false">IF(ISNUMBER(D68),COUNTIF($D$6:$D$338,"&lt;"&amp;D68)/(COUNT($D$6:$D$338)-1),"")</f>
        <v>0.391585760517799</v>
      </c>
      <c r="L68" s="9" t="n">
        <f aca="false">IF(ISNUMBER(E68),COUNTIF($E$6:$E$338,"&lt;"&amp;E68)/(COUNT($E$6:$E$338)-1),"")</f>
        <v>0.632530120481928</v>
      </c>
      <c r="M68" s="9" t="n">
        <f aca="false">IF(AND(K68="",L68=""),"",(IF(ISNUMBER(K68),$C$3*K68,0)+IF(ISNUMBER(L68),$E$3*L68,0))/(IF(ISNUMBER(K68),$C$3,0)+IF(ISNUMBER(L68),$E$3,0)))</f>
        <v>0.512057940499864</v>
      </c>
      <c r="N68" s="12"/>
      <c r="O68" s="7" t="n">
        <f aca="false">IF(N68&lt;&gt;"","",COUNTIFS($A$6:$A$338,A68,$N$6:$N$338,"",$M$6:$M$338,"&gt;"&amp;M68)+COUNTIFS($A$6:A68,A68,$N$6:N68,"",$M$6:M68,M68))</f>
        <v>4</v>
      </c>
      <c r="P68" s="12" t="str">
        <f aca="false">IF(O68="","Excluded",IF(O68&lt;=5,"Lead",IF(O68&lt;=10,"Next wave","Long list")))</f>
        <v>Lead</v>
      </c>
      <c r="Q68" s="10" t="s">
        <v>80</v>
      </c>
      <c r="R68" s="30" t="s">
        <v>343</v>
      </c>
    </row>
    <row r="69" customFormat="false" ht="23.85" hidden="false" customHeight="false" outlineLevel="0" collapsed="false">
      <c r="A69" s="12" t="s">
        <v>31</v>
      </c>
      <c r="B69" s="12" t="s">
        <v>199</v>
      </c>
      <c r="C69" s="10" t="s">
        <v>200</v>
      </c>
      <c r="D69" s="26" t="n">
        <v>5970.59</v>
      </c>
      <c r="E69" s="11" t="n">
        <v>0.2</v>
      </c>
      <c r="F69" s="10" t="s">
        <v>147</v>
      </c>
      <c r="G69" s="7" t="n">
        <v>1</v>
      </c>
      <c r="H69" s="12" t="s">
        <v>83</v>
      </c>
      <c r="I69" s="12" t="s">
        <v>84</v>
      </c>
      <c r="J69" s="10" t="s">
        <v>85</v>
      </c>
      <c r="K69" s="9" t="n">
        <f aca="false">IF(ISNUMBER(D69),COUNTIF($D$6:$D$338,"&lt;"&amp;D69)/(COUNT($D$6:$D$338)-1),"")</f>
        <v>0.993527508090615</v>
      </c>
      <c r="L69" s="9" t="n">
        <f aca="false">IF(ISNUMBER(E69),COUNTIF($E$6:$E$338,"&lt;"&amp;E69)/(COUNT($E$6:$E$338)-1),"")</f>
        <v>0</v>
      </c>
      <c r="M69" s="9" t="n">
        <f aca="false">IF(AND(K69="",L69=""),"",(IF(ISNUMBER(K69),$C$3*K69,0)+IF(ISNUMBER(L69),$E$3*L69,0))/(IF(ISNUMBER(K69),$C$3,0)+IF(ISNUMBER(L69),$E$3,0)))</f>
        <v>0.496763754045307</v>
      </c>
      <c r="N69" s="12"/>
      <c r="O69" s="7" t="n">
        <f aca="false">IF(N69&lt;&gt;"","",COUNTIFS($A$6:$A$338,A69,$N$6:$N$338,"",$M$6:$M$338,"&gt;"&amp;M69)+COUNTIFS($A$6:A69,A69,$N$6:N69,"",$M$6:M69,M69))</f>
        <v>5</v>
      </c>
      <c r="P69" s="12" t="str">
        <f aca="false">IF(O69="","Excluded",IF(O69&lt;=5,"Lead",IF(O69&lt;=10,"Next wave","Long list")))</f>
        <v>Lead</v>
      </c>
      <c r="Q69" s="10" t="s">
        <v>86</v>
      </c>
      <c r="R69" s="30" t="s">
        <v>427</v>
      </c>
    </row>
    <row r="70" customFormat="false" ht="23.85" hidden="false" customHeight="false" outlineLevel="0" collapsed="false">
      <c r="A70" s="12" t="s">
        <v>31</v>
      </c>
      <c r="B70" s="12" t="s">
        <v>201</v>
      </c>
      <c r="C70" s="10" t="s">
        <v>202</v>
      </c>
      <c r="D70" s="26" t="n">
        <v>23.15</v>
      </c>
      <c r="E70" s="11" t="n">
        <v>4790.5</v>
      </c>
      <c r="F70" s="10" t="s">
        <v>147</v>
      </c>
      <c r="G70" s="7" t="n">
        <v>2</v>
      </c>
      <c r="H70" s="12" t="s">
        <v>77</v>
      </c>
      <c r="I70" s="12" t="s">
        <v>78</v>
      </c>
      <c r="J70" s="10" t="s">
        <v>151</v>
      </c>
      <c r="K70" s="9" t="n">
        <f aca="false">IF(ISNUMBER(D70),COUNTIF($D$6:$D$338,"&lt;"&amp;D70)/(COUNT($D$6:$D$338)-1),"")</f>
        <v>0.43042071197411</v>
      </c>
      <c r="L70" s="9" t="n">
        <f aca="false">IF(ISNUMBER(E70),COUNTIF($E$6:$E$338,"&lt;"&amp;E70)/(COUNT($E$6:$E$338)-1),"")</f>
        <v>0.533132530120482</v>
      </c>
      <c r="M70" s="9" t="n">
        <f aca="false">IF(AND(K70="",L70=""),"",(IF(ISNUMBER(K70),$C$3*K70,0)+IF(ISNUMBER(L70),$E$3*L70,0))/(IF(ISNUMBER(K70),$C$3,0)+IF(ISNUMBER(L70),$E$3,0)))</f>
        <v>0.481776621047296</v>
      </c>
      <c r="N70" s="12"/>
      <c r="O70" s="7" t="n">
        <f aca="false">IF(N70&lt;&gt;"","",COUNTIFS($A$6:$A$338,A70,$N$6:$N$338,"",$M$6:$M$338,"&gt;"&amp;M70)+COUNTIFS($A$6:A70,A70,$N$6:N70,"",$M$6:M70,M70))</f>
        <v>6</v>
      </c>
      <c r="P70" s="12" t="str">
        <f aca="false">IF(O70="","Excluded",IF(O70&lt;=5,"Lead",IF(O70&lt;=10,"Next wave","Long list")))</f>
        <v>Next wave</v>
      </c>
      <c r="Q70" s="10" t="s">
        <v>80</v>
      </c>
      <c r="R70" s="30" t="s">
        <v>428</v>
      </c>
    </row>
    <row r="71" customFormat="false" ht="23.85" hidden="false" customHeight="false" outlineLevel="0" collapsed="false">
      <c r="A71" s="12" t="s">
        <v>31</v>
      </c>
      <c r="B71" s="12" t="s">
        <v>203</v>
      </c>
      <c r="C71" s="10" t="s">
        <v>204</v>
      </c>
      <c r="D71" s="26" t="n">
        <v>39.89</v>
      </c>
      <c r="E71" s="11" t="n">
        <v>2630</v>
      </c>
      <c r="F71" s="10" t="s">
        <v>147</v>
      </c>
      <c r="G71" s="7" t="n">
        <v>1</v>
      </c>
      <c r="H71" s="12" t="s">
        <v>90</v>
      </c>
      <c r="I71" s="12" t="s">
        <v>84</v>
      </c>
      <c r="J71" s="10" t="s">
        <v>163</v>
      </c>
      <c r="K71" s="9" t="n">
        <f aca="false">IF(ISNUMBER(D71),COUNTIF($D$6:$D$338,"&lt;"&amp;D71)/(COUNT($D$6:$D$338)-1),"")</f>
        <v>0.588996763754045</v>
      </c>
      <c r="L71" s="9" t="n">
        <f aca="false">IF(ISNUMBER(E71),COUNTIF($E$6:$E$338,"&lt;"&amp;E71)/(COUNT($E$6:$E$338)-1),"")</f>
        <v>0.331325301204819</v>
      </c>
      <c r="M71" s="9" t="n">
        <f aca="false">IF(AND(K71="",L71=""),"",(IF(ISNUMBER(K71),$C$3*K71,0)+IF(ISNUMBER(L71),$E$3*L71,0))/(IF(ISNUMBER(K71),$C$3,0)+IF(ISNUMBER(L71),$E$3,0)))</f>
        <v>0.460161032479432</v>
      </c>
      <c r="N71" s="12"/>
      <c r="O71" s="7" t="n">
        <f aca="false">IF(N71&lt;&gt;"","",COUNTIFS($A$6:$A$338,A71,$N$6:$N$338,"",$M$6:$M$338,"&gt;"&amp;M71)+COUNTIFS($A$6:A71,A71,$N$6:N71,"",$M$6:M71,M71))</f>
        <v>7</v>
      </c>
      <c r="P71" s="12" t="str">
        <f aca="false">IF(O71="","Excluded",IF(O71&lt;=5,"Lead",IF(O71&lt;=10,"Next wave","Long list")))</f>
        <v>Next wave</v>
      </c>
      <c r="Q71" s="10" t="s">
        <v>80</v>
      </c>
      <c r="R71" s="30" t="s">
        <v>309</v>
      </c>
    </row>
    <row r="72" customFormat="false" ht="23.85" hidden="false" customHeight="false" outlineLevel="0" collapsed="false">
      <c r="A72" s="12" t="s">
        <v>31</v>
      </c>
      <c r="B72" s="12" t="s">
        <v>429</v>
      </c>
      <c r="C72" s="10" t="s">
        <v>430</v>
      </c>
      <c r="D72" s="26" t="n">
        <v>73.63</v>
      </c>
      <c r="E72" s="11" t="n">
        <v>132723.1</v>
      </c>
      <c r="F72" s="10" t="s">
        <v>302</v>
      </c>
      <c r="G72" s="7" t="n">
        <v>1</v>
      </c>
      <c r="H72" s="12" t="s">
        <v>77</v>
      </c>
      <c r="I72" s="12" t="s">
        <v>78</v>
      </c>
      <c r="J72" s="10" t="s">
        <v>142</v>
      </c>
      <c r="K72" s="9" t="n">
        <f aca="false">IF(ISNUMBER(D72),COUNTIF($D$6:$D$338,"&lt;"&amp;D72)/(COUNT($D$6:$D$338)-1),"")</f>
        <v>0.705501618122977</v>
      </c>
      <c r="L72" s="9" t="n">
        <f aca="false">IF(ISNUMBER(E72),COUNTIF($E$6:$E$338,"&lt;"&amp;E72)/(COUNT($E$6:$E$338)-1),"")</f>
        <v>0.996987951807229</v>
      </c>
      <c r="M72" s="9" t="n">
        <f aca="false">IF(AND(K72="",L72=""),"",(IF(ISNUMBER(K72),$C$3*K72,0)+IF(ISNUMBER(L72),$E$3*L72,0))/(IF(ISNUMBER(K72),$C$3,0)+IF(ISNUMBER(L72),$E$3,0)))</f>
        <v>0.851244784965103</v>
      </c>
      <c r="N72" s="12" t="s">
        <v>303</v>
      </c>
      <c r="O72" s="7" t="str">
        <f aca="false">IF(N72&lt;&gt;"","",COUNTIFS($A$6:$A$338,A72,$N$6:$N$338,"",$M$6:$M$338,"&gt;"&amp;M72)+COUNTIFS($A$6:A72,A72,$N$6:N72,"",$M$6:M72,M72))</f>
        <v/>
      </c>
      <c r="P72" s="12" t="str">
        <f aca="false">IF(O72="","Excluded",IF(O72&lt;=5,"Lead",IF(O72&lt;=10,"Next wave","Long list")))</f>
        <v>Excluded</v>
      </c>
      <c r="Q72" s="10" t="s">
        <v>102</v>
      </c>
      <c r="R72" s="30" t="s">
        <v>431</v>
      </c>
    </row>
    <row r="73" customFormat="false" ht="23.85" hidden="false" customHeight="false" outlineLevel="0" collapsed="false">
      <c r="A73" s="12" t="s">
        <v>31</v>
      </c>
      <c r="B73" s="12" t="s">
        <v>432</v>
      </c>
      <c r="C73" s="10" t="s">
        <v>433</v>
      </c>
      <c r="D73" s="26" t="n">
        <v>52.55</v>
      </c>
      <c r="E73" s="11" t="n">
        <v>358084.5</v>
      </c>
      <c r="F73" s="10" t="s">
        <v>302</v>
      </c>
      <c r="G73" s="7" t="n">
        <v>1</v>
      </c>
      <c r="H73" s="12" t="s">
        <v>77</v>
      </c>
      <c r="I73" s="12" t="s">
        <v>84</v>
      </c>
      <c r="J73" s="10"/>
      <c r="K73" s="9" t="n">
        <f aca="false">IF(ISNUMBER(D73),COUNTIF($D$6:$D$338,"&lt;"&amp;D73)/(COUNT($D$6:$D$338)-1),"")</f>
        <v>0.634304207119741</v>
      </c>
      <c r="L73" s="9" t="n">
        <f aca="false">IF(ISNUMBER(E73),COUNTIF($E$6:$E$338,"&lt;"&amp;E73)/(COUNT($E$6:$E$338)-1),"")</f>
        <v>1</v>
      </c>
      <c r="M73" s="9" t="n">
        <f aca="false">IF(AND(K73="",L73=""),"",(IF(ISNUMBER(K73),$C$3*K73,0)+IF(ISNUMBER(L73),$E$3*L73,0))/(IF(ISNUMBER(K73),$C$3,0)+IF(ISNUMBER(L73),$E$3,0)))</f>
        <v>0.817152103559871</v>
      </c>
      <c r="N73" s="12" t="s">
        <v>303</v>
      </c>
      <c r="O73" s="7" t="str">
        <f aca="false">IF(N73&lt;&gt;"","",COUNTIFS($A$6:$A$338,A73,$N$6:$N$338,"",$M$6:$M$338,"&gt;"&amp;M73)+COUNTIFS($A$6:A73,A73,$N$6:N73,"",$M$6:M73,M73))</f>
        <v/>
      </c>
      <c r="P73" s="12" t="str">
        <f aca="false">IF(O73="","Excluded",IF(O73&lt;=5,"Lead",IF(O73&lt;=10,"Next wave","Long list")))</f>
        <v>Excluded</v>
      </c>
      <c r="Q73" s="10" t="s">
        <v>102</v>
      </c>
      <c r="R73" s="30" t="s">
        <v>434</v>
      </c>
    </row>
    <row r="74" customFormat="false" ht="35.05" hidden="false" customHeight="false" outlineLevel="0" collapsed="false">
      <c r="A74" s="12" t="s">
        <v>31</v>
      </c>
      <c r="B74" s="12" t="s">
        <v>87</v>
      </c>
      <c r="C74" s="10" t="s">
        <v>88</v>
      </c>
      <c r="D74" s="26" t="n">
        <v>163.29</v>
      </c>
      <c r="E74" s="11" t="n">
        <v>28093.4</v>
      </c>
      <c r="F74" s="10" t="s">
        <v>302</v>
      </c>
      <c r="G74" s="7" t="n">
        <v>1</v>
      </c>
      <c r="H74" s="12" t="s">
        <v>77</v>
      </c>
      <c r="I74" s="12" t="s">
        <v>84</v>
      </c>
      <c r="J74" s="10" t="s">
        <v>435</v>
      </c>
      <c r="K74" s="9" t="n">
        <f aca="false">IF(ISNUMBER(D74),COUNTIF($D$6:$D$338,"&lt;"&amp;D74)/(COUNT($D$6:$D$338)-1),"")</f>
        <v>0.831715210355987</v>
      </c>
      <c r="L74" s="9" t="n">
        <f aca="false">IF(ISNUMBER(E74),COUNTIF($E$6:$E$338,"&lt;"&amp;E74)/(COUNT($E$6:$E$338)-1),"")</f>
        <v>0.792168674698795</v>
      </c>
      <c r="M74" s="9" t="n">
        <f aca="false">IF(AND(K74="",L74=""),"",(IF(ISNUMBER(K74),$C$3*K74,0)+IF(ISNUMBER(L74),$E$3*L74,0))/(IF(ISNUMBER(K74),$C$3,0)+IF(ISNUMBER(L74),$E$3,0)))</f>
        <v>0.811941942527391</v>
      </c>
      <c r="N74" s="12" t="s">
        <v>303</v>
      </c>
      <c r="O74" s="7" t="str">
        <f aca="false">IF(N74&lt;&gt;"","",COUNTIFS($A$6:$A$338,A74,$N$6:$N$338,"",$M$6:$M$338,"&gt;"&amp;M74)+COUNTIFS($A$6:A74,A74,$N$6:N74,"",$M$6:M74,M74))</f>
        <v/>
      </c>
      <c r="P74" s="12" t="str">
        <f aca="false">IF(O74="","Excluded",IF(O74&lt;=5,"Lead",IF(O74&lt;=10,"Next wave","Long list")))</f>
        <v>Excluded</v>
      </c>
      <c r="Q74" s="10" t="s">
        <v>80</v>
      </c>
      <c r="R74" s="30" t="s">
        <v>311</v>
      </c>
    </row>
    <row r="75" customFormat="false" ht="35.05" hidden="false" customHeight="false" outlineLevel="0" collapsed="false">
      <c r="A75" s="12" t="s">
        <v>31</v>
      </c>
      <c r="B75" s="12" t="s">
        <v>120</v>
      </c>
      <c r="C75" s="10" t="s">
        <v>121</v>
      </c>
      <c r="D75" s="26" t="n">
        <v>18.93</v>
      </c>
      <c r="E75" s="11" t="n">
        <v>41503.2</v>
      </c>
      <c r="F75" s="10" t="s">
        <v>302</v>
      </c>
      <c r="G75" s="7" t="n">
        <v>1</v>
      </c>
      <c r="H75" s="12" t="s">
        <v>77</v>
      </c>
      <c r="I75" s="12" t="s">
        <v>84</v>
      </c>
      <c r="J75" s="10" t="s">
        <v>436</v>
      </c>
      <c r="K75" s="9" t="n">
        <f aca="false">IF(ISNUMBER(D75),COUNTIF($D$6:$D$338,"&lt;"&amp;D75)/(COUNT($D$6:$D$338)-1),"")</f>
        <v>0.375404530744337</v>
      </c>
      <c r="L75" s="9" t="n">
        <f aca="false">IF(ISNUMBER(E75),COUNTIF($E$6:$E$338,"&lt;"&amp;E75)/(COUNT($E$6:$E$338)-1),"")</f>
        <v>0.885542168674699</v>
      </c>
      <c r="M75" s="9" t="n">
        <f aca="false">IF(AND(K75="",L75=""),"",(IF(ISNUMBER(K75),$C$3*K75,0)+IF(ISNUMBER(L75),$E$3*L75,0))/(IF(ISNUMBER(K75),$C$3,0)+IF(ISNUMBER(L75),$E$3,0)))</f>
        <v>0.630473349709518</v>
      </c>
      <c r="N75" s="12" t="s">
        <v>303</v>
      </c>
      <c r="O75" s="7" t="str">
        <f aca="false">IF(N75&lt;&gt;"","",COUNTIFS($A$6:$A$338,A75,$N$6:$N$338,"",$M$6:$M$338,"&gt;"&amp;M75)+COUNTIFS($A$6:A75,A75,$N$6:N75,"",$M$6:M75,M75))</f>
        <v/>
      </c>
      <c r="P75" s="12" t="str">
        <f aca="false">IF(O75="","Excluded",IF(O75&lt;=5,"Lead",IF(O75&lt;=10,"Next wave","Long list")))</f>
        <v>Excluded</v>
      </c>
      <c r="Q75" s="10" t="s">
        <v>80</v>
      </c>
      <c r="R75" s="30" t="s">
        <v>318</v>
      </c>
    </row>
    <row r="76" customFormat="false" ht="35.05" hidden="false" customHeight="false" outlineLevel="0" collapsed="false">
      <c r="A76" s="12" t="s">
        <v>31</v>
      </c>
      <c r="B76" s="12" t="s">
        <v>74</v>
      </c>
      <c r="C76" s="10" t="s">
        <v>75</v>
      </c>
      <c r="D76" s="26" t="n">
        <v>10.24</v>
      </c>
      <c r="E76" s="11" t="n">
        <v>42181.7</v>
      </c>
      <c r="F76" s="10" t="s">
        <v>302</v>
      </c>
      <c r="G76" s="7" t="n">
        <v>1</v>
      </c>
      <c r="H76" s="12" t="s">
        <v>77</v>
      </c>
      <c r="I76" s="12" t="s">
        <v>78</v>
      </c>
      <c r="J76" s="10" t="s">
        <v>79</v>
      </c>
      <c r="K76" s="9" t="n">
        <f aca="false">IF(ISNUMBER(D76),COUNTIF($D$6:$D$338,"&lt;"&amp;D76)/(COUNT($D$6:$D$338)-1),"")</f>
        <v>0.242718446601942</v>
      </c>
      <c r="L76" s="9" t="n">
        <f aca="false">IF(ISNUMBER(E76),COUNTIF($E$6:$E$338,"&lt;"&amp;E76)/(COUNT($E$6:$E$338)-1),"")</f>
        <v>0.897590361445783</v>
      </c>
      <c r="M76" s="9" t="n">
        <f aca="false">IF(AND(K76="",L76=""),"",(IF(ISNUMBER(K76),$C$3*K76,0)+IF(ISNUMBER(L76),$E$3*L76,0))/(IF(ISNUMBER(K76),$C$3,0)+IF(ISNUMBER(L76),$E$3,0)))</f>
        <v>0.570154404023862</v>
      </c>
      <c r="N76" s="12" t="s">
        <v>303</v>
      </c>
      <c r="O76" s="7" t="str">
        <f aca="false">IF(N76&lt;&gt;"","",COUNTIFS($A$6:$A$338,A76,$N$6:$N$338,"",$M$6:$M$338,"&gt;"&amp;M76)+COUNTIFS($A$6:A76,A76,$N$6:N76,"",$M$6:M76,M76))</f>
        <v/>
      </c>
      <c r="P76" s="12" t="str">
        <f aca="false">IF(O76="","Excluded",IF(O76&lt;=5,"Lead",IF(O76&lt;=10,"Next wave","Long list")))</f>
        <v>Excluded</v>
      </c>
      <c r="Q76" s="10" t="s">
        <v>80</v>
      </c>
      <c r="R76" s="30" t="s">
        <v>310</v>
      </c>
    </row>
    <row r="77" customFormat="false" ht="23.85" hidden="false" customHeight="false" outlineLevel="0" collapsed="false">
      <c r="A77" s="12" t="s">
        <v>31</v>
      </c>
      <c r="B77" s="12" t="s">
        <v>437</v>
      </c>
      <c r="C77" s="10" t="s">
        <v>438</v>
      </c>
      <c r="D77" s="26"/>
      <c r="E77" s="11" t="n">
        <v>5695.2</v>
      </c>
      <c r="F77" s="10" t="s">
        <v>302</v>
      </c>
      <c r="G77" s="7" t="n">
        <v>1</v>
      </c>
      <c r="H77" s="12" t="s">
        <v>77</v>
      </c>
      <c r="I77" s="12" t="s">
        <v>84</v>
      </c>
      <c r="J77" s="10"/>
      <c r="K77" s="9" t="str">
        <f aca="false">IF(ISNUMBER(D77),COUNTIF($D$6:$D$338,"&lt;"&amp;D77)/(COUNT($D$6:$D$338)-1),"")</f>
        <v/>
      </c>
      <c r="L77" s="9" t="n">
        <f aca="false">IF(ISNUMBER(E77),COUNTIF($E$6:$E$338,"&lt;"&amp;E77)/(COUNT($E$6:$E$338)-1),"")</f>
        <v>0.563253012048193</v>
      </c>
      <c r="M77" s="9" t="n">
        <f aca="false">IF(AND(K77="",L77=""),"",(IF(ISNUMBER(K77),$C$3*K77,0)+IF(ISNUMBER(L77),$E$3*L77,0))/(IF(ISNUMBER(K77),$C$3,0)+IF(ISNUMBER(L77),$E$3,0)))</f>
        <v>0.563253012048193</v>
      </c>
      <c r="N77" s="12" t="s">
        <v>303</v>
      </c>
      <c r="O77" s="7" t="str">
        <f aca="false">IF(N77&lt;&gt;"","",COUNTIFS($A$6:$A$338,A77,$N$6:$N$338,"",$M$6:$M$338,"&gt;"&amp;M77)+COUNTIFS($A$6:A77,A77,$N$6:N77,"",$M$6:M77,M77))</f>
        <v/>
      </c>
      <c r="P77" s="12" t="str">
        <f aca="false">IF(O77="","Excluded",IF(O77&lt;=5,"Lead",IF(O77&lt;=10,"Next wave","Long list")))</f>
        <v>Excluded</v>
      </c>
      <c r="Q77" s="10" t="s">
        <v>102</v>
      </c>
      <c r="R77" s="30" t="s">
        <v>439</v>
      </c>
    </row>
    <row r="78" customFormat="false" ht="23.85" hidden="false" customHeight="false" outlineLevel="0" collapsed="false">
      <c r="A78" s="12" t="s">
        <v>31</v>
      </c>
      <c r="B78" s="12" t="s">
        <v>176</v>
      </c>
      <c r="C78" s="10" t="s">
        <v>177</v>
      </c>
      <c r="D78" s="26" t="n">
        <v>82.51</v>
      </c>
      <c r="E78" s="11" t="n">
        <v>2931.4</v>
      </c>
      <c r="F78" s="10" t="s">
        <v>302</v>
      </c>
      <c r="G78" s="7" t="n">
        <v>1</v>
      </c>
      <c r="H78" s="12" t="s">
        <v>196</v>
      </c>
      <c r="I78" s="12" t="s">
        <v>84</v>
      </c>
      <c r="J78" s="10" t="s">
        <v>178</v>
      </c>
      <c r="K78" s="9" t="n">
        <f aca="false">IF(ISNUMBER(D78),COUNTIF($D$6:$D$338,"&lt;"&amp;D78)/(COUNT($D$6:$D$338)-1),"")</f>
        <v>0.728155339805825</v>
      </c>
      <c r="L78" s="9" t="n">
        <f aca="false">IF(ISNUMBER(E78),COUNTIF($E$6:$E$338,"&lt;"&amp;E78)/(COUNT($E$6:$E$338)-1),"")</f>
        <v>0.394578313253012</v>
      </c>
      <c r="M78" s="9" t="n">
        <f aca="false">IF(AND(K78="",L78=""),"",(IF(ISNUMBER(K78),$C$3*K78,0)+IF(ISNUMBER(L78),$E$3*L78,0))/(IF(ISNUMBER(K78),$C$3,0)+IF(ISNUMBER(L78),$E$3,0)))</f>
        <v>0.561366826529419</v>
      </c>
      <c r="N78" s="12" t="s">
        <v>303</v>
      </c>
      <c r="O78" s="7" t="str">
        <f aca="false">IF(N78&lt;&gt;"","",COUNTIFS($A$6:$A$338,A78,$N$6:$N$338,"",$M$6:$M$338,"&gt;"&amp;M78)+COUNTIFS($A$6:A78,A78,$N$6:N78,"",$M$6:M78,M78))</f>
        <v/>
      </c>
      <c r="P78" s="12" t="str">
        <f aca="false">IF(O78="","Excluded",IF(O78&lt;=5,"Lead",IF(O78&lt;=10,"Next wave","Long list")))</f>
        <v>Excluded</v>
      </c>
      <c r="Q78" s="10" t="s">
        <v>80</v>
      </c>
      <c r="R78" s="30" t="s">
        <v>440</v>
      </c>
    </row>
    <row r="79" customFormat="false" ht="35.05" hidden="false" customHeight="false" outlineLevel="0" collapsed="false">
      <c r="A79" s="12" t="s">
        <v>31</v>
      </c>
      <c r="B79" s="12" t="s">
        <v>262</v>
      </c>
      <c r="C79" s="10" t="s">
        <v>263</v>
      </c>
      <c r="D79" s="26" t="n">
        <v>41.27</v>
      </c>
      <c r="E79" s="11" t="n">
        <v>3973.7</v>
      </c>
      <c r="F79" s="10" t="s">
        <v>302</v>
      </c>
      <c r="G79" s="7" t="n">
        <v>2</v>
      </c>
      <c r="H79" s="12" t="s">
        <v>77</v>
      </c>
      <c r="I79" s="12" t="s">
        <v>84</v>
      </c>
      <c r="J79" s="10" t="s">
        <v>264</v>
      </c>
      <c r="K79" s="9" t="n">
        <f aca="false">IF(ISNUMBER(D79),COUNTIF($D$6:$D$338,"&lt;"&amp;D79)/(COUNT($D$6:$D$338)-1),"")</f>
        <v>0.595469255663431</v>
      </c>
      <c r="L79" s="9" t="n">
        <f aca="false">IF(ISNUMBER(E79),COUNTIF($E$6:$E$338,"&lt;"&amp;E79)/(COUNT($E$6:$E$338)-1),"")</f>
        <v>0.493975903614458</v>
      </c>
      <c r="M79" s="9" t="n">
        <f aca="false">IF(AND(K79="",L79=""),"",(IF(ISNUMBER(K79),$C$3*K79,0)+IF(ISNUMBER(L79),$E$3*L79,0))/(IF(ISNUMBER(K79),$C$3,0)+IF(ISNUMBER(L79),$E$3,0)))</f>
        <v>0.544722579638944</v>
      </c>
      <c r="N79" s="12" t="s">
        <v>303</v>
      </c>
      <c r="O79" s="7" t="str">
        <f aca="false">IF(N79&lt;&gt;"","",COUNTIFS($A$6:$A$338,A79,$N$6:$N$338,"",$M$6:$M$338,"&gt;"&amp;M79)+COUNTIFS($A$6:A79,A79,$N$6:N79,"",$M$6:M79,M79))</f>
        <v/>
      </c>
      <c r="P79" s="12" t="str">
        <f aca="false">IF(O79="","Excluded",IF(O79&lt;=5,"Lead",IF(O79&lt;=10,"Next wave","Long list")))</f>
        <v>Excluded</v>
      </c>
      <c r="Q79" s="10" t="s">
        <v>80</v>
      </c>
      <c r="R79" s="30" t="s">
        <v>441</v>
      </c>
    </row>
    <row r="80" customFormat="false" ht="35.05" hidden="false" customHeight="false" outlineLevel="0" collapsed="false">
      <c r="A80" s="12" t="s">
        <v>31</v>
      </c>
      <c r="B80" s="12" t="s">
        <v>423</v>
      </c>
      <c r="C80" s="10" t="s">
        <v>424</v>
      </c>
      <c r="D80" s="26" t="n">
        <v>24.42</v>
      </c>
      <c r="E80" s="11" t="n">
        <v>6294.9</v>
      </c>
      <c r="F80" s="10" t="s">
        <v>302</v>
      </c>
      <c r="G80" s="7" t="n">
        <v>1</v>
      </c>
      <c r="H80" s="12" t="s">
        <v>95</v>
      </c>
      <c r="I80" s="12" t="s">
        <v>95</v>
      </c>
      <c r="J80" s="10" t="s">
        <v>178</v>
      </c>
      <c r="K80" s="9" t="n">
        <f aca="false">IF(ISNUMBER(D80),COUNTIF($D$6:$D$338,"&lt;"&amp;D80)/(COUNT($D$6:$D$338)-1),"")</f>
        <v>0.459546925566343</v>
      </c>
      <c r="L80" s="9" t="n">
        <f aca="false">IF(ISNUMBER(E80),COUNTIF($E$6:$E$338,"&lt;"&amp;E80)/(COUNT($E$6:$E$338)-1),"")</f>
        <v>0.593373493975904</v>
      </c>
      <c r="M80" s="9" t="n">
        <f aca="false">IF(AND(K80="",L80=""),"",(IF(ISNUMBER(K80),$C$3*K80,0)+IF(ISNUMBER(L80),$E$3*L80,0))/(IF(ISNUMBER(K80),$C$3,0)+IF(ISNUMBER(L80),$E$3,0)))</f>
        <v>0.526460209771123</v>
      </c>
      <c r="N80" s="12" t="s">
        <v>303</v>
      </c>
      <c r="O80" s="7" t="str">
        <f aca="false">IF(N80&lt;&gt;"","",COUNTIFS($A$6:$A$338,A80,$N$6:$N$338,"",$M$6:$M$338,"&gt;"&amp;M80)+COUNTIFS($A$6:A80,A80,$N$6:N80,"",$M$6:M80,M80))</f>
        <v/>
      </c>
      <c r="P80" s="12" t="str">
        <f aca="false">IF(O80="","Excluded",IF(O80&lt;=5,"Lead",IF(O80&lt;=10,"Next wave","Long list")))</f>
        <v>Excluded</v>
      </c>
      <c r="Q80" s="10" t="s">
        <v>97</v>
      </c>
      <c r="R80" s="30" t="s">
        <v>425</v>
      </c>
    </row>
    <row r="81" customFormat="false" ht="23.85" hidden="false" customHeight="false" outlineLevel="0" collapsed="false">
      <c r="A81" s="12" t="s">
        <v>31</v>
      </c>
      <c r="B81" s="12" t="s">
        <v>442</v>
      </c>
      <c r="C81" s="10" t="s">
        <v>443</v>
      </c>
      <c r="D81" s="26" t="n">
        <v>218.08</v>
      </c>
      <c r="E81" s="11" t="n">
        <v>484.6</v>
      </c>
      <c r="F81" s="10" t="s">
        <v>302</v>
      </c>
      <c r="G81" s="7" t="n">
        <v>1</v>
      </c>
      <c r="H81" s="12" t="s">
        <v>77</v>
      </c>
      <c r="I81" s="12" t="s">
        <v>78</v>
      </c>
      <c r="J81" s="10" t="s">
        <v>142</v>
      </c>
      <c r="K81" s="9" t="n">
        <f aca="false">IF(ISNUMBER(D81),COUNTIF($D$6:$D$338,"&lt;"&amp;D81)/(COUNT($D$6:$D$338)-1),"")</f>
        <v>0.857605177993528</v>
      </c>
      <c r="L81" s="9" t="n">
        <f aca="false">IF(ISNUMBER(E81),COUNTIF($E$6:$E$338,"&lt;"&amp;E81)/(COUNT($E$6:$E$338)-1),"")</f>
        <v>0.102409638554217</v>
      </c>
      <c r="M81" s="9" t="n">
        <f aca="false">IF(AND(K81="",L81=""),"",(IF(ISNUMBER(K81),$C$3*K81,0)+IF(ISNUMBER(L81),$E$3*L81,0))/(IF(ISNUMBER(K81),$C$3,0)+IF(ISNUMBER(L81),$E$3,0)))</f>
        <v>0.480007408273872</v>
      </c>
      <c r="N81" s="12" t="s">
        <v>303</v>
      </c>
      <c r="O81" s="7" t="str">
        <f aca="false">IF(N81&lt;&gt;"","",COUNTIFS($A$6:$A$338,A81,$N$6:$N$338,"",$M$6:$M$338,"&gt;"&amp;M81)+COUNTIFS($A$6:A81,A81,$N$6:N81,"",$M$6:M81,M81))</f>
        <v/>
      </c>
      <c r="P81" s="12" t="str">
        <f aca="false">IF(O81="","Excluded",IF(O81&lt;=5,"Lead",IF(O81&lt;=10,"Next wave","Long list")))</f>
        <v>Excluded</v>
      </c>
      <c r="Q81" s="10" t="s">
        <v>102</v>
      </c>
      <c r="R81" s="30" t="s">
        <v>444</v>
      </c>
    </row>
    <row r="82" customFormat="false" ht="23.85" hidden="false" customHeight="false" outlineLevel="0" collapsed="false">
      <c r="A82" s="12" t="s">
        <v>31</v>
      </c>
      <c r="B82" s="12" t="s">
        <v>173</v>
      </c>
      <c r="C82" s="10" t="s">
        <v>174</v>
      </c>
      <c r="D82" s="26" t="n">
        <v>13.97</v>
      </c>
      <c r="E82" s="11" t="n">
        <v>6632.6</v>
      </c>
      <c r="F82" s="10" t="s">
        <v>302</v>
      </c>
      <c r="G82" s="7" t="n">
        <v>1</v>
      </c>
      <c r="H82" s="12" t="s">
        <v>77</v>
      </c>
      <c r="I82" s="12" t="s">
        <v>84</v>
      </c>
      <c r="J82" s="10" t="s">
        <v>175</v>
      </c>
      <c r="K82" s="9" t="n">
        <f aca="false">IF(ISNUMBER(D82),COUNTIF($D$6:$D$338,"&lt;"&amp;D82)/(COUNT($D$6:$D$338)-1),"")</f>
        <v>0.310679611650485</v>
      </c>
      <c r="L82" s="9" t="n">
        <f aca="false">IF(ISNUMBER(E82),COUNTIF($E$6:$E$338,"&lt;"&amp;E82)/(COUNT($E$6:$E$338)-1),"")</f>
        <v>0.61144578313253</v>
      </c>
      <c r="M82" s="9" t="n">
        <f aca="false">IF(AND(K82="",L82=""),"",(IF(ISNUMBER(K82),$C$3*K82,0)+IF(ISNUMBER(L82),$E$3*L82,0))/(IF(ISNUMBER(K82),$C$3,0)+IF(ISNUMBER(L82),$E$3,0)))</f>
        <v>0.461062697391508</v>
      </c>
      <c r="N82" s="12" t="s">
        <v>303</v>
      </c>
      <c r="O82" s="7" t="str">
        <f aca="false">IF(N82&lt;&gt;"","",COUNTIFS($A$6:$A$338,A82,$N$6:$N$338,"",$M$6:$M$338,"&gt;"&amp;M82)+COUNTIFS($A$6:A82,A82,$N$6:N82,"",$M$6:M82,M82))</f>
        <v/>
      </c>
      <c r="P82" s="12" t="str">
        <f aca="false">IF(O82="","Excluded",IF(O82&lt;=5,"Lead",IF(O82&lt;=10,"Next wave","Long list")))</f>
        <v>Excluded</v>
      </c>
      <c r="Q82" s="10" t="s">
        <v>80</v>
      </c>
      <c r="R82" s="30" t="s">
        <v>445</v>
      </c>
    </row>
    <row r="83" customFormat="false" ht="23.85" hidden="false" customHeight="false" outlineLevel="0" collapsed="false">
      <c r="A83" s="12" t="s">
        <v>31</v>
      </c>
      <c r="B83" s="12" t="s">
        <v>446</v>
      </c>
      <c r="C83" s="10" t="s">
        <v>447</v>
      </c>
      <c r="D83" s="26" t="n">
        <v>118.45</v>
      </c>
      <c r="E83" s="11" t="n">
        <v>184.9</v>
      </c>
      <c r="F83" s="10" t="s">
        <v>302</v>
      </c>
      <c r="G83" s="7" t="n">
        <v>1</v>
      </c>
      <c r="H83" s="12" t="s">
        <v>77</v>
      </c>
      <c r="I83" s="12" t="s">
        <v>84</v>
      </c>
      <c r="J83" s="10" t="s">
        <v>163</v>
      </c>
      <c r="K83" s="9" t="n">
        <f aca="false">IF(ISNUMBER(D83),COUNTIF($D$6:$D$338,"&lt;"&amp;D83)/(COUNT($D$6:$D$338)-1),"")</f>
        <v>0.786407766990291</v>
      </c>
      <c r="L83" s="9" t="n">
        <f aca="false">IF(ISNUMBER(E83),COUNTIF($E$6:$E$338,"&lt;"&amp;E83)/(COUNT($E$6:$E$338)-1),"")</f>
        <v>0.0572289156626506</v>
      </c>
      <c r="M83" s="9" t="n">
        <f aca="false">IF(AND(K83="",L83=""),"",(IF(ISNUMBER(K83),$C$3*K83,0)+IF(ISNUMBER(L83),$E$3*L83,0))/(IF(ISNUMBER(K83),$C$3,0)+IF(ISNUMBER(L83),$E$3,0)))</f>
        <v>0.421818341326471</v>
      </c>
      <c r="N83" s="12" t="s">
        <v>303</v>
      </c>
      <c r="O83" s="7" t="str">
        <f aca="false">IF(N83&lt;&gt;"","",COUNTIFS($A$6:$A$338,A83,$N$6:$N$338,"",$M$6:$M$338,"&gt;"&amp;M83)+COUNTIFS($A$6:A83,A83,$N$6:N83,"",$M$6:M83,M83))</f>
        <v/>
      </c>
      <c r="P83" s="12" t="str">
        <f aca="false">IF(O83="","Excluded",IF(O83&lt;=5,"Lead",IF(O83&lt;=10,"Next wave","Long list")))</f>
        <v>Excluded</v>
      </c>
      <c r="Q83" s="10" t="s">
        <v>80</v>
      </c>
      <c r="R83" s="30" t="s">
        <v>448</v>
      </c>
    </row>
    <row r="84" customFormat="false" ht="35.05" hidden="false" customHeight="false" outlineLevel="0" collapsed="false">
      <c r="A84" s="12" t="s">
        <v>31</v>
      </c>
      <c r="B84" s="12" t="s">
        <v>396</v>
      </c>
      <c r="C84" s="10" t="s">
        <v>397</v>
      </c>
      <c r="D84" s="26" t="n">
        <v>60.37</v>
      </c>
      <c r="E84" s="11" t="n">
        <v>301.7</v>
      </c>
      <c r="F84" s="10" t="s">
        <v>302</v>
      </c>
      <c r="G84" s="7" t="n">
        <v>1</v>
      </c>
      <c r="H84" s="12" t="s">
        <v>77</v>
      </c>
      <c r="I84" s="12" t="s">
        <v>84</v>
      </c>
      <c r="J84" s="10" t="s">
        <v>399</v>
      </c>
      <c r="K84" s="9" t="n">
        <f aca="false">IF(ISNUMBER(D84),COUNTIF($D$6:$D$338,"&lt;"&amp;D84)/(COUNT($D$6:$D$338)-1),"")</f>
        <v>0.666666666666667</v>
      </c>
      <c r="L84" s="9" t="n">
        <f aca="false">IF(ISNUMBER(E84),COUNTIF($E$6:$E$338,"&lt;"&amp;E84)/(COUNT($E$6:$E$338)-1),"")</f>
        <v>0.0813253012048193</v>
      </c>
      <c r="M84" s="9" t="n">
        <f aca="false">IF(AND(K84="",L84=""),"",(IF(ISNUMBER(K84),$C$3*K84,0)+IF(ISNUMBER(L84),$E$3*L84,0))/(IF(ISNUMBER(K84),$C$3,0)+IF(ISNUMBER(L84),$E$3,0)))</f>
        <v>0.373995983935743</v>
      </c>
      <c r="N84" s="12" t="s">
        <v>303</v>
      </c>
      <c r="O84" s="7" t="str">
        <f aca="false">IF(N84&lt;&gt;"","",COUNTIFS($A$6:$A$338,A84,$N$6:$N$338,"",$M$6:$M$338,"&gt;"&amp;M84)+COUNTIFS($A$6:A84,A84,$N$6:N84,"",$M$6:M84,M84))</f>
        <v/>
      </c>
      <c r="P84" s="12" t="str">
        <f aca="false">IF(O84="","Excluded",IF(O84&lt;=5,"Lead",IF(O84&lt;=10,"Next wave","Long list")))</f>
        <v>Excluded</v>
      </c>
      <c r="Q84" s="10" t="s">
        <v>80</v>
      </c>
      <c r="R84" s="30" t="s">
        <v>400</v>
      </c>
    </row>
    <row r="85" customFormat="false" ht="23.85" hidden="false" customHeight="false" outlineLevel="0" collapsed="false">
      <c r="A85" s="12" t="s">
        <v>31</v>
      </c>
      <c r="B85" s="12" t="s">
        <v>361</v>
      </c>
      <c r="C85" s="10" t="s">
        <v>362</v>
      </c>
      <c r="D85" s="26" t="n">
        <v>19.65</v>
      </c>
      <c r="E85" s="11" t="n">
        <v>2690.1</v>
      </c>
      <c r="F85" s="10" t="s">
        <v>302</v>
      </c>
      <c r="G85" s="7" t="n">
        <v>1</v>
      </c>
      <c r="H85" s="12" t="s">
        <v>77</v>
      </c>
      <c r="I85" s="12" t="s">
        <v>84</v>
      </c>
      <c r="J85" s="10"/>
      <c r="K85" s="9" t="n">
        <f aca="false">IF(ISNUMBER(D85),COUNTIF($D$6:$D$338,"&lt;"&amp;D85)/(COUNT($D$6:$D$338)-1),"")</f>
        <v>0.378640776699029</v>
      </c>
      <c r="L85" s="9" t="n">
        <f aca="false">IF(ISNUMBER(E85),COUNTIF($E$6:$E$338,"&lt;"&amp;E85)/(COUNT($E$6:$E$338)-1),"")</f>
        <v>0.340361445783133</v>
      </c>
      <c r="M85" s="9" t="n">
        <f aca="false">IF(AND(K85="",L85=""),"",(IF(ISNUMBER(K85),$C$3*K85,0)+IF(ISNUMBER(L85),$E$3*L85,0))/(IF(ISNUMBER(K85),$C$3,0)+IF(ISNUMBER(L85),$E$3,0)))</f>
        <v>0.359501111241081</v>
      </c>
      <c r="N85" s="12" t="s">
        <v>303</v>
      </c>
      <c r="O85" s="7" t="str">
        <f aca="false">IF(N85&lt;&gt;"","",COUNTIFS($A$6:$A$338,A85,$N$6:$N$338,"",$M$6:$M$338,"&gt;"&amp;M85)+COUNTIFS($A$6:A85,A85,$N$6:N85,"",$M$6:M85,M85))</f>
        <v/>
      </c>
      <c r="P85" s="12" t="str">
        <f aca="false">IF(O85="","Excluded",IF(O85&lt;=5,"Lead",IF(O85&lt;=10,"Next wave","Long list")))</f>
        <v>Excluded</v>
      </c>
      <c r="Q85" s="10" t="s">
        <v>102</v>
      </c>
      <c r="R85" s="30" t="s">
        <v>363</v>
      </c>
    </row>
    <row r="86" customFormat="false" ht="23.85" hidden="false" customHeight="false" outlineLevel="0" collapsed="false">
      <c r="A86" s="12" t="s">
        <v>31</v>
      </c>
      <c r="B86" s="12" t="s">
        <v>449</v>
      </c>
      <c r="C86" s="10" t="s">
        <v>450</v>
      </c>
      <c r="D86" s="26" t="n">
        <v>21.16</v>
      </c>
      <c r="E86" s="11" t="n">
        <v>520.8</v>
      </c>
      <c r="F86" s="10" t="s">
        <v>302</v>
      </c>
      <c r="G86" s="7" t="n">
        <v>1</v>
      </c>
      <c r="H86" s="12" t="s">
        <v>196</v>
      </c>
      <c r="I86" s="12" t="s">
        <v>84</v>
      </c>
      <c r="J86" s="10" t="s">
        <v>101</v>
      </c>
      <c r="K86" s="9" t="n">
        <f aca="false">IF(ISNUMBER(D86),COUNTIF($D$6:$D$338,"&lt;"&amp;D86)/(COUNT($D$6:$D$338)-1),"")</f>
        <v>0.398058252427184</v>
      </c>
      <c r="L86" s="9" t="n">
        <f aca="false">IF(ISNUMBER(E86),COUNTIF($E$6:$E$338,"&lt;"&amp;E86)/(COUNT($E$6:$E$338)-1),"")</f>
        <v>0.117469879518072</v>
      </c>
      <c r="M86" s="9" t="n">
        <f aca="false">IF(AND(K86="",L86=""),"",(IF(ISNUMBER(K86),$C$3*K86,0)+IF(ISNUMBER(L86),$E$3*L86,0))/(IF(ISNUMBER(K86),$C$3,0)+IF(ISNUMBER(L86),$E$3,0)))</f>
        <v>0.257764065972628</v>
      </c>
      <c r="N86" s="12" t="s">
        <v>303</v>
      </c>
      <c r="O86" s="7" t="str">
        <f aca="false">IF(N86&lt;&gt;"","",COUNTIFS($A$6:$A$338,A86,$N$6:$N$338,"",$M$6:$M$338,"&gt;"&amp;M86)+COUNTIFS($A$6:A86,A86,$N$6:N86,"",$M$6:M86,M86))</f>
        <v/>
      </c>
      <c r="P86" s="12" t="str">
        <f aca="false">IF(O86="","Excluded",IF(O86&lt;=5,"Lead",IF(O86&lt;=10,"Next wave","Long list")))</f>
        <v>Excluded</v>
      </c>
      <c r="Q86" s="10" t="s">
        <v>102</v>
      </c>
      <c r="R86" s="30" t="s">
        <v>451</v>
      </c>
    </row>
    <row r="87" customFormat="false" ht="23.85" hidden="false" customHeight="false" outlineLevel="0" collapsed="false">
      <c r="A87" s="12" t="s">
        <v>31</v>
      </c>
      <c r="B87" s="12" t="s">
        <v>393</v>
      </c>
      <c r="C87" s="10" t="s">
        <v>394</v>
      </c>
      <c r="D87" s="26" t="n">
        <v>6.94</v>
      </c>
      <c r="E87" s="11" t="n">
        <v>2802.1</v>
      </c>
      <c r="F87" s="10" t="s">
        <v>302</v>
      </c>
      <c r="G87" s="7" t="n">
        <v>1</v>
      </c>
      <c r="H87" s="12" t="s">
        <v>77</v>
      </c>
      <c r="I87" s="12" t="s">
        <v>84</v>
      </c>
      <c r="J87" s="10" t="s">
        <v>168</v>
      </c>
      <c r="K87" s="9" t="n">
        <f aca="false">IF(ISNUMBER(D87),COUNTIF($D$6:$D$338,"&lt;"&amp;D87)/(COUNT($D$6:$D$338)-1),"")</f>
        <v>0.110032362459547</v>
      </c>
      <c r="L87" s="9" t="n">
        <f aca="false">IF(ISNUMBER(E87),COUNTIF($E$6:$E$338,"&lt;"&amp;E87)/(COUNT($E$6:$E$338)-1),"")</f>
        <v>0.352409638554217</v>
      </c>
      <c r="M87" s="9" t="n">
        <f aca="false">IF(AND(K87="",L87=""),"",(IF(ISNUMBER(K87),$C$3*K87,0)+IF(ISNUMBER(L87),$E$3*L87,0))/(IF(ISNUMBER(K87),$C$3,0)+IF(ISNUMBER(L87),$E$3,0)))</f>
        <v>0.231221000506882</v>
      </c>
      <c r="N87" s="12" t="s">
        <v>303</v>
      </c>
      <c r="O87" s="7" t="str">
        <f aca="false">IF(N87&lt;&gt;"","",COUNTIFS($A$6:$A$338,A87,$N$6:$N$338,"",$M$6:$M$338,"&gt;"&amp;M87)+COUNTIFS($A$6:A87,A87,$N$6:N87,"",$M$6:M87,M87))</f>
        <v/>
      </c>
      <c r="P87" s="12" t="str">
        <f aca="false">IF(O87="","Excluded",IF(O87&lt;=5,"Lead",IF(O87&lt;=10,"Next wave","Long list")))</f>
        <v>Excluded</v>
      </c>
      <c r="Q87" s="10" t="s">
        <v>80</v>
      </c>
      <c r="R87" s="30" t="s">
        <v>395</v>
      </c>
    </row>
    <row r="88" customFormat="false" ht="35.05" hidden="false" customHeight="false" outlineLevel="0" collapsed="false">
      <c r="A88" s="12" t="s">
        <v>25</v>
      </c>
      <c r="B88" s="12" t="s">
        <v>74</v>
      </c>
      <c r="C88" s="10" t="s">
        <v>75</v>
      </c>
      <c r="D88" s="26" t="n">
        <v>259.25</v>
      </c>
      <c r="E88" s="11" t="n">
        <v>42181.7</v>
      </c>
      <c r="F88" s="10" t="s">
        <v>156</v>
      </c>
      <c r="G88" s="7" t="n">
        <v>34</v>
      </c>
      <c r="H88" s="12" t="s">
        <v>77</v>
      </c>
      <c r="I88" s="12" t="s">
        <v>107</v>
      </c>
      <c r="J88" s="10" t="s">
        <v>79</v>
      </c>
      <c r="K88" s="9" t="n">
        <f aca="false">IF(ISNUMBER(D88),COUNTIF($D$6:$D$338,"&lt;"&amp;D88)/(COUNT($D$6:$D$338)-1),"")</f>
        <v>0.883495145631068</v>
      </c>
      <c r="L88" s="9" t="n">
        <f aca="false">IF(ISNUMBER(E88),COUNTIF($E$6:$E$338,"&lt;"&amp;E88)/(COUNT($E$6:$E$338)-1),"")</f>
        <v>0.897590361445783</v>
      </c>
      <c r="M88" s="9" t="n">
        <f aca="false">IF(AND(K88="",L88=""),"",(IF(ISNUMBER(K88),$C$3*K88,0)+IF(ISNUMBER(L88),$E$3*L88,0))/(IF(ISNUMBER(K88),$C$3,0)+IF(ISNUMBER(L88),$E$3,0)))</f>
        <v>0.890542753538426</v>
      </c>
      <c r="N88" s="12"/>
      <c r="O88" s="7" t="n">
        <f aca="false">IF(N88&lt;&gt;"","",COUNTIFS($A$6:$A$338,A88,$N$6:$N$338,"",$M$6:$M$338,"&gt;"&amp;M88)+COUNTIFS($A$6:A88,A88,$N$6:N88,"",$M$6:M88,M88))</f>
        <v>1</v>
      </c>
      <c r="P88" s="12" t="str">
        <f aca="false">IF(O88="","Excluded",IF(O88&lt;=5,"Lead",IF(O88&lt;=10,"Next wave","Long list")))</f>
        <v>Lead</v>
      </c>
      <c r="Q88" s="10" t="s">
        <v>80</v>
      </c>
      <c r="R88" s="30" t="s">
        <v>310</v>
      </c>
    </row>
    <row r="89" customFormat="false" ht="35.05" hidden="false" customHeight="false" outlineLevel="0" collapsed="false">
      <c r="A89" s="12" t="s">
        <v>25</v>
      </c>
      <c r="B89" s="12" t="s">
        <v>87</v>
      </c>
      <c r="C89" s="10" t="s">
        <v>88</v>
      </c>
      <c r="D89" s="26" t="n">
        <v>711.76</v>
      </c>
      <c r="E89" s="11" t="n">
        <v>28093.4</v>
      </c>
      <c r="F89" s="10" t="s">
        <v>157</v>
      </c>
      <c r="G89" s="7" t="n">
        <v>18</v>
      </c>
      <c r="H89" s="12" t="s">
        <v>77</v>
      </c>
      <c r="I89" s="12" t="s">
        <v>84</v>
      </c>
      <c r="J89" s="10" t="s">
        <v>91</v>
      </c>
      <c r="K89" s="9" t="n">
        <f aca="false">IF(ISNUMBER(D89),COUNTIF($D$6:$D$338,"&lt;"&amp;D89)/(COUNT($D$6:$D$338)-1),"")</f>
        <v>0.964401294498382</v>
      </c>
      <c r="L89" s="9" t="n">
        <f aca="false">IF(ISNUMBER(E89),COUNTIF($E$6:$E$338,"&lt;"&amp;E89)/(COUNT($E$6:$E$338)-1),"")</f>
        <v>0.792168674698795</v>
      </c>
      <c r="M89" s="9" t="n">
        <f aca="false">IF(AND(K89="",L89=""),"",(IF(ISNUMBER(K89),$C$3*K89,0)+IF(ISNUMBER(L89),$E$3*L89,0))/(IF(ISNUMBER(K89),$C$3,0)+IF(ISNUMBER(L89),$E$3,0)))</f>
        <v>0.878284984598589</v>
      </c>
      <c r="N89" s="12"/>
      <c r="O89" s="7" t="n">
        <f aca="false">IF(N89&lt;&gt;"","",COUNTIFS($A$6:$A$338,A89,$N$6:$N$338,"",$M$6:$M$338,"&gt;"&amp;M89)+COUNTIFS($A$6:A89,A89,$N$6:N89,"",$M$6:M89,M89))</f>
        <v>2</v>
      </c>
      <c r="P89" s="12" t="str">
        <f aca="false">IF(O89="","Excluded",IF(O89&lt;=5,"Lead",IF(O89&lt;=10,"Next wave","Long list")))</f>
        <v>Lead</v>
      </c>
      <c r="Q89" s="10" t="s">
        <v>80</v>
      </c>
      <c r="R89" s="30" t="s">
        <v>311</v>
      </c>
    </row>
    <row r="90" customFormat="false" ht="23.85" hidden="false" customHeight="false" outlineLevel="0" collapsed="false">
      <c r="A90" s="12" t="s">
        <v>25</v>
      </c>
      <c r="B90" s="12" t="s">
        <v>104</v>
      </c>
      <c r="C90" s="10" t="s">
        <v>105</v>
      </c>
      <c r="D90" s="26" t="n">
        <v>98.68</v>
      </c>
      <c r="E90" s="11" t="n">
        <v>59827.2</v>
      </c>
      <c r="F90" s="10" t="s">
        <v>158</v>
      </c>
      <c r="G90" s="7" t="n">
        <v>15</v>
      </c>
      <c r="H90" s="12" t="s">
        <v>77</v>
      </c>
      <c r="I90" s="12" t="s">
        <v>78</v>
      </c>
      <c r="J90" s="10" t="s">
        <v>108</v>
      </c>
      <c r="K90" s="9" t="n">
        <f aca="false">IF(ISNUMBER(D90),COUNTIF($D$6:$D$338,"&lt;"&amp;D90)/(COUNT($D$6:$D$338)-1),"")</f>
        <v>0.773462783171521</v>
      </c>
      <c r="L90" s="9" t="n">
        <f aca="false">IF(ISNUMBER(E90),COUNTIF($E$6:$E$338,"&lt;"&amp;E90)/(COUNT($E$6:$E$338)-1),"")</f>
        <v>0.957831325301205</v>
      </c>
      <c r="M90" s="9" t="n">
        <f aca="false">IF(AND(K90="",L90=""),"",(IF(ISNUMBER(K90),$C$3*K90,0)+IF(ISNUMBER(L90),$E$3*L90,0))/(IF(ISNUMBER(K90),$C$3,0)+IF(ISNUMBER(L90),$E$3,0)))</f>
        <v>0.865647054236363</v>
      </c>
      <c r="N90" s="12"/>
      <c r="O90" s="7" t="n">
        <f aca="false">IF(N90&lt;&gt;"","",COUNTIFS($A$6:$A$338,A90,$N$6:$N$338,"",$M$6:$M$338,"&gt;"&amp;M90)+COUNTIFS($A$6:A90,A90,$N$6:N90,"",$M$6:M90,M90))</f>
        <v>3</v>
      </c>
      <c r="P90" s="12" t="str">
        <f aca="false">IF(O90="","Excluded",IF(O90&lt;=5,"Lead",IF(O90&lt;=10,"Next wave","Long list")))</f>
        <v>Lead</v>
      </c>
      <c r="Q90" s="10" t="s">
        <v>80</v>
      </c>
      <c r="R90" s="30" t="s">
        <v>312</v>
      </c>
    </row>
    <row r="91" customFormat="false" ht="23.85" hidden="false" customHeight="false" outlineLevel="0" collapsed="false">
      <c r="A91" s="12" t="s">
        <v>25</v>
      </c>
      <c r="B91" s="12" t="s">
        <v>112</v>
      </c>
      <c r="C91" s="10" t="s">
        <v>113</v>
      </c>
      <c r="D91" s="26" t="n">
        <v>248.6</v>
      </c>
      <c r="E91" s="11" t="n">
        <v>11366.1</v>
      </c>
      <c r="F91" s="10" t="s">
        <v>159</v>
      </c>
      <c r="G91" s="7" t="n">
        <v>14</v>
      </c>
      <c r="H91" s="12" t="s">
        <v>83</v>
      </c>
      <c r="I91" s="12" t="s">
        <v>84</v>
      </c>
      <c r="J91" s="10" t="s">
        <v>115</v>
      </c>
      <c r="K91" s="9" t="n">
        <f aca="false">IF(ISNUMBER(D91),COUNTIF($D$6:$D$338,"&lt;"&amp;D91)/(COUNT($D$6:$D$338)-1),"")</f>
        <v>0.870550161812298</v>
      </c>
      <c r="L91" s="9" t="n">
        <f aca="false">IF(ISNUMBER(E91),COUNTIF($E$6:$E$338,"&lt;"&amp;E91)/(COUNT($E$6:$E$338)-1),"")</f>
        <v>0.686746987951807</v>
      </c>
      <c r="M91" s="9" t="n">
        <f aca="false">IF(AND(K91="",L91=""),"",(IF(ISNUMBER(K91),$C$3*K91,0)+IF(ISNUMBER(L91),$E$3*L91,0))/(IF(ISNUMBER(K91),$C$3,0)+IF(ISNUMBER(L91),$E$3,0)))</f>
        <v>0.778648574882052</v>
      </c>
      <c r="N91" s="12"/>
      <c r="O91" s="7" t="n">
        <f aca="false">IF(N91&lt;&gt;"","",COUNTIFS($A$6:$A$338,A91,$N$6:$N$338,"",$M$6:$M$338,"&gt;"&amp;M91)+COUNTIFS($A$6:A91,A91,$N$6:N91,"",$M$6:M91,M91))</f>
        <v>4</v>
      </c>
      <c r="P91" s="12" t="str">
        <f aca="false">IF(O91="","Excluded",IF(O91&lt;=5,"Lead",IF(O91&lt;=10,"Next wave","Long list")))</f>
        <v>Lead</v>
      </c>
      <c r="Q91" s="10" t="s">
        <v>86</v>
      </c>
      <c r="R91" s="30" t="s">
        <v>299</v>
      </c>
    </row>
    <row r="92" customFormat="false" ht="23.85" hidden="false" customHeight="false" outlineLevel="0" collapsed="false">
      <c r="A92" s="12" t="s">
        <v>25</v>
      </c>
      <c r="B92" s="12" t="s">
        <v>109</v>
      </c>
      <c r="C92" s="10" t="s">
        <v>110</v>
      </c>
      <c r="D92" s="26" t="n">
        <v>343.8</v>
      </c>
      <c r="E92" s="11" t="n">
        <v>7904.7</v>
      </c>
      <c r="F92" s="10" t="s">
        <v>147</v>
      </c>
      <c r="G92" s="7" t="n">
        <v>1</v>
      </c>
      <c r="H92" s="12" t="s">
        <v>77</v>
      </c>
      <c r="I92" s="12" t="s">
        <v>84</v>
      </c>
      <c r="J92" s="10" t="s">
        <v>111</v>
      </c>
      <c r="K92" s="9" t="n">
        <f aca="false">IF(ISNUMBER(D92),COUNTIF($D$6:$D$338,"&lt;"&amp;D92)/(COUNT($D$6:$D$338)-1),"")</f>
        <v>0.902912621359223</v>
      </c>
      <c r="L92" s="9" t="n">
        <f aca="false">IF(ISNUMBER(E92),COUNTIF($E$6:$E$338,"&lt;"&amp;E92)/(COUNT($E$6:$E$338)-1),"")</f>
        <v>0.650602409638554</v>
      </c>
      <c r="M92" s="9" t="n">
        <f aca="false">IF(AND(K92="",L92=""),"",(IF(ISNUMBER(K92),$C$3*K92,0)+IF(ISNUMBER(L92),$E$3*L92,0))/(IF(ISNUMBER(K92),$C$3,0)+IF(ISNUMBER(L92),$E$3,0)))</f>
        <v>0.776757515498889</v>
      </c>
      <c r="N92" s="12"/>
      <c r="O92" s="7" t="n">
        <f aca="false">IF(N92&lt;&gt;"","",COUNTIFS($A$6:$A$338,A92,$N$6:$N$338,"",$M$6:$M$338,"&gt;"&amp;M92)+COUNTIFS($A$6:A92,A92,$N$6:N92,"",$M$6:M92,M92))</f>
        <v>5</v>
      </c>
      <c r="P92" s="12" t="str">
        <f aca="false">IF(O92="","Excluded",IF(O92&lt;=5,"Lead",IF(O92&lt;=10,"Next wave","Long list")))</f>
        <v>Lead</v>
      </c>
      <c r="Q92" s="10" t="s">
        <v>80</v>
      </c>
      <c r="R92" s="30" t="s">
        <v>313</v>
      </c>
    </row>
    <row r="93" customFormat="false" ht="35.05" hidden="false" customHeight="false" outlineLevel="0" collapsed="false">
      <c r="A93" s="12" t="s">
        <v>25</v>
      </c>
      <c r="B93" s="12" t="s">
        <v>160</v>
      </c>
      <c r="C93" s="10" t="s">
        <v>161</v>
      </c>
      <c r="D93" s="26" t="n">
        <v>154.8</v>
      </c>
      <c r="E93" s="11" t="n">
        <v>11040.9</v>
      </c>
      <c r="F93" s="10" t="s">
        <v>147</v>
      </c>
      <c r="G93" s="7" t="n">
        <v>1</v>
      </c>
      <c r="H93" s="12" t="s">
        <v>77</v>
      </c>
      <c r="I93" s="12" t="s">
        <v>78</v>
      </c>
      <c r="J93" s="10" t="s">
        <v>162</v>
      </c>
      <c r="K93" s="9" t="n">
        <f aca="false">IF(ISNUMBER(D93),COUNTIF($D$6:$D$338,"&lt;"&amp;D93)/(COUNT($D$6:$D$338)-1),"")</f>
        <v>0.822006472491909</v>
      </c>
      <c r="L93" s="9" t="n">
        <f aca="false">IF(ISNUMBER(E93),COUNTIF($E$6:$E$338,"&lt;"&amp;E93)/(COUNT($E$6:$E$338)-1),"")</f>
        <v>0.683734939759036</v>
      </c>
      <c r="M93" s="9" t="n">
        <f aca="false">IF(AND(K93="",L93=""),"",(IF(ISNUMBER(K93),$C$3*K93,0)+IF(ISNUMBER(L93),$E$3*L93,0))/(IF(ISNUMBER(K93),$C$3,0)+IF(ISNUMBER(L93),$E$3,0)))</f>
        <v>0.752870706125473</v>
      </c>
      <c r="N93" s="12"/>
      <c r="O93" s="7" t="n">
        <f aca="false">IF(N93&lt;&gt;"","",COUNTIFS($A$6:$A$338,A93,$N$6:$N$338,"",$M$6:$M$338,"&gt;"&amp;M93)+COUNTIFS($A$6:A93,A93,$N$6:N93,"",$M$6:M93,M93))</f>
        <v>6</v>
      </c>
      <c r="P93" s="12" t="str">
        <f aca="false">IF(O93="","Excluded",IF(O93&lt;=5,"Lead",IF(O93&lt;=10,"Next wave","Long list")))</f>
        <v>Next wave</v>
      </c>
      <c r="Q93" s="10" t="s">
        <v>102</v>
      </c>
      <c r="R93" s="30" t="s">
        <v>452</v>
      </c>
    </row>
    <row r="94" customFormat="false" ht="23.85" hidden="false" customHeight="false" outlineLevel="0" collapsed="false">
      <c r="A94" s="12" t="s">
        <v>25</v>
      </c>
      <c r="B94" s="12" t="s">
        <v>148</v>
      </c>
      <c r="C94" s="10" t="s">
        <v>149</v>
      </c>
      <c r="D94" s="26" t="n">
        <v>36.59</v>
      </c>
      <c r="E94" s="11" t="n">
        <v>53539.9</v>
      </c>
      <c r="F94" s="10" t="s">
        <v>127</v>
      </c>
      <c r="G94" s="7" t="n">
        <v>1</v>
      </c>
      <c r="H94" s="12" t="s">
        <v>77</v>
      </c>
      <c r="I94" s="12" t="s">
        <v>95</v>
      </c>
      <c r="J94" s="10" t="s">
        <v>163</v>
      </c>
      <c r="K94" s="9" t="n">
        <f aca="false">IF(ISNUMBER(D94),COUNTIF($D$6:$D$338,"&lt;"&amp;D94)/(COUNT($D$6:$D$338)-1),"")</f>
        <v>0.572815533980583</v>
      </c>
      <c r="L94" s="9" t="n">
        <f aca="false">IF(ISNUMBER(E94),COUNTIF($E$6:$E$338,"&lt;"&amp;E94)/(COUNT($E$6:$E$338)-1),"")</f>
        <v>0.921686746987952</v>
      </c>
      <c r="M94" s="9" t="n">
        <f aca="false">IF(AND(K94="",L94=""),"",(IF(ISNUMBER(K94),$C$3*K94,0)+IF(ISNUMBER(L94),$E$3*L94,0))/(IF(ISNUMBER(K94),$C$3,0)+IF(ISNUMBER(L94),$E$3,0)))</f>
        <v>0.747251140484267</v>
      </c>
      <c r="N94" s="12"/>
      <c r="O94" s="7" t="n">
        <f aca="false">IF(N94&lt;&gt;"","",COUNTIFS($A$6:$A$338,A94,$N$6:$N$338,"",$M$6:$M$338,"&gt;"&amp;M94)+COUNTIFS($A$6:A94,A94,$N$6:N94,"",$M$6:M94,M94))</f>
        <v>7</v>
      </c>
      <c r="P94" s="12" t="str">
        <f aca="false">IF(O94="","Excluded",IF(O94&lt;=5,"Lead",IF(O94&lt;=10,"Next wave","Long list")))</f>
        <v>Next wave</v>
      </c>
      <c r="Q94" s="10" t="s">
        <v>80</v>
      </c>
      <c r="R94" s="30" t="s">
        <v>315</v>
      </c>
    </row>
    <row r="95" customFormat="false" ht="23.85" hidden="false" customHeight="false" outlineLevel="0" collapsed="false">
      <c r="A95" s="12" t="s">
        <v>25</v>
      </c>
      <c r="B95" s="12" t="s">
        <v>116</v>
      </c>
      <c r="C95" s="10" t="s">
        <v>117</v>
      </c>
      <c r="D95" s="26" t="n">
        <v>56.65</v>
      </c>
      <c r="E95" s="11" t="n">
        <v>32830.2</v>
      </c>
      <c r="F95" s="10" t="s">
        <v>164</v>
      </c>
      <c r="G95" s="7" t="n">
        <v>21</v>
      </c>
      <c r="H95" s="12" t="s">
        <v>77</v>
      </c>
      <c r="I95" s="12" t="s">
        <v>84</v>
      </c>
      <c r="J95" s="10" t="s">
        <v>119</v>
      </c>
      <c r="K95" s="9" t="n">
        <f aca="false">IF(ISNUMBER(D95),COUNTIF($D$6:$D$338,"&lt;"&amp;D95)/(COUNT($D$6:$D$338)-1),"")</f>
        <v>0.656957928802589</v>
      </c>
      <c r="L95" s="9" t="n">
        <f aca="false">IF(ISNUMBER(E95),COUNTIF($E$6:$E$338,"&lt;"&amp;E95)/(COUNT($E$6:$E$338)-1),"")</f>
        <v>0.825301204819277</v>
      </c>
      <c r="M95" s="9" t="n">
        <f aca="false">IF(AND(K95="",L95=""),"",(IF(ISNUMBER(K95),$C$3*K95,0)+IF(ISNUMBER(L95),$E$3*L95,0))/(IF(ISNUMBER(K95),$C$3,0)+IF(ISNUMBER(L95),$E$3,0)))</f>
        <v>0.741129566810933</v>
      </c>
      <c r="N95" s="12"/>
      <c r="O95" s="7" t="n">
        <f aca="false">IF(N95&lt;&gt;"","",COUNTIFS($A$6:$A$338,A95,$N$6:$N$338,"",$M$6:$M$338,"&gt;"&amp;M95)+COUNTIFS($A$6:A95,A95,$N$6:N95,"",$M$6:M95,M95))</f>
        <v>8</v>
      </c>
      <c r="P95" s="12" t="str">
        <f aca="false">IF(O95="","Excluded",IF(O95&lt;=5,"Lead",IF(O95&lt;=10,"Next wave","Long list")))</f>
        <v>Next wave</v>
      </c>
      <c r="Q95" s="10" t="s">
        <v>80</v>
      </c>
      <c r="R95" s="30" t="s">
        <v>426</v>
      </c>
    </row>
    <row r="96" customFormat="false" ht="35.05" hidden="false" customHeight="false" outlineLevel="0" collapsed="false">
      <c r="A96" s="12" t="s">
        <v>25</v>
      </c>
      <c r="B96" s="12" t="s">
        <v>125</v>
      </c>
      <c r="C96" s="10" t="s">
        <v>126</v>
      </c>
      <c r="D96" s="26" t="n">
        <v>234.04</v>
      </c>
      <c r="E96" s="11" t="n">
        <v>3871.2</v>
      </c>
      <c r="F96" s="10" t="s">
        <v>165</v>
      </c>
      <c r="G96" s="7" t="n">
        <v>5</v>
      </c>
      <c r="H96" s="12" t="s">
        <v>77</v>
      </c>
      <c r="I96" s="12" t="s">
        <v>84</v>
      </c>
      <c r="J96" s="10" t="s">
        <v>122</v>
      </c>
      <c r="K96" s="9" t="n">
        <f aca="false">IF(ISNUMBER(D96),COUNTIF($D$6:$D$338,"&lt;"&amp;D96)/(COUNT($D$6:$D$338)-1),"")</f>
        <v>0.86084142394822</v>
      </c>
      <c r="L96" s="9" t="n">
        <f aca="false">IF(ISNUMBER(E96),COUNTIF($E$6:$E$338,"&lt;"&amp;E96)/(COUNT($E$6:$E$338)-1),"")</f>
        <v>0.475903614457831</v>
      </c>
      <c r="M96" s="9" t="n">
        <f aca="false">IF(AND(K96="",L96=""),"",(IF(ISNUMBER(K96),$C$3*K96,0)+IF(ISNUMBER(L96),$E$3*L96,0))/(IF(ISNUMBER(K96),$C$3,0)+IF(ISNUMBER(L96),$E$3,0)))</f>
        <v>0.668372519203026</v>
      </c>
      <c r="N96" s="12"/>
      <c r="O96" s="7" t="n">
        <f aca="false">IF(N96&lt;&gt;"","",COUNTIFS($A$6:$A$338,A96,$N$6:$N$338,"",$M$6:$M$338,"&gt;"&amp;M96)+COUNTIFS($A$6:A96,A96,$N$6:N96,"",$M$6:M96,M96))</f>
        <v>9</v>
      </c>
      <c r="P96" s="12" t="str">
        <f aca="false">IF(O96="","Excluded",IF(O96&lt;=5,"Lead",IF(O96&lt;=10,"Next wave","Long list")))</f>
        <v>Next wave</v>
      </c>
      <c r="Q96" s="10" t="s">
        <v>80</v>
      </c>
      <c r="R96" s="30" t="s">
        <v>316</v>
      </c>
    </row>
    <row r="97" customFormat="false" ht="23.85" hidden="false" customHeight="false" outlineLevel="0" collapsed="false">
      <c r="A97" s="12" t="s">
        <v>25</v>
      </c>
      <c r="B97" s="12" t="s">
        <v>166</v>
      </c>
      <c r="C97" s="10" t="s">
        <v>167</v>
      </c>
      <c r="D97" s="26" t="n">
        <v>127.38</v>
      </c>
      <c r="E97" s="11" t="n">
        <v>3625.3</v>
      </c>
      <c r="F97" s="10" t="s">
        <v>147</v>
      </c>
      <c r="G97" s="7" t="n">
        <v>2</v>
      </c>
      <c r="H97" s="12" t="s">
        <v>90</v>
      </c>
      <c r="I97" s="12" t="s">
        <v>84</v>
      </c>
      <c r="J97" s="10" t="s">
        <v>168</v>
      </c>
      <c r="K97" s="9" t="n">
        <f aca="false">IF(ISNUMBER(D97),COUNTIF($D$6:$D$338,"&lt;"&amp;D97)/(COUNT($D$6:$D$338)-1),"")</f>
        <v>0.799352750809062</v>
      </c>
      <c r="L97" s="9" t="n">
        <f aca="false">IF(ISNUMBER(E97),COUNTIF($E$6:$E$338,"&lt;"&amp;E97)/(COUNT($E$6:$E$338)-1),"")</f>
        <v>0.454819277108434</v>
      </c>
      <c r="M97" s="9" t="n">
        <f aca="false">IF(AND(K97="",L97=""),"",(IF(ISNUMBER(K97),$C$3*K97,0)+IF(ISNUMBER(L97),$E$3*L97,0))/(IF(ISNUMBER(K97),$C$3,0)+IF(ISNUMBER(L97),$E$3,0)))</f>
        <v>0.627086013958748</v>
      </c>
      <c r="N97" s="12"/>
      <c r="O97" s="7" t="n">
        <f aca="false">IF(N97&lt;&gt;"","",COUNTIFS($A$6:$A$338,A97,$N$6:$N$338,"",$M$6:$M$338,"&gt;"&amp;M97)+COUNTIFS($A$6:A97,A97,$N$6:N97,"",$M$6:M97,M97))</f>
        <v>10</v>
      </c>
      <c r="P97" s="12" t="str">
        <f aca="false">IF(O97="","Excluded",IF(O97&lt;=5,"Lead",IF(O97&lt;=10,"Next wave","Long list")))</f>
        <v>Next wave</v>
      </c>
      <c r="Q97" s="10" t="s">
        <v>80</v>
      </c>
      <c r="R97" s="30" t="s">
        <v>304</v>
      </c>
    </row>
    <row r="98" customFormat="false" ht="35.05" hidden="false" customHeight="false" outlineLevel="0" collapsed="false">
      <c r="A98" s="12" t="s">
        <v>25</v>
      </c>
      <c r="B98" s="12" t="s">
        <v>133</v>
      </c>
      <c r="C98" s="10" t="s">
        <v>134</v>
      </c>
      <c r="D98" s="26" t="n">
        <v>333.85</v>
      </c>
      <c r="E98" s="11" t="n">
        <v>1874.6</v>
      </c>
      <c r="F98" s="10" t="s">
        <v>453</v>
      </c>
      <c r="G98" s="7" t="n">
        <v>8</v>
      </c>
      <c r="H98" s="12" t="s">
        <v>77</v>
      </c>
      <c r="I98" s="12" t="s">
        <v>84</v>
      </c>
      <c r="J98" s="10" t="s">
        <v>122</v>
      </c>
      <c r="K98" s="9" t="n">
        <f aca="false">IF(ISNUMBER(D98),COUNTIF($D$6:$D$338,"&lt;"&amp;D98)/(COUNT($D$6:$D$338)-1),"")</f>
        <v>0.899676375404531</v>
      </c>
      <c r="L98" s="9" t="n">
        <f aca="false">IF(ISNUMBER(E98),COUNTIF($E$6:$E$338,"&lt;"&amp;E98)/(COUNT($E$6:$E$338)-1),"")</f>
        <v>0.243975903614458</v>
      </c>
      <c r="M98" s="9" t="n">
        <f aca="false">IF(AND(K98="",L98=""),"",(IF(ISNUMBER(K98),$C$3*K98,0)+IF(ISNUMBER(L98),$E$3*L98,0))/(IF(ISNUMBER(K98),$C$3,0)+IF(ISNUMBER(L98),$E$3,0)))</f>
        <v>0.571826139509494</v>
      </c>
      <c r="N98" s="12"/>
      <c r="O98" s="7" t="n">
        <f aca="false">IF(N98&lt;&gt;"","",COUNTIFS($A$6:$A$338,A98,$N$6:$N$338,"",$M$6:$M$338,"&gt;"&amp;M98)+COUNTIFS($A$6:A98,A98,$N$6:N98,"",$M$6:M98,M98))</f>
        <v>11</v>
      </c>
      <c r="P98" s="12" t="str">
        <f aca="false">IF(O98="","Excluded",IF(O98&lt;=5,"Lead",IF(O98&lt;=10,"Next wave","Long list")))</f>
        <v>Long list</v>
      </c>
      <c r="Q98" s="10" t="s">
        <v>80</v>
      </c>
      <c r="R98" s="30" t="s">
        <v>454</v>
      </c>
    </row>
    <row r="99" customFormat="false" ht="23.85" hidden="false" customHeight="false" outlineLevel="0" collapsed="false">
      <c r="A99" s="12" t="s">
        <v>25</v>
      </c>
      <c r="B99" s="12" t="s">
        <v>393</v>
      </c>
      <c r="C99" s="10" t="s">
        <v>394</v>
      </c>
      <c r="D99" s="26" t="n">
        <v>37.87</v>
      </c>
      <c r="E99" s="11" t="n">
        <v>2802.1</v>
      </c>
      <c r="F99" s="10" t="s">
        <v>455</v>
      </c>
      <c r="G99" s="7" t="n">
        <v>5</v>
      </c>
      <c r="H99" s="12" t="s">
        <v>77</v>
      </c>
      <c r="I99" s="12" t="s">
        <v>84</v>
      </c>
      <c r="J99" s="10" t="s">
        <v>168</v>
      </c>
      <c r="K99" s="9" t="n">
        <f aca="false">IF(ISNUMBER(D99),COUNTIF($D$6:$D$338,"&lt;"&amp;D99)/(COUNT($D$6:$D$338)-1),"")</f>
        <v>0.576051779935275</v>
      </c>
      <c r="L99" s="9" t="n">
        <f aca="false">IF(ISNUMBER(E99),COUNTIF($E$6:$E$338,"&lt;"&amp;E99)/(COUNT($E$6:$E$338)-1),"")</f>
        <v>0.352409638554217</v>
      </c>
      <c r="M99" s="9" t="n">
        <f aca="false">IF(AND(K99="",L99=""),"",(IF(ISNUMBER(K99),$C$3*K99,0)+IF(ISNUMBER(L99),$E$3*L99,0))/(IF(ISNUMBER(K99),$C$3,0)+IF(ISNUMBER(L99),$E$3,0)))</f>
        <v>0.464230709244746</v>
      </c>
      <c r="N99" s="12"/>
      <c r="O99" s="7" t="n">
        <f aca="false">IF(N99&lt;&gt;"","",COUNTIFS($A$6:$A$338,A99,$N$6:$N$338,"",$M$6:$M$338,"&gt;"&amp;M99)+COUNTIFS($A$6:A99,A99,$N$6:N99,"",$M$6:M99,M99))</f>
        <v>12</v>
      </c>
      <c r="P99" s="12" t="str">
        <f aca="false">IF(O99="","Excluded",IF(O99&lt;=5,"Lead",IF(O99&lt;=10,"Next wave","Long list")))</f>
        <v>Long list</v>
      </c>
      <c r="Q99" s="10" t="s">
        <v>80</v>
      </c>
      <c r="R99" s="30" t="s">
        <v>395</v>
      </c>
    </row>
    <row r="100" customFormat="false" ht="23.85" hidden="false" customHeight="false" outlineLevel="0" collapsed="false">
      <c r="A100" s="12" t="s">
        <v>25</v>
      </c>
      <c r="B100" s="12" t="s">
        <v>456</v>
      </c>
      <c r="C100" s="10" t="s">
        <v>457</v>
      </c>
      <c r="D100" s="26" t="n">
        <v>133.8</v>
      </c>
      <c r="E100" s="11" t="n">
        <v>543</v>
      </c>
      <c r="F100" s="10" t="s">
        <v>147</v>
      </c>
      <c r="G100" s="7" t="n">
        <v>1</v>
      </c>
      <c r="H100" s="12" t="s">
        <v>77</v>
      </c>
      <c r="I100" s="12" t="s">
        <v>84</v>
      </c>
      <c r="J100" s="10"/>
      <c r="K100" s="9" t="n">
        <f aca="false">IF(ISNUMBER(D100),COUNTIF($D$6:$D$338,"&lt;"&amp;D100)/(COUNT($D$6:$D$338)-1),"")</f>
        <v>0.805825242718447</v>
      </c>
      <c r="L100" s="9" t="n">
        <f aca="false">IF(ISNUMBER(E100),COUNTIF($E$6:$E$338,"&lt;"&amp;E100)/(COUNT($E$6:$E$338)-1),"")</f>
        <v>0.120481927710843</v>
      </c>
      <c r="M100" s="9" t="n">
        <f aca="false">IF(AND(K100="",L100=""),"",(IF(ISNUMBER(K100),$C$3*K100,0)+IF(ISNUMBER(L100),$E$3*L100,0))/(IF(ISNUMBER(K100),$C$3,0)+IF(ISNUMBER(L100),$E$3,0)))</f>
        <v>0.463153585214645</v>
      </c>
      <c r="N100" s="12"/>
      <c r="O100" s="7" t="n">
        <f aca="false">IF(N100&lt;&gt;"","",COUNTIFS($A$6:$A$338,A100,$N$6:$N$338,"",$M$6:$M$338,"&gt;"&amp;M100)+COUNTIFS($A$6:A100,A100,$N$6:N100,"",$M$6:M100,M100))</f>
        <v>13</v>
      </c>
      <c r="P100" s="12" t="str">
        <f aca="false">IF(O100="","Excluded",IF(O100&lt;=5,"Lead",IF(O100&lt;=10,"Next wave","Long list")))</f>
        <v>Long list</v>
      </c>
      <c r="Q100" s="10" t="s">
        <v>102</v>
      </c>
      <c r="R100" s="30" t="s">
        <v>458</v>
      </c>
    </row>
    <row r="101" customFormat="false" ht="23.85" hidden="false" customHeight="false" outlineLevel="0" collapsed="false">
      <c r="A101" s="12" t="s">
        <v>25</v>
      </c>
      <c r="B101" s="12" t="s">
        <v>260</v>
      </c>
      <c r="C101" s="10" t="s">
        <v>261</v>
      </c>
      <c r="D101" s="26" t="n">
        <v>22.76</v>
      </c>
      <c r="E101" s="11" t="n">
        <v>3067.4</v>
      </c>
      <c r="F101" s="10" t="s">
        <v>369</v>
      </c>
      <c r="G101" s="7" t="n">
        <v>2</v>
      </c>
      <c r="H101" s="12" t="s">
        <v>77</v>
      </c>
      <c r="I101" s="12" t="s">
        <v>84</v>
      </c>
      <c r="J101" s="10" t="s">
        <v>168</v>
      </c>
      <c r="K101" s="9" t="n">
        <f aca="false">IF(ISNUMBER(D101),COUNTIF($D$6:$D$338,"&lt;"&amp;D101)/(COUNT($D$6:$D$338)-1),"")</f>
        <v>0.423948220064725</v>
      </c>
      <c r="L101" s="9" t="n">
        <f aca="false">IF(ISNUMBER(E101),COUNTIF($E$6:$E$338,"&lt;"&amp;E101)/(COUNT($E$6:$E$338)-1),"")</f>
        <v>0.418674698795181</v>
      </c>
      <c r="M101" s="9" t="n">
        <f aca="false">IF(AND(K101="",L101=""),"",(IF(ISNUMBER(K101),$C$3*K101,0)+IF(ISNUMBER(L101),$E$3*L101,0))/(IF(ISNUMBER(K101),$C$3,0)+IF(ISNUMBER(L101),$E$3,0)))</f>
        <v>0.421311459429953</v>
      </c>
      <c r="N101" s="12"/>
      <c r="O101" s="7" t="n">
        <f aca="false">IF(N101&lt;&gt;"","",COUNTIFS($A$6:$A$338,A101,$N$6:$N$338,"",$M$6:$M$338,"&gt;"&amp;M101)+COUNTIFS($A$6:A101,A101,$N$6:N101,"",$M$6:M101,M101))</f>
        <v>14</v>
      </c>
      <c r="P101" s="12" t="str">
        <f aca="false">IF(O101="","Excluded",IF(O101&lt;=5,"Lead",IF(O101&lt;=10,"Next wave","Long list")))</f>
        <v>Long list</v>
      </c>
      <c r="Q101" s="10" t="s">
        <v>80</v>
      </c>
      <c r="R101" s="30" t="s">
        <v>459</v>
      </c>
    </row>
    <row r="102" customFormat="false" ht="23.85" hidden="false" customHeight="false" outlineLevel="0" collapsed="false">
      <c r="A102" s="12" t="s">
        <v>25</v>
      </c>
      <c r="B102" s="12" t="s">
        <v>358</v>
      </c>
      <c r="C102" s="10" t="s">
        <v>359</v>
      </c>
      <c r="D102" s="26" t="n">
        <v>46.35</v>
      </c>
      <c r="E102" s="11" t="n">
        <v>517.1</v>
      </c>
      <c r="F102" s="10" t="s">
        <v>198</v>
      </c>
      <c r="G102" s="7" t="n">
        <v>1</v>
      </c>
      <c r="H102" s="12" t="s">
        <v>83</v>
      </c>
      <c r="I102" s="12" t="s">
        <v>95</v>
      </c>
      <c r="J102" s="10" t="s">
        <v>287</v>
      </c>
      <c r="K102" s="9" t="n">
        <f aca="false">IF(ISNUMBER(D102),COUNTIF($D$6:$D$338,"&lt;"&amp;D102)/(COUNT($D$6:$D$338)-1),"")</f>
        <v>0.611650485436893</v>
      </c>
      <c r="L102" s="9" t="n">
        <f aca="false">IF(ISNUMBER(E102),COUNTIF($E$6:$E$338,"&lt;"&amp;E102)/(COUNT($E$6:$E$338)-1),"")</f>
        <v>0.108433734939759</v>
      </c>
      <c r="M102" s="9" t="n">
        <f aca="false">IF(AND(K102="",L102=""),"",(IF(ISNUMBER(K102),$C$3*K102,0)+IF(ISNUMBER(L102),$E$3*L102,0))/(IF(ISNUMBER(K102),$C$3,0)+IF(ISNUMBER(L102),$E$3,0)))</f>
        <v>0.360042110188326</v>
      </c>
      <c r="N102" s="12"/>
      <c r="O102" s="7" t="n">
        <f aca="false">IF(N102&lt;&gt;"","",COUNTIFS($A$6:$A$338,A102,$N$6:$N$338,"",$M$6:$M$338,"&gt;"&amp;M102)+COUNTIFS($A$6:A102,A102,$N$6:N102,"",$M$6:M102,M102))</f>
        <v>15</v>
      </c>
      <c r="P102" s="12" t="str">
        <f aca="false">IF(O102="","Excluded",IF(O102&lt;=5,"Lead",IF(O102&lt;=10,"Next wave","Long list")))</f>
        <v>Long list</v>
      </c>
      <c r="Q102" s="10" t="s">
        <v>86</v>
      </c>
      <c r="R102" s="30" t="s">
        <v>360</v>
      </c>
    </row>
    <row r="103" customFormat="false" ht="23.85" hidden="false" customHeight="false" outlineLevel="0" collapsed="false">
      <c r="A103" s="12" t="s">
        <v>25</v>
      </c>
      <c r="B103" s="12" t="s">
        <v>203</v>
      </c>
      <c r="C103" s="10" t="s">
        <v>204</v>
      </c>
      <c r="D103" s="26" t="n">
        <v>16.96</v>
      </c>
      <c r="E103" s="11" t="n">
        <v>2630</v>
      </c>
      <c r="F103" s="10" t="s">
        <v>147</v>
      </c>
      <c r="G103" s="7" t="n">
        <v>1</v>
      </c>
      <c r="H103" s="12" t="s">
        <v>95</v>
      </c>
      <c r="I103" s="12" t="s">
        <v>84</v>
      </c>
      <c r="J103" s="10" t="s">
        <v>163</v>
      </c>
      <c r="K103" s="9" t="n">
        <f aca="false">IF(ISNUMBER(D103),COUNTIF($D$6:$D$338,"&lt;"&amp;D103)/(COUNT($D$6:$D$338)-1),"")</f>
        <v>0.352750809061489</v>
      </c>
      <c r="L103" s="9" t="n">
        <f aca="false">IF(ISNUMBER(E103),COUNTIF($E$6:$E$338,"&lt;"&amp;E103)/(COUNT($E$6:$E$338)-1),"")</f>
        <v>0.331325301204819</v>
      </c>
      <c r="M103" s="9" t="n">
        <f aca="false">IF(AND(K103="",L103=""),"",(IF(ISNUMBER(K103),$C$3*K103,0)+IF(ISNUMBER(L103),$E$3*L103,0))/(IF(ISNUMBER(K103),$C$3,0)+IF(ISNUMBER(L103),$E$3,0)))</f>
        <v>0.342038055133154</v>
      </c>
      <c r="N103" s="12"/>
      <c r="O103" s="7" t="n">
        <f aca="false">IF(N103&lt;&gt;"","",COUNTIFS($A$6:$A$338,A103,$N$6:$N$338,"",$M$6:$M$338,"&gt;"&amp;M103)+COUNTIFS($A$6:A103,A103,$N$6:N103,"",$M$6:M103,M103))</f>
        <v>16</v>
      </c>
      <c r="P103" s="12" t="str">
        <f aca="false">IF(O103="","Excluded",IF(O103&lt;=5,"Lead",IF(O103&lt;=10,"Next wave","Long list")))</f>
        <v>Long list</v>
      </c>
      <c r="Q103" s="10" t="s">
        <v>97</v>
      </c>
      <c r="R103" s="30" t="s">
        <v>309</v>
      </c>
    </row>
    <row r="104" customFormat="false" ht="23.85" hidden="false" customHeight="false" outlineLevel="0" collapsed="false">
      <c r="A104" s="12" t="s">
        <v>25</v>
      </c>
      <c r="B104" s="12" t="s">
        <v>460</v>
      </c>
      <c r="C104" s="10" t="s">
        <v>461</v>
      </c>
      <c r="D104" s="26" t="n">
        <v>31.16</v>
      </c>
      <c r="E104" s="11" t="n">
        <v>806.3</v>
      </c>
      <c r="F104" s="10" t="s">
        <v>147</v>
      </c>
      <c r="G104" s="7" t="n">
        <v>1</v>
      </c>
      <c r="H104" s="12" t="s">
        <v>77</v>
      </c>
      <c r="I104" s="12" t="s">
        <v>78</v>
      </c>
      <c r="J104" s="10" t="s">
        <v>142</v>
      </c>
      <c r="K104" s="9" t="n">
        <f aca="false">IF(ISNUMBER(D104),COUNTIF($D$6:$D$338,"&lt;"&amp;D104)/(COUNT($D$6:$D$338)-1),"")</f>
        <v>0.524271844660194</v>
      </c>
      <c r="L104" s="9" t="n">
        <f aca="false">IF(ISNUMBER(E104),COUNTIF($E$6:$E$338,"&lt;"&amp;E104)/(COUNT($E$6:$E$338)-1),"")</f>
        <v>0.13855421686747</v>
      </c>
      <c r="M104" s="9" t="n">
        <f aca="false">IF(AND(K104="",L104=""),"",(IF(ISNUMBER(K104),$C$3*K104,0)+IF(ISNUMBER(L104),$E$3*L104,0))/(IF(ISNUMBER(K104),$C$3,0)+IF(ISNUMBER(L104),$E$3,0)))</f>
        <v>0.331413030763832</v>
      </c>
      <c r="N104" s="12"/>
      <c r="O104" s="7" t="n">
        <f aca="false">IF(N104&lt;&gt;"","",COUNTIFS($A$6:$A$338,A104,$N$6:$N$338,"",$M$6:$M$338,"&gt;"&amp;M104)+COUNTIFS($A$6:A104,A104,$N$6:N104,"",$M$6:M104,M104))</f>
        <v>17</v>
      </c>
      <c r="P104" s="12" t="str">
        <f aca="false">IF(O104="","Excluded",IF(O104&lt;=5,"Lead",IF(O104&lt;=10,"Next wave","Long list")))</f>
        <v>Long list</v>
      </c>
      <c r="Q104" s="10" t="s">
        <v>102</v>
      </c>
      <c r="R104" s="30" t="s">
        <v>462</v>
      </c>
    </row>
    <row r="105" customFormat="false" ht="23.85" hidden="false" customHeight="false" outlineLevel="0" collapsed="false">
      <c r="A105" s="12" t="s">
        <v>25</v>
      </c>
      <c r="B105" s="12" t="s">
        <v>463</v>
      </c>
      <c r="C105" s="10" t="s">
        <v>464</v>
      </c>
      <c r="D105" s="26" t="n">
        <v>17.79</v>
      </c>
      <c r="E105" s="11" t="n">
        <v>1830.5</v>
      </c>
      <c r="F105" s="10" t="s">
        <v>147</v>
      </c>
      <c r="G105" s="7" t="n">
        <v>1</v>
      </c>
      <c r="H105" s="12" t="s">
        <v>90</v>
      </c>
      <c r="I105" s="12" t="s">
        <v>84</v>
      </c>
      <c r="J105" s="10"/>
      <c r="K105" s="9" t="n">
        <f aca="false">IF(ISNUMBER(D105),COUNTIF($D$6:$D$338,"&lt;"&amp;D105)/(COUNT($D$6:$D$338)-1),"")</f>
        <v>0.362459546925566</v>
      </c>
      <c r="L105" s="9" t="n">
        <f aca="false">IF(ISNUMBER(E105),COUNTIF($E$6:$E$338,"&lt;"&amp;E105)/(COUNT($E$6:$E$338)-1),"")</f>
        <v>0.234939759036145</v>
      </c>
      <c r="M105" s="9" t="n">
        <f aca="false">IF(AND(K105="",L105=""),"",(IF(ISNUMBER(K105),$C$3*K105,0)+IF(ISNUMBER(L105),$E$3*L105,0))/(IF(ISNUMBER(K105),$C$3,0)+IF(ISNUMBER(L105),$E$3,0)))</f>
        <v>0.298699652980856</v>
      </c>
      <c r="N105" s="12"/>
      <c r="O105" s="7" t="n">
        <f aca="false">IF(N105&lt;&gt;"","",COUNTIFS($A$6:$A$338,A105,$N$6:$N$338,"",$M$6:$M$338,"&gt;"&amp;M105)+COUNTIFS($A$6:A105,A105,$N$6:N105,"",$M$6:M105,M105))</f>
        <v>18</v>
      </c>
      <c r="P105" s="12" t="str">
        <f aca="false">IF(O105="","Excluded",IF(O105&lt;=5,"Lead",IF(O105&lt;=10,"Next wave","Long list")))</f>
        <v>Long list</v>
      </c>
      <c r="Q105" s="10" t="s">
        <v>102</v>
      </c>
      <c r="R105" s="30" t="s">
        <v>465</v>
      </c>
    </row>
    <row r="106" customFormat="false" ht="23.85" hidden="false" customHeight="false" outlineLevel="0" collapsed="false">
      <c r="A106" s="12" t="s">
        <v>25</v>
      </c>
      <c r="B106" s="12" t="s">
        <v>367</v>
      </c>
      <c r="C106" s="10" t="s">
        <v>368</v>
      </c>
      <c r="D106" s="26" t="n">
        <v>13.87</v>
      </c>
      <c r="E106" s="11" t="n">
        <v>1437.9</v>
      </c>
      <c r="F106" s="10" t="s">
        <v>147</v>
      </c>
      <c r="G106" s="7" t="n">
        <v>1</v>
      </c>
      <c r="H106" s="12" t="s">
        <v>83</v>
      </c>
      <c r="I106" s="12" t="s">
        <v>84</v>
      </c>
      <c r="J106" s="10" t="s">
        <v>287</v>
      </c>
      <c r="K106" s="9" t="n">
        <f aca="false">IF(ISNUMBER(D106),COUNTIF($D$6:$D$338,"&lt;"&amp;D106)/(COUNT($D$6:$D$338)-1),"")</f>
        <v>0.300970873786408</v>
      </c>
      <c r="L106" s="9" t="n">
        <f aca="false">IF(ISNUMBER(E106),COUNTIF($E$6:$E$338,"&lt;"&amp;E106)/(COUNT($E$6:$E$338)-1),"")</f>
        <v>0.207831325301205</v>
      </c>
      <c r="M106" s="9" t="n">
        <f aca="false">IF(AND(K106="",L106=""),"",(IF(ISNUMBER(K106),$C$3*K106,0)+IF(ISNUMBER(L106),$E$3*L106,0))/(IF(ISNUMBER(K106),$C$3,0)+IF(ISNUMBER(L106),$E$3,0)))</f>
        <v>0.254401099543806</v>
      </c>
      <c r="N106" s="12"/>
      <c r="O106" s="7" t="n">
        <f aca="false">IF(N106&lt;&gt;"","",COUNTIFS($A$6:$A$338,A106,$N$6:$N$338,"",$M$6:$M$338,"&gt;"&amp;M106)+COUNTIFS($A$6:A106,A106,$N$6:N106,"",$M$6:M106,M106))</f>
        <v>19</v>
      </c>
      <c r="P106" s="12" t="str">
        <f aca="false">IF(O106="","Excluded",IF(O106&lt;=5,"Lead",IF(O106&lt;=10,"Next wave","Long list")))</f>
        <v>Long list</v>
      </c>
      <c r="Q106" s="10" t="s">
        <v>86</v>
      </c>
      <c r="R106" s="30" t="s">
        <v>370</v>
      </c>
    </row>
    <row r="107" customFormat="false" ht="23.85" hidden="false" customHeight="false" outlineLevel="0" collapsed="false">
      <c r="A107" s="12" t="s">
        <v>25</v>
      </c>
      <c r="B107" s="12" t="s">
        <v>405</v>
      </c>
      <c r="C107" s="10" t="s">
        <v>406</v>
      </c>
      <c r="D107" s="26" t="n">
        <v>5.35</v>
      </c>
      <c r="E107" s="11" t="n">
        <v>2937.3</v>
      </c>
      <c r="F107" s="10" t="s">
        <v>147</v>
      </c>
      <c r="G107" s="7" t="n">
        <v>1</v>
      </c>
      <c r="H107" s="12" t="s">
        <v>77</v>
      </c>
      <c r="I107" s="12" t="s">
        <v>84</v>
      </c>
      <c r="J107" s="10" t="s">
        <v>163</v>
      </c>
      <c r="K107" s="9" t="n">
        <f aca="false">IF(ISNUMBER(D107),COUNTIF($D$6:$D$338,"&lt;"&amp;D107)/(COUNT($D$6:$D$338)-1),"")</f>
        <v>0.0161812297734628</v>
      </c>
      <c r="L107" s="9" t="n">
        <f aca="false">IF(ISNUMBER(E107),COUNTIF($E$6:$E$338,"&lt;"&amp;E107)/(COUNT($E$6:$E$338)-1),"")</f>
        <v>0.406626506024096</v>
      </c>
      <c r="M107" s="9" t="n">
        <f aca="false">IF(AND(K107="",L107=""),"",(IF(ISNUMBER(K107),$C$3*K107,0)+IF(ISNUMBER(L107),$E$3*L107,0))/(IF(ISNUMBER(K107),$C$3,0)+IF(ISNUMBER(L107),$E$3,0)))</f>
        <v>0.21140386789878</v>
      </c>
      <c r="N107" s="12"/>
      <c r="O107" s="7" t="n">
        <f aca="false">IF(N107&lt;&gt;"","",COUNTIFS($A$6:$A$338,A107,$N$6:$N$338,"",$M$6:$M$338,"&gt;"&amp;M107)+COUNTIFS($A$6:A107,A107,$N$6:N107,"",$M$6:M107,M107))</f>
        <v>20</v>
      </c>
      <c r="P107" s="12" t="str">
        <f aca="false">IF(O107="","Excluded",IF(O107&lt;=5,"Lead",IF(O107&lt;=10,"Next wave","Long list")))</f>
        <v>Long list</v>
      </c>
      <c r="Q107" s="10" t="s">
        <v>80</v>
      </c>
      <c r="R107" s="30" t="s">
        <v>408</v>
      </c>
    </row>
    <row r="108" customFormat="false" ht="23.85" hidden="false" customHeight="false" outlineLevel="0" collapsed="false">
      <c r="A108" s="12" t="s">
        <v>25</v>
      </c>
      <c r="B108" s="12" t="s">
        <v>285</v>
      </c>
      <c r="C108" s="10" t="s">
        <v>286</v>
      </c>
      <c r="D108" s="26" t="n">
        <v>10.14</v>
      </c>
      <c r="E108" s="11" t="n">
        <v>1053.6</v>
      </c>
      <c r="F108" s="10" t="s">
        <v>147</v>
      </c>
      <c r="G108" s="7" t="n">
        <v>1</v>
      </c>
      <c r="H108" s="12" t="s">
        <v>83</v>
      </c>
      <c r="I108" s="12" t="s">
        <v>84</v>
      </c>
      <c r="J108" s="10" t="s">
        <v>287</v>
      </c>
      <c r="K108" s="9" t="n">
        <f aca="false">IF(ISNUMBER(D108),COUNTIF($D$6:$D$338,"&lt;"&amp;D108)/(COUNT($D$6:$D$338)-1),"")</f>
        <v>0.233009708737864</v>
      </c>
      <c r="L108" s="9" t="n">
        <f aca="false">IF(ISNUMBER(E108),COUNTIF($E$6:$E$338,"&lt;"&amp;E108)/(COUNT($E$6:$E$338)-1),"")</f>
        <v>0.150602409638554</v>
      </c>
      <c r="M108" s="9" t="n">
        <f aca="false">IF(AND(K108="",L108=""),"",(IF(ISNUMBER(K108),$C$3*K108,0)+IF(ISNUMBER(L108),$E$3*L108,0))/(IF(ISNUMBER(K108),$C$3,0)+IF(ISNUMBER(L108),$E$3,0)))</f>
        <v>0.191806059188209</v>
      </c>
      <c r="N108" s="12"/>
      <c r="O108" s="7" t="n">
        <f aca="false">IF(N108&lt;&gt;"","",COUNTIFS($A$6:$A$338,A108,$N$6:$N$338,"",$M$6:$M$338,"&gt;"&amp;M108)+COUNTIFS($A$6:A108,A108,$N$6:N108,"",$M$6:M108,M108))</f>
        <v>21</v>
      </c>
      <c r="P108" s="12" t="str">
        <f aca="false">IF(O108="","Excluded",IF(O108&lt;=5,"Lead",IF(O108&lt;=10,"Next wave","Long list")))</f>
        <v>Long list</v>
      </c>
      <c r="Q108" s="10" t="s">
        <v>86</v>
      </c>
      <c r="R108" s="30" t="s">
        <v>301</v>
      </c>
    </row>
    <row r="109" customFormat="false" ht="23.85" hidden="false" customHeight="false" outlineLevel="0" collapsed="false">
      <c r="A109" s="12" t="s">
        <v>25</v>
      </c>
      <c r="B109" s="12" t="s">
        <v>409</v>
      </c>
      <c r="C109" s="10" t="s">
        <v>410</v>
      </c>
      <c r="D109" s="26" t="n">
        <v>10.03</v>
      </c>
      <c r="E109" s="11" t="n">
        <v>1127.6</v>
      </c>
      <c r="F109" s="10" t="s">
        <v>147</v>
      </c>
      <c r="G109" s="7" t="n">
        <v>1</v>
      </c>
      <c r="H109" s="12" t="s">
        <v>83</v>
      </c>
      <c r="I109" s="12" t="s">
        <v>84</v>
      </c>
      <c r="J109" s="10" t="s">
        <v>287</v>
      </c>
      <c r="K109" s="9" t="n">
        <f aca="false">IF(ISNUMBER(D109),COUNTIF($D$6:$D$338,"&lt;"&amp;D109)/(COUNT($D$6:$D$338)-1),"")</f>
        <v>0.220064724919094</v>
      </c>
      <c r="L109" s="9" t="n">
        <f aca="false">IF(ISNUMBER(E109),COUNTIF($E$6:$E$338,"&lt;"&amp;E109)/(COUNT($E$6:$E$338)-1),"")</f>
        <v>0.162650602409639</v>
      </c>
      <c r="M109" s="9" t="n">
        <f aca="false">IF(AND(K109="",L109=""),"",(IF(ISNUMBER(K109),$C$3*K109,0)+IF(ISNUMBER(L109),$E$3*L109,0))/(IF(ISNUMBER(K109),$C$3,0)+IF(ISNUMBER(L109),$E$3,0)))</f>
        <v>0.191357663664366</v>
      </c>
      <c r="N109" s="12"/>
      <c r="O109" s="7" t="n">
        <f aca="false">IF(N109&lt;&gt;"","",COUNTIFS($A$6:$A$338,A109,$N$6:$N$338,"",$M$6:$M$338,"&gt;"&amp;M109)+COUNTIFS($A$6:A109,A109,$N$6:N109,"",$M$6:M109,M109))</f>
        <v>22</v>
      </c>
      <c r="P109" s="12" t="str">
        <f aca="false">IF(O109="","Excluded",IF(O109&lt;=5,"Lead",IF(O109&lt;=10,"Next wave","Long list")))</f>
        <v>Long list</v>
      </c>
      <c r="Q109" s="10" t="s">
        <v>86</v>
      </c>
      <c r="R109" s="30" t="s">
        <v>411</v>
      </c>
    </row>
    <row r="110" customFormat="false" ht="23.85" hidden="false" customHeight="false" outlineLevel="0" collapsed="false">
      <c r="A110" s="12" t="s">
        <v>25</v>
      </c>
      <c r="B110" s="12" t="s">
        <v>305</v>
      </c>
      <c r="C110" s="10" t="s">
        <v>306</v>
      </c>
      <c r="D110" s="26"/>
      <c r="E110" s="11" t="n">
        <v>4256.8</v>
      </c>
      <c r="F110" s="10" t="s">
        <v>147</v>
      </c>
      <c r="G110" s="7" t="n">
        <v>1</v>
      </c>
      <c r="H110" s="12" t="s">
        <v>95</v>
      </c>
      <c r="I110" s="12" t="s">
        <v>95</v>
      </c>
      <c r="J110" s="10" t="s">
        <v>163</v>
      </c>
      <c r="K110" s="9" t="str">
        <f aca="false">IF(ISNUMBER(D110),COUNTIF($D$6:$D$338,"&lt;"&amp;D110)/(COUNT($D$6:$D$338)-1),"")</f>
        <v/>
      </c>
      <c r="L110" s="9" t="n">
        <f aca="false">IF(ISNUMBER(E110),COUNTIF($E$6:$E$338,"&lt;"&amp;E110)/(COUNT($E$6:$E$338)-1),"")</f>
        <v>0.512048192771084</v>
      </c>
      <c r="M110" s="9" t="n">
        <f aca="false">IF(AND(K110="",L110=""),"",(IF(ISNUMBER(K110),$C$3*K110,0)+IF(ISNUMBER(L110),$E$3*L110,0))/(IF(ISNUMBER(K110),$C$3,0)+IF(ISNUMBER(L110),$E$3,0)))</f>
        <v>0.512048192771084</v>
      </c>
      <c r="N110" s="12" t="s">
        <v>307</v>
      </c>
      <c r="O110" s="7" t="str">
        <f aca="false">IF(N110&lt;&gt;"","",COUNTIFS($A$6:$A$338,A110,$N$6:$N$338,"",$M$6:$M$338,"&gt;"&amp;M110)+COUNTIFS($A$6:A110,A110,$N$6:N110,"",$M$6:M110,M110))</f>
        <v/>
      </c>
      <c r="P110" s="12" t="str">
        <f aca="false">IF(O110="","Excluded",IF(O110&lt;=5,"Lead",IF(O110&lt;=10,"Next wave","Long list")))</f>
        <v>Excluded</v>
      </c>
      <c r="Q110" s="10" t="s">
        <v>97</v>
      </c>
      <c r="R110" s="30" t="s">
        <v>308</v>
      </c>
    </row>
    <row r="111" customFormat="false" ht="23.85" hidden="false" customHeight="false" outlineLevel="0" collapsed="false">
      <c r="A111" s="12" t="s">
        <v>25</v>
      </c>
      <c r="B111" s="12" t="s">
        <v>466</v>
      </c>
      <c r="C111" s="10" t="s">
        <v>467</v>
      </c>
      <c r="D111" s="26" t="n">
        <v>30.59</v>
      </c>
      <c r="E111" s="11" t="n">
        <v>373.9</v>
      </c>
      <c r="F111" s="10" t="s">
        <v>302</v>
      </c>
      <c r="G111" s="7" t="n">
        <v>1</v>
      </c>
      <c r="H111" s="12" t="s">
        <v>77</v>
      </c>
      <c r="I111" s="12" t="s">
        <v>84</v>
      </c>
      <c r="J111" s="10"/>
      <c r="K111" s="9" t="n">
        <f aca="false">IF(ISNUMBER(D111),COUNTIF($D$6:$D$338,"&lt;"&amp;D111)/(COUNT($D$6:$D$338)-1),"")</f>
        <v>0.517799352750809</v>
      </c>
      <c r="L111" s="9" t="n">
        <f aca="false">IF(ISNUMBER(E111),COUNTIF($E$6:$E$338,"&lt;"&amp;E111)/(COUNT($E$6:$E$338)-1),"")</f>
        <v>0.0933734939759036</v>
      </c>
      <c r="M111" s="9" t="n">
        <f aca="false">IF(AND(K111="",L111=""),"",(IF(ISNUMBER(K111),$C$3*K111,0)+IF(ISNUMBER(L111),$E$3*L111,0))/(IF(ISNUMBER(K111),$C$3,0)+IF(ISNUMBER(L111),$E$3,0)))</f>
        <v>0.305586423363356</v>
      </c>
      <c r="N111" s="12" t="s">
        <v>303</v>
      </c>
      <c r="O111" s="7" t="str">
        <f aca="false">IF(N111&lt;&gt;"","",COUNTIFS($A$6:$A$338,A111,$N$6:$N$338,"",$M$6:$M$338,"&gt;"&amp;M111)+COUNTIFS($A$6:A111,A111,$N$6:N111,"",$M$6:M111,M111))</f>
        <v/>
      </c>
      <c r="P111" s="12" t="str">
        <f aca="false">IF(O111="","Excluded",IF(O111&lt;=5,"Lead",IF(O111&lt;=10,"Next wave","Long list")))</f>
        <v>Excluded</v>
      </c>
      <c r="Q111" s="10" t="s">
        <v>102</v>
      </c>
      <c r="R111" s="30" t="s">
        <v>468</v>
      </c>
    </row>
    <row r="112" customFormat="false" ht="35.05" hidden="false" customHeight="false" outlineLevel="0" collapsed="false">
      <c r="A112" s="12" t="s">
        <v>21</v>
      </c>
      <c r="B112" s="12" t="s">
        <v>74</v>
      </c>
      <c r="C112" s="10" t="s">
        <v>75</v>
      </c>
      <c r="D112" s="26" t="n">
        <v>410.89</v>
      </c>
      <c r="E112" s="11" t="n">
        <v>42181.7</v>
      </c>
      <c r="F112" s="10" t="s">
        <v>106</v>
      </c>
      <c r="G112" s="7" t="n">
        <v>11</v>
      </c>
      <c r="H112" s="12" t="s">
        <v>77</v>
      </c>
      <c r="I112" s="12" t="s">
        <v>78</v>
      </c>
      <c r="J112" s="10" t="s">
        <v>79</v>
      </c>
      <c r="K112" s="9" t="n">
        <f aca="false">IF(ISNUMBER(D112),COUNTIF($D$6:$D$338,"&lt;"&amp;D112)/(COUNT($D$6:$D$338)-1),"")</f>
        <v>0.928802588996764</v>
      </c>
      <c r="L112" s="9" t="n">
        <f aca="false">IF(ISNUMBER(E112),COUNTIF($E$6:$E$338,"&lt;"&amp;E112)/(COUNT($E$6:$E$338)-1),"")</f>
        <v>0.897590361445783</v>
      </c>
      <c r="M112" s="9" t="n">
        <f aca="false">IF(AND(K112="",L112=""),"",(IF(ISNUMBER(K112),$C$3*K112,0)+IF(ISNUMBER(L112),$E$3*L112,0))/(IF(ISNUMBER(K112),$C$3,0)+IF(ISNUMBER(L112),$E$3,0)))</f>
        <v>0.913196475221273</v>
      </c>
      <c r="N112" s="12"/>
      <c r="O112" s="7" t="n">
        <f aca="false">IF(N112&lt;&gt;"","",COUNTIFS($A$6:$A$338,A112,$N$6:$N$338,"",$M$6:$M$338,"&gt;"&amp;M112)+COUNTIFS($A$6:A112,A112,$N$6:N112,"",$M$6:M112,M112))</f>
        <v>1</v>
      </c>
      <c r="P112" s="12" t="str">
        <f aca="false">IF(O112="","Excluded",IF(O112&lt;=5,"Lead",IF(O112&lt;=10,"Next wave","Long list")))</f>
        <v>Lead</v>
      </c>
      <c r="Q112" s="10" t="s">
        <v>80</v>
      </c>
      <c r="R112" s="30" t="s">
        <v>310</v>
      </c>
    </row>
    <row r="113" customFormat="false" ht="35.05" hidden="false" customHeight="false" outlineLevel="0" collapsed="false">
      <c r="A113" s="12" t="s">
        <v>21</v>
      </c>
      <c r="B113" s="12" t="s">
        <v>87</v>
      </c>
      <c r="C113" s="10" t="s">
        <v>88</v>
      </c>
      <c r="D113" s="26" t="n">
        <v>1212.91</v>
      </c>
      <c r="E113" s="11" t="n">
        <v>28093.4</v>
      </c>
      <c r="F113" s="10" t="s">
        <v>123</v>
      </c>
      <c r="G113" s="7" t="n">
        <v>4</v>
      </c>
      <c r="H113" s="12" t="s">
        <v>77</v>
      </c>
      <c r="I113" s="12" t="s">
        <v>84</v>
      </c>
      <c r="J113" s="10" t="s">
        <v>91</v>
      </c>
      <c r="K113" s="9" t="n">
        <f aca="false">IF(ISNUMBER(D113),COUNTIF($D$6:$D$338,"&lt;"&amp;D113)/(COUNT($D$6:$D$338)-1),"")</f>
        <v>0.97411003236246</v>
      </c>
      <c r="L113" s="9" t="n">
        <f aca="false">IF(ISNUMBER(E113),COUNTIF($E$6:$E$338,"&lt;"&amp;E113)/(COUNT($E$6:$E$338)-1),"")</f>
        <v>0.792168674698795</v>
      </c>
      <c r="M113" s="9" t="n">
        <f aca="false">IF(AND(K113="",L113=""),"",(IF(ISNUMBER(K113),$C$3*K113,0)+IF(ISNUMBER(L113),$E$3*L113,0))/(IF(ISNUMBER(K113),$C$3,0)+IF(ISNUMBER(L113),$E$3,0)))</f>
        <v>0.883139353530627</v>
      </c>
      <c r="N113" s="12"/>
      <c r="O113" s="7" t="n">
        <f aca="false">IF(N113&lt;&gt;"","",COUNTIFS($A$6:$A$338,A113,$N$6:$N$338,"",$M$6:$M$338,"&gt;"&amp;M113)+COUNTIFS($A$6:A113,A113,$N$6:N113,"",$M$6:M113,M113))</f>
        <v>2</v>
      </c>
      <c r="P113" s="12" t="str">
        <f aca="false">IF(O113="","Excluded",IF(O113&lt;=5,"Lead",IF(O113&lt;=10,"Next wave","Long list")))</f>
        <v>Lead</v>
      </c>
      <c r="Q113" s="10" t="s">
        <v>80</v>
      </c>
      <c r="R113" s="30" t="s">
        <v>311</v>
      </c>
    </row>
    <row r="114" customFormat="false" ht="23.85" hidden="false" customHeight="false" outlineLevel="0" collapsed="false">
      <c r="A114" s="12" t="s">
        <v>21</v>
      </c>
      <c r="B114" s="12" t="s">
        <v>104</v>
      </c>
      <c r="C114" s="10" t="s">
        <v>105</v>
      </c>
      <c r="D114" s="26" t="n">
        <v>87.85</v>
      </c>
      <c r="E114" s="11" t="n">
        <v>59827.2</v>
      </c>
      <c r="F114" s="10" t="s">
        <v>124</v>
      </c>
      <c r="G114" s="7" t="n">
        <v>5</v>
      </c>
      <c r="H114" s="12" t="s">
        <v>77</v>
      </c>
      <c r="I114" s="12" t="s">
        <v>78</v>
      </c>
      <c r="J114" s="10" t="s">
        <v>108</v>
      </c>
      <c r="K114" s="9" t="n">
        <f aca="false">IF(ISNUMBER(D114),COUNTIF($D$6:$D$338,"&lt;"&amp;D114)/(COUNT($D$6:$D$338)-1),"")</f>
        <v>0.73462783171521</v>
      </c>
      <c r="L114" s="9" t="n">
        <f aca="false">IF(ISNUMBER(E114),COUNTIF($E$6:$E$338,"&lt;"&amp;E114)/(COUNT($E$6:$E$338)-1),"")</f>
        <v>0.957831325301205</v>
      </c>
      <c r="M114" s="9" t="n">
        <f aca="false">IF(AND(K114="",L114=""),"",(IF(ISNUMBER(K114),$C$3*K114,0)+IF(ISNUMBER(L114),$E$3*L114,0))/(IF(ISNUMBER(K114),$C$3,0)+IF(ISNUMBER(L114),$E$3,0)))</f>
        <v>0.846229578508208</v>
      </c>
      <c r="N114" s="12"/>
      <c r="O114" s="7" t="n">
        <f aca="false">IF(N114&lt;&gt;"","",COUNTIFS($A$6:$A$338,A114,$N$6:$N$338,"",$M$6:$M$338,"&gt;"&amp;M114)+COUNTIFS($A$6:A114,A114,$N$6:N114,"",$M$6:M114,M114))</f>
        <v>3</v>
      </c>
      <c r="P114" s="12" t="str">
        <f aca="false">IF(O114="","Excluded",IF(O114&lt;=5,"Lead",IF(O114&lt;=10,"Next wave","Long list")))</f>
        <v>Lead</v>
      </c>
      <c r="Q114" s="10" t="s">
        <v>80</v>
      </c>
      <c r="R114" s="30" t="s">
        <v>312</v>
      </c>
    </row>
    <row r="115" customFormat="false" ht="23.85" hidden="false" customHeight="false" outlineLevel="0" collapsed="false">
      <c r="A115" s="12" t="s">
        <v>21</v>
      </c>
      <c r="B115" s="12" t="s">
        <v>109</v>
      </c>
      <c r="C115" s="10" t="s">
        <v>110</v>
      </c>
      <c r="D115" s="26" t="n">
        <v>6173.01</v>
      </c>
      <c r="E115" s="11" t="n">
        <v>7904.7</v>
      </c>
      <c r="F115" s="10" t="s">
        <v>124</v>
      </c>
      <c r="G115" s="7" t="n">
        <v>4</v>
      </c>
      <c r="H115" s="12" t="s">
        <v>77</v>
      </c>
      <c r="I115" s="12" t="s">
        <v>84</v>
      </c>
      <c r="J115" s="10" t="s">
        <v>111</v>
      </c>
      <c r="K115" s="9" t="n">
        <f aca="false">IF(ISNUMBER(D115),COUNTIF($D$6:$D$338,"&lt;"&amp;D115)/(COUNT($D$6:$D$338)-1),"")</f>
        <v>0.996763754045308</v>
      </c>
      <c r="L115" s="9" t="n">
        <f aca="false">IF(ISNUMBER(E115),COUNTIF($E$6:$E$338,"&lt;"&amp;E115)/(COUNT($E$6:$E$338)-1),"")</f>
        <v>0.650602409638554</v>
      </c>
      <c r="M115" s="9" t="n">
        <f aca="false">IF(AND(K115="",L115=""),"",(IF(ISNUMBER(K115),$C$3*K115,0)+IF(ISNUMBER(L115),$E$3*L115,0))/(IF(ISNUMBER(K115),$C$3,0)+IF(ISNUMBER(L115),$E$3,0)))</f>
        <v>0.823683081841931</v>
      </c>
      <c r="N115" s="12"/>
      <c r="O115" s="7" t="n">
        <f aca="false">IF(N115&lt;&gt;"","",COUNTIFS($A$6:$A$338,A115,$N$6:$N$338,"",$M$6:$M$338,"&gt;"&amp;M115)+COUNTIFS($A$6:A115,A115,$N$6:N115,"",$M$6:M115,M115))</f>
        <v>4</v>
      </c>
      <c r="P115" s="12" t="str">
        <f aca="false">IF(O115="","Excluded",IF(O115&lt;=5,"Lead",IF(O115&lt;=10,"Next wave","Long list")))</f>
        <v>Lead</v>
      </c>
      <c r="Q115" s="10" t="s">
        <v>80</v>
      </c>
      <c r="R115" s="30" t="s">
        <v>313</v>
      </c>
    </row>
    <row r="116" customFormat="false" ht="23.85" hidden="false" customHeight="false" outlineLevel="0" collapsed="false">
      <c r="A116" s="12" t="s">
        <v>21</v>
      </c>
      <c r="B116" s="12" t="s">
        <v>116</v>
      </c>
      <c r="C116" s="10" t="s">
        <v>117</v>
      </c>
      <c r="D116" s="26" t="n">
        <v>74.41</v>
      </c>
      <c r="E116" s="11" t="n">
        <v>32830.2</v>
      </c>
      <c r="F116" s="10" t="s">
        <v>106</v>
      </c>
      <c r="G116" s="7" t="n">
        <v>7</v>
      </c>
      <c r="H116" s="12" t="s">
        <v>77</v>
      </c>
      <c r="I116" s="12" t="s">
        <v>84</v>
      </c>
      <c r="J116" s="10" t="s">
        <v>119</v>
      </c>
      <c r="K116" s="9" t="n">
        <f aca="false">IF(ISNUMBER(D116),COUNTIF($D$6:$D$338,"&lt;"&amp;D116)/(COUNT($D$6:$D$338)-1),"")</f>
        <v>0.70873786407767</v>
      </c>
      <c r="L116" s="9" t="n">
        <f aca="false">IF(ISNUMBER(E116),COUNTIF($E$6:$E$338,"&lt;"&amp;E116)/(COUNT($E$6:$E$338)-1),"")</f>
        <v>0.825301204819277</v>
      </c>
      <c r="M116" s="9" t="n">
        <f aca="false">IF(AND(K116="",L116=""),"",(IF(ISNUMBER(K116),$C$3*K116,0)+IF(ISNUMBER(L116),$E$3*L116,0))/(IF(ISNUMBER(K116),$C$3,0)+IF(ISNUMBER(L116),$E$3,0)))</f>
        <v>0.767019534448474</v>
      </c>
      <c r="N116" s="12"/>
      <c r="O116" s="7" t="n">
        <f aca="false">IF(N116&lt;&gt;"","",COUNTIFS($A$6:$A$338,A116,$N$6:$N$338,"",$M$6:$M$338,"&gt;"&amp;M116)+COUNTIFS($A$6:A116,A116,$N$6:N116,"",$M$6:M116,M116))</f>
        <v>5</v>
      </c>
      <c r="P116" s="12" t="str">
        <f aca="false">IF(O116="","Excluded",IF(O116&lt;=5,"Lead",IF(O116&lt;=10,"Next wave","Long list")))</f>
        <v>Lead</v>
      </c>
      <c r="Q116" s="10" t="s">
        <v>80</v>
      </c>
      <c r="R116" s="30" t="s">
        <v>426</v>
      </c>
    </row>
    <row r="117" customFormat="false" ht="35.05" hidden="false" customHeight="false" outlineLevel="0" collapsed="false">
      <c r="A117" s="12" t="s">
        <v>21</v>
      </c>
      <c r="B117" s="12" t="s">
        <v>125</v>
      </c>
      <c r="C117" s="10" t="s">
        <v>126</v>
      </c>
      <c r="D117" s="26" t="n">
        <v>92.75</v>
      </c>
      <c r="E117" s="11" t="n">
        <v>3871.2</v>
      </c>
      <c r="F117" s="10" t="s">
        <v>127</v>
      </c>
      <c r="G117" s="7" t="n">
        <v>1</v>
      </c>
      <c r="H117" s="12" t="s">
        <v>77</v>
      </c>
      <c r="I117" s="12" t="s">
        <v>128</v>
      </c>
      <c r="J117" s="10" t="s">
        <v>122</v>
      </c>
      <c r="K117" s="9" t="n">
        <f aca="false">IF(ISNUMBER(D117),COUNTIF($D$6:$D$338,"&lt;"&amp;D117)/(COUNT($D$6:$D$338)-1),"")</f>
        <v>0.763754045307443</v>
      </c>
      <c r="L117" s="9" t="n">
        <f aca="false">IF(ISNUMBER(E117),COUNTIF($E$6:$E$338,"&lt;"&amp;E117)/(COUNT($E$6:$E$338)-1),"")</f>
        <v>0.475903614457831</v>
      </c>
      <c r="M117" s="9" t="n">
        <f aca="false">IF(AND(K117="",L117=""),"",(IF(ISNUMBER(K117),$C$3*K117,0)+IF(ISNUMBER(L117),$E$3*L117,0))/(IF(ISNUMBER(K117),$C$3,0)+IF(ISNUMBER(L117),$E$3,0)))</f>
        <v>0.619828829882637</v>
      </c>
      <c r="N117" s="12"/>
      <c r="O117" s="7" t="n">
        <f aca="false">IF(N117&lt;&gt;"","",COUNTIFS($A$6:$A$338,A117,$N$6:$N$338,"",$M$6:$M$338,"&gt;"&amp;M117)+COUNTIFS($A$6:A117,A117,$N$6:N117,"",$M$6:M117,M117))</f>
        <v>6</v>
      </c>
      <c r="P117" s="12" t="str">
        <f aca="false">IF(O117="","Excluded",IF(O117&lt;=5,"Lead",IF(O117&lt;=10,"Next wave","Long list")))</f>
        <v>Next wave</v>
      </c>
      <c r="Q117" s="10" t="s">
        <v>80</v>
      </c>
      <c r="R117" s="30" t="s">
        <v>316</v>
      </c>
    </row>
    <row r="118" customFormat="false" ht="35.05" hidden="false" customHeight="false" outlineLevel="0" collapsed="false">
      <c r="A118" s="12" t="s">
        <v>21</v>
      </c>
      <c r="B118" s="12" t="s">
        <v>129</v>
      </c>
      <c r="C118" s="10" t="s">
        <v>130</v>
      </c>
      <c r="D118" s="26" t="n">
        <v>195.71</v>
      </c>
      <c r="E118" s="11" t="n">
        <v>2886</v>
      </c>
      <c r="F118" s="10" t="s">
        <v>131</v>
      </c>
      <c r="G118" s="7" t="n">
        <v>18</v>
      </c>
      <c r="H118" s="12" t="s">
        <v>77</v>
      </c>
      <c r="I118" s="12" t="s">
        <v>84</v>
      </c>
      <c r="J118" s="10" t="s">
        <v>132</v>
      </c>
      <c r="K118" s="9" t="n">
        <f aca="false">IF(ISNUMBER(D118),COUNTIF($D$6:$D$338,"&lt;"&amp;D118)/(COUNT($D$6:$D$338)-1),"")</f>
        <v>0.851132686084142</v>
      </c>
      <c r="L118" s="9" t="n">
        <f aca="false">IF(ISNUMBER(E118),COUNTIF($E$6:$E$338,"&lt;"&amp;E118)/(COUNT($E$6:$E$338)-1),"")</f>
        <v>0.373493975903614</v>
      </c>
      <c r="M118" s="9" t="n">
        <f aca="false">IF(AND(K118="",L118=""),"",(IF(ISNUMBER(K118),$C$3*K118,0)+IF(ISNUMBER(L118),$E$3*L118,0))/(IF(ISNUMBER(K118),$C$3,0)+IF(ISNUMBER(L118),$E$3,0)))</f>
        <v>0.612313330993878</v>
      </c>
      <c r="N118" s="12"/>
      <c r="O118" s="7" t="n">
        <f aca="false">IF(N118&lt;&gt;"","",COUNTIFS($A$6:$A$338,A118,$N$6:$N$338,"",$M$6:$M$338,"&gt;"&amp;M118)+COUNTIFS($A$6:A118,A118,$N$6:N118,"",$M$6:M118,M118))</f>
        <v>7</v>
      </c>
      <c r="P118" s="12" t="str">
        <f aca="false">IF(O118="","Excluded",IF(O118&lt;=5,"Lead",IF(O118&lt;=10,"Next wave","Long list")))</f>
        <v>Next wave</v>
      </c>
      <c r="Q118" s="10" t="s">
        <v>80</v>
      </c>
      <c r="R118" s="30" t="s">
        <v>331</v>
      </c>
    </row>
    <row r="119" customFormat="false" ht="35.05" hidden="false" customHeight="false" outlineLevel="0" collapsed="false">
      <c r="A119" s="12" t="s">
        <v>21</v>
      </c>
      <c r="B119" s="12" t="s">
        <v>133</v>
      </c>
      <c r="C119" s="10" t="s">
        <v>134</v>
      </c>
      <c r="D119" s="26" t="n">
        <v>404.59</v>
      </c>
      <c r="E119" s="11" t="n">
        <v>1874.6</v>
      </c>
      <c r="F119" s="10" t="s">
        <v>135</v>
      </c>
      <c r="G119" s="7" t="n">
        <v>7</v>
      </c>
      <c r="H119" s="12" t="s">
        <v>77</v>
      </c>
      <c r="I119" s="12" t="s">
        <v>84</v>
      </c>
      <c r="J119" s="10" t="s">
        <v>122</v>
      </c>
      <c r="K119" s="9" t="n">
        <f aca="false">IF(ISNUMBER(D119),COUNTIF($D$6:$D$338,"&lt;"&amp;D119)/(COUNT($D$6:$D$338)-1),"")</f>
        <v>0.925566343042071</v>
      </c>
      <c r="L119" s="9" t="n">
        <f aca="false">IF(ISNUMBER(E119),COUNTIF($E$6:$E$338,"&lt;"&amp;E119)/(COUNT($E$6:$E$338)-1),"")</f>
        <v>0.243975903614458</v>
      </c>
      <c r="M119" s="9" t="n">
        <f aca="false">IF(AND(K119="",L119=""),"",(IF(ISNUMBER(K119),$C$3*K119,0)+IF(ISNUMBER(L119),$E$3*L119,0))/(IF(ISNUMBER(K119),$C$3,0)+IF(ISNUMBER(L119),$E$3,0)))</f>
        <v>0.584771123328265</v>
      </c>
      <c r="N119" s="12"/>
      <c r="O119" s="7" t="n">
        <f aca="false">IF(N119&lt;&gt;"","",COUNTIFS($A$6:$A$338,A119,$N$6:$N$338,"",$M$6:$M$338,"&gt;"&amp;M119)+COUNTIFS($A$6:A119,A119,$N$6:N119,"",$M$6:M119,M119))</f>
        <v>8</v>
      </c>
      <c r="P119" s="12" t="str">
        <f aca="false">IF(O119="","Excluded",IF(O119&lt;=5,"Lead",IF(O119&lt;=10,"Next wave","Long list")))</f>
        <v>Next wave</v>
      </c>
      <c r="Q119" s="10" t="s">
        <v>80</v>
      </c>
      <c r="R119" s="30" t="s">
        <v>454</v>
      </c>
    </row>
    <row r="120" customFormat="false" ht="23.85" hidden="false" customHeight="false" outlineLevel="0" collapsed="false">
      <c r="A120" s="12" t="s">
        <v>21</v>
      </c>
      <c r="B120" s="12" t="s">
        <v>136</v>
      </c>
      <c r="C120" s="10" t="s">
        <v>137</v>
      </c>
      <c r="D120" s="26" t="n">
        <v>27.98</v>
      </c>
      <c r="E120" s="11" t="n">
        <v>8433.6</v>
      </c>
      <c r="F120" s="10" t="s">
        <v>138</v>
      </c>
      <c r="G120" s="7" t="n">
        <v>5</v>
      </c>
      <c r="H120" s="12" t="s">
        <v>77</v>
      </c>
      <c r="I120" s="12" t="s">
        <v>84</v>
      </c>
      <c r="J120" s="10"/>
      <c r="K120" s="9" t="n">
        <f aca="false">IF(ISNUMBER(D120),COUNTIF($D$6:$D$338,"&lt;"&amp;D120)/(COUNT($D$6:$D$338)-1),"")</f>
        <v>0.478964401294498</v>
      </c>
      <c r="L120" s="9" t="n">
        <f aca="false">IF(ISNUMBER(E120),COUNTIF($E$6:$E$338,"&lt;"&amp;E120)/(COUNT($E$6:$E$338)-1),"")</f>
        <v>0.674698795180723</v>
      </c>
      <c r="M120" s="9" t="n">
        <f aca="false">IF(AND(K120="",L120=""),"",(IF(ISNUMBER(K120),$C$3*K120,0)+IF(ISNUMBER(L120),$E$3*L120,0))/(IF(ISNUMBER(K120),$C$3,0)+IF(ISNUMBER(L120),$E$3,0)))</f>
        <v>0.576831598237611</v>
      </c>
      <c r="N120" s="12"/>
      <c r="O120" s="7" t="n">
        <f aca="false">IF(N120&lt;&gt;"","",COUNTIFS($A$6:$A$338,A120,$N$6:$N$338,"",$M$6:$M$338,"&gt;"&amp;M120)+COUNTIFS($A$6:A120,A120,$N$6:N120,"",$M$6:M120,M120))</f>
        <v>9</v>
      </c>
      <c r="P120" s="12" t="str">
        <f aca="false">IF(O120="","Excluded",IF(O120&lt;=5,"Lead",IF(O120&lt;=10,"Next wave","Long list")))</f>
        <v>Next wave</v>
      </c>
      <c r="Q120" s="10" t="s">
        <v>102</v>
      </c>
      <c r="R120" s="30" t="s">
        <v>469</v>
      </c>
    </row>
    <row r="121" customFormat="false" ht="23.85" hidden="false" customHeight="false" outlineLevel="0" collapsed="false">
      <c r="A121" s="12" t="s">
        <v>21</v>
      </c>
      <c r="B121" s="12" t="s">
        <v>139</v>
      </c>
      <c r="C121" s="10" t="s">
        <v>140</v>
      </c>
      <c r="D121" s="26" t="n">
        <v>186.04</v>
      </c>
      <c r="E121" s="11" t="n">
        <v>1652</v>
      </c>
      <c r="F121" s="10" t="s">
        <v>141</v>
      </c>
      <c r="G121" s="7" t="n">
        <v>12</v>
      </c>
      <c r="H121" s="12" t="s">
        <v>77</v>
      </c>
      <c r="I121" s="12" t="s">
        <v>107</v>
      </c>
      <c r="J121" s="10" t="s">
        <v>142</v>
      </c>
      <c r="K121" s="9" t="n">
        <f aca="false">IF(ISNUMBER(D121),COUNTIF($D$6:$D$338,"&lt;"&amp;D121)/(COUNT($D$6:$D$338)-1),"")</f>
        <v>0.84789644012945</v>
      </c>
      <c r="L121" s="9" t="n">
        <f aca="false">IF(ISNUMBER(E121),COUNTIF($E$6:$E$338,"&lt;"&amp;E121)/(COUNT($E$6:$E$338)-1),"")</f>
        <v>0.22289156626506</v>
      </c>
      <c r="M121" s="9" t="n">
        <f aca="false">IF(AND(K121="",L121=""),"",(IF(ISNUMBER(K121),$C$3*K121,0)+IF(ISNUMBER(L121),$E$3*L121,0))/(IF(ISNUMBER(K121),$C$3,0)+IF(ISNUMBER(L121),$E$3,0)))</f>
        <v>0.535394003197255</v>
      </c>
      <c r="N121" s="12"/>
      <c r="O121" s="7" t="n">
        <f aca="false">IF(N121&lt;&gt;"","",COUNTIFS($A$6:$A$338,A121,$N$6:$N$338,"",$M$6:$M$338,"&gt;"&amp;M121)+COUNTIFS($A$6:A121,A121,$N$6:N121,"",$M$6:M121,M121))</f>
        <v>10</v>
      </c>
      <c r="P121" s="12" t="str">
        <f aca="false">IF(O121="","Excluded",IF(O121&lt;=5,"Lead",IF(O121&lt;=10,"Next wave","Long list")))</f>
        <v>Next wave</v>
      </c>
      <c r="Q121" s="10" t="s">
        <v>102</v>
      </c>
      <c r="R121" s="30" t="s">
        <v>470</v>
      </c>
    </row>
    <row r="122" customFormat="false" ht="23.85" hidden="false" customHeight="false" outlineLevel="0" collapsed="false">
      <c r="A122" s="12" t="s">
        <v>21</v>
      </c>
      <c r="B122" s="12" t="s">
        <v>471</v>
      </c>
      <c r="C122" s="10" t="s">
        <v>472</v>
      </c>
      <c r="D122" s="26" t="n">
        <v>6.44</v>
      </c>
      <c r="E122" s="11" t="n">
        <v>54624.8</v>
      </c>
      <c r="F122" s="10" t="s">
        <v>127</v>
      </c>
      <c r="G122" s="7" t="n">
        <v>1</v>
      </c>
      <c r="H122" s="12" t="s">
        <v>77</v>
      </c>
      <c r="I122" s="12" t="s">
        <v>128</v>
      </c>
      <c r="J122" s="10"/>
      <c r="K122" s="9" t="n">
        <f aca="false">IF(ISNUMBER(D122),COUNTIF($D$6:$D$338,"&lt;"&amp;D122)/(COUNT($D$6:$D$338)-1),"")</f>
        <v>0.0776699029126214</v>
      </c>
      <c r="L122" s="9" t="n">
        <f aca="false">IF(ISNUMBER(E122),COUNTIF($E$6:$E$338,"&lt;"&amp;E122)/(COUNT($E$6:$E$338)-1),"")</f>
        <v>0.930722891566265</v>
      </c>
      <c r="M122" s="9" t="n">
        <f aca="false">IF(AND(K122="",L122=""),"",(IF(ISNUMBER(K122),$C$3*K122,0)+IF(ISNUMBER(L122),$E$3*L122,0))/(IF(ISNUMBER(K122),$C$3,0)+IF(ISNUMBER(L122),$E$3,0)))</f>
        <v>0.504196397239443</v>
      </c>
      <c r="N122" s="12"/>
      <c r="O122" s="7" t="n">
        <f aca="false">IF(N122&lt;&gt;"","",COUNTIFS($A$6:$A$338,A122,$N$6:$N$338,"",$M$6:$M$338,"&gt;"&amp;M122)+COUNTIFS($A$6:A122,A122,$N$6:N122,"",$M$6:M122,M122))</f>
        <v>11</v>
      </c>
      <c r="P122" s="12" t="str">
        <f aca="false">IF(O122="","Excluded",IF(O122&lt;=5,"Lead",IF(O122&lt;=10,"Next wave","Long list")))</f>
        <v>Long list</v>
      </c>
      <c r="Q122" s="10" t="s">
        <v>102</v>
      </c>
      <c r="R122" s="30" t="s">
        <v>473</v>
      </c>
    </row>
    <row r="123" customFormat="false" ht="23.85" hidden="false" customHeight="false" outlineLevel="0" collapsed="false">
      <c r="A123" s="12" t="s">
        <v>21</v>
      </c>
      <c r="B123" s="12" t="s">
        <v>179</v>
      </c>
      <c r="C123" s="10" t="s">
        <v>180</v>
      </c>
      <c r="D123" s="26" t="n">
        <v>6.61</v>
      </c>
      <c r="E123" s="11" t="n">
        <v>35276.7</v>
      </c>
      <c r="F123" s="10" t="s">
        <v>474</v>
      </c>
      <c r="G123" s="7" t="n">
        <v>5</v>
      </c>
      <c r="H123" s="12" t="s">
        <v>77</v>
      </c>
      <c r="I123" s="12" t="s">
        <v>78</v>
      </c>
      <c r="J123" s="10" t="s">
        <v>175</v>
      </c>
      <c r="K123" s="9" t="n">
        <f aca="false">IF(ISNUMBER(D123),COUNTIF($D$6:$D$338,"&lt;"&amp;D123)/(COUNT($D$6:$D$338)-1),"")</f>
        <v>0.0906148867313916</v>
      </c>
      <c r="L123" s="9" t="n">
        <f aca="false">IF(ISNUMBER(E123),COUNTIF($E$6:$E$338,"&lt;"&amp;E123)/(COUNT($E$6:$E$338)-1),"")</f>
        <v>0.870481927710843</v>
      </c>
      <c r="M123" s="9" t="n">
        <f aca="false">IF(AND(K123="",L123=""),"",(IF(ISNUMBER(K123),$C$3*K123,0)+IF(ISNUMBER(L123),$E$3*L123,0))/(IF(ISNUMBER(K123),$C$3,0)+IF(ISNUMBER(L123),$E$3,0)))</f>
        <v>0.480548407221118</v>
      </c>
      <c r="N123" s="12"/>
      <c r="O123" s="7" t="n">
        <f aca="false">IF(N123&lt;&gt;"","",COUNTIFS($A$6:$A$338,A123,$N$6:$N$338,"",$M$6:$M$338,"&gt;"&amp;M123)+COUNTIFS($A$6:A123,A123,$N$6:N123,"",$M$6:M123,M123))</f>
        <v>12</v>
      </c>
      <c r="P123" s="12" t="str">
        <f aca="false">IF(O123="","Excluded",IF(O123&lt;=5,"Lead",IF(O123&lt;=10,"Next wave","Long list")))</f>
        <v>Long list</v>
      </c>
      <c r="Q123" s="10" t="s">
        <v>80</v>
      </c>
      <c r="R123" s="30" t="s">
        <v>352</v>
      </c>
    </row>
    <row r="124" customFormat="false" ht="23.85" hidden="false" customHeight="false" outlineLevel="0" collapsed="false">
      <c r="A124" s="12" t="s">
        <v>21</v>
      </c>
      <c r="B124" s="12" t="s">
        <v>214</v>
      </c>
      <c r="C124" s="10" t="s">
        <v>215</v>
      </c>
      <c r="D124" s="26" t="n">
        <v>22.38</v>
      </c>
      <c r="E124" s="11" t="n">
        <v>4036.6</v>
      </c>
      <c r="F124" s="10" t="s">
        <v>106</v>
      </c>
      <c r="G124" s="7" t="n">
        <v>7</v>
      </c>
      <c r="H124" s="12" t="s">
        <v>77</v>
      </c>
      <c r="I124" s="12" t="s">
        <v>84</v>
      </c>
      <c r="J124" s="10" t="s">
        <v>163</v>
      </c>
      <c r="K124" s="9" t="n">
        <f aca="false">IF(ISNUMBER(D124),COUNTIF($D$6:$D$338,"&lt;"&amp;D124)/(COUNT($D$6:$D$338)-1),"")</f>
        <v>0.411003236245955</v>
      </c>
      <c r="L124" s="9" t="n">
        <f aca="false">IF(ISNUMBER(E124),COUNTIF($E$6:$E$338,"&lt;"&amp;E124)/(COUNT($E$6:$E$338)-1),"")</f>
        <v>0.503012048192771</v>
      </c>
      <c r="M124" s="9" t="n">
        <f aca="false">IF(AND(K124="",L124=""),"",(IF(ISNUMBER(K124),$C$3*K124,0)+IF(ISNUMBER(L124),$E$3*L124,0))/(IF(ISNUMBER(K124),$C$3,0)+IF(ISNUMBER(L124),$E$3,0)))</f>
        <v>0.457007642219363</v>
      </c>
      <c r="N124" s="12"/>
      <c r="O124" s="7" t="n">
        <f aca="false">IF(N124&lt;&gt;"","",COUNTIFS($A$6:$A$338,A124,$N$6:$N$338,"",$M$6:$M$338,"&gt;"&amp;M124)+COUNTIFS($A$6:A124,A124,$N$6:N124,"",$M$6:M124,M124))</f>
        <v>13</v>
      </c>
      <c r="P124" s="12" t="str">
        <f aca="false">IF(O124="","Excluded",IF(O124&lt;=5,"Lead",IF(O124&lt;=10,"Next wave","Long list")))</f>
        <v>Long list</v>
      </c>
      <c r="Q124" s="10" t="s">
        <v>80</v>
      </c>
      <c r="R124" s="30" t="s">
        <v>475</v>
      </c>
    </row>
    <row r="125" customFormat="false" ht="23.85" hidden="false" customHeight="false" outlineLevel="0" collapsed="false">
      <c r="A125" s="12" t="s">
        <v>21</v>
      </c>
      <c r="B125" s="12" t="s">
        <v>176</v>
      </c>
      <c r="C125" s="10" t="s">
        <v>177</v>
      </c>
      <c r="D125" s="26" t="n">
        <v>25.24</v>
      </c>
      <c r="E125" s="11" t="n">
        <v>2931.4</v>
      </c>
      <c r="F125" s="10" t="s">
        <v>476</v>
      </c>
      <c r="G125" s="7" t="n">
        <v>3</v>
      </c>
      <c r="H125" s="12" t="s">
        <v>77</v>
      </c>
      <c r="I125" s="12" t="s">
        <v>84</v>
      </c>
      <c r="J125" s="10" t="s">
        <v>178</v>
      </c>
      <c r="K125" s="9" t="n">
        <f aca="false">IF(ISNUMBER(D125),COUNTIF($D$6:$D$338,"&lt;"&amp;D125)/(COUNT($D$6:$D$338)-1),"")</f>
        <v>0.472491909385113</v>
      </c>
      <c r="L125" s="9" t="n">
        <f aca="false">IF(ISNUMBER(E125),COUNTIF($E$6:$E$338,"&lt;"&amp;E125)/(COUNT($E$6:$E$338)-1),"")</f>
        <v>0.394578313253012</v>
      </c>
      <c r="M125" s="9" t="n">
        <f aca="false">IF(AND(K125="",L125=""),"",(IF(ISNUMBER(K125),$C$3*K125,0)+IF(ISNUMBER(L125),$E$3*L125,0))/(IF(ISNUMBER(K125),$C$3,0)+IF(ISNUMBER(L125),$E$3,0)))</f>
        <v>0.433535111319063</v>
      </c>
      <c r="N125" s="12"/>
      <c r="O125" s="7" t="n">
        <f aca="false">IF(N125&lt;&gt;"","",COUNTIFS($A$6:$A$338,A125,$N$6:$N$338,"",$M$6:$M$338,"&gt;"&amp;M125)+COUNTIFS($A$6:A125,A125,$N$6:N125,"",$M$6:M125,M125))</f>
        <v>14</v>
      </c>
      <c r="P125" s="12" t="str">
        <f aca="false">IF(O125="","Excluded",IF(O125&lt;=5,"Lead",IF(O125&lt;=10,"Next wave","Long list")))</f>
        <v>Long list</v>
      </c>
      <c r="Q125" s="10" t="s">
        <v>80</v>
      </c>
      <c r="R125" s="30" t="s">
        <v>440</v>
      </c>
    </row>
    <row r="126" customFormat="false" ht="23.85" hidden="false" customHeight="false" outlineLevel="0" collapsed="false">
      <c r="A126" s="12" t="s">
        <v>21</v>
      </c>
      <c r="B126" s="12" t="s">
        <v>477</v>
      </c>
      <c r="C126" s="10" t="s">
        <v>478</v>
      </c>
      <c r="D126" s="26" t="n">
        <v>7.28</v>
      </c>
      <c r="E126" s="11" t="n">
        <v>13516.1</v>
      </c>
      <c r="F126" s="10" t="s">
        <v>479</v>
      </c>
      <c r="G126" s="7" t="n">
        <v>8</v>
      </c>
      <c r="H126" s="12" t="s">
        <v>77</v>
      </c>
      <c r="I126" s="12" t="s">
        <v>78</v>
      </c>
      <c r="J126" s="10" t="s">
        <v>151</v>
      </c>
      <c r="K126" s="9" t="n">
        <f aca="false">IF(ISNUMBER(D126),COUNTIF($D$6:$D$338,"&lt;"&amp;D126)/(COUNT($D$6:$D$338)-1),"")</f>
        <v>0.12621359223301</v>
      </c>
      <c r="L126" s="9" t="n">
        <f aca="false">IF(ISNUMBER(E126),COUNTIF($E$6:$E$338,"&lt;"&amp;E126)/(COUNT($E$6:$E$338)-1),"")</f>
        <v>0.731927710843374</v>
      </c>
      <c r="M126" s="9" t="n">
        <f aca="false">IF(AND(K126="",L126=""),"",(IF(ISNUMBER(K126),$C$3*K126,0)+IF(ISNUMBER(L126),$E$3*L126,0))/(IF(ISNUMBER(K126),$C$3,0)+IF(ISNUMBER(L126),$E$3,0)))</f>
        <v>0.429070651538192</v>
      </c>
      <c r="N126" s="12"/>
      <c r="O126" s="7" t="n">
        <f aca="false">IF(N126&lt;&gt;"","",COUNTIFS($A$6:$A$338,A126,$N$6:$N$338,"",$M$6:$M$338,"&gt;"&amp;M126)+COUNTIFS($A$6:A126,A126,$N$6:N126,"",$M$6:M126,M126))</f>
        <v>15</v>
      </c>
      <c r="P126" s="12" t="str">
        <f aca="false">IF(O126="","Excluded",IF(O126&lt;=5,"Lead",IF(O126&lt;=10,"Next wave","Long list")))</f>
        <v>Long list</v>
      </c>
      <c r="Q126" s="10" t="s">
        <v>80</v>
      </c>
      <c r="R126" s="30" t="s">
        <v>480</v>
      </c>
    </row>
    <row r="127" customFormat="false" ht="23.85" hidden="false" customHeight="false" outlineLevel="0" collapsed="false">
      <c r="A127" s="12" t="s">
        <v>21</v>
      </c>
      <c r="B127" s="12" t="s">
        <v>216</v>
      </c>
      <c r="C127" s="10" t="s">
        <v>217</v>
      </c>
      <c r="D127" s="26" t="n">
        <v>5.32</v>
      </c>
      <c r="E127" s="11" t="n">
        <v>17590.5</v>
      </c>
      <c r="F127" s="10" t="s">
        <v>198</v>
      </c>
      <c r="G127" s="7" t="n">
        <v>1</v>
      </c>
      <c r="H127" s="12" t="s">
        <v>196</v>
      </c>
      <c r="I127" s="12" t="s">
        <v>84</v>
      </c>
      <c r="J127" s="10" t="s">
        <v>168</v>
      </c>
      <c r="K127" s="9" t="n">
        <f aca="false">IF(ISNUMBER(D127),COUNTIF($D$6:$D$338,"&lt;"&amp;D127)/(COUNT($D$6:$D$338)-1),"")</f>
        <v>0.00970873786407767</v>
      </c>
      <c r="L127" s="9" t="n">
        <f aca="false">IF(ISNUMBER(E127),COUNTIF($E$6:$E$338,"&lt;"&amp;E127)/(COUNT($E$6:$E$338)-1),"")</f>
        <v>0.746987951807229</v>
      </c>
      <c r="M127" s="9" t="n">
        <f aca="false">IF(AND(K127="",L127=""),"",(IF(ISNUMBER(K127),$C$3*K127,0)+IF(ISNUMBER(L127),$E$3*L127,0))/(IF(ISNUMBER(K127),$C$3,0)+IF(ISNUMBER(L127),$E$3,0)))</f>
        <v>0.378348344835653</v>
      </c>
      <c r="N127" s="12"/>
      <c r="O127" s="7" t="n">
        <f aca="false">IF(N127&lt;&gt;"","",COUNTIFS($A$6:$A$338,A127,$N$6:$N$338,"",$M$6:$M$338,"&gt;"&amp;M127)+COUNTIFS($A$6:A127,A127,$N$6:N127,"",$M$6:M127,M127))</f>
        <v>16</v>
      </c>
      <c r="P127" s="12" t="str">
        <f aca="false">IF(O127="","Excluded",IF(O127&lt;=5,"Lead",IF(O127&lt;=10,"Next wave","Long list")))</f>
        <v>Long list</v>
      </c>
      <c r="Q127" s="10" t="s">
        <v>80</v>
      </c>
      <c r="R127" s="30" t="s">
        <v>357</v>
      </c>
    </row>
    <row r="128" customFormat="false" ht="23.85" hidden="false" customHeight="false" outlineLevel="0" collapsed="false">
      <c r="A128" s="12" t="s">
        <v>21</v>
      </c>
      <c r="B128" s="12" t="s">
        <v>481</v>
      </c>
      <c r="C128" s="10" t="s">
        <v>482</v>
      </c>
      <c r="D128" s="26" t="n">
        <v>23.98</v>
      </c>
      <c r="E128" s="11" t="n">
        <v>2033.7</v>
      </c>
      <c r="F128" s="10" t="s">
        <v>127</v>
      </c>
      <c r="G128" s="7" t="n">
        <v>1</v>
      </c>
      <c r="H128" s="12" t="s">
        <v>77</v>
      </c>
      <c r="I128" s="12" t="s">
        <v>84</v>
      </c>
      <c r="J128" s="10"/>
      <c r="K128" s="9" t="n">
        <f aca="false">IF(ISNUMBER(D128),COUNTIF($D$6:$D$338,"&lt;"&amp;D128)/(COUNT($D$6:$D$338)-1),"")</f>
        <v>0.44336569579288</v>
      </c>
      <c r="L128" s="9" t="n">
        <f aca="false">IF(ISNUMBER(E128),COUNTIF($E$6:$E$338,"&lt;"&amp;E128)/(COUNT($E$6:$E$338)-1),"")</f>
        <v>0.268072289156627</v>
      </c>
      <c r="M128" s="9" t="n">
        <f aca="false">IF(AND(K128="",L128=""),"",(IF(ISNUMBER(K128),$C$3*K128,0)+IF(ISNUMBER(L128),$E$3*L128,0))/(IF(ISNUMBER(K128),$C$3,0)+IF(ISNUMBER(L128),$E$3,0)))</f>
        <v>0.355718992474753</v>
      </c>
      <c r="N128" s="12"/>
      <c r="O128" s="7" t="n">
        <f aca="false">IF(N128&lt;&gt;"","",COUNTIFS($A$6:$A$338,A128,$N$6:$N$338,"",$M$6:$M$338,"&gt;"&amp;M128)+COUNTIFS($A$6:A128,A128,$N$6:N128,"",$M$6:M128,M128))</f>
        <v>17</v>
      </c>
      <c r="P128" s="12" t="str">
        <f aca="false">IF(O128="","Excluded",IF(O128&lt;=5,"Lead",IF(O128&lt;=10,"Next wave","Long list")))</f>
        <v>Long list</v>
      </c>
      <c r="Q128" s="10" t="s">
        <v>102</v>
      </c>
      <c r="R128" s="30" t="s">
        <v>483</v>
      </c>
    </row>
    <row r="129" customFormat="false" ht="23.85" hidden="false" customHeight="false" outlineLevel="0" collapsed="false">
      <c r="A129" s="12" t="s">
        <v>21</v>
      </c>
      <c r="B129" s="12" t="s">
        <v>484</v>
      </c>
      <c r="C129" s="10" t="s">
        <v>485</v>
      </c>
      <c r="D129" s="26" t="n">
        <v>17.81</v>
      </c>
      <c r="E129" s="11" t="n">
        <v>1405.2</v>
      </c>
      <c r="F129" s="10" t="s">
        <v>169</v>
      </c>
      <c r="G129" s="7" t="n">
        <v>2</v>
      </c>
      <c r="H129" s="12" t="s">
        <v>77</v>
      </c>
      <c r="I129" s="12" t="s">
        <v>78</v>
      </c>
      <c r="J129" s="10" t="s">
        <v>142</v>
      </c>
      <c r="K129" s="9" t="n">
        <f aca="false">IF(ISNUMBER(D129),COUNTIF($D$6:$D$338,"&lt;"&amp;D129)/(COUNT($D$6:$D$338)-1),"")</f>
        <v>0.365695792880259</v>
      </c>
      <c r="L129" s="9" t="n">
        <f aca="false">IF(ISNUMBER(E129),COUNTIF($E$6:$E$338,"&lt;"&amp;E129)/(COUNT($E$6:$E$338)-1),"")</f>
        <v>0.201807228915663</v>
      </c>
      <c r="M129" s="9" t="n">
        <f aca="false">IF(AND(K129="",L129=""),"",(IF(ISNUMBER(K129),$C$3*K129,0)+IF(ISNUMBER(L129),$E$3*L129,0))/(IF(ISNUMBER(K129),$C$3,0)+IF(ISNUMBER(L129),$E$3,0)))</f>
        <v>0.283751510897961</v>
      </c>
      <c r="N129" s="12"/>
      <c r="O129" s="7" t="n">
        <f aca="false">IF(N129&lt;&gt;"","",COUNTIFS($A$6:$A$338,A129,$N$6:$N$338,"",$M$6:$M$338,"&gt;"&amp;M129)+COUNTIFS($A$6:A129,A129,$N$6:N129,"",$M$6:M129,M129))</f>
        <v>18</v>
      </c>
      <c r="P129" s="12" t="str">
        <f aca="false">IF(O129="","Excluded",IF(O129&lt;=5,"Lead",IF(O129&lt;=10,"Next wave","Long list")))</f>
        <v>Long list</v>
      </c>
      <c r="Q129" s="10" t="s">
        <v>102</v>
      </c>
      <c r="R129" s="30" t="s">
        <v>486</v>
      </c>
    </row>
    <row r="130" customFormat="false" ht="23.85" hidden="false" customHeight="false" outlineLevel="0" collapsed="false">
      <c r="A130" s="12" t="s">
        <v>21</v>
      </c>
      <c r="B130" s="12" t="s">
        <v>463</v>
      </c>
      <c r="C130" s="10" t="s">
        <v>464</v>
      </c>
      <c r="D130" s="26" t="n">
        <v>7.98</v>
      </c>
      <c r="E130" s="11" t="n">
        <v>1830.5</v>
      </c>
      <c r="F130" s="10" t="s">
        <v>127</v>
      </c>
      <c r="G130" s="7" t="n">
        <v>1</v>
      </c>
      <c r="H130" s="12" t="s">
        <v>77</v>
      </c>
      <c r="I130" s="12" t="s">
        <v>84</v>
      </c>
      <c r="J130" s="10"/>
      <c r="K130" s="9" t="n">
        <f aca="false">IF(ISNUMBER(D130),COUNTIF($D$6:$D$338,"&lt;"&amp;D130)/(COUNT($D$6:$D$338)-1),"")</f>
        <v>0.161812297734628</v>
      </c>
      <c r="L130" s="9" t="n">
        <f aca="false">IF(ISNUMBER(E130),COUNTIF($E$6:$E$338,"&lt;"&amp;E130)/(COUNT($E$6:$E$338)-1),"")</f>
        <v>0.234939759036145</v>
      </c>
      <c r="M130" s="9" t="n">
        <f aca="false">IF(AND(K130="",L130=""),"",(IF(ISNUMBER(K130),$C$3*K130,0)+IF(ISNUMBER(L130),$E$3*L130,0))/(IF(ISNUMBER(K130),$C$3,0)+IF(ISNUMBER(L130),$E$3,0)))</f>
        <v>0.198376028385386</v>
      </c>
      <c r="N130" s="12"/>
      <c r="O130" s="7" t="n">
        <f aca="false">IF(N130&lt;&gt;"","",COUNTIFS($A$6:$A$338,A130,$N$6:$N$338,"",$M$6:$M$338,"&gt;"&amp;M130)+COUNTIFS($A$6:A130,A130,$N$6:N130,"",$M$6:M130,M130))</f>
        <v>19</v>
      </c>
      <c r="P130" s="12" t="str">
        <f aca="false">IF(O130="","Excluded",IF(O130&lt;=5,"Lead",IF(O130&lt;=10,"Next wave","Long list")))</f>
        <v>Long list</v>
      </c>
      <c r="Q130" s="10" t="s">
        <v>102</v>
      </c>
      <c r="R130" s="30" t="s">
        <v>465</v>
      </c>
    </row>
    <row r="131" customFormat="false" ht="23.85" hidden="false" customHeight="false" outlineLevel="0" collapsed="false">
      <c r="A131" s="12" t="s">
        <v>21</v>
      </c>
      <c r="B131" s="12" t="s">
        <v>348</v>
      </c>
      <c r="C131" s="10" t="s">
        <v>349</v>
      </c>
      <c r="D131" s="26" t="n">
        <v>9.04</v>
      </c>
      <c r="E131" s="11" t="n">
        <v>35129.8</v>
      </c>
      <c r="F131" s="10" t="s">
        <v>302</v>
      </c>
      <c r="G131" s="7" t="n">
        <v>1</v>
      </c>
      <c r="H131" s="12" t="s">
        <v>77</v>
      </c>
      <c r="I131" s="12" t="s">
        <v>95</v>
      </c>
      <c r="J131" s="10"/>
      <c r="K131" s="9" t="n">
        <f aca="false">IF(ISNUMBER(D131),COUNTIF($D$6:$D$338,"&lt;"&amp;D131)/(COUNT($D$6:$D$338)-1),"")</f>
        <v>0.181229773462783</v>
      </c>
      <c r="L131" s="9" t="n">
        <f aca="false">IF(ISNUMBER(E131),COUNTIF($E$6:$E$338,"&lt;"&amp;E131)/(COUNT($E$6:$E$338)-1),"")</f>
        <v>0.864457831325301</v>
      </c>
      <c r="M131" s="9" t="n">
        <f aca="false">IF(AND(K131="",L131=""),"",(IF(ISNUMBER(K131),$C$3*K131,0)+IF(ISNUMBER(L131),$E$3*L131,0))/(IF(ISNUMBER(K131),$C$3,0)+IF(ISNUMBER(L131),$E$3,0)))</f>
        <v>0.522843802394042</v>
      </c>
      <c r="N131" s="12" t="s">
        <v>303</v>
      </c>
      <c r="O131" s="7" t="str">
        <f aca="false">IF(N131&lt;&gt;"","",COUNTIFS($A$6:$A$338,A131,$N$6:$N$338,"",$M$6:$M$338,"&gt;"&amp;M131)+COUNTIFS($A$6:A131,A131,$N$6:N131,"",$M$6:M131,M131))</f>
        <v/>
      </c>
      <c r="P131" s="12" t="str">
        <f aca="false">IF(O131="","Excluded",IF(O131&lt;=5,"Lead",IF(O131&lt;=10,"Next wave","Long list")))</f>
        <v>Excluded</v>
      </c>
      <c r="Q131" s="10" t="s">
        <v>102</v>
      </c>
      <c r="R131" s="30" t="s">
        <v>351</v>
      </c>
    </row>
    <row r="132" customFormat="false" ht="23.85" hidden="false" customHeight="false" outlineLevel="0" collapsed="false">
      <c r="A132" s="12" t="s">
        <v>39</v>
      </c>
      <c r="B132" s="12" t="s">
        <v>112</v>
      </c>
      <c r="C132" s="10" t="s">
        <v>113</v>
      </c>
      <c r="D132" s="26" t="n">
        <v>302.38</v>
      </c>
      <c r="E132" s="11" t="n">
        <v>11366.1</v>
      </c>
      <c r="F132" s="10" t="s">
        <v>171</v>
      </c>
      <c r="G132" s="7" t="n">
        <v>8</v>
      </c>
      <c r="H132" s="12" t="s">
        <v>83</v>
      </c>
      <c r="I132" s="12" t="s">
        <v>84</v>
      </c>
      <c r="J132" s="10" t="s">
        <v>115</v>
      </c>
      <c r="K132" s="9" t="n">
        <f aca="false">IF(ISNUMBER(D132),COUNTIF($D$6:$D$338,"&lt;"&amp;D132)/(COUNT($D$6:$D$338)-1),"")</f>
        <v>0.893203883495146</v>
      </c>
      <c r="L132" s="9" t="n">
        <f aca="false">IF(ISNUMBER(E132),COUNTIF($E$6:$E$338,"&lt;"&amp;E132)/(COUNT($E$6:$E$338)-1),"")</f>
        <v>0.686746987951807</v>
      </c>
      <c r="M132" s="9" t="n">
        <f aca="false">IF(AND(K132="",L132=""),"",(IF(ISNUMBER(K132),$C$3*K132,0)+IF(ISNUMBER(L132),$E$3*L132,0))/(IF(ISNUMBER(K132),$C$3,0)+IF(ISNUMBER(L132),$E$3,0)))</f>
        <v>0.789975435723477</v>
      </c>
      <c r="N132" s="12"/>
      <c r="O132" s="7" t="n">
        <f aca="false">IF(N132&lt;&gt;"","",COUNTIFS($A$6:$A$338,A132,$N$6:$N$338,"",$M$6:$M$338,"&gt;"&amp;M132)+COUNTIFS($A$6:A132,A132,$N$6:N132,"",$M$6:M132,M132))</f>
        <v>1</v>
      </c>
      <c r="P132" s="12" t="str">
        <f aca="false">IF(O132="","Excluded",IF(O132&lt;=5,"Lead",IF(O132&lt;=10,"Next wave","Long list")))</f>
        <v>Lead</v>
      </c>
      <c r="Q132" s="10" t="s">
        <v>86</v>
      </c>
      <c r="R132" s="30" t="s">
        <v>299</v>
      </c>
    </row>
    <row r="133" customFormat="false" ht="23.85" hidden="false" customHeight="false" outlineLevel="0" collapsed="false">
      <c r="A133" s="12" t="s">
        <v>39</v>
      </c>
      <c r="B133" s="12" t="s">
        <v>116</v>
      </c>
      <c r="C133" s="10" t="s">
        <v>117</v>
      </c>
      <c r="D133" s="26" t="n">
        <v>79.53</v>
      </c>
      <c r="E133" s="11" t="n">
        <v>32830.2</v>
      </c>
      <c r="F133" s="10" t="s">
        <v>243</v>
      </c>
      <c r="G133" s="7" t="n">
        <v>9</v>
      </c>
      <c r="H133" s="12" t="s">
        <v>77</v>
      </c>
      <c r="I133" s="12" t="s">
        <v>84</v>
      </c>
      <c r="J133" s="10" t="s">
        <v>119</v>
      </c>
      <c r="K133" s="9" t="n">
        <f aca="false">IF(ISNUMBER(D133),COUNTIF($D$6:$D$338,"&lt;"&amp;D133)/(COUNT($D$6:$D$338)-1),"")</f>
        <v>0.715210355987055</v>
      </c>
      <c r="L133" s="9" t="n">
        <f aca="false">IF(ISNUMBER(E133),COUNTIF($E$6:$E$338,"&lt;"&amp;E133)/(COUNT($E$6:$E$338)-1),"")</f>
        <v>0.825301204819277</v>
      </c>
      <c r="M133" s="9" t="n">
        <f aca="false">IF(AND(K133="",L133=""),"",(IF(ISNUMBER(K133),$C$3*K133,0)+IF(ISNUMBER(L133),$E$3*L133,0))/(IF(ISNUMBER(K133),$C$3,0)+IF(ISNUMBER(L133),$E$3,0)))</f>
        <v>0.770255780403166</v>
      </c>
      <c r="N133" s="12"/>
      <c r="O133" s="7" t="n">
        <f aca="false">IF(N133&lt;&gt;"","",COUNTIFS($A$6:$A$338,A133,$N$6:$N$338,"",$M$6:$M$338,"&gt;"&amp;M133)+COUNTIFS($A$6:A133,A133,$N$6:N133,"",$M$6:M133,M133))</f>
        <v>2</v>
      </c>
      <c r="P133" s="12" t="str">
        <f aca="false">IF(O133="","Excluded",IF(O133&lt;=5,"Lead",IF(O133&lt;=10,"Next wave","Long list")))</f>
        <v>Lead</v>
      </c>
      <c r="Q133" s="10" t="s">
        <v>80</v>
      </c>
      <c r="R133" s="30" t="s">
        <v>426</v>
      </c>
    </row>
    <row r="134" customFormat="false" ht="35.05" hidden="false" customHeight="false" outlineLevel="0" collapsed="false">
      <c r="A134" s="12" t="s">
        <v>39</v>
      </c>
      <c r="B134" s="12" t="s">
        <v>87</v>
      </c>
      <c r="C134" s="10" t="s">
        <v>88</v>
      </c>
      <c r="D134" s="26" t="n">
        <v>64.91</v>
      </c>
      <c r="E134" s="11" t="n">
        <v>28093.4</v>
      </c>
      <c r="F134" s="10" t="s">
        <v>155</v>
      </c>
      <c r="G134" s="7" t="n">
        <v>12</v>
      </c>
      <c r="H134" s="12" t="s">
        <v>77</v>
      </c>
      <c r="I134" s="12" t="s">
        <v>84</v>
      </c>
      <c r="J134" s="10" t="s">
        <v>91</v>
      </c>
      <c r="K134" s="9" t="n">
        <f aca="false">IF(ISNUMBER(D134),COUNTIF($D$6:$D$338,"&lt;"&amp;D134)/(COUNT($D$6:$D$338)-1),"")</f>
        <v>0.686084142394822</v>
      </c>
      <c r="L134" s="9" t="n">
        <f aca="false">IF(ISNUMBER(E134),COUNTIF($E$6:$E$338,"&lt;"&amp;E134)/(COUNT($E$6:$E$338)-1),"")</f>
        <v>0.792168674698795</v>
      </c>
      <c r="M134" s="9" t="n">
        <f aca="false">IF(AND(K134="",L134=""),"",(IF(ISNUMBER(K134),$C$3*K134,0)+IF(ISNUMBER(L134),$E$3*L134,0))/(IF(ISNUMBER(K134),$C$3,0)+IF(ISNUMBER(L134),$E$3,0)))</f>
        <v>0.739126408546809</v>
      </c>
      <c r="N134" s="12"/>
      <c r="O134" s="7" t="n">
        <f aca="false">IF(N134&lt;&gt;"","",COUNTIFS($A$6:$A$338,A134,$N$6:$N$338,"",$M$6:$M$338,"&gt;"&amp;M134)+COUNTIFS($A$6:A134,A134,$N$6:N134,"",$M$6:M134,M134))</f>
        <v>3</v>
      </c>
      <c r="P134" s="12" t="str">
        <f aca="false">IF(O134="","Excluded",IF(O134&lt;=5,"Lead",IF(O134&lt;=10,"Next wave","Long list")))</f>
        <v>Lead</v>
      </c>
      <c r="Q134" s="10" t="s">
        <v>80</v>
      </c>
      <c r="R134" s="30" t="s">
        <v>311</v>
      </c>
    </row>
    <row r="135" customFormat="false" ht="35.05" hidden="false" customHeight="false" outlineLevel="0" collapsed="false">
      <c r="A135" s="12" t="s">
        <v>39</v>
      </c>
      <c r="B135" s="12" t="s">
        <v>133</v>
      </c>
      <c r="C135" s="10" t="s">
        <v>134</v>
      </c>
      <c r="D135" s="26" t="n">
        <v>400.86</v>
      </c>
      <c r="E135" s="11" t="n">
        <v>1874.6</v>
      </c>
      <c r="F135" s="10" t="s">
        <v>207</v>
      </c>
      <c r="G135" s="7" t="n">
        <v>9</v>
      </c>
      <c r="H135" s="12" t="s">
        <v>77</v>
      </c>
      <c r="I135" s="12" t="s">
        <v>84</v>
      </c>
      <c r="J135" s="10" t="s">
        <v>122</v>
      </c>
      <c r="K135" s="9" t="n">
        <f aca="false">IF(ISNUMBER(D135),COUNTIF($D$6:$D$338,"&lt;"&amp;D135)/(COUNT($D$6:$D$338)-1),"")</f>
        <v>0.922330097087379</v>
      </c>
      <c r="L135" s="9" t="n">
        <f aca="false">IF(ISNUMBER(E135),COUNTIF($E$6:$E$338,"&lt;"&amp;E135)/(COUNT($E$6:$E$338)-1),"")</f>
        <v>0.243975903614458</v>
      </c>
      <c r="M135" s="9" t="n">
        <f aca="false">IF(AND(K135="",L135=""),"",(IF(ISNUMBER(K135),$C$3*K135,0)+IF(ISNUMBER(L135),$E$3*L135,0))/(IF(ISNUMBER(K135),$C$3,0)+IF(ISNUMBER(L135),$E$3,0)))</f>
        <v>0.583153000350918</v>
      </c>
      <c r="N135" s="12"/>
      <c r="O135" s="7" t="n">
        <f aca="false">IF(N135&lt;&gt;"","",COUNTIFS($A$6:$A$338,A135,$N$6:$N$338,"",$M$6:$M$338,"&gt;"&amp;M135)+COUNTIFS($A$6:A135,A135,$N$6:N135,"",$M$6:M135,M135))</f>
        <v>4</v>
      </c>
      <c r="P135" s="12" t="str">
        <f aca="false">IF(O135="","Excluded",IF(O135&lt;=5,"Lead",IF(O135&lt;=10,"Next wave","Long list")))</f>
        <v>Lead</v>
      </c>
      <c r="Q135" s="10" t="s">
        <v>80</v>
      </c>
      <c r="R135" s="30" t="s">
        <v>454</v>
      </c>
    </row>
    <row r="136" customFormat="false" ht="35.05" hidden="false" customHeight="false" outlineLevel="0" collapsed="false">
      <c r="A136" s="12" t="s">
        <v>39</v>
      </c>
      <c r="B136" s="12" t="s">
        <v>74</v>
      </c>
      <c r="C136" s="10" t="s">
        <v>75</v>
      </c>
      <c r="D136" s="26" t="n">
        <v>397.42</v>
      </c>
      <c r="E136" s="11" t="n">
        <v>42181.7</v>
      </c>
      <c r="F136" s="10" t="s">
        <v>302</v>
      </c>
      <c r="G136" s="7" t="n">
        <v>3</v>
      </c>
      <c r="H136" s="12" t="s">
        <v>77</v>
      </c>
      <c r="I136" s="12" t="s">
        <v>78</v>
      </c>
      <c r="J136" s="10" t="s">
        <v>79</v>
      </c>
      <c r="K136" s="9" t="n">
        <f aca="false">IF(ISNUMBER(D136),COUNTIF($D$6:$D$338,"&lt;"&amp;D136)/(COUNT($D$6:$D$338)-1),"")</f>
        <v>0.919093851132686</v>
      </c>
      <c r="L136" s="9" t="n">
        <f aca="false">IF(ISNUMBER(E136),COUNTIF($E$6:$E$338,"&lt;"&amp;E136)/(COUNT($E$6:$E$338)-1),"")</f>
        <v>0.897590361445783</v>
      </c>
      <c r="M136" s="9" t="n">
        <f aca="false">IF(AND(K136="",L136=""),"",(IF(ISNUMBER(K136),$C$3*K136,0)+IF(ISNUMBER(L136),$E$3*L136,0))/(IF(ISNUMBER(K136),$C$3,0)+IF(ISNUMBER(L136),$E$3,0)))</f>
        <v>0.908342106289235</v>
      </c>
      <c r="N136" s="12" t="s">
        <v>303</v>
      </c>
      <c r="O136" s="7" t="str">
        <f aca="false">IF(N136&lt;&gt;"","",COUNTIFS($A$6:$A$338,A136,$N$6:$N$338,"",$M$6:$M$338,"&gt;"&amp;M136)+COUNTIFS($A$6:A136,A136,$N$6:N136,"",$M$6:M136,M136))</f>
        <v/>
      </c>
      <c r="P136" s="12" t="str">
        <f aca="false">IF(O136="","Excluded",IF(O136&lt;=5,"Lead",IF(O136&lt;=10,"Next wave","Long list")))</f>
        <v>Excluded</v>
      </c>
      <c r="Q136" s="10" t="s">
        <v>80</v>
      </c>
      <c r="R136" s="30" t="s">
        <v>310</v>
      </c>
    </row>
    <row r="137" customFormat="false" ht="23.85" hidden="false" customHeight="false" outlineLevel="0" collapsed="false">
      <c r="A137" s="12" t="s">
        <v>39</v>
      </c>
      <c r="B137" s="12" t="s">
        <v>109</v>
      </c>
      <c r="C137" s="10" t="s">
        <v>110</v>
      </c>
      <c r="D137" s="26" t="n">
        <v>7322.42</v>
      </c>
      <c r="E137" s="11" t="n">
        <v>7904.7</v>
      </c>
      <c r="F137" s="10" t="s">
        <v>302</v>
      </c>
      <c r="G137" s="7" t="n">
        <v>1</v>
      </c>
      <c r="H137" s="12" t="s">
        <v>77</v>
      </c>
      <c r="I137" s="12" t="s">
        <v>84</v>
      </c>
      <c r="J137" s="10" t="s">
        <v>111</v>
      </c>
      <c r="K137" s="9" t="n">
        <f aca="false">IF(ISNUMBER(D137),COUNTIF($D$6:$D$338,"&lt;"&amp;D137)/(COUNT($D$6:$D$338)-1),"")</f>
        <v>1</v>
      </c>
      <c r="L137" s="9" t="n">
        <f aca="false">IF(ISNUMBER(E137),COUNTIF($E$6:$E$338,"&lt;"&amp;E137)/(COUNT($E$6:$E$338)-1),"")</f>
        <v>0.650602409638554</v>
      </c>
      <c r="M137" s="9" t="n">
        <f aca="false">IF(AND(K137="",L137=""),"",(IF(ISNUMBER(K137),$C$3*K137,0)+IF(ISNUMBER(L137),$E$3*L137,0))/(IF(ISNUMBER(K137),$C$3,0)+IF(ISNUMBER(L137),$E$3,0)))</f>
        <v>0.825301204819277</v>
      </c>
      <c r="N137" s="12" t="s">
        <v>303</v>
      </c>
      <c r="O137" s="7" t="str">
        <f aca="false">IF(N137&lt;&gt;"","",COUNTIFS($A$6:$A$338,A137,$N$6:$N$338,"",$M$6:$M$338,"&gt;"&amp;M137)+COUNTIFS($A$6:A137,A137,$N$6:N137,"",$M$6:M137,M137))</f>
        <v/>
      </c>
      <c r="P137" s="12" t="str">
        <f aca="false">IF(O137="","Excluded",IF(O137&lt;=5,"Lead",IF(O137&lt;=10,"Next wave","Long list")))</f>
        <v>Excluded</v>
      </c>
      <c r="Q137" s="10" t="s">
        <v>80</v>
      </c>
      <c r="R137" s="30" t="s">
        <v>313</v>
      </c>
    </row>
    <row r="138" customFormat="false" ht="35.05" hidden="false" customHeight="false" outlineLevel="0" collapsed="false">
      <c r="A138" s="12" t="s">
        <v>27</v>
      </c>
      <c r="B138" s="12" t="s">
        <v>74</v>
      </c>
      <c r="C138" s="10" t="s">
        <v>75</v>
      </c>
      <c r="D138" s="26" t="n">
        <v>360.71</v>
      </c>
      <c r="E138" s="11" t="n">
        <v>42181.7</v>
      </c>
      <c r="F138" s="10" t="s">
        <v>169</v>
      </c>
      <c r="G138" s="7" t="n">
        <v>2</v>
      </c>
      <c r="H138" s="12" t="s">
        <v>77</v>
      </c>
      <c r="I138" s="12" t="s">
        <v>78</v>
      </c>
      <c r="J138" s="10" t="s">
        <v>79</v>
      </c>
      <c r="K138" s="9" t="n">
        <f aca="false">IF(ISNUMBER(D138),COUNTIF($D$6:$D$338,"&lt;"&amp;D138)/(COUNT($D$6:$D$338)-1),"")</f>
        <v>0.915857605177994</v>
      </c>
      <c r="L138" s="9" t="n">
        <f aca="false">IF(ISNUMBER(E138),COUNTIF($E$6:$E$338,"&lt;"&amp;E138)/(COUNT($E$6:$E$338)-1),"")</f>
        <v>0.897590361445783</v>
      </c>
      <c r="M138" s="9" t="n">
        <f aca="false">IF(AND(K138="",L138=""),"",(IF(ISNUMBER(K138),$C$3*K138,0)+IF(ISNUMBER(L138),$E$3*L138,0))/(IF(ISNUMBER(K138),$C$3,0)+IF(ISNUMBER(L138),$E$3,0)))</f>
        <v>0.906723983311888</v>
      </c>
      <c r="N138" s="12"/>
      <c r="O138" s="7" t="n">
        <f aca="false">IF(N138&lt;&gt;"","",COUNTIFS($A$6:$A$338,A138,$N$6:$N$338,"",$M$6:$M$338,"&gt;"&amp;M138)+COUNTIFS($A$6:A138,A138,$N$6:N138,"",$M$6:M138,M138))</f>
        <v>1</v>
      </c>
      <c r="P138" s="12" t="str">
        <f aca="false">IF(O138="","Excluded",IF(O138&lt;=5,"Lead",IF(O138&lt;=10,"Next wave","Long list")))</f>
        <v>Lead</v>
      </c>
      <c r="Q138" s="10" t="s">
        <v>80</v>
      </c>
      <c r="R138" s="30" t="s">
        <v>310</v>
      </c>
    </row>
    <row r="139" customFormat="false" ht="23.85" hidden="false" customHeight="false" outlineLevel="0" collapsed="false">
      <c r="A139" s="12" t="s">
        <v>27</v>
      </c>
      <c r="B139" s="12" t="s">
        <v>104</v>
      </c>
      <c r="C139" s="10" t="s">
        <v>105</v>
      </c>
      <c r="D139" s="26" t="n">
        <v>83.75</v>
      </c>
      <c r="E139" s="11" t="n">
        <v>59827.2</v>
      </c>
      <c r="F139" s="10" t="s">
        <v>170</v>
      </c>
      <c r="G139" s="7" t="n">
        <v>5</v>
      </c>
      <c r="H139" s="12" t="s">
        <v>77</v>
      </c>
      <c r="I139" s="12" t="s">
        <v>78</v>
      </c>
      <c r="J139" s="10" t="s">
        <v>108</v>
      </c>
      <c r="K139" s="9" t="n">
        <f aca="false">IF(ISNUMBER(D139),COUNTIF($D$6:$D$338,"&lt;"&amp;D139)/(COUNT($D$6:$D$338)-1),"")</f>
        <v>0.731391585760518</v>
      </c>
      <c r="L139" s="9" t="n">
        <f aca="false">IF(ISNUMBER(E139),COUNTIF($E$6:$E$338,"&lt;"&amp;E139)/(COUNT($E$6:$E$338)-1),"")</f>
        <v>0.957831325301205</v>
      </c>
      <c r="M139" s="9" t="n">
        <f aca="false">IF(AND(K139="",L139=""),"",(IF(ISNUMBER(K139),$C$3*K139,0)+IF(ISNUMBER(L139),$E$3*L139,0))/(IF(ISNUMBER(K139),$C$3,0)+IF(ISNUMBER(L139),$E$3,0)))</f>
        <v>0.844611455530861</v>
      </c>
      <c r="N139" s="12"/>
      <c r="O139" s="7" t="n">
        <f aca="false">IF(N139&lt;&gt;"","",COUNTIFS($A$6:$A$338,A139,$N$6:$N$338,"",$M$6:$M$338,"&gt;"&amp;M139)+COUNTIFS($A$6:A139,A139,$N$6:N139,"",$M$6:M139,M139))</f>
        <v>2</v>
      </c>
      <c r="P139" s="12" t="str">
        <f aca="false">IF(O139="","Excluded",IF(O139&lt;=5,"Lead",IF(O139&lt;=10,"Next wave","Long list")))</f>
        <v>Lead</v>
      </c>
      <c r="Q139" s="10" t="s">
        <v>80</v>
      </c>
      <c r="R139" s="30" t="s">
        <v>312</v>
      </c>
    </row>
    <row r="140" customFormat="false" ht="35.05" hidden="false" customHeight="false" outlineLevel="0" collapsed="false">
      <c r="A140" s="12" t="s">
        <v>27</v>
      </c>
      <c r="B140" s="12" t="s">
        <v>87</v>
      </c>
      <c r="C140" s="10" t="s">
        <v>88</v>
      </c>
      <c r="D140" s="26" t="n">
        <v>295.75</v>
      </c>
      <c r="E140" s="11" t="n">
        <v>28093.4</v>
      </c>
      <c r="F140" s="10" t="s">
        <v>171</v>
      </c>
      <c r="G140" s="7" t="n">
        <v>8</v>
      </c>
      <c r="H140" s="12" t="s">
        <v>77</v>
      </c>
      <c r="I140" s="12" t="s">
        <v>84</v>
      </c>
      <c r="J140" s="10" t="s">
        <v>91</v>
      </c>
      <c r="K140" s="9" t="n">
        <f aca="false">IF(ISNUMBER(D140),COUNTIF($D$6:$D$338,"&lt;"&amp;D140)/(COUNT($D$6:$D$338)-1),"")</f>
        <v>0.889967637540453</v>
      </c>
      <c r="L140" s="9" t="n">
        <f aca="false">IF(ISNUMBER(E140),COUNTIF($E$6:$E$338,"&lt;"&amp;E140)/(COUNT($E$6:$E$338)-1),"")</f>
        <v>0.792168674698795</v>
      </c>
      <c r="M140" s="9" t="n">
        <f aca="false">IF(AND(K140="",L140=""),"",(IF(ISNUMBER(K140),$C$3*K140,0)+IF(ISNUMBER(L140),$E$3*L140,0))/(IF(ISNUMBER(K140),$C$3,0)+IF(ISNUMBER(L140),$E$3,0)))</f>
        <v>0.841068156119624</v>
      </c>
      <c r="N140" s="12"/>
      <c r="O140" s="7" t="n">
        <f aca="false">IF(N140&lt;&gt;"","",COUNTIFS($A$6:$A$338,A140,$N$6:$N$338,"",$M$6:$M$338,"&gt;"&amp;M140)+COUNTIFS($A$6:A140,A140,$N$6:N140,"",$M$6:M140,M140))</f>
        <v>3</v>
      </c>
      <c r="P140" s="12" t="str">
        <f aca="false">IF(O140="","Excluded",IF(O140&lt;=5,"Lead",IF(O140&lt;=10,"Next wave","Long list")))</f>
        <v>Lead</v>
      </c>
      <c r="Q140" s="10" t="s">
        <v>80</v>
      </c>
      <c r="R140" s="30" t="s">
        <v>311</v>
      </c>
    </row>
    <row r="141" customFormat="false" ht="23.85" hidden="false" customHeight="false" outlineLevel="0" collapsed="false">
      <c r="A141" s="12" t="s">
        <v>27</v>
      </c>
      <c r="B141" s="12" t="s">
        <v>109</v>
      </c>
      <c r="C141" s="10" t="s">
        <v>110</v>
      </c>
      <c r="D141" s="26" t="n">
        <v>4289.93</v>
      </c>
      <c r="E141" s="11" t="n">
        <v>7904.7</v>
      </c>
      <c r="F141" s="10" t="s">
        <v>171</v>
      </c>
      <c r="G141" s="7" t="n">
        <v>7</v>
      </c>
      <c r="H141" s="12" t="s">
        <v>77</v>
      </c>
      <c r="I141" s="12" t="s">
        <v>84</v>
      </c>
      <c r="J141" s="10" t="s">
        <v>111</v>
      </c>
      <c r="K141" s="9" t="n">
        <f aca="false">IF(ISNUMBER(D141),COUNTIF($D$6:$D$338,"&lt;"&amp;D141)/(COUNT($D$6:$D$338)-1),"")</f>
        <v>0.983818770226537</v>
      </c>
      <c r="L141" s="9" t="n">
        <f aca="false">IF(ISNUMBER(E141),COUNTIF($E$6:$E$338,"&lt;"&amp;E141)/(COUNT($E$6:$E$338)-1),"")</f>
        <v>0.650602409638554</v>
      </c>
      <c r="M141" s="9" t="n">
        <f aca="false">IF(AND(K141="",L141=""),"",(IF(ISNUMBER(K141),$C$3*K141,0)+IF(ISNUMBER(L141),$E$3*L141,0))/(IF(ISNUMBER(K141),$C$3,0)+IF(ISNUMBER(L141),$E$3,0)))</f>
        <v>0.817210589932546</v>
      </c>
      <c r="N141" s="12"/>
      <c r="O141" s="7" t="n">
        <f aca="false">IF(N141&lt;&gt;"","",COUNTIFS($A$6:$A$338,A141,$N$6:$N$338,"",$M$6:$M$338,"&gt;"&amp;M141)+COUNTIFS($A$6:A141,A141,$N$6:N141,"",$M$6:M141,M141))</f>
        <v>4</v>
      </c>
      <c r="P141" s="12" t="str">
        <f aca="false">IF(O141="","Excluded",IF(O141&lt;=5,"Lead",IF(O141&lt;=10,"Next wave","Long list")))</f>
        <v>Lead</v>
      </c>
      <c r="Q141" s="10" t="s">
        <v>80</v>
      </c>
      <c r="R141" s="30" t="s">
        <v>313</v>
      </c>
    </row>
    <row r="142" customFormat="false" ht="23.85" hidden="false" customHeight="false" outlineLevel="0" collapsed="false">
      <c r="A142" s="12" t="s">
        <v>27</v>
      </c>
      <c r="B142" s="12" t="s">
        <v>116</v>
      </c>
      <c r="C142" s="10" t="s">
        <v>117</v>
      </c>
      <c r="D142" s="26" t="n">
        <v>42.15</v>
      </c>
      <c r="E142" s="11" t="n">
        <v>32830.2</v>
      </c>
      <c r="F142" s="10" t="s">
        <v>171</v>
      </c>
      <c r="G142" s="7" t="n">
        <v>7</v>
      </c>
      <c r="H142" s="12" t="s">
        <v>172</v>
      </c>
      <c r="I142" s="12" t="s">
        <v>84</v>
      </c>
      <c r="J142" s="10" t="s">
        <v>119</v>
      </c>
      <c r="K142" s="9" t="n">
        <f aca="false">IF(ISNUMBER(D142),COUNTIF($D$6:$D$338,"&lt;"&amp;D142)/(COUNT($D$6:$D$338)-1),"")</f>
        <v>0.605177993527508</v>
      </c>
      <c r="L142" s="9" t="n">
        <f aca="false">IF(ISNUMBER(E142),COUNTIF($E$6:$E$338,"&lt;"&amp;E142)/(COUNT($E$6:$E$338)-1),"")</f>
        <v>0.825301204819277</v>
      </c>
      <c r="M142" s="9" t="n">
        <f aca="false">IF(AND(K142="",L142=""),"",(IF(ISNUMBER(K142),$C$3*K142,0)+IF(ISNUMBER(L142),$E$3*L142,0))/(IF(ISNUMBER(K142),$C$3,0)+IF(ISNUMBER(L142),$E$3,0)))</f>
        <v>0.715239599173393</v>
      </c>
      <c r="N142" s="12"/>
      <c r="O142" s="7" t="n">
        <f aca="false">IF(N142&lt;&gt;"","",COUNTIFS($A$6:$A$338,A142,$N$6:$N$338,"",$M$6:$M$338,"&gt;"&amp;M142)+COUNTIFS($A$6:A142,A142,$N$6:N142,"",$M$6:M142,M142))</f>
        <v>5</v>
      </c>
      <c r="P142" s="12" t="str">
        <f aca="false">IF(O142="","Excluded",IF(O142&lt;=5,"Lead",IF(O142&lt;=10,"Next wave","Long list")))</f>
        <v>Lead</v>
      </c>
      <c r="Q142" s="10" t="s">
        <v>80</v>
      </c>
      <c r="R142" s="30" t="s">
        <v>426</v>
      </c>
    </row>
    <row r="143" customFormat="false" ht="23.85" hidden="false" customHeight="false" outlineLevel="0" collapsed="false">
      <c r="A143" s="12" t="s">
        <v>27</v>
      </c>
      <c r="B143" s="12" t="s">
        <v>173</v>
      </c>
      <c r="C143" s="10" t="s">
        <v>174</v>
      </c>
      <c r="D143" s="26" t="n">
        <v>36.53</v>
      </c>
      <c r="E143" s="11" t="n">
        <v>6632.6</v>
      </c>
      <c r="F143" s="10" t="s">
        <v>169</v>
      </c>
      <c r="G143" s="7" t="n">
        <v>2</v>
      </c>
      <c r="H143" s="12" t="s">
        <v>172</v>
      </c>
      <c r="I143" s="12" t="s">
        <v>84</v>
      </c>
      <c r="J143" s="10" t="s">
        <v>175</v>
      </c>
      <c r="K143" s="9" t="n">
        <f aca="false">IF(ISNUMBER(D143),COUNTIF($D$6:$D$338,"&lt;"&amp;D143)/(COUNT($D$6:$D$338)-1),"")</f>
        <v>0.566343042071198</v>
      </c>
      <c r="L143" s="9" t="n">
        <f aca="false">IF(ISNUMBER(E143),COUNTIF($E$6:$E$338,"&lt;"&amp;E143)/(COUNT($E$6:$E$338)-1),"")</f>
        <v>0.61144578313253</v>
      </c>
      <c r="M143" s="9" t="n">
        <f aca="false">IF(AND(K143="",L143=""),"",(IF(ISNUMBER(K143),$C$3*K143,0)+IF(ISNUMBER(L143),$E$3*L143,0))/(IF(ISNUMBER(K143),$C$3,0)+IF(ISNUMBER(L143),$E$3,0)))</f>
        <v>0.588894412601864</v>
      </c>
      <c r="N143" s="12"/>
      <c r="O143" s="7" t="n">
        <f aca="false">IF(N143&lt;&gt;"","",COUNTIFS($A$6:$A$338,A143,$N$6:$N$338,"",$M$6:$M$338,"&gt;"&amp;M143)+COUNTIFS($A$6:A143,A143,$N$6:N143,"",$M$6:M143,M143))</f>
        <v>6</v>
      </c>
      <c r="P143" s="12" t="str">
        <f aca="false">IF(O143="","Excluded",IF(O143&lt;=5,"Lead",IF(O143&lt;=10,"Next wave","Long list")))</f>
        <v>Next wave</v>
      </c>
      <c r="Q143" s="10" t="s">
        <v>80</v>
      </c>
      <c r="R143" s="30" t="s">
        <v>445</v>
      </c>
    </row>
    <row r="144" customFormat="false" ht="35.05" hidden="false" customHeight="false" outlineLevel="0" collapsed="false">
      <c r="A144" s="12" t="s">
        <v>27</v>
      </c>
      <c r="B144" s="12" t="s">
        <v>129</v>
      </c>
      <c r="C144" s="10" t="s">
        <v>130</v>
      </c>
      <c r="D144" s="26" t="n">
        <v>92.74</v>
      </c>
      <c r="E144" s="11" t="n">
        <v>2886</v>
      </c>
      <c r="F144" s="10" t="s">
        <v>170</v>
      </c>
      <c r="G144" s="7" t="n">
        <v>5</v>
      </c>
      <c r="H144" s="12" t="s">
        <v>77</v>
      </c>
      <c r="I144" s="12" t="s">
        <v>84</v>
      </c>
      <c r="J144" s="10" t="s">
        <v>132</v>
      </c>
      <c r="K144" s="9" t="n">
        <f aca="false">IF(ISNUMBER(D144),COUNTIF($D$6:$D$338,"&lt;"&amp;D144)/(COUNT($D$6:$D$338)-1),"")</f>
        <v>0.760517799352751</v>
      </c>
      <c r="L144" s="9" t="n">
        <f aca="false">IF(ISNUMBER(E144),COUNTIF($E$6:$E$338,"&lt;"&amp;E144)/(COUNT($E$6:$E$338)-1),"")</f>
        <v>0.373493975903614</v>
      </c>
      <c r="M144" s="9" t="n">
        <f aca="false">IF(AND(K144="",L144=""),"",(IF(ISNUMBER(K144),$C$3*K144,0)+IF(ISNUMBER(L144),$E$3*L144,0))/(IF(ISNUMBER(K144),$C$3,0)+IF(ISNUMBER(L144),$E$3,0)))</f>
        <v>0.567005887628183</v>
      </c>
      <c r="N144" s="12"/>
      <c r="O144" s="7" t="n">
        <f aca="false">IF(N144&lt;&gt;"","",COUNTIFS($A$6:$A$338,A144,$N$6:$N$338,"",$M$6:$M$338,"&gt;"&amp;M144)+COUNTIFS($A$6:A144,A144,$N$6:N144,"",$M$6:M144,M144))</f>
        <v>7</v>
      </c>
      <c r="P144" s="12" t="str">
        <f aca="false">IF(O144="","Excluded",IF(O144&lt;=5,"Lead",IF(O144&lt;=10,"Next wave","Long list")))</f>
        <v>Next wave</v>
      </c>
      <c r="Q144" s="10" t="s">
        <v>80</v>
      </c>
      <c r="R144" s="30" t="s">
        <v>331</v>
      </c>
    </row>
    <row r="145" customFormat="false" ht="23.85" hidden="false" customHeight="false" outlineLevel="0" collapsed="false">
      <c r="A145" s="12" t="s">
        <v>27</v>
      </c>
      <c r="B145" s="12" t="s">
        <v>176</v>
      </c>
      <c r="C145" s="10" t="s">
        <v>177</v>
      </c>
      <c r="D145" s="26" t="n">
        <v>69.18</v>
      </c>
      <c r="E145" s="11" t="n">
        <v>2931.4</v>
      </c>
      <c r="F145" s="10" t="s">
        <v>147</v>
      </c>
      <c r="G145" s="7" t="n">
        <v>1</v>
      </c>
      <c r="H145" s="12" t="s">
        <v>95</v>
      </c>
      <c r="I145" s="12" t="s">
        <v>95</v>
      </c>
      <c r="J145" s="10" t="s">
        <v>178</v>
      </c>
      <c r="K145" s="9" t="n">
        <f aca="false">IF(ISNUMBER(D145),COUNTIF($D$6:$D$338,"&lt;"&amp;D145)/(COUNT($D$6:$D$338)-1),"")</f>
        <v>0.699029126213592</v>
      </c>
      <c r="L145" s="9" t="n">
        <f aca="false">IF(ISNUMBER(E145),COUNTIF($E$6:$E$338,"&lt;"&amp;E145)/(COUNT($E$6:$E$338)-1),"")</f>
        <v>0.394578313253012</v>
      </c>
      <c r="M145" s="9" t="n">
        <f aca="false">IF(AND(K145="",L145=""),"",(IF(ISNUMBER(K145),$C$3*K145,0)+IF(ISNUMBER(L145),$E$3*L145,0))/(IF(ISNUMBER(K145),$C$3,0)+IF(ISNUMBER(L145),$E$3,0)))</f>
        <v>0.546803719733302</v>
      </c>
      <c r="N145" s="12"/>
      <c r="O145" s="7" t="n">
        <f aca="false">IF(N145&lt;&gt;"","",COUNTIFS($A$6:$A$338,A145,$N$6:$N$338,"",$M$6:$M$338,"&gt;"&amp;M145)+COUNTIFS($A$6:A145,A145,$N$6:N145,"",$M$6:M145,M145))</f>
        <v>8</v>
      </c>
      <c r="P145" s="12" t="str">
        <f aca="false">IF(O145="","Excluded",IF(O145&lt;=5,"Lead",IF(O145&lt;=10,"Next wave","Long list")))</f>
        <v>Next wave</v>
      </c>
      <c r="Q145" s="10" t="s">
        <v>97</v>
      </c>
      <c r="R145" s="30" t="s">
        <v>440</v>
      </c>
    </row>
    <row r="146" customFormat="false" ht="23.85" hidden="false" customHeight="false" outlineLevel="0" collapsed="false">
      <c r="A146" s="12" t="s">
        <v>27</v>
      </c>
      <c r="B146" s="12" t="s">
        <v>179</v>
      </c>
      <c r="C146" s="10" t="s">
        <v>180</v>
      </c>
      <c r="D146" s="26" t="n">
        <v>6.08</v>
      </c>
      <c r="E146" s="11" t="n">
        <v>35276.7</v>
      </c>
      <c r="F146" s="10" t="s">
        <v>170</v>
      </c>
      <c r="G146" s="7" t="n">
        <v>5</v>
      </c>
      <c r="H146" s="12" t="s">
        <v>77</v>
      </c>
      <c r="I146" s="12" t="s">
        <v>78</v>
      </c>
      <c r="J146" s="10" t="s">
        <v>175</v>
      </c>
      <c r="K146" s="9" t="n">
        <f aca="false">IF(ISNUMBER(D146),COUNTIF($D$6:$D$338,"&lt;"&amp;D146)/(COUNT($D$6:$D$338)-1),"")</f>
        <v>0.0517799352750809</v>
      </c>
      <c r="L146" s="9" t="n">
        <f aca="false">IF(ISNUMBER(E146),COUNTIF($E$6:$E$338,"&lt;"&amp;E146)/(COUNT($E$6:$E$338)-1),"")</f>
        <v>0.870481927710843</v>
      </c>
      <c r="M146" s="9" t="n">
        <f aca="false">IF(AND(K146="",L146=""),"",(IF(ISNUMBER(K146),$C$3*K146,0)+IF(ISNUMBER(L146),$E$3*L146,0))/(IF(ISNUMBER(K146),$C$3,0)+IF(ISNUMBER(L146),$E$3,0)))</f>
        <v>0.461130931492962</v>
      </c>
      <c r="N146" s="12"/>
      <c r="O146" s="7" t="n">
        <f aca="false">IF(N146&lt;&gt;"","",COUNTIFS($A$6:$A$338,A146,$N$6:$N$338,"",$M$6:$M$338,"&gt;"&amp;M146)+COUNTIFS($A$6:A146,A146,$N$6:N146,"",$M$6:M146,M146))</f>
        <v>9</v>
      </c>
      <c r="P146" s="12" t="str">
        <f aca="false">IF(O146="","Excluded",IF(O146&lt;=5,"Lead",IF(O146&lt;=10,"Next wave","Long list")))</f>
        <v>Next wave</v>
      </c>
      <c r="Q146" s="10" t="s">
        <v>80</v>
      </c>
      <c r="R146" s="30" t="s">
        <v>352</v>
      </c>
    </row>
    <row r="147" customFormat="false" ht="23.85" hidden="false" customHeight="false" outlineLevel="0" collapsed="false">
      <c r="A147" s="12" t="s">
        <v>27</v>
      </c>
      <c r="B147" s="12" t="s">
        <v>181</v>
      </c>
      <c r="C147" s="10" t="s">
        <v>182</v>
      </c>
      <c r="D147" s="26" t="n">
        <v>9.12</v>
      </c>
      <c r="E147" s="11" t="n">
        <v>11544.4</v>
      </c>
      <c r="F147" s="10" t="s">
        <v>147</v>
      </c>
      <c r="G147" s="7" t="n">
        <v>1</v>
      </c>
      <c r="H147" s="12" t="s">
        <v>77</v>
      </c>
      <c r="I147" s="12" t="s">
        <v>128</v>
      </c>
      <c r="J147" s="10"/>
      <c r="K147" s="9" t="n">
        <f aca="false">IF(ISNUMBER(D147),COUNTIF($D$6:$D$338,"&lt;"&amp;D147)/(COUNT($D$6:$D$338)-1),"")</f>
        <v>0.187702265372168</v>
      </c>
      <c r="L147" s="9" t="n">
        <f aca="false">IF(ISNUMBER(E147),COUNTIF($E$6:$E$338,"&lt;"&amp;E147)/(COUNT($E$6:$E$338)-1),"")</f>
        <v>0.713855421686747</v>
      </c>
      <c r="M147" s="9" t="n">
        <f aca="false">IF(AND(K147="",L147=""),"",(IF(ISNUMBER(K147),$C$3*K147,0)+IF(ISNUMBER(L147),$E$3*L147,0))/(IF(ISNUMBER(K147),$C$3,0)+IF(ISNUMBER(L147),$E$3,0)))</f>
        <v>0.450778843529458</v>
      </c>
      <c r="N147" s="12"/>
      <c r="O147" s="7" t="n">
        <f aca="false">IF(N147&lt;&gt;"","",COUNTIFS($A$6:$A$338,A147,$N$6:$N$338,"",$M$6:$M$338,"&gt;"&amp;M147)+COUNTIFS($A$6:A147,A147,$N$6:N147,"",$M$6:M147,M147))</f>
        <v>10</v>
      </c>
      <c r="P147" s="12" t="str">
        <f aca="false">IF(O147="","Excluded",IF(O147&lt;=5,"Lead",IF(O147&lt;=10,"Next wave","Long list")))</f>
        <v>Next wave</v>
      </c>
      <c r="Q147" s="10" t="s">
        <v>102</v>
      </c>
      <c r="R147" s="30" t="s">
        <v>487</v>
      </c>
    </row>
    <row r="148" customFormat="false" ht="35.05" hidden="false" customHeight="false" outlineLevel="0" collapsed="false">
      <c r="A148" s="12" t="s">
        <v>27</v>
      </c>
      <c r="B148" s="12" t="s">
        <v>283</v>
      </c>
      <c r="C148" s="10" t="s">
        <v>284</v>
      </c>
      <c r="D148" s="26" t="n">
        <v>7.15</v>
      </c>
      <c r="E148" s="11" t="n">
        <v>13045.6</v>
      </c>
      <c r="F148" s="10" t="s">
        <v>147</v>
      </c>
      <c r="G148" s="7" t="n">
        <v>1</v>
      </c>
      <c r="H148" s="12" t="s">
        <v>95</v>
      </c>
      <c r="I148" s="12" t="s">
        <v>84</v>
      </c>
      <c r="J148" s="10" t="s">
        <v>122</v>
      </c>
      <c r="K148" s="9" t="n">
        <f aca="false">IF(ISNUMBER(D148),COUNTIF($D$6:$D$338,"&lt;"&amp;D148)/(COUNT($D$6:$D$338)-1),"")</f>
        <v>0.119741100323625</v>
      </c>
      <c r="L148" s="9" t="n">
        <f aca="false">IF(ISNUMBER(E148),COUNTIF($E$6:$E$338,"&lt;"&amp;E148)/(COUNT($E$6:$E$338)-1),"")</f>
        <v>0.719879518072289</v>
      </c>
      <c r="M148" s="9" t="n">
        <f aca="false">IF(AND(K148="",L148=""),"",(IF(ISNUMBER(K148),$C$3*K148,0)+IF(ISNUMBER(L148),$E$3*L148,0))/(IF(ISNUMBER(K148),$C$3,0)+IF(ISNUMBER(L148),$E$3,0)))</f>
        <v>0.419810309197957</v>
      </c>
      <c r="N148" s="12"/>
      <c r="O148" s="7" t="n">
        <f aca="false">IF(N148&lt;&gt;"","",COUNTIFS($A$6:$A$338,A148,$N$6:$N$338,"",$M$6:$M$338,"&gt;"&amp;M148)+COUNTIFS($A$6:A148,A148,$N$6:N148,"",$M$6:M148,M148))</f>
        <v>11</v>
      </c>
      <c r="P148" s="12" t="str">
        <f aca="false">IF(O148="","Excluded",IF(O148&lt;=5,"Lead",IF(O148&lt;=10,"Next wave","Long list")))</f>
        <v>Long list</v>
      </c>
      <c r="Q148" s="10" t="s">
        <v>97</v>
      </c>
      <c r="R148" s="30" t="s">
        <v>300</v>
      </c>
    </row>
    <row r="149" customFormat="false" ht="23.85" hidden="false" customHeight="false" outlineLevel="0" collapsed="false">
      <c r="A149" s="12" t="s">
        <v>27</v>
      </c>
      <c r="B149" s="12" t="s">
        <v>488</v>
      </c>
      <c r="C149" s="10" t="s">
        <v>384</v>
      </c>
      <c r="D149" s="26" t="n">
        <v>6.17</v>
      </c>
      <c r="E149" s="11" t="n">
        <v>20184.3</v>
      </c>
      <c r="F149" s="10" t="s">
        <v>94</v>
      </c>
      <c r="G149" s="7" t="n">
        <v>1</v>
      </c>
      <c r="H149" s="12" t="s">
        <v>77</v>
      </c>
      <c r="I149" s="12" t="s">
        <v>84</v>
      </c>
      <c r="J149" s="10" t="s">
        <v>163</v>
      </c>
      <c r="K149" s="9" t="n">
        <f aca="false">IF(ISNUMBER(D149),COUNTIF($D$6:$D$338,"&lt;"&amp;D149)/(COUNT($D$6:$D$338)-1),"")</f>
        <v>0.0614886731391586</v>
      </c>
      <c r="L149" s="9" t="n">
        <f aca="false">IF(ISNUMBER(E149),COUNTIF($E$6:$E$338,"&lt;"&amp;E149)/(COUNT($E$6:$E$338)-1),"")</f>
        <v>0.774096385542169</v>
      </c>
      <c r="M149" s="9" t="n">
        <f aca="false">IF(AND(K149="",L149=""),"",(IF(ISNUMBER(K149),$C$3*K149,0)+IF(ISNUMBER(L149),$E$3*L149,0))/(IF(ISNUMBER(K149),$C$3,0)+IF(ISNUMBER(L149),$E$3,0)))</f>
        <v>0.417792529340664</v>
      </c>
      <c r="N149" s="12"/>
      <c r="O149" s="7" t="n">
        <f aca="false">IF(N149&lt;&gt;"","",COUNTIFS($A$6:$A$338,A149,$N$6:$N$338,"",$M$6:$M$338,"&gt;"&amp;M149)+COUNTIFS($A$6:A149,A149,$N$6:N149,"",$M$6:M149,M149))</f>
        <v>12</v>
      </c>
      <c r="P149" s="12" t="str">
        <f aca="false">IF(O149="","Excluded",IF(O149&lt;=5,"Lead",IF(O149&lt;=10,"Next wave","Long list")))</f>
        <v>Long list</v>
      </c>
      <c r="Q149" s="10" t="s">
        <v>80</v>
      </c>
      <c r="R149" s="30" t="s">
        <v>489</v>
      </c>
    </row>
    <row r="150" customFormat="false" ht="23.85" hidden="false" customHeight="false" outlineLevel="0" collapsed="false">
      <c r="A150" s="12" t="s">
        <v>27</v>
      </c>
      <c r="B150" s="12" t="s">
        <v>227</v>
      </c>
      <c r="C150" s="10" t="s">
        <v>228</v>
      </c>
      <c r="D150" s="26" t="n">
        <v>38.92</v>
      </c>
      <c r="E150" s="11" t="n">
        <v>21.8</v>
      </c>
      <c r="F150" s="10" t="s">
        <v>243</v>
      </c>
      <c r="G150" s="7" t="n">
        <v>5</v>
      </c>
      <c r="H150" s="12" t="s">
        <v>77</v>
      </c>
      <c r="I150" s="12" t="s">
        <v>84</v>
      </c>
      <c r="J150" s="10" t="s">
        <v>163</v>
      </c>
      <c r="K150" s="9" t="n">
        <f aca="false">IF(ISNUMBER(D150),COUNTIF($D$6:$D$338,"&lt;"&amp;D150)/(COUNT($D$6:$D$338)-1),"")</f>
        <v>0.579288025889968</v>
      </c>
      <c r="L150" s="9" t="n">
        <f aca="false">IF(ISNUMBER(E150),COUNTIF($E$6:$E$338,"&lt;"&amp;E150)/(COUNT($E$6:$E$338)-1),"")</f>
        <v>0.0120481927710843</v>
      </c>
      <c r="M150" s="9" t="n">
        <f aca="false">IF(AND(K150="",L150=""),"",(IF(ISNUMBER(K150),$C$3*K150,0)+IF(ISNUMBER(L150),$E$3*L150,0))/(IF(ISNUMBER(K150),$C$3,0)+IF(ISNUMBER(L150),$E$3,0)))</f>
        <v>0.295668109330526</v>
      </c>
      <c r="N150" s="12"/>
      <c r="O150" s="7" t="n">
        <f aca="false">IF(N150&lt;&gt;"","",COUNTIFS($A$6:$A$338,A150,$N$6:$N$338,"",$M$6:$M$338,"&gt;"&amp;M150)+COUNTIFS($A$6:A150,A150,$N$6:N150,"",$M$6:M150,M150))</f>
        <v>13</v>
      </c>
      <c r="P150" s="12" t="str">
        <f aca="false">IF(O150="","Excluded",IF(O150&lt;=5,"Lead",IF(O150&lt;=10,"Next wave","Long list")))</f>
        <v>Long list</v>
      </c>
      <c r="Q150" s="10" t="s">
        <v>80</v>
      </c>
      <c r="R150" s="30" t="s">
        <v>490</v>
      </c>
    </row>
    <row r="151" customFormat="false" ht="23.85" hidden="false" customHeight="false" outlineLevel="0" collapsed="false">
      <c r="A151" s="12" t="s">
        <v>27</v>
      </c>
      <c r="B151" s="12" t="s">
        <v>491</v>
      </c>
      <c r="C151" s="10" t="s">
        <v>492</v>
      </c>
      <c r="D151" s="26" t="n">
        <v>6.53</v>
      </c>
      <c r="E151" s="11" t="n">
        <v>3633.3</v>
      </c>
      <c r="F151" s="10" t="s">
        <v>147</v>
      </c>
      <c r="G151" s="7" t="n">
        <v>1</v>
      </c>
      <c r="H151" s="12" t="s">
        <v>77</v>
      </c>
      <c r="I151" s="12" t="s">
        <v>84</v>
      </c>
      <c r="J151" s="10"/>
      <c r="K151" s="9" t="n">
        <f aca="false">IF(ISNUMBER(D151),COUNTIF($D$6:$D$338,"&lt;"&amp;D151)/(COUNT($D$6:$D$338)-1),"")</f>
        <v>0.087378640776699</v>
      </c>
      <c r="L151" s="9" t="n">
        <f aca="false">IF(ISNUMBER(E151),COUNTIF($E$6:$E$338,"&lt;"&amp;E151)/(COUNT($E$6:$E$338)-1),"")</f>
        <v>0.469879518072289</v>
      </c>
      <c r="M151" s="9" t="n">
        <f aca="false">IF(AND(K151="",L151=""),"",(IF(ISNUMBER(K151),$C$3*K151,0)+IF(ISNUMBER(L151),$E$3*L151,0))/(IF(ISNUMBER(K151),$C$3,0)+IF(ISNUMBER(L151),$E$3,0)))</f>
        <v>0.278629079424494</v>
      </c>
      <c r="N151" s="12"/>
      <c r="O151" s="7" t="n">
        <f aca="false">IF(N151&lt;&gt;"","",COUNTIFS($A$6:$A$338,A151,$N$6:$N$338,"",$M$6:$M$338,"&gt;"&amp;M151)+COUNTIFS($A$6:A151,A151,$N$6:N151,"",$M$6:M151,M151))</f>
        <v>14</v>
      </c>
      <c r="P151" s="12" t="str">
        <f aca="false">IF(O151="","Excluded",IF(O151&lt;=5,"Lead",IF(O151&lt;=10,"Next wave","Long list")))</f>
        <v>Long list</v>
      </c>
      <c r="Q151" s="10" t="s">
        <v>102</v>
      </c>
      <c r="R151" s="30" t="s">
        <v>493</v>
      </c>
    </row>
    <row r="152" customFormat="false" ht="23.85" hidden="false" customHeight="false" outlineLevel="0" collapsed="false">
      <c r="A152" s="12" t="s">
        <v>27</v>
      </c>
      <c r="B152" s="12" t="s">
        <v>229</v>
      </c>
      <c r="C152" s="10" t="s">
        <v>230</v>
      </c>
      <c r="D152" s="26" t="n">
        <v>14.96</v>
      </c>
      <c r="E152" s="11" t="n">
        <v>1352.6</v>
      </c>
      <c r="F152" s="10" t="s">
        <v>147</v>
      </c>
      <c r="G152" s="7" t="n">
        <v>1</v>
      </c>
      <c r="H152" s="12" t="s">
        <v>77</v>
      </c>
      <c r="I152" s="12" t="s">
        <v>84</v>
      </c>
      <c r="J152" s="10" t="s">
        <v>178</v>
      </c>
      <c r="K152" s="9" t="n">
        <f aca="false">IF(ISNUMBER(D152),COUNTIF($D$6:$D$338,"&lt;"&amp;D152)/(COUNT($D$6:$D$338)-1),"")</f>
        <v>0.323624595469256</v>
      </c>
      <c r="L152" s="9" t="n">
        <f aca="false">IF(ISNUMBER(E152),COUNTIF($E$6:$E$338,"&lt;"&amp;E152)/(COUNT($E$6:$E$338)-1),"")</f>
        <v>0.189759036144578</v>
      </c>
      <c r="M152" s="9" t="n">
        <f aca="false">IF(AND(K152="",L152=""),"",(IF(ISNUMBER(K152),$C$3*K152,0)+IF(ISNUMBER(L152),$E$3*L152,0))/(IF(ISNUMBER(K152),$C$3,0)+IF(ISNUMBER(L152),$E$3,0)))</f>
        <v>0.256691815806917</v>
      </c>
      <c r="N152" s="12"/>
      <c r="O152" s="7" t="n">
        <f aca="false">IF(N152&lt;&gt;"","",COUNTIFS($A$6:$A$338,A152,$N$6:$N$338,"",$M$6:$M$338,"&gt;"&amp;M152)+COUNTIFS($A$6:A152,A152,$N$6:N152,"",$M$6:M152,M152))</f>
        <v>15</v>
      </c>
      <c r="P152" s="12" t="str">
        <f aca="false">IF(O152="","Excluded",IF(O152&lt;=5,"Lead",IF(O152&lt;=10,"Next wave","Long list")))</f>
        <v>Long list</v>
      </c>
      <c r="Q152" s="10" t="s">
        <v>80</v>
      </c>
      <c r="R152" s="30" t="s">
        <v>401</v>
      </c>
    </row>
    <row r="153" customFormat="false" ht="23.85" hidden="false" customHeight="false" outlineLevel="0" collapsed="false">
      <c r="A153" s="12" t="s">
        <v>27</v>
      </c>
      <c r="B153" s="12" t="s">
        <v>260</v>
      </c>
      <c r="C153" s="10" t="s">
        <v>261</v>
      </c>
      <c r="D153" s="26" t="n">
        <v>5.56</v>
      </c>
      <c r="E153" s="11" t="n">
        <v>3067.4</v>
      </c>
      <c r="F153" s="10" t="s">
        <v>147</v>
      </c>
      <c r="G153" s="7" t="n">
        <v>1</v>
      </c>
      <c r="H153" s="12" t="s">
        <v>77</v>
      </c>
      <c r="I153" s="12" t="s">
        <v>84</v>
      </c>
      <c r="J153" s="10" t="s">
        <v>168</v>
      </c>
      <c r="K153" s="9" t="n">
        <f aca="false">IF(ISNUMBER(D153),COUNTIF($D$6:$D$338,"&lt;"&amp;D153)/(COUNT($D$6:$D$338)-1),"")</f>
        <v>0.0323624595469256</v>
      </c>
      <c r="L153" s="9" t="n">
        <f aca="false">IF(ISNUMBER(E153),COUNTIF($E$6:$E$338,"&lt;"&amp;E153)/(COUNT($E$6:$E$338)-1),"")</f>
        <v>0.418674698795181</v>
      </c>
      <c r="M153" s="9" t="n">
        <f aca="false">IF(AND(K153="",L153=""),"",(IF(ISNUMBER(K153),$C$3*K153,0)+IF(ISNUMBER(L153),$E$3*L153,0))/(IF(ISNUMBER(K153),$C$3,0)+IF(ISNUMBER(L153),$E$3,0)))</f>
        <v>0.225518579171053</v>
      </c>
      <c r="N153" s="12"/>
      <c r="O153" s="7" t="n">
        <f aca="false">IF(N153&lt;&gt;"","",COUNTIFS($A$6:$A$338,A153,$N$6:$N$338,"",$M$6:$M$338,"&gt;"&amp;M153)+COUNTIFS($A$6:A153,A153,$N$6:N153,"",$M$6:M153,M153))</f>
        <v>16</v>
      </c>
      <c r="P153" s="12" t="str">
        <f aca="false">IF(O153="","Excluded",IF(O153&lt;=5,"Lead",IF(O153&lt;=10,"Next wave","Long list")))</f>
        <v>Long list</v>
      </c>
      <c r="Q153" s="10" t="s">
        <v>80</v>
      </c>
      <c r="R153" s="30" t="s">
        <v>459</v>
      </c>
    </row>
    <row r="154" customFormat="false" ht="23.85" hidden="false" customHeight="false" outlineLevel="0" collapsed="false">
      <c r="A154" s="12" t="s">
        <v>27</v>
      </c>
      <c r="B154" s="12" t="s">
        <v>471</v>
      </c>
      <c r="C154" s="10" t="s">
        <v>472</v>
      </c>
      <c r="D154" s="26"/>
      <c r="E154" s="11" t="n">
        <v>54624.8</v>
      </c>
      <c r="F154" s="10" t="s">
        <v>147</v>
      </c>
      <c r="G154" s="7" t="n">
        <v>1</v>
      </c>
      <c r="H154" s="12" t="s">
        <v>95</v>
      </c>
      <c r="I154" s="12" t="s">
        <v>95</v>
      </c>
      <c r="J154" s="10"/>
      <c r="K154" s="9" t="str">
        <f aca="false">IF(ISNUMBER(D154),COUNTIF($D$6:$D$338,"&lt;"&amp;D154)/(COUNT($D$6:$D$338)-1),"")</f>
        <v/>
      </c>
      <c r="L154" s="9" t="n">
        <f aca="false">IF(ISNUMBER(E154),COUNTIF($E$6:$E$338,"&lt;"&amp;E154)/(COUNT($E$6:$E$338)-1),"")</f>
        <v>0.930722891566265</v>
      </c>
      <c r="M154" s="9" t="n">
        <f aca="false">IF(AND(K154="",L154=""),"",(IF(ISNUMBER(K154),$C$3*K154,0)+IF(ISNUMBER(L154),$E$3*L154,0))/(IF(ISNUMBER(K154),$C$3,0)+IF(ISNUMBER(L154),$E$3,0)))</f>
        <v>0.930722891566265</v>
      </c>
      <c r="N154" s="12" t="s">
        <v>307</v>
      </c>
      <c r="O154" s="7" t="str">
        <f aca="false">IF(N154&lt;&gt;"","",COUNTIFS($A$6:$A$338,A154,$N$6:$N$338,"",$M$6:$M$338,"&gt;"&amp;M154)+COUNTIFS($A$6:A154,A154,$N$6:N154,"",$M$6:M154,M154))</f>
        <v/>
      </c>
      <c r="P154" s="12" t="str">
        <f aca="false">IF(O154="","Excluded",IF(O154&lt;=5,"Lead",IF(O154&lt;=10,"Next wave","Long list")))</f>
        <v>Excluded</v>
      </c>
      <c r="Q154" s="10" t="s">
        <v>97</v>
      </c>
      <c r="R154" s="30" t="s">
        <v>473</v>
      </c>
    </row>
    <row r="155" customFormat="false" ht="23.85" hidden="false" customHeight="false" outlineLevel="0" collapsed="false">
      <c r="A155" s="12" t="s">
        <v>27</v>
      </c>
      <c r="B155" s="12" t="s">
        <v>494</v>
      </c>
      <c r="C155" s="10" t="s">
        <v>495</v>
      </c>
      <c r="D155" s="26"/>
      <c r="E155" s="11" t="n">
        <v>18596.2</v>
      </c>
      <c r="F155" s="10" t="s">
        <v>147</v>
      </c>
      <c r="G155" s="7" t="n">
        <v>1</v>
      </c>
      <c r="H155" s="12" t="s">
        <v>77</v>
      </c>
      <c r="I155" s="12" t="s">
        <v>128</v>
      </c>
      <c r="J155" s="10"/>
      <c r="K155" s="9" t="str">
        <f aca="false">IF(ISNUMBER(D155),COUNTIF($D$6:$D$338,"&lt;"&amp;D155)/(COUNT($D$6:$D$338)-1),"")</f>
        <v/>
      </c>
      <c r="L155" s="9" t="n">
        <f aca="false">IF(ISNUMBER(E155),COUNTIF($E$6:$E$338,"&lt;"&amp;E155)/(COUNT($E$6:$E$338)-1),"")</f>
        <v>0.768072289156627</v>
      </c>
      <c r="M155" s="9" t="n">
        <f aca="false">IF(AND(K155="",L155=""),"",(IF(ISNUMBER(K155),$C$3*K155,0)+IF(ISNUMBER(L155),$E$3*L155,0))/(IF(ISNUMBER(K155),$C$3,0)+IF(ISNUMBER(L155),$E$3,0)))</f>
        <v>0.768072289156627</v>
      </c>
      <c r="N155" s="12" t="s">
        <v>307</v>
      </c>
      <c r="O155" s="7" t="str">
        <f aca="false">IF(N155&lt;&gt;"","",COUNTIFS($A$6:$A$338,A155,$N$6:$N$338,"",$M$6:$M$338,"&gt;"&amp;M155)+COUNTIFS($A$6:A155,A155,$N$6:N155,"",$M$6:M155,M155))</f>
        <v/>
      </c>
      <c r="P155" s="12" t="str">
        <f aca="false">IF(O155="","Excluded",IF(O155&lt;=5,"Lead",IF(O155&lt;=10,"Next wave","Long list")))</f>
        <v>Excluded</v>
      </c>
      <c r="Q155" s="10" t="s">
        <v>102</v>
      </c>
      <c r="R155" s="30" t="s">
        <v>496</v>
      </c>
    </row>
    <row r="156" customFormat="false" ht="23.85" hidden="false" customHeight="false" outlineLevel="0" collapsed="false">
      <c r="A156" s="12" t="s">
        <v>27</v>
      </c>
      <c r="B156" s="12" t="s">
        <v>497</v>
      </c>
      <c r="C156" s="10" t="s">
        <v>498</v>
      </c>
      <c r="D156" s="26" t="n">
        <v>30.23</v>
      </c>
      <c r="E156" s="11" t="n">
        <v>1332.4</v>
      </c>
      <c r="F156" s="10" t="s">
        <v>302</v>
      </c>
      <c r="G156" s="7" t="n">
        <v>1</v>
      </c>
      <c r="H156" s="12" t="s">
        <v>196</v>
      </c>
      <c r="I156" s="12" t="s">
        <v>84</v>
      </c>
      <c r="J156" s="10"/>
      <c r="K156" s="9" t="n">
        <f aca="false">IF(ISNUMBER(D156),COUNTIF($D$6:$D$338,"&lt;"&amp;D156)/(COUNT($D$6:$D$338)-1),"")</f>
        <v>0.511326860841424</v>
      </c>
      <c r="L156" s="9" t="n">
        <f aca="false">IF(ISNUMBER(E156),COUNTIF($E$6:$E$338,"&lt;"&amp;E156)/(COUNT($E$6:$E$338)-1),"")</f>
        <v>0.183734939759036</v>
      </c>
      <c r="M156" s="9" t="n">
        <f aca="false">IF(AND(K156="",L156=""),"",(IF(ISNUMBER(K156),$C$3*K156,0)+IF(ISNUMBER(L156),$E$3*L156,0))/(IF(ISNUMBER(K156),$C$3,0)+IF(ISNUMBER(L156),$E$3,0)))</f>
        <v>0.34753090030023</v>
      </c>
      <c r="N156" s="12" t="s">
        <v>303</v>
      </c>
      <c r="O156" s="7" t="str">
        <f aca="false">IF(N156&lt;&gt;"","",COUNTIFS($A$6:$A$338,A156,$N$6:$N$338,"",$M$6:$M$338,"&gt;"&amp;M156)+COUNTIFS($A$6:A156,A156,$N$6:N156,"",$M$6:M156,M156))</f>
        <v/>
      </c>
      <c r="P156" s="12" t="str">
        <f aca="false">IF(O156="","Excluded",IF(O156&lt;=5,"Lead",IF(O156&lt;=10,"Next wave","Long list")))</f>
        <v>Excluded</v>
      </c>
      <c r="Q156" s="10" t="s">
        <v>102</v>
      </c>
      <c r="R156" s="30" t="s">
        <v>499</v>
      </c>
    </row>
    <row r="157" customFormat="false" ht="23.85" hidden="false" customHeight="false" outlineLevel="0" collapsed="false">
      <c r="A157" s="12" t="s">
        <v>27</v>
      </c>
      <c r="B157" s="12" t="s">
        <v>393</v>
      </c>
      <c r="C157" s="10" t="s">
        <v>394</v>
      </c>
      <c r="D157" s="26" t="n">
        <v>13.99</v>
      </c>
      <c r="E157" s="11" t="n">
        <v>2802.1</v>
      </c>
      <c r="F157" s="10" t="s">
        <v>302</v>
      </c>
      <c r="G157" s="7" t="n">
        <v>1</v>
      </c>
      <c r="H157" s="12" t="s">
        <v>77</v>
      </c>
      <c r="I157" s="12" t="s">
        <v>84</v>
      </c>
      <c r="J157" s="10" t="s">
        <v>168</v>
      </c>
      <c r="K157" s="9" t="n">
        <f aca="false">IF(ISNUMBER(D157),COUNTIF($D$6:$D$338,"&lt;"&amp;D157)/(COUNT($D$6:$D$338)-1),"")</f>
        <v>0.313915857605178</v>
      </c>
      <c r="L157" s="9" t="n">
        <f aca="false">IF(ISNUMBER(E157),COUNTIF($E$6:$E$338,"&lt;"&amp;E157)/(COUNT($E$6:$E$338)-1),"")</f>
        <v>0.352409638554217</v>
      </c>
      <c r="M157" s="9" t="n">
        <f aca="false">IF(AND(K157="",L157=""),"",(IF(ISNUMBER(K157),$C$3*K157,0)+IF(ISNUMBER(L157),$E$3*L157,0))/(IF(ISNUMBER(K157),$C$3,0)+IF(ISNUMBER(L157),$E$3,0)))</f>
        <v>0.333162748079697</v>
      </c>
      <c r="N157" s="12" t="s">
        <v>303</v>
      </c>
      <c r="O157" s="7" t="str">
        <f aca="false">IF(N157&lt;&gt;"","",COUNTIFS($A$6:$A$338,A157,$N$6:$N$338,"",$M$6:$M$338,"&gt;"&amp;M157)+COUNTIFS($A$6:A157,A157,$N$6:N157,"",$M$6:M157,M157))</f>
        <v/>
      </c>
      <c r="P157" s="12" t="str">
        <f aca="false">IF(O157="","Excluded",IF(O157&lt;=5,"Lead",IF(O157&lt;=10,"Next wave","Long list")))</f>
        <v>Excluded</v>
      </c>
      <c r="Q157" s="10" t="s">
        <v>80</v>
      </c>
      <c r="R157" s="30" t="s">
        <v>395</v>
      </c>
    </row>
    <row r="158" customFormat="false" ht="23.85" hidden="false" customHeight="false" outlineLevel="0" collapsed="false">
      <c r="A158" s="12" t="s">
        <v>27</v>
      </c>
      <c r="B158" s="12" t="s">
        <v>256</v>
      </c>
      <c r="C158" s="10" t="s">
        <v>257</v>
      </c>
      <c r="D158" s="26"/>
      <c r="E158" s="11" t="n">
        <v>2476.9</v>
      </c>
      <c r="F158" s="10" t="s">
        <v>147</v>
      </c>
      <c r="G158" s="7" t="n">
        <v>1</v>
      </c>
      <c r="H158" s="12" t="s">
        <v>95</v>
      </c>
      <c r="I158" s="12" t="s">
        <v>95</v>
      </c>
      <c r="J158" s="10" t="s">
        <v>178</v>
      </c>
      <c r="K158" s="9" t="str">
        <f aca="false">IF(ISNUMBER(D158),COUNTIF($D$6:$D$338,"&lt;"&amp;D158)/(COUNT($D$6:$D$338)-1),"")</f>
        <v/>
      </c>
      <c r="L158" s="9" t="n">
        <f aca="false">IF(ISNUMBER(E158),COUNTIF($E$6:$E$338,"&lt;"&amp;E158)/(COUNT($E$6:$E$338)-1),"")</f>
        <v>0.295180722891566</v>
      </c>
      <c r="M158" s="9" t="n">
        <f aca="false">IF(AND(K158="",L158=""),"",(IF(ISNUMBER(K158),$C$3*K158,0)+IF(ISNUMBER(L158),$E$3*L158,0))/(IF(ISNUMBER(K158),$C$3,0)+IF(ISNUMBER(L158),$E$3,0)))</f>
        <v>0.295180722891566</v>
      </c>
      <c r="N158" s="12" t="s">
        <v>307</v>
      </c>
      <c r="O158" s="7" t="str">
        <f aca="false">IF(N158&lt;&gt;"","",COUNTIFS($A$6:$A$338,A158,$N$6:$N$338,"",$M$6:$M$338,"&gt;"&amp;M158)+COUNTIFS($A$6:A158,A158,$N$6:N158,"",$M$6:M158,M158))</f>
        <v/>
      </c>
      <c r="P158" s="12" t="str">
        <f aca="false">IF(O158="","Excluded",IF(O158&lt;=5,"Lead",IF(O158&lt;=10,"Next wave","Long list")))</f>
        <v>Excluded</v>
      </c>
      <c r="Q158" s="10" t="s">
        <v>97</v>
      </c>
      <c r="R158" s="30" t="s">
        <v>386</v>
      </c>
    </row>
    <row r="159" customFormat="false" ht="23.85" hidden="false" customHeight="false" outlineLevel="0" collapsed="false">
      <c r="A159" s="12" t="s">
        <v>27</v>
      </c>
      <c r="B159" s="12" t="s">
        <v>237</v>
      </c>
      <c r="C159" s="10" t="s">
        <v>238</v>
      </c>
      <c r="D159" s="26"/>
      <c r="E159" s="11" t="n">
        <v>2405.4</v>
      </c>
      <c r="F159" s="10" t="s">
        <v>147</v>
      </c>
      <c r="G159" s="7" t="n">
        <v>1</v>
      </c>
      <c r="H159" s="12" t="s">
        <v>95</v>
      </c>
      <c r="I159" s="12" t="s">
        <v>95</v>
      </c>
      <c r="J159" s="10"/>
      <c r="K159" s="9" t="str">
        <f aca="false">IF(ISNUMBER(D159),COUNTIF($D$6:$D$338,"&lt;"&amp;D159)/(COUNT($D$6:$D$338)-1),"")</f>
        <v/>
      </c>
      <c r="L159" s="9" t="n">
        <f aca="false">IF(ISNUMBER(E159),COUNTIF($E$6:$E$338,"&lt;"&amp;E159)/(COUNT($E$6:$E$338)-1),"")</f>
        <v>0.283132530120482</v>
      </c>
      <c r="M159" s="9" t="n">
        <f aca="false">IF(AND(K159="",L159=""),"",(IF(ISNUMBER(K159),$C$3*K159,0)+IF(ISNUMBER(L159),$E$3*L159,0))/(IF(ISNUMBER(K159),$C$3,0)+IF(ISNUMBER(L159),$E$3,0)))</f>
        <v>0.283132530120482</v>
      </c>
      <c r="N159" s="12" t="s">
        <v>307</v>
      </c>
      <c r="O159" s="7" t="str">
        <f aca="false">IF(N159&lt;&gt;"","",COUNTIFS($A$6:$A$338,A159,$N$6:$N$338,"",$M$6:$M$338,"&gt;"&amp;M159)+COUNTIFS($A$6:A159,A159,$N$6:N159,"",$M$6:M159,M159))</f>
        <v/>
      </c>
      <c r="P159" s="12" t="str">
        <f aca="false">IF(O159="","Excluded",IF(O159&lt;=5,"Lead",IF(O159&lt;=10,"Next wave","Long list")))</f>
        <v>Excluded</v>
      </c>
      <c r="Q159" s="10" t="s">
        <v>97</v>
      </c>
      <c r="R159" s="30" t="s">
        <v>500</v>
      </c>
    </row>
    <row r="160" customFormat="false" ht="35.05" hidden="false" customHeight="false" outlineLevel="0" collapsed="false">
      <c r="A160" s="12" t="s">
        <v>19</v>
      </c>
      <c r="B160" s="12" t="s">
        <v>74</v>
      </c>
      <c r="C160" s="10" t="s">
        <v>75</v>
      </c>
      <c r="D160" s="26" t="n">
        <v>256.12</v>
      </c>
      <c r="E160" s="11" t="n">
        <v>42181.7</v>
      </c>
      <c r="F160" s="10" t="s">
        <v>76</v>
      </c>
      <c r="G160" s="7" t="n">
        <v>32</v>
      </c>
      <c r="H160" s="12" t="s">
        <v>77</v>
      </c>
      <c r="I160" s="12" t="s">
        <v>78</v>
      </c>
      <c r="J160" s="10" t="s">
        <v>79</v>
      </c>
      <c r="K160" s="9" t="n">
        <f aca="false">IF(ISNUMBER(D160),COUNTIF($D$6:$D$338,"&lt;"&amp;D160)/(COUNT($D$6:$D$338)-1),"")</f>
        <v>0.877022653721683</v>
      </c>
      <c r="L160" s="9" t="n">
        <f aca="false">IF(ISNUMBER(E160),COUNTIF($E$6:$E$338,"&lt;"&amp;E160)/(COUNT($E$6:$E$338)-1),"")</f>
        <v>0.897590361445783</v>
      </c>
      <c r="M160" s="9" t="n">
        <f aca="false">IF(AND(K160="",L160=""),"",(IF(ISNUMBER(K160),$C$3*K160,0)+IF(ISNUMBER(L160),$E$3*L160,0))/(IF(ISNUMBER(K160),$C$3,0)+IF(ISNUMBER(L160),$E$3,0)))</f>
        <v>0.887306507583733</v>
      </c>
      <c r="N160" s="12"/>
      <c r="O160" s="7" t="n">
        <f aca="false">IF(N160&lt;&gt;"","",COUNTIFS($A$6:$A$338,A160,$N$6:$N$338,"",$M$6:$M$338,"&gt;"&amp;M160)+COUNTIFS($A$6:A160,A160,$N$6:N160,"",$M$6:M160,M160))</f>
        <v>1</v>
      </c>
      <c r="P160" s="12" t="str">
        <f aca="false">IF(O160="","Excluded",IF(O160&lt;=5,"Lead",IF(O160&lt;=10,"Next wave","Long list")))</f>
        <v>Lead</v>
      </c>
      <c r="Q160" s="10" t="s">
        <v>80</v>
      </c>
      <c r="R160" s="30" t="s">
        <v>310</v>
      </c>
    </row>
    <row r="161" customFormat="false" ht="23.85" hidden="false" customHeight="false" outlineLevel="0" collapsed="false">
      <c r="A161" s="12" t="s">
        <v>19</v>
      </c>
      <c r="B161" s="12" t="s">
        <v>81</v>
      </c>
      <c r="C161" s="10" t="s">
        <v>82</v>
      </c>
      <c r="D161" s="26" t="n">
        <v>907.38</v>
      </c>
      <c r="E161" s="11" t="n">
        <v>22036.1</v>
      </c>
      <c r="F161" s="10" t="s">
        <v>76</v>
      </c>
      <c r="G161" s="7" t="n">
        <v>31</v>
      </c>
      <c r="H161" s="12" t="s">
        <v>83</v>
      </c>
      <c r="I161" s="12" t="s">
        <v>84</v>
      </c>
      <c r="J161" s="10" t="s">
        <v>85</v>
      </c>
      <c r="K161" s="9" t="n">
        <f aca="false">IF(ISNUMBER(D161),COUNTIF($D$6:$D$338,"&lt;"&amp;D161)/(COUNT($D$6:$D$338)-1),"")</f>
        <v>0.970873786407767</v>
      </c>
      <c r="L161" s="9" t="n">
        <f aca="false">IF(ISNUMBER(E161),COUNTIF($E$6:$E$338,"&lt;"&amp;E161)/(COUNT($E$6:$E$338)-1),"")</f>
        <v>0.783132530120482</v>
      </c>
      <c r="M161" s="9" t="n">
        <f aca="false">IF(AND(K161="",L161=""),"",(IF(ISNUMBER(K161),$C$3*K161,0)+IF(ISNUMBER(L161),$E$3*L161,0))/(IF(ISNUMBER(K161),$C$3,0)+IF(ISNUMBER(L161),$E$3,0)))</f>
        <v>0.877003158264124</v>
      </c>
      <c r="N161" s="12"/>
      <c r="O161" s="7" t="n">
        <f aca="false">IF(N161&lt;&gt;"","",COUNTIFS($A$6:$A$338,A161,$N$6:$N$338,"",$M$6:$M$338,"&gt;"&amp;M161)+COUNTIFS($A$6:A161,A161,$N$6:N161,"",$M$6:M161,M161))</f>
        <v>2</v>
      </c>
      <c r="P161" s="12" t="str">
        <f aca="false">IF(O161="","Excluded",IF(O161&lt;=5,"Lead",IF(O161&lt;=10,"Next wave","Long list")))</f>
        <v>Lead</v>
      </c>
      <c r="Q161" s="10" t="s">
        <v>86</v>
      </c>
      <c r="R161" s="30" t="s">
        <v>501</v>
      </c>
    </row>
    <row r="162" customFormat="false" ht="35.05" hidden="false" customHeight="false" outlineLevel="0" collapsed="false">
      <c r="A162" s="12" t="s">
        <v>19</v>
      </c>
      <c r="B162" s="12" t="s">
        <v>87</v>
      </c>
      <c r="C162" s="10" t="s">
        <v>88</v>
      </c>
      <c r="D162" s="26" t="n">
        <v>569.27</v>
      </c>
      <c r="E162" s="11" t="n">
        <v>28093.4</v>
      </c>
      <c r="F162" s="10" t="s">
        <v>89</v>
      </c>
      <c r="G162" s="7" t="n">
        <v>34</v>
      </c>
      <c r="H162" s="12" t="s">
        <v>90</v>
      </c>
      <c r="I162" s="12" t="s">
        <v>84</v>
      </c>
      <c r="J162" s="10" t="s">
        <v>91</v>
      </c>
      <c r="K162" s="9" t="n">
        <f aca="false">IF(ISNUMBER(D162),COUNTIF($D$6:$D$338,"&lt;"&amp;D162)/(COUNT($D$6:$D$338)-1),"")</f>
        <v>0.951456310679612</v>
      </c>
      <c r="L162" s="9" t="n">
        <f aca="false">IF(ISNUMBER(E162),COUNTIF($E$6:$E$338,"&lt;"&amp;E162)/(COUNT($E$6:$E$338)-1),"")</f>
        <v>0.792168674698795</v>
      </c>
      <c r="M162" s="9" t="n">
        <f aca="false">IF(AND(K162="",L162=""),"",(IF(ISNUMBER(K162),$C$3*K162,0)+IF(ISNUMBER(L162),$E$3*L162,0))/(IF(ISNUMBER(K162),$C$3,0)+IF(ISNUMBER(L162),$E$3,0)))</f>
        <v>0.871812492689204</v>
      </c>
      <c r="N162" s="12"/>
      <c r="O162" s="7" t="n">
        <f aca="false">IF(N162&lt;&gt;"","",COUNTIFS($A$6:$A$338,A162,$N$6:$N$338,"",$M$6:$M$338,"&gt;"&amp;M162)+COUNTIFS($A$6:A162,A162,$N$6:N162,"",$M$6:M162,M162))</f>
        <v>3</v>
      </c>
      <c r="P162" s="12" t="str">
        <f aca="false">IF(O162="","Excluded",IF(O162&lt;=5,"Lead",IF(O162&lt;=10,"Next wave","Long list")))</f>
        <v>Lead</v>
      </c>
      <c r="Q162" s="10" t="s">
        <v>80</v>
      </c>
      <c r="R162" s="30" t="s">
        <v>311</v>
      </c>
    </row>
    <row r="163" customFormat="false" ht="23.85" hidden="false" customHeight="false" outlineLevel="0" collapsed="false">
      <c r="A163" s="12" t="s">
        <v>19</v>
      </c>
      <c r="B163" s="12" t="s">
        <v>92</v>
      </c>
      <c r="C163" s="10" t="s">
        <v>93</v>
      </c>
      <c r="D163" s="26"/>
      <c r="E163" s="11" t="n">
        <v>33794.9</v>
      </c>
      <c r="F163" s="10" t="s">
        <v>94</v>
      </c>
      <c r="G163" s="7" t="n">
        <v>2</v>
      </c>
      <c r="H163" s="12" t="s">
        <v>95</v>
      </c>
      <c r="I163" s="12" t="s">
        <v>95</v>
      </c>
      <c r="J163" s="10" t="s">
        <v>96</v>
      </c>
      <c r="K163" s="9" t="str">
        <f aca="false">IF(ISNUMBER(D163),COUNTIF($D$6:$D$338,"&lt;"&amp;D163)/(COUNT($D$6:$D$338)-1),"")</f>
        <v/>
      </c>
      <c r="L163" s="9" t="n">
        <f aca="false">IF(ISNUMBER(E163),COUNTIF($E$6:$E$338,"&lt;"&amp;E163)/(COUNT($E$6:$E$338)-1),"")</f>
        <v>0.86144578313253</v>
      </c>
      <c r="M163" s="9" t="n">
        <f aca="false">IF(AND(K163="",L163=""),"",(IF(ISNUMBER(K163),$C$3*K163,0)+IF(ISNUMBER(L163),$E$3*L163,0))/(IF(ISNUMBER(K163),$C$3,0)+IF(ISNUMBER(L163),$E$3,0)))</f>
        <v>0.86144578313253</v>
      </c>
      <c r="N163" s="12"/>
      <c r="O163" s="7" t="n">
        <f aca="false">IF(N163&lt;&gt;"","",COUNTIFS($A$6:$A$338,A163,$N$6:$N$338,"",$M$6:$M$338,"&gt;"&amp;M163)+COUNTIFS($A$6:A163,A163,$N$6:N163,"",$M$6:M163,M163))</f>
        <v>4</v>
      </c>
      <c r="P163" s="12" t="str">
        <f aca="false">IF(O163="","Excluded",IF(O163&lt;=5,"Lead",IF(O163&lt;=10,"Next wave","Long list")))</f>
        <v>Lead</v>
      </c>
      <c r="Q163" s="10" t="s">
        <v>97</v>
      </c>
      <c r="R163" s="30" t="s">
        <v>502</v>
      </c>
    </row>
    <row r="164" customFormat="false" ht="23.85" hidden="false" customHeight="false" outlineLevel="0" collapsed="false">
      <c r="A164" s="12" t="s">
        <v>19</v>
      </c>
      <c r="B164" s="12" t="s">
        <v>98</v>
      </c>
      <c r="C164" s="10" t="s">
        <v>99</v>
      </c>
      <c r="D164" s="26" t="n">
        <v>261.8</v>
      </c>
      <c r="E164" s="11" t="n">
        <v>26948.8</v>
      </c>
      <c r="F164" s="10" t="s">
        <v>100</v>
      </c>
      <c r="G164" s="7" t="n">
        <v>32</v>
      </c>
      <c r="H164" s="12" t="s">
        <v>77</v>
      </c>
      <c r="I164" s="12" t="s">
        <v>84</v>
      </c>
      <c r="J164" s="10" t="s">
        <v>101</v>
      </c>
      <c r="K164" s="9" t="n">
        <f aca="false">IF(ISNUMBER(D164),COUNTIF($D$6:$D$338,"&lt;"&amp;D164)/(COUNT($D$6:$D$338)-1),"")</f>
        <v>0.886731391585761</v>
      </c>
      <c r="L164" s="9" t="n">
        <f aca="false">IF(ISNUMBER(E164),COUNTIF($E$6:$E$338,"&lt;"&amp;E164)/(COUNT($E$6:$E$338)-1),"")</f>
        <v>0.789156626506024</v>
      </c>
      <c r="M164" s="9" t="n">
        <f aca="false">IF(AND(K164="",L164=""),"",(IF(ISNUMBER(K164),$C$3*K164,0)+IF(ISNUMBER(L164),$E$3*L164,0))/(IF(ISNUMBER(K164),$C$3,0)+IF(ISNUMBER(L164),$E$3,0)))</f>
        <v>0.837944009045892</v>
      </c>
      <c r="N164" s="12"/>
      <c r="O164" s="7" t="n">
        <f aca="false">IF(N164&lt;&gt;"","",COUNTIFS($A$6:$A$338,A164,$N$6:$N$338,"",$M$6:$M$338,"&gt;"&amp;M164)+COUNTIFS($A$6:A164,A164,$N$6:N164,"",$M$6:M164,M164))</f>
        <v>5</v>
      </c>
      <c r="P164" s="12" t="str">
        <f aca="false">IF(O164="","Excluded",IF(O164&lt;=5,"Lead",IF(O164&lt;=10,"Next wave","Long list")))</f>
        <v>Lead</v>
      </c>
      <c r="Q164" s="10" t="s">
        <v>102</v>
      </c>
      <c r="R164" s="30" t="s">
        <v>503</v>
      </c>
    </row>
    <row r="165" customFormat="false" ht="23.85" hidden="false" customHeight="false" outlineLevel="0" collapsed="false">
      <c r="A165" s="12" t="s">
        <v>19</v>
      </c>
      <c r="B165" s="12" t="s">
        <v>104</v>
      </c>
      <c r="C165" s="10" t="s">
        <v>105</v>
      </c>
      <c r="D165" s="26" t="n">
        <v>66.76</v>
      </c>
      <c r="E165" s="11" t="n">
        <v>59827.2</v>
      </c>
      <c r="F165" s="10" t="s">
        <v>106</v>
      </c>
      <c r="G165" s="7" t="n">
        <v>21</v>
      </c>
      <c r="H165" s="12" t="s">
        <v>77</v>
      </c>
      <c r="I165" s="12" t="s">
        <v>107</v>
      </c>
      <c r="J165" s="10" t="s">
        <v>108</v>
      </c>
      <c r="K165" s="9" t="n">
        <f aca="false">IF(ISNUMBER(D165),COUNTIF($D$6:$D$338,"&lt;"&amp;D165)/(COUNT($D$6:$D$338)-1),"")</f>
        <v>0.692556634304207</v>
      </c>
      <c r="L165" s="9" t="n">
        <f aca="false">IF(ISNUMBER(E165),COUNTIF($E$6:$E$338,"&lt;"&amp;E165)/(COUNT($E$6:$E$338)-1),"")</f>
        <v>0.957831325301205</v>
      </c>
      <c r="M165" s="9" t="n">
        <f aca="false">IF(AND(K165="",L165=""),"",(IF(ISNUMBER(K165),$C$3*K165,0)+IF(ISNUMBER(L165),$E$3*L165,0))/(IF(ISNUMBER(K165),$C$3,0)+IF(ISNUMBER(L165),$E$3,0)))</f>
        <v>0.825193979802706</v>
      </c>
      <c r="N165" s="12"/>
      <c r="O165" s="7" t="n">
        <f aca="false">IF(N165&lt;&gt;"","",COUNTIFS($A$6:$A$338,A165,$N$6:$N$338,"",$M$6:$M$338,"&gt;"&amp;M165)+COUNTIFS($A$6:A165,A165,$N$6:N165,"",$M$6:M165,M165))</f>
        <v>6</v>
      </c>
      <c r="P165" s="12" t="str">
        <f aca="false">IF(O165="","Excluded",IF(O165&lt;=5,"Lead",IF(O165&lt;=10,"Next wave","Long list")))</f>
        <v>Next wave</v>
      </c>
      <c r="Q165" s="10" t="s">
        <v>80</v>
      </c>
      <c r="R165" s="30" t="s">
        <v>312</v>
      </c>
    </row>
    <row r="166" customFormat="false" ht="23.85" hidden="false" customHeight="false" outlineLevel="0" collapsed="false">
      <c r="A166" s="12" t="s">
        <v>19</v>
      </c>
      <c r="B166" s="12" t="s">
        <v>109</v>
      </c>
      <c r="C166" s="10" t="s">
        <v>110</v>
      </c>
      <c r="D166" s="26" t="n">
        <v>4779</v>
      </c>
      <c r="E166" s="11" t="n">
        <v>7904.7</v>
      </c>
      <c r="F166" s="10" t="s">
        <v>76</v>
      </c>
      <c r="G166" s="7" t="n">
        <v>32</v>
      </c>
      <c r="H166" s="12" t="s">
        <v>77</v>
      </c>
      <c r="I166" s="12" t="s">
        <v>84</v>
      </c>
      <c r="J166" s="10" t="s">
        <v>111</v>
      </c>
      <c r="K166" s="9" t="n">
        <f aca="false">IF(ISNUMBER(D166),COUNTIF($D$6:$D$338,"&lt;"&amp;D166)/(COUNT($D$6:$D$338)-1),"")</f>
        <v>0.98705501618123</v>
      </c>
      <c r="L166" s="9" t="n">
        <f aca="false">IF(ISNUMBER(E166),COUNTIF($E$6:$E$338,"&lt;"&amp;E166)/(COUNT($E$6:$E$338)-1),"")</f>
        <v>0.650602409638554</v>
      </c>
      <c r="M166" s="9" t="n">
        <f aca="false">IF(AND(K166="",L166=""),"",(IF(ISNUMBER(K166),$C$3*K166,0)+IF(ISNUMBER(L166),$E$3*L166,0))/(IF(ISNUMBER(K166),$C$3,0)+IF(ISNUMBER(L166),$E$3,0)))</f>
        <v>0.818828712909892</v>
      </c>
      <c r="N166" s="12"/>
      <c r="O166" s="7" t="n">
        <f aca="false">IF(N166&lt;&gt;"","",COUNTIFS($A$6:$A$338,A166,$N$6:$N$338,"",$M$6:$M$338,"&gt;"&amp;M166)+COUNTIFS($A$6:A166,A166,$N$6:N166,"",$M$6:M166,M166))</f>
        <v>7</v>
      </c>
      <c r="P166" s="12" t="str">
        <f aca="false">IF(O166="","Excluded",IF(O166&lt;=5,"Lead",IF(O166&lt;=10,"Next wave","Long list")))</f>
        <v>Next wave</v>
      </c>
      <c r="Q166" s="10" t="s">
        <v>80</v>
      </c>
      <c r="R166" s="30" t="s">
        <v>313</v>
      </c>
    </row>
    <row r="167" customFormat="false" ht="23.85" hidden="false" customHeight="false" outlineLevel="0" collapsed="false">
      <c r="A167" s="12" t="s">
        <v>19</v>
      </c>
      <c r="B167" s="12" t="s">
        <v>112</v>
      </c>
      <c r="C167" s="10" t="s">
        <v>113</v>
      </c>
      <c r="D167" s="26" t="n">
        <v>246.46</v>
      </c>
      <c r="E167" s="11" t="n">
        <v>11366.1</v>
      </c>
      <c r="F167" s="10" t="s">
        <v>114</v>
      </c>
      <c r="G167" s="7" t="n">
        <v>30</v>
      </c>
      <c r="H167" s="12" t="s">
        <v>83</v>
      </c>
      <c r="I167" s="12" t="s">
        <v>84</v>
      </c>
      <c r="J167" s="10" t="s">
        <v>115</v>
      </c>
      <c r="K167" s="9" t="n">
        <f aca="false">IF(ISNUMBER(D167),COUNTIF($D$6:$D$338,"&lt;"&amp;D167)/(COUNT($D$6:$D$338)-1),"")</f>
        <v>0.867313915857605</v>
      </c>
      <c r="L167" s="9" t="n">
        <f aca="false">IF(ISNUMBER(E167),COUNTIF($E$6:$E$338,"&lt;"&amp;E167)/(COUNT($E$6:$E$338)-1),"")</f>
        <v>0.686746987951807</v>
      </c>
      <c r="M167" s="9" t="n">
        <f aca="false">IF(AND(K167="",L167=""),"",(IF(ISNUMBER(K167),$C$3*K167,0)+IF(ISNUMBER(L167),$E$3*L167,0))/(IF(ISNUMBER(K167),$C$3,0)+IF(ISNUMBER(L167),$E$3,0)))</f>
        <v>0.777030451904706</v>
      </c>
      <c r="N167" s="12"/>
      <c r="O167" s="7" t="n">
        <f aca="false">IF(N167&lt;&gt;"","",COUNTIFS($A$6:$A$338,A167,$N$6:$N$338,"",$M$6:$M$338,"&gt;"&amp;M167)+COUNTIFS($A$6:A167,A167,$N$6:N167,"",$M$6:M167,M167))</f>
        <v>8</v>
      </c>
      <c r="P167" s="12" t="str">
        <f aca="false">IF(O167="","Excluded",IF(O167&lt;=5,"Lead",IF(O167&lt;=10,"Next wave","Long list")))</f>
        <v>Next wave</v>
      </c>
      <c r="Q167" s="10" t="s">
        <v>86</v>
      </c>
      <c r="R167" s="30" t="s">
        <v>299</v>
      </c>
    </row>
    <row r="168" customFormat="false" ht="23.85" hidden="false" customHeight="false" outlineLevel="0" collapsed="false">
      <c r="A168" s="12" t="s">
        <v>19</v>
      </c>
      <c r="B168" s="12" t="s">
        <v>116</v>
      </c>
      <c r="C168" s="10" t="s">
        <v>117</v>
      </c>
      <c r="D168" s="26" t="n">
        <v>79.53</v>
      </c>
      <c r="E168" s="11" t="n">
        <v>32830.2</v>
      </c>
      <c r="F168" s="10" t="s">
        <v>118</v>
      </c>
      <c r="G168" s="7" t="n">
        <v>21</v>
      </c>
      <c r="H168" s="12" t="s">
        <v>77</v>
      </c>
      <c r="I168" s="12" t="s">
        <v>84</v>
      </c>
      <c r="J168" s="10" t="s">
        <v>119</v>
      </c>
      <c r="K168" s="9" t="n">
        <f aca="false">IF(ISNUMBER(D168),COUNTIF($D$6:$D$338,"&lt;"&amp;D168)/(COUNT($D$6:$D$338)-1),"")</f>
        <v>0.715210355987055</v>
      </c>
      <c r="L168" s="9" t="n">
        <f aca="false">IF(ISNUMBER(E168),COUNTIF($E$6:$E$338,"&lt;"&amp;E168)/(COUNT($E$6:$E$338)-1),"")</f>
        <v>0.825301204819277</v>
      </c>
      <c r="M168" s="9" t="n">
        <f aca="false">IF(AND(K168="",L168=""),"",(IF(ISNUMBER(K168),$C$3*K168,0)+IF(ISNUMBER(L168),$E$3*L168,0))/(IF(ISNUMBER(K168),$C$3,0)+IF(ISNUMBER(L168),$E$3,0)))</f>
        <v>0.770255780403166</v>
      </c>
      <c r="N168" s="12"/>
      <c r="O168" s="7" t="n">
        <f aca="false">IF(N168&lt;&gt;"","",COUNTIFS($A$6:$A$338,A168,$N$6:$N$338,"",$M$6:$M$338,"&gt;"&amp;M168)+COUNTIFS($A$6:A168,A168,$N$6:N168,"",$M$6:M168,M168))</f>
        <v>9</v>
      </c>
      <c r="P168" s="12" t="str">
        <f aca="false">IF(O168="","Excluded",IF(O168&lt;=5,"Lead",IF(O168&lt;=10,"Next wave","Long list")))</f>
        <v>Next wave</v>
      </c>
      <c r="Q168" s="10" t="s">
        <v>80</v>
      </c>
      <c r="R168" s="30" t="s">
        <v>426</v>
      </c>
    </row>
    <row r="169" customFormat="false" ht="35.05" hidden="false" customHeight="false" outlineLevel="0" collapsed="false">
      <c r="A169" s="12" t="s">
        <v>19</v>
      </c>
      <c r="B169" s="12" t="s">
        <v>120</v>
      </c>
      <c r="C169" s="10" t="s">
        <v>121</v>
      </c>
      <c r="D169" s="26" t="n">
        <v>41.32</v>
      </c>
      <c r="E169" s="11" t="n">
        <v>41503.2</v>
      </c>
      <c r="F169" s="10" t="s">
        <v>100</v>
      </c>
      <c r="G169" s="7" t="n">
        <v>34</v>
      </c>
      <c r="H169" s="12" t="s">
        <v>77</v>
      </c>
      <c r="I169" s="12" t="s">
        <v>84</v>
      </c>
      <c r="J169" s="10" t="s">
        <v>122</v>
      </c>
      <c r="K169" s="9" t="n">
        <f aca="false">IF(ISNUMBER(D169),COUNTIF($D$6:$D$338,"&lt;"&amp;D169)/(COUNT($D$6:$D$338)-1),"")</f>
        <v>0.598705501618123</v>
      </c>
      <c r="L169" s="9" t="n">
        <f aca="false">IF(ISNUMBER(E169),COUNTIF($E$6:$E$338,"&lt;"&amp;E169)/(COUNT($E$6:$E$338)-1),"")</f>
        <v>0.885542168674699</v>
      </c>
      <c r="M169" s="9" t="n">
        <f aca="false">IF(AND(K169="",L169=""),"",(IF(ISNUMBER(K169),$C$3*K169,0)+IF(ISNUMBER(L169),$E$3*L169,0))/(IF(ISNUMBER(K169),$C$3,0)+IF(ISNUMBER(L169),$E$3,0)))</f>
        <v>0.742123835146411</v>
      </c>
      <c r="N169" s="12"/>
      <c r="O169" s="7" t="n">
        <f aca="false">IF(N169&lt;&gt;"","",COUNTIFS($A$6:$A$338,A169,$N$6:$N$338,"",$M$6:$M$338,"&gt;"&amp;M169)+COUNTIFS($A$6:A169,A169,$N$6:N169,"",$M$6:M169,M169))</f>
        <v>10</v>
      </c>
      <c r="P169" s="12" t="str">
        <f aca="false">IF(O169="","Excluded",IF(O169&lt;=5,"Lead",IF(O169&lt;=10,"Next wave","Long list")))</f>
        <v>Next wave</v>
      </c>
      <c r="Q169" s="10" t="s">
        <v>80</v>
      </c>
      <c r="R169" s="30" t="s">
        <v>318</v>
      </c>
    </row>
    <row r="170" customFormat="false" ht="23.85" hidden="false" customHeight="false" outlineLevel="0" collapsed="false">
      <c r="A170" s="12" t="s">
        <v>19</v>
      </c>
      <c r="B170" s="12" t="s">
        <v>417</v>
      </c>
      <c r="C170" s="10" t="s">
        <v>418</v>
      </c>
      <c r="D170" s="26" t="n">
        <v>130.77</v>
      </c>
      <c r="E170" s="11" t="n">
        <v>6754.2</v>
      </c>
      <c r="F170" s="10" t="s">
        <v>131</v>
      </c>
      <c r="G170" s="7" t="n">
        <v>19</v>
      </c>
      <c r="H170" s="12" t="s">
        <v>77</v>
      </c>
      <c r="I170" s="12" t="s">
        <v>78</v>
      </c>
      <c r="J170" s="10" t="s">
        <v>162</v>
      </c>
      <c r="K170" s="9" t="n">
        <f aca="false">IF(ISNUMBER(D170),COUNTIF($D$6:$D$338,"&lt;"&amp;D170)/(COUNT($D$6:$D$338)-1),"")</f>
        <v>0.802588996763754</v>
      </c>
      <c r="L170" s="9" t="n">
        <f aca="false">IF(ISNUMBER(E170),COUNTIF($E$6:$E$338,"&lt;"&amp;E170)/(COUNT($E$6:$E$338)-1),"")</f>
        <v>0.626506024096386</v>
      </c>
      <c r="M170" s="9" t="n">
        <f aca="false">IF(AND(K170="",L170=""),"",(IF(ISNUMBER(K170),$C$3*K170,0)+IF(ISNUMBER(L170),$E$3*L170,0))/(IF(ISNUMBER(K170),$C$3,0)+IF(ISNUMBER(L170),$E$3,0)))</f>
        <v>0.71454751043007</v>
      </c>
      <c r="N170" s="12"/>
      <c r="O170" s="7" t="n">
        <f aca="false">IF(N170&lt;&gt;"","",COUNTIFS($A$6:$A$338,A170,$N$6:$N$338,"",$M$6:$M$338,"&gt;"&amp;M170)+COUNTIFS($A$6:A170,A170,$N$6:N170,"",$M$6:M170,M170))</f>
        <v>11</v>
      </c>
      <c r="P170" s="12" t="str">
        <f aca="false">IF(O170="","Excluded",IF(O170&lt;=5,"Lead",IF(O170&lt;=10,"Next wave","Long list")))</f>
        <v>Long list</v>
      </c>
      <c r="Q170" s="10" t="s">
        <v>102</v>
      </c>
      <c r="R170" s="30" t="s">
        <v>419</v>
      </c>
    </row>
    <row r="171" customFormat="false" ht="23.85" hidden="false" customHeight="false" outlineLevel="0" collapsed="false">
      <c r="A171" s="12" t="s">
        <v>19</v>
      </c>
      <c r="B171" s="12" t="s">
        <v>504</v>
      </c>
      <c r="C171" s="10" t="s">
        <v>505</v>
      </c>
      <c r="D171" s="26" t="n">
        <v>167.03</v>
      </c>
      <c r="E171" s="11" t="n">
        <v>4362.1</v>
      </c>
      <c r="F171" s="10" t="s">
        <v>89</v>
      </c>
      <c r="G171" s="7" t="n">
        <v>23</v>
      </c>
      <c r="H171" s="12" t="s">
        <v>77</v>
      </c>
      <c r="I171" s="12" t="s">
        <v>84</v>
      </c>
      <c r="J171" s="10" t="s">
        <v>101</v>
      </c>
      <c r="K171" s="9" t="n">
        <f aca="false">IF(ISNUMBER(D171),COUNTIF($D$6:$D$338,"&lt;"&amp;D171)/(COUNT($D$6:$D$338)-1),"")</f>
        <v>0.838187702265372</v>
      </c>
      <c r="L171" s="9" t="n">
        <f aca="false">IF(ISNUMBER(E171),COUNTIF($E$6:$E$338,"&lt;"&amp;E171)/(COUNT($E$6:$E$338)-1),"")</f>
        <v>0.521084337349398</v>
      </c>
      <c r="M171" s="9" t="n">
        <f aca="false">IF(AND(K171="",L171=""),"",(IF(ISNUMBER(K171),$C$3*K171,0)+IF(ISNUMBER(L171),$E$3*L171,0))/(IF(ISNUMBER(K171),$C$3,0)+IF(ISNUMBER(L171),$E$3,0)))</f>
        <v>0.679636019807385</v>
      </c>
      <c r="N171" s="12"/>
      <c r="O171" s="7" t="n">
        <f aca="false">IF(N171&lt;&gt;"","",COUNTIFS($A$6:$A$338,A171,$N$6:$N$338,"",$M$6:$M$338,"&gt;"&amp;M171)+COUNTIFS($A$6:A171,A171,$N$6:N171,"",$M$6:M171,M171))</f>
        <v>12</v>
      </c>
      <c r="P171" s="12" t="str">
        <f aca="false">IF(O171="","Excluded",IF(O171&lt;=5,"Lead",IF(O171&lt;=10,"Next wave","Long list")))</f>
        <v>Long list</v>
      </c>
      <c r="Q171" s="10" t="s">
        <v>102</v>
      </c>
      <c r="R171" s="30" t="s">
        <v>506</v>
      </c>
    </row>
    <row r="172" customFormat="false" ht="35.05" hidden="false" customHeight="false" outlineLevel="0" collapsed="false">
      <c r="A172" s="12" t="s">
        <v>19</v>
      </c>
      <c r="B172" s="12" t="s">
        <v>283</v>
      </c>
      <c r="C172" s="10" t="s">
        <v>284</v>
      </c>
      <c r="D172" s="26" t="n">
        <v>50.77</v>
      </c>
      <c r="E172" s="11" t="n">
        <v>13045.6</v>
      </c>
      <c r="F172" s="10" t="s">
        <v>131</v>
      </c>
      <c r="G172" s="7" t="n">
        <v>29</v>
      </c>
      <c r="H172" s="12" t="s">
        <v>90</v>
      </c>
      <c r="I172" s="12" t="s">
        <v>84</v>
      </c>
      <c r="J172" s="10" t="s">
        <v>122</v>
      </c>
      <c r="K172" s="9" t="n">
        <f aca="false">IF(ISNUMBER(D172),COUNTIF($D$6:$D$338,"&lt;"&amp;D172)/(COUNT($D$6:$D$338)-1),"")</f>
        <v>0.618122977346278</v>
      </c>
      <c r="L172" s="9" t="n">
        <f aca="false">IF(ISNUMBER(E172),COUNTIF($E$6:$E$338,"&lt;"&amp;E172)/(COUNT($E$6:$E$338)-1),"")</f>
        <v>0.719879518072289</v>
      </c>
      <c r="M172" s="9" t="n">
        <f aca="false">IF(AND(K172="",L172=""),"",(IF(ISNUMBER(K172),$C$3*K172,0)+IF(ISNUMBER(L172),$E$3*L172,0))/(IF(ISNUMBER(K172),$C$3,0)+IF(ISNUMBER(L172),$E$3,0)))</f>
        <v>0.669001247709284</v>
      </c>
      <c r="N172" s="12"/>
      <c r="O172" s="7" t="n">
        <f aca="false">IF(N172&lt;&gt;"","",COUNTIFS($A$6:$A$338,A172,$N$6:$N$338,"",$M$6:$M$338,"&gt;"&amp;M172)+COUNTIFS($A$6:A172,A172,$N$6:N172,"",$M$6:M172,M172))</f>
        <v>13</v>
      </c>
      <c r="P172" s="12" t="str">
        <f aca="false">IF(O172="","Excluded",IF(O172&lt;=5,"Lead",IF(O172&lt;=10,"Next wave","Long list")))</f>
        <v>Long list</v>
      </c>
      <c r="Q172" s="10" t="s">
        <v>80</v>
      </c>
      <c r="R172" s="30" t="s">
        <v>300</v>
      </c>
    </row>
    <row r="173" customFormat="false" ht="23.85" hidden="false" customHeight="false" outlineLevel="0" collapsed="false">
      <c r="A173" s="12" t="s">
        <v>19</v>
      </c>
      <c r="B173" s="12" t="s">
        <v>507</v>
      </c>
      <c r="C173" s="10" t="s">
        <v>508</v>
      </c>
      <c r="D173" s="26" t="n">
        <v>2838.33</v>
      </c>
      <c r="E173" s="11" t="n">
        <v>2485.9</v>
      </c>
      <c r="F173" s="10" t="s">
        <v>89</v>
      </c>
      <c r="G173" s="7" t="n">
        <v>32</v>
      </c>
      <c r="H173" s="12" t="s">
        <v>83</v>
      </c>
      <c r="I173" s="12" t="s">
        <v>84</v>
      </c>
      <c r="J173" s="10" t="s">
        <v>85</v>
      </c>
      <c r="K173" s="9" t="n">
        <f aca="false">IF(ISNUMBER(D173),COUNTIF($D$6:$D$338,"&lt;"&amp;D173)/(COUNT($D$6:$D$338)-1),"")</f>
        <v>0.977346278317152</v>
      </c>
      <c r="L173" s="9" t="n">
        <f aca="false">IF(ISNUMBER(E173),COUNTIF($E$6:$E$338,"&lt;"&amp;E173)/(COUNT($E$6:$E$338)-1),"")</f>
        <v>0.307228915662651</v>
      </c>
      <c r="M173" s="9" t="n">
        <f aca="false">IF(AND(K173="",L173=""),"",(IF(ISNUMBER(K173),$C$3*K173,0)+IF(ISNUMBER(L173),$E$3*L173,0))/(IF(ISNUMBER(K173),$C$3,0)+IF(ISNUMBER(L173),$E$3,0)))</f>
        <v>0.642287596989901</v>
      </c>
      <c r="N173" s="12"/>
      <c r="O173" s="7" t="n">
        <f aca="false">IF(N173&lt;&gt;"","",COUNTIFS($A$6:$A$338,A173,$N$6:$N$338,"",$M$6:$M$338,"&gt;"&amp;M173)+COUNTIFS($A$6:A173,A173,$N$6:N173,"",$M$6:M173,M173))</f>
        <v>14</v>
      </c>
      <c r="P173" s="12" t="str">
        <f aca="false">IF(O173="","Excluded",IF(O173&lt;=5,"Lead",IF(O173&lt;=10,"Next wave","Long list")))</f>
        <v>Long list</v>
      </c>
      <c r="Q173" s="10" t="s">
        <v>86</v>
      </c>
      <c r="R173" s="30" t="s">
        <v>509</v>
      </c>
    </row>
    <row r="174" customFormat="false" ht="23.85" hidden="false" customHeight="false" outlineLevel="0" collapsed="false">
      <c r="A174" s="12" t="s">
        <v>19</v>
      </c>
      <c r="B174" s="12" t="s">
        <v>510</v>
      </c>
      <c r="C174" s="10" t="s">
        <v>511</v>
      </c>
      <c r="D174" s="26" t="n">
        <v>162.77</v>
      </c>
      <c r="E174" s="11" t="n">
        <v>3429.5</v>
      </c>
      <c r="F174" s="10" t="s">
        <v>76</v>
      </c>
      <c r="G174" s="7" t="n">
        <v>32</v>
      </c>
      <c r="H174" s="12" t="s">
        <v>77</v>
      </c>
      <c r="I174" s="12" t="s">
        <v>84</v>
      </c>
      <c r="J174" s="10"/>
      <c r="K174" s="9" t="n">
        <f aca="false">IF(ISNUMBER(D174),COUNTIF($D$6:$D$338,"&lt;"&amp;D174)/(COUNT($D$6:$D$338)-1),"")</f>
        <v>0.828478964401295</v>
      </c>
      <c r="L174" s="9" t="n">
        <f aca="false">IF(ISNUMBER(E174),COUNTIF($E$6:$E$338,"&lt;"&amp;E174)/(COUNT($E$6:$E$338)-1),"")</f>
        <v>0.442771084337349</v>
      </c>
      <c r="M174" s="9" t="n">
        <f aca="false">IF(AND(K174="",L174=""),"",(IF(ISNUMBER(K174),$C$3*K174,0)+IF(ISNUMBER(L174),$E$3*L174,0))/(IF(ISNUMBER(K174),$C$3,0)+IF(ISNUMBER(L174),$E$3,0)))</f>
        <v>0.635625024369322</v>
      </c>
      <c r="N174" s="12"/>
      <c r="O174" s="7" t="n">
        <f aca="false">IF(N174&lt;&gt;"","",COUNTIFS($A$6:$A$338,A174,$N$6:$N$338,"",$M$6:$M$338,"&gt;"&amp;M174)+COUNTIFS($A$6:A174,A174,$N$6:N174,"",$M$6:M174,M174))</f>
        <v>15</v>
      </c>
      <c r="P174" s="12" t="str">
        <f aca="false">IF(O174="","Excluded",IF(O174&lt;=5,"Lead",IF(O174&lt;=10,"Next wave","Long list")))</f>
        <v>Long list</v>
      </c>
      <c r="Q174" s="10" t="s">
        <v>102</v>
      </c>
      <c r="R174" s="30" t="s">
        <v>512</v>
      </c>
    </row>
    <row r="175" customFormat="false" ht="23.85" hidden="false" customHeight="false" outlineLevel="0" collapsed="false">
      <c r="A175" s="12" t="s">
        <v>19</v>
      </c>
      <c r="B175" s="12" t="s">
        <v>513</v>
      </c>
      <c r="C175" s="10" t="s">
        <v>514</v>
      </c>
      <c r="D175" s="26" t="n">
        <v>433.94</v>
      </c>
      <c r="E175" s="11" t="n">
        <v>2489.4</v>
      </c>
      <c r="F175" s="10" t="s">
        <v>76</v>
      </c>
      <c r="G175" s="7" t="n">
        <v>31</v>
      </c>
      <c r="H175" s="12" t="s">
        <v>83</v>
      </c>
      <c r="I175" s="12" t="s">
        <v>84</v>
      </c>
      <c r="J175" s="10" t="s">
        <v>85</v>
      </c>
      <c r="K175" s="9" t="n">
        <f aca="false">IF(ISNUMBER(D175),COUNTIF($D$6:$D$338,"&lt;"&amp;D175)/(COUNT($D$6:$D$338)-1),"")</f>
        <v>0.935275080906149</v>
      </c>
      <c r="L175" s="9" t="n">
        <f aca="false">IF(ISNUMBER(E175),COUNTIF($E$6:$E$338,"&lt;"&amp;E175)/(COUNT($E$6:$E$338)-1),"")</f>
        <v>0.310240963855422</v>
      </c>
      <c r="M175" s="9" t="n">
        <f aca="false">IF(AND(K175="",L175=""),"",(IF(ISNUMBER(K175),$C$3*K175,0)+IF(ISNUMBER(L175),$E$3*L175,0))/(IF(ISNUMBER(K175),$C$3,0)+IF(ISNUMBER(L175),$E$3,0)))</f>
        <v>0.622758022380785</v>
      </c>
      <c r="N175" s="12"/>
      <c r="O175" s="7" t="n">
        <f aca="false">IF(N175&lt;&gt;"","",COUNTIFS($A$6:$A$338,A175,$N$6:$N$338,"",$M$6:$M$338,"&gt;"&amp;M175)+COUNTIFS($A$6:A175,A175,$N$6:N175,"",$M$6:M175,M175))</f>
        <v>16</v>
      </c>
      <c r="P175" s="12" t="str">
        <f aca="false">IF(O175="","Excluded",IF(O175&lt;=5,"Lead",IF(O175&lt;=10,"Next wave","Long list")))</f>
        <v>Long list</v>
      </c>
      <c r="Q175" s="10" t="s">
        <v>86</v>
      </c>
      <c r="R175" s="30" t="s">
        <v>515</v>
      </c>
    </row>
    <row r="176" customFormat="false" ht="23.85" hidden="false" customHeight="false" outlineLevel="0" collapsed="false">
      <c r="A176" s="12" t="s">
        <v>19</v>
      </c>
      <c r="B176" s="12" t="s">
        <v>145</v>
      </c>
      <c r="C176" s="10" t="s">
        <v>146</v>
      </c>
      <c r="D176" s="26" t="n">
        <v>62.03</v>
      </c>
      <c r="E176" s="11" t="n">
        <v>5178.3</v>
      </c>
      <c r="F176" s="10" t="s">
        <v>276</v>
      </c>
      <c r="G176" s="7" t="n">
        <v>30</v>
      </c>
      <c r="H176" s="12" t="s">
        <v>77</v>
      </c>
      <c r="I176" s="12" t="s">
        <v>84</v>
      </c>
      <c r="J176" s="10"/>
      <c r="K176" s="9" t="n">
        <f aca="false">IF(ISNUMBER(D176),COUNTIF($D$6:$D$338,"&lt;"&amp;D176)/(COUNT($D$6:$D$338)-1),"")</f>
        <v>0.679611650485437</v>
      </c>
      <c r="L176" s="9" t="n">
        <f aca="false">IF(ISNUMBER(E176),COUNTIF($E$6:$E$338,"&lt;"&amp;E176)/(COUNT($E$6:$E$338)-1),"")</f>
        <v>0.55421686746988</v>
      </c>
      <c r="M176" s="9" t="n">
        <f aca="false">IF(AND(K176="",L176=""),"",(IF(ISNUMBER(K176),$C$3*K176,0)+IF(ISNUMBER(L176),$E$3*L176,0))/(IF(ISNUMBER(K176),$C$3,0)+IF(ISNUMBER(L176),$E$3,0)))</f>
        <v>0.616914258977658</v>
      </c>
      <c r="N176" s="12"/>
      <c r="O176" s="7" t="n">
        <f aca="false">IF(N176&lt;&gt;"","",COUNTIFS($A$6:$A$338,A176,$N$6:$N$338,"",$M$6:$M$338,"&gt;"&amp;M176)+COUNTIFS($A$6:A176,A176,$N$6:N176,"",$M$6:M176,M176))</f>
        <v>17</v>
      </c>
      <c r="P176" s="12" t="str">
        <f aca="false">IF(O176="","Excluded",IF(O176&lt;=5,"Lead",IF(O176&lt;=10,"Next wave","Long list")))</f>
        <v>Long list</v>
      </c>
      <c r="Q176" s="10" t="s">
        <v>102</v>
      </c>
      <c r="R176" s="30" t="s">
        <v>314</v>
      </c>
    </row>
    <row r="177" customFormat="false" ht="23.85" hidden="false" customHeight="false" outlineLevel="0" collapsed="false">
      <c r="A177" s="12" t="s">
        <v>19</v>
      </c>
      <c r="B177" s="12" t="s">
        <v>387</v>
      </c>
      <c r="C177" s="10" t="s">
        <v>388</v>
      </c>
      <c r="D177" s="26" t="n">
        <v>60.55</v>
      </c>
      <c r="E177" s="11" t="n">
        <v>4878</v>
      </c>
      <c r="F177" s="10" t="s">
        <v>131</v>
      </c>
      <c r="G177" s="7" t="n">
        <v>30</v>
      </c>
      <c r="H177" s="12" t="s">
        <v>77</v>
      </c>
      <c r="I177" s="12" t="s">
        <v>84</v>
      </c>
      <c r="J177" s="10" t="s">
        <v>101</v>
      </c>
      <c r="K177" s="9" t="n">
        <f aca="false">IF(ISNUMBER(D177),COUNTIF($D$6:$D$338,"&lt;"&amp;D177)/(COUNT($D$6:$D$338)-1),"")</f>
        <v>0.669902912621359</v>
      </c>
      <c r="L177" s="9" t="n">
        <f aca="false">IF(ISNUMBER(E177),COUNTIF($E$6:$E$338,"&lt;"&amp;E177)/(COUNT($E$6:$E$338)-1),"")</f>
        <v>0.542168674698795</v>
      </c>
      <c r="M177" s="9" t="n">
        <f aca="false">IF(AND(K177="",L177=""),"",(IF(ISNUMBER(K177),$C$3*K177,0)+IF(ISNUMBER(L177),$E$3*L177,0))/(IF(ISNUMBER(K177),$C$3,0)+IF(ISNUMBER(L177),$E$3,0)))</f>
        <v>0.606035793660077</v>
      </c>
      <c r="N177" s="12"/>
      <c r="O177" s="7" t="n">
        <f aca="false">IF(N177&lt;&gt;"","",COUNTIFS($A$6:$A$338,A177,$N$6:$N$338,"",$M$6:$M$338,"&gt;"&amp;M177)+COUNTIFS($A$6:A177,A177,$N$6:N177,"",$M$6:M177,M177))</f>
        <v>18</v>
      </c>
      <c r="P177" s="12" t="str">
        <f aca="false">IF(O177="","Excluded",IF(O177&lt;=5,"Lead",IF(O177&lt;=10,"Next wave","Long list")))</f>
        <v>Long list</v>
      </c>
      <c r="Q177" s="10" t="s">
        <v>102</v>
      </c>
      <c r="R177" s="30" t="s">
        <v>389</v>
      </c>
    </row>
    <row r="178" customFormat="false" ht="23.85" hidden="false" customHeight="false" outlineLevel="0" collapsed="false">
      <c r="A178" s="12" t="s">
        <v>19</v>
      </c>
      <c r="B178" s="12" t="s">
        <v>216</v>
      </c>
      <c r="C178" s="10" t="s">
        <v>217</v>
      </c>
      <c r="D178" s="26" t="n">
        <v>24.05</v>
      </c>
      <c r="E178" s="11" t="n">
        <v>17590.5</v>
      </c>
      <c r="F178" s="10" t="s">
        <v>114</v>
      </c>
      <c r="G178" s="7" t="n">
        <v>27</v>
      </c>
      <c r="H178" s="12" t="s">
        <v>516</v>
      </c>
      <c r="I178" s="12" t="s">
        <v>84</v>
      </c>
      <c r="J178" s="10" t="s">
        <v>168</v>
      </c>
      <c r="K178" s="9" t="n">
        <f aca="false">IF(ISNUMBER(D178),COUNTIF($D$6:$D$338,"&lt;"&amp;D178)/(COUNT($D$6:$D$338)-1),"")</f>
        <v>0.446601941747573</v>
      </c>
      <c r="L178" s="9" t="n">
        <f aca="false">IF(ISNUMBER(E178),COUNTIF($E$6:$E$338,"&lt;"&amp;E178)/(COUNT($E$6:$E$338)-1),"")</f>
        <v>0.746987951807229</v>
      </c>
      <c r="M178" s="9" t="n">
        <f aca="false">IF(AND(K178="",L178=""),"",(IF(ISNUMBER(K178),$C$3*K178,0)+IF(ISNUMBER(L178),$E$3*L178,0))/(IF(ISNUMBER(K178),$C$3,0)+IF(ISNUMBER(L178),$E$3,0)))</f>
        <v>0.596794946777401</v>
      </c>
      <c r="N178" s="12"/>
      <c r="O178" s="7" t="n">
        <f aca="false">IF(N178&lt;&gt;"","",COUNTIFS($A$6:$A$338,A178,$N$6:$N$338,"",$M$6:$M$338,"&gt;"&amp;M178)+COUNTIFS($A$6:A178,A178,$N$6:N178,"",$M$6:M178,M178))</f>
        <v>19</v>
      </c>
      <c r="P178" s="12" t="str">
        <f aca="false">IF(O178="","Excluded",IF(O178&lt;=5,"Lead",IF(O178&lt;=10,"Next wave","Long list")))</f>
        <v>Long list</v>
      </c>
      <c r="Q178" s="10" t="s">
        <v>80</v>
      </c>
      <c r="R178" s="30" t="s">
        <v>357</v>
      </c>
    </row>
    <row r="179" customFormat="false" ht="35.05" hidden="false" customHeight="false" outlineLevel="0" collapsed="false">
      <c r="A179" s="12" t="s">
        <v>19</v>
      </c>
      <c r="B179" s="12" t="s">
        <v>129</v>
      </c>
      <c r="C179" s="10" t="s">
        <v>130</v>
      </c>
      <c r="D179" s="26" t="n">
        <v>147.8</v>
      </c>
      <c r="E179" s="11" t="n">
        <v>2886</v>
      </c>
      <c r="F179" s="10" t="s">
        <v>169</v>
      </c>
      <c r="G179" s="7" t="n">
        <v>2</v>
      </c>
      <c r="H179" s="12" t="s">
        <v>77</v>
      </c>
      <c r="I179" s="12" t="s">
        <v>84</v>
      </c>
      <c r="J179" s="10" t="s">
        <v>132</v>
      </c>
      <c r="K179" s="9" t="n">
        <f aca="false">IF(ISNUMBER(D179),COUNTIF($D$6:$D$338,"&lt;"&amp;D179)/(COUNT($D$6:$D$338)-1),"")</f>
        <v>0.815533980582524</v>
      </c>
      <c r="L179" s="9" t="n">
        <f aca="false">IF(ISNUMBER(E179),COUNTIF($E$6:$E$338,"&lt;"&amp;E179)/(COUNT($E$6:$E$338)-1),"")</f>
        <v>0.373493975903614</v>
      </c>
      <c r="M179" s="9" t="n">
        <f aca="false">IF(AND(K179="",L179=""),"",(IF(ISNUMBER(K179),$C$3*K179,0)+IF(ISNUMBER(L179),$E$3*L179,0))/(IF(ISNUMBER(K179),$C$3,0)+IF(ISNUMBER(L179),$E$3,0)))</f>
        <v>0.594513978243069</v>
      </c>
      <c r="N179" s="12"/>
      <c r="O179" s="7" t="n">
        <f aca="false">IF(N179&lt;&gt;"","",COUNTIFS($A$6:$A$338,A179,$N$6:$N$338,"",$M$6:$M$338,"&gt;"&amp;M179)+COUNTIFS($A$6:A179,A179,$N$6:N179,"",$M$6:M179,M179))</f>
        <v>20</v>
      </c>
      <c r="P179" s="12" t="str">
        <f aca="false">IF(O179="","Excluded",IF(O179&lt;=5,"Lead",IF(O179&lt;=10,"Next wave","Long list")))</f>
        <v>Long list</v>
      </c>
      <c r="Q179" s="10" t="s">
        <v>80</v>
      </c>
      <c r="R179" s="30" t="s">
        <v>331</v>
      </c>
    </row>
    <row r="180" customFormat="false" ht="35.05" hidden="false" customHeight="false" outlineLevel="0" collapsed="false">
      <c r="A180" s="12" t="s">
        <v>19</v>
      </c>
      <c r="B180" s="12" t="s">
        <v>133</v>
      </c>
      <c r="C180" s="10" t="s">
        <v>134</v>
      </c>
      <c r="D180" s="26" t="n">
        <v>471.27</v>
      </c>
      <c r="E180" s="11" t="n">
        <v>1874.6</v>
      </c>
      <c r="F180" s="10" t="s">
        <v>232</v>
      </c>
      <c r="G180" s="7" t="n">
        <v>9</v>
      </c>
      <c r="H180" s="12" t="s">
        <v>77</v>
      </c>
      <c r="I180" s="12" t="s">
        <v>84</v>
      </c>
      <c r="J180" s="10" t="s">
        <v>122</v>
      </c>
      <c r="K180" s="9" t="n">
        <f aca="false">IF(ISNUMBER(D180),COUNTIF($D$6:$D$338,"&lt;"&amp;D180)/(COUNT($D$6:$D$338)-1),"")</f>
        <v>0.941747572815534</v>
      </c>
      <c r="L180" s="9" t="n">
        <f aca="false">IF(ISNUMBER(E180),COUNTIF($E$6:$E$338,"&lt;"&amp;E180)/(COUNT($E$6:$E$338)-1),"")</f>
        <v>0.243975903614458</v>
      </c>
      <c r="M180" s="9" t="n">
        <f aca="false">IF(AND(K180="",L180=""),"",(IF(ISNUMBER(K180),$C$3*K180,0)+IF(ISNUMBER(L180),$E$3*L180,0))/(IF(ISNUMBER(K180),$C$3,0)+IF(ISNUMBER(L180),$E$3,0)))</f>
        <v>0.592861738214996</v>
      </c>
      <c r="N180" s="12"/>
      <c r="O180" s="7" t="n">
        <f aca="false">IF(N180&lt;&gt;"","",COUNTIFS($A$6:$A$338,A180,$N$6:$N$338,"",$M$6:$M$338,"&gt;"&amp;M180)+COUNTIFS($A$6:A180,A180,$N$6:N180,"",$M$6:M180,M180))</f>
        <v>21</v>
      </c>
      <c r="P180" s="12" t="str">
        <f aca="false">IF(O180="","Excluded",IF(O180&lt;=5,"Lead",IF(O180&lt;=10,"Next wave","Long list")))</f>
        <v>Long list</v>
      </c>
      <c r="Q180" s="10" t="s">
        <v>80</v>
      </c>
      <c r="R180" s="30" t="s">
        <v>454</v>
      </c>
    </row>
    <row r="181" customFormat="false" ht="35.05" hidden="false" customHeight="false" outlineLevel="0" collapsed="false">
      <c r="A181" s="12" t="s">
        <v>19</v>
      </c>
      <c r="B181" s="12" t="s">
        <v>125</v>
      </c>
      <c r="C181" s="10" t="s">
        <v>126</v>
      </c>
      <c r="D181" s="26" t="n">
        <v>56.21</v>
      </c>
      <c r="E181" s="11" t="n">
        <v>3871.2</v>
      </c>
      <c r="F181" s="10" t="s">
        <v>89</v>
      </c>
      <c r="G181" s="7" t="n">
        <v>23</v>
      </c>
      <c r="H181" s="12" t="s">
        <v>77</v>
      </c>
      <c r="I181" s="12" t="s">
        <v>78</v>
      </c>
      <c r="J181" s="10" t="s">
        <v>436</v>
      </c>
      <c r="K181" s="9" t="n">
        <f aca="false">IF(ISNUMBER(D181),COUNTIF($D$6:$D$338,"&lt;"&amp;D181)/(COUNT($D$6:$D$338)-1),"")</f>
        <v>0.653721682847896</v>
      </c>
      <c r="L181" s="9" t="n">
        <f aca="false">IF(ISNUMBER(E181),COUNTIF($E$6:$E$338,"&lt;"&amp;E181)/(COUNT($E$6:$E$338)-1),"")</f>
        <v>0.475903614457831</v>
      </c>
      <c r="M181" s="9" t="n">
        <f aca="false">IF(AND(K181="",L181=""),"",(IF(ISNUMBER(K181),$C$3*K181,0)+IF(ISNUMBER(L181),$E$3*L181,0))/(IF(ISNUMBER(K181),$C$3,0)+IF(ISNUMBER(L181),$E$3,0)))</f>
        <v>0.564812648652864</v>
      </c>
      <c r="N181" s="12"/>
      <c r="O181" s="7" t="n">
        <f aca="false">IF(N181&lt;&gt;"","",COUNTIFS($A$6:$A$338,A181,$N$6:$N$338,"",$M$6:$M$338,"&gt;"&amp;M181)+COUNTIFS($A$6:A181,A181,$N$6:N181,"",$M$6:M181,M181))</f>
        <v>22</v>
      </c>
      <c r="P181" s="12" t="str">
        <f aca="false">IF(O181="","Excluded",IF(O181&lt;=5,"Lead",IF(O181&lt;=10,"Next wave","Long list")))</f>
        <v>Long list</v>
      </c>
      <c r="Q181" s="10" t="s">
        <v>80</v>
      </c>
      <c r="R181" s="30" t="s">
        <v>316</v>
      </c>
    </row>
    <row r="182" customFormat="false" ht="35.05" hidden="false" customHeight="false" outlineLevel="0" collapsed="false">
      <c r="A182" s="12" t="s">
        <v>19</v>
      </c>
      <c r="B182" s="12" t="s">
        <v>262</v>
      </c>
      <c r="C182" s="10" t="s">
        <v>263</v>
      </c>
      <c r="D182" s="26" t="n">
        <v>50.27</v>
      </c>
      <c r="E182" s="11" t="n">
        <v>3973.7</v>
      </c>
      <c r="F182" s="10" t="s">
        <v>89</v>
      </c>
      <c r="G182" s="7" t="n">
        <v>17</v>
      </c>
      <c r="H182" s="12" t="s">
        <v>77</v>
      </c>
      <c r="I182" s="12" t="s">
        <v>78</v>
      </c>
      <c r="J182" s="10" t="s">
        <v>264</v>
      </c>
      <c r="K182" s="9" t="n">
        <f aca="false">IF(ISNUMBER(D182),COUNTIF($D$6:$D$338,"&lt;"&amp;D182)/(COUNT($D$6:$D$338)-1),"")</f>
        <v>0.614886731391586</v>
      </c>
      <c r="L182" s="9" t="n">
        <f aca="false">IF(ISNUMBER(E182),COUNTIF($E$6:$E$338,"&lt;"&amp;E182)/(COUNT($E$6:$E$338)-1),"")</f>
        <v>0.493975903614458</v>
      </c>
      <c r="M182" s="9" t="n">
        <f aca="false">IF(AND(K182="",L182=""),"",(IF(ISNUMBER(K182),$C$3*K182,0)+IF(ISNUMBER(L182),$E$3*L182,0))/(IF(ISNUMBER(K182),$C$3,0)+IF(ISNUMBER(L182),$E$3,0)))</f>
        <v>0.554431317503022</v>
      </c>
      <c r="N182" s="12"/>
      <c r="O182" s="7" t="n">
        <f aca="false">IF(N182&lt;&gt;"","",COUNTIFS($A$6:$A$338,A182,$N$6:$N$338,"",$M$6:$M$338,"&gt;"&amp;M182)+COUNTIFS($A$6:A182,A182,$N$6:N182,"",$M$6:M182,M182))</f>
        <v>23</v>
      </c>
      <c r="P182" s="12" t="str">
        <f aca="false">IF(O182="","Excluded",IF(O182&lt;=5,"Lead",IF(O182&lt;=10,"Next wave","Long list")))</f>
        <v>Long list</v>
      </c>
      <c r="Q182" s="10" t="s">
        <v>80</v>
      </c>
      <c r="R182" s="30" t="s">
        <v>441</v>
      </c>
    </row>
    <row r="183" customFormat="false" ht="23.85" hidden="false" customHeight="false" outlineLevel="0" collapsed="false">
      <c r="A183" s="12" t="s">
        <v>19</v>
      </c>
      <c r="B183" s="12" t="s">
        <v>517</v>
      </c>
      <c r="C183" s="10" t="s">
        <v>518</v>
      </c>
      <c r="D183" s="26" t="n">
        <v>655.58</v>
      </c>
      <c r="E183" s="11" t="n">
        <v>843.5</v>
      </c>
      <c r="F183" s="10" t="s">
        <v>190</v>
      </c>
      <c r="G183" s="7" t="n">
        <v>1</v>
      </c>
      <c r="H183" s="12" t="s">
        <v>77</v>
      </c>
      <c r="I183" s="12" t="s">
        <v>84</v>
      </c>
      <c r="J183" s="10"/>
      <c r="K183" s="9" t="n">
        <f aca="false">IF(ISNUMBER(D183),COUNTIF($D$6:$D$338,"&lt;"&amp;D183)/(COUNT($D$6:$D$338)-1),"")</f>
        <v>0.961165048543689</v>
      </c>
      <c r="L183" s="9" t="n">
        <f aca="false">IF(ISNUMBER(E183),COUNTIF($E$6:$E$338,"&lt;"&amp;E183)/(COUNT($E$6:$E$338)-1),"")</f>
        <v>0.144578313253012</v>
      </c>
      <c r="M183" s="9" t="n">
        <f aca="false">IF(AND(K183="",L183=""),"",(IF(ISNUMBER(K183),$C$3*K183,0)+IF(ISNUMBER(L183),$E$3*L183,0))/(IF(ISNUMBER(K183),$C$3,0)+IF(ISNUMBER(L183),$E$3,0)))</f>
        <v>0.552871680898351</v>
      </c>
      <c r="N183" s="12"/>
      <c r="O183" s="7" t="n">
        <f aca="false">IF(N183&lt;&gt;"","",COUNTIFS($A$6:$A$338,A183,$N$6:$N$338,"",$M$6:$M$338,"&gt;"&amp;M183)+COUNTIFS($A$6:A183,A183,$N$6:N183,"",$M$6:M183,M183))</f>
        <v>24</v>
      </c>
      <c r="P183" s="12" t="str">
        <f aca="false">IF(O183="","Excluded",IF(O183&lt;=5,"Lead",IF(O183&lt;=10,"Next wave","Long list")))</f>
        <v>Long list</v>
      </c>
      <c r="Q183" s="10" t="s">
        <v>102</v>
      </c>
      <c r="R183" s="30" t="s">
        <v>519</v>
      </c>
    </row>
    <row r="184" customFormat="false" ht="23.85" hidden="false" customHeight="false" outlineLevel="0" collapsed="false">
      <c r="A184" s="12" t="s">
        <v>19</v>
      </c>
      <c r="B184" s="12" t="s">
        <v>520</v>
      </c>
      <c r="C184" s="10" t="s">
        <v>521</v>
      </c>
      <c r="D184" s="26" t="n">
        <v>149.04</v>
      </c>
      <c r="E184" s="11" t="n">
        <v>1860.1</v>
      </c>
      <c r="F184" s="10" t="s">
        <v>522</v>
      </c>
      <c r="G184" s="7" t="n">
        <v>5</v>
      </c>
      <c r="H184" s="12" t="s">
        <v>77</v>
      </c>
      <c r="I184" s="12" t="s">
        <v>84</v>
      </c>
      <c r="J184" s="10" t="s">
        <v>101</v>
      </c>
      <c r="K184" s="9" t="n">
        <f aca="false">IF(ISNUMBER(D184),COUNTIF($D$6:$D$338,"&lt;"&amp;D184)/(COUNT($D$6:$D$338)-1),"")</f>
        <v>0.818770226537217</v>
      </c>
      <c r="L184" s="9" t="n">
        <f aca="false">IF(ISNUMBER(E184),COUNTIF($E$6:$E$338,"&lt;"&amp;E184)/(COUNT($E$6:$E$338)-1),"")</f>
        <v>0.240963855421687</v>
      </c>
      <c r="M184" s="9" t="n">
        <f aca="false">IF(AND(K184="",L184=""),"",(IF(ISNUMBER(K184),$C$3*K184,0)+IF(ISNUMBER(L184),$E$3*L184,0))/(IF(ISNUMBER(K184),$C$3,0)+IF(ISNUMBER(L184),$E$3,0)))</f>
        <v>0.529867040979452</v>
      </c>
      <c r="N184" s="12"/>
      <c r="O184" s="7" t="n">
        <f aca="false">IF(N184&lt;&gt;"","",COUNTIFS($A$6:$A$338,A184,$N$6:$N$338,"",$M$6:$M$338,"&gt;"&amp;M184)+COUNTIFS($A$6:A184,A184,$N$6:N184,"",$M$6:M184,M184))</f>
        <v>25</v>
      </c>
      <c r="P184" s="12" t="str">
        <f aca="false">IF(O184="","Excluded",IF(O184&lt;=5,"Lead",IF(O184&lt;=10,"Next wave","Long list")))</f>
        <v>Long list</v>
      </c>
      <c r="Q184" s="10" t="s">
        <v>102</v>
      </c>
      <c r="R184" s="30" t="s">
        <v>523</v>
      </c>
    </row>
    <row r="185" customFormat="false" ht="23.85" hidden="false" customHeight="false" outlineLevel="0" collapsed="false">
      <c r="A185" s="12" t="s">
        <v>19</v>
      </c>
      <c r="B185" s="12" t="s">
        <v>524</v>
      </c>
      <c r="C185" s="10" t="s">
        <v>525</v>
      </c>
      <c r="D185" s="26" t="n">
        <v>23.95</v>
      </c>
      <c r="E185" s="11" t="n">
        <v>6618.8</v>
      </c>
      <c r="F185" s="10" t="s">
        <v>276</v>
      </c>
      <c r="G185" s="7" t="n">
        <v>31</v>
      </c>
      <c r="H185" s="12" t="s">
        <v>77</v>
      </c>
      <c r="I185" s="12" t="s">
        <v>78</v>
      </c>
      <c r="J185" s="10" t="s">
        <v>142</v>
      </c>
      <c r="K185" s="9" t="n">
        <f aca="false">IF(ISNUMBER(D185),COUNTIF($D$6:$D$338,"&lt;"&amp;D185)/(COUNT($D$6:$D$338)-1),"")</f>
        <v>0.440129449838188</v>
      </c>
      <c r="L185" s="9" t="n">
        <f aca="false">IF(ISNUMBER(E185),COUNTIF($E$6:$E$338,"&lt;"&amp;E185)/(COUNT($E$6:$E$338)-1),"")</f>
        <v>0.608433734939759</v>
      </c>
      <c r="M185" s="9" t="n">
        <f aca="false">IF(AND(K185="",L185=""),"",(IF(ISNUMBER(K185),$C$3*K185,0)+IF(ISNUMBER(L185),$E$3*L185,0))/(IF(ISNUMBER(K185),$C$3,0)+IF(ISNUMBER(L185),$E$3,0)))</f>
        <v>0.524281592388973</v>
      </c>
      <c r="N185" s="12"/>
      <c r="O185" s="7" t="n">
        <f aca="false">IF(N185&lt;&gt;"","",COUNTIFS($A$6:$A$338,A185,$N$6:$N$338,"",$M$6:$M$338,"&gt;"&amp;M185)+COUNTIFS($A$6:A185,A185,$N$6:N185,"",$M$6:M185,M185))</f>
        <v>26</v>
      </c>
      <c r="P185" s="12" t="str">
        <f aca="false">IF(O185="","Excluded",IF(O185&lt;=5,"Lead",IF(O185&lt;=10,"Next wave","Long list")))</f>
        <v>Long list</v>
      </c>
      <c r="Q185" s="10" t="s">
        <v>102</v>
      </c>
      <c r="R185" s="30" t="s">
        <v>526</v>
      </c>
    </row>
    <row r="186" customFormat="false" ht="23.85" hidden="false" customHeight="false" outlineLevel="0" collapsed="false">
      <c r="A186" s="12" t="s">
        <v>19</v>
      </c>
      <c r="B186" s="12" t="s">
        <v>393</v>
      </c>
      <c r="C186" s="10" t="s">
        <v>394</v>
      </c>
      <c r="D186" s="26" t="n">
        <v>60.84</v>
      </c>
      <c r="E186" s="11" t="n">
        <v>2802.1</v>
      </c>
      <c r="F186" s="10" t="s">
        <v>76</v>
      </c>
      <c r="G186" s="7" t="n">
        <v>32</v>
      </c>
      <c r="H186" s="12" t="s">
        <v>77</v>
      </c>
      <c r="I186" s="12" t="s">
        <v>84</v>
      </c>
      <c r="J186" s="10" t="s">
        <v>168</v>
      </c>
      <c r="K186" s="9" t="n">
        <f aca="false">IF(ISNUMBER(D186),COUNTIF($D$6:$D$338,"&lt;"&amp;D186)/(COUNT($D$6:$D$338)-1),"")</f>
        <v>0.673139158576052</v>
      </c>
      <c r="L186" s="9" t="n">
        <f aca="false">IF(ISNUMBER(E186),COUNTIF($E$6:$E$338,"&lt;"&amp;E186)/(COUNT($E$6:$E$338)-1),"")</f>
        <v>0.352409638554217</v>
      </c>
      <c r="M186" s="9" t="n">
        <f aca="false">IF(AND(K186="",L186=""),"",(IF(ISNUMBER(K186),$C$3*K186,0)+IF(ISNUMBER(L186),$E$3*L186,0))/(IF(ISNUMBER(K186),$C$3,0)+IF(ISNUMBER(L186),$E$3,0)))</f>
        <v>0.512774398565134</v>
      </c>
      <c r="N186" s="12"/>
      <c r="O186" s="7" t="n">
        <f aca="false">IF(N186&lt;&gt;"","",COUNTIFS($A$6:$A$338,A186,$N$6:$N$338,"",$M$6:$M$338,"&gt;"&amp;M186)+COUNTIFS($A$6:A186,A186,$N$6:N186,"",$M$6:M186,M186))</f>
        <v>27</v>
      </c>
      <c r="P186" s="12" t="str">
        <f aca="false">IF(O186="","Excluded",IF(O186&lt;=5,"Lead",IF(O186&lt;=10,"Next wave","Long list")))</f>
        <v>Long list</v>
      </c>
      <c r="Q186" s="10" t="s">
        <v>80</v>
      </c>
      <c r="R186" s="30" t="s">
        <v>395</v>
      </c>
    </row>
    <row r="187" customFormat="false" ht="23.85" hidden="false" customHeight="false" outlineLevel="0" collapsed="false">
      <c r="A187" s="12" t="s">
        <v>19</v>
      </c>
      <c r="B187" s="12" t="s">
        <v>345</v>
      </c>
      <c r="C187" s="10" t="s">
        <v>346</v>
      </c>
      <c r="D187" s="26" t="n">
        <v>90.4</v>
      </c>
      <c r="E187" s="11" t="n">
        <v>2127.3</v>
      </c>
      <c r="F187" s="10" t="s">
        <v>527</v>
      </c>
      <c r="G187" s="7" t="n">
        <v>5</v>
      </c>
      <c r="H187" s="12" t="s">
        <v>77</v>
      </c>
      <c r="I187" s="12" t="s">
        <v>128</v>
      </c>
      <c r="J187" s="10"/>
      <c r="K187" s="9" t="n">
        <f aca="false">IF(ISNUMBER(D187),COUNTIF($D$6:$D$338,"&lt;"&amp;D187)/(COUNT($D$6:$D$338)-1),"")</f>
        <v>0.747572815533981</v>
      </c>
      <c r="L187" s="9" t="n">
        <f aca="false">IF(ISNUMBER(E187),COUNTIF($E$6:$E$338,"&lt;"&amp;E187)/(COUNT($E$6:$E$338)-1),"")</f>
        <v>0.274096385542169</v>
      </c>
      <c r="M187" s="9" t="n">
        <f aca="false">IF(AND(K187="",L187=""),"",(IF(ISNUMBER(K187),$C$3*K187,0)+IF(ISNUMBER(L187),$E$3*L187,0))/(IF(ISNUMBER(K187),$C$3,0)+IF(ISNUMBER(L187),$E$3,0)))</f>
        <v>0.510834600538075</v>
      </c>
      <c r="N187" s="12"/>
      <c r="O187" s="7" t="n">
        <f aca="false">IF(N187&lt;&gt;"","",COUNTIFS($A$6:$A$338,A187,$N$6:$N$338,"",$M$6:$M$338,"&gt;"&amp;M187)+COUNTIFS($A$6:A187,A187,$N$6:N187,"",$M$6:M187,M187))</f>
        <v>28</v>
      </c>
      <c r="P187" s="12" t="str">
        <f aca="false">IF(O187="","Excluded",IF(O187&lt;=5,"Lead",IF(O187&lt;=10,"Next wave","Long list")))</f>
        <v>Long list</v>
      </c>
      <c r="Q187" s="10" t="s">
        <v>102</v>
      </c>
      <c r="R187" s="30" t="s">
        <v>347</v>
      </c>
    </row>
    <row r="188" customFormat="false" ht="23.85" hidden="false" customHeight="false" outlineLevel="0" collapsed="false">
      <c r="A188" s="12" t="s">
        <v>19</v>
      </c>
      <c r="B188" s="12" t="s">
        <v>460</v>
      </c>
      <c r="C188" s="10" t="s">
        <v>461</v>
      </c>
      <c r="D188" s="26" t="n">
        <v>255.35</v>
      </c>
      <c r="E188" s="11" t="n">
        <v>806.3</v>
      </c>
      <c r="F188" s="10" t="s">
        <v>114</v>
      </c>
      <c r="G188" s="7" t="n">
        <v>12</v>
      </c>
      <c r="H188" s="12" t="s">
        <v>77</v>
      </c>
      <c r="I188" s="12" t="s">
        <v>78</v>
      </c>
      <c r="J188" s="10" t="s">
        <v>142</v>
      </c>
      <c r="K188" s="9" t="n">
        <f aca="false">IF(ISNUMBER(D188),COUNTIF($D$6:$D$338,"&lt;"&amp;D188)/(COUNT($D$6:$D$338)-1),"")</f>
        <v>0.87378640776699</v>
      </c>
      <c r="L188" s="9" t="n">
        <f aca="false">IF(ISNUMBER(E188),COUNTIF($E$6:$E$338,"&lt;"&amp;E188)/(COUNT($E$6:$E$338)-1),"")</f>
        <v>0.13855421686747</v>
      </c>
      <c r="M188" s="9" t="n">
        <f aca="false">IF(AND(K188="",L188=""),"",(IF(ISNUMBER(K188),$C$3*K188,0)+IF(ISNUMBER(L188),$E$3*L188,0))/(IF(ISNUMBER(K188),$C$3,0)+IF(ISNUMBER(L188),$E$3,0)))</f>
        <v>0.50617031231723</v>
      </c>
      <c r="N188" s="12"/>
      <c r="O188" s="7" t="n">
        <f aca="false">IF(N188&lt;&gt;"","",COUNTIFS($A$6:$A$338,A188,$N$6:$N$338,"",$M$6:$M$338,"&gt;"&amp;M188)+COUNTIFS($A$6:A188,A188,$N$6:N188,"",$M$6:M188,M188))</f>
        <v>29</v>
      </c>
      <c r="P188" s="12" t="str">
        <f aca="false">IF(O188="","Excluded",IF(O188&lt;=5,"Lead",IF(O188&lt;=10,"Next wave","Long list")))</f>
        <v>Long list</v>
      </c>
      <c r="Q188" s="10" t="s">
        <v>102</v>
      </c>
      <c r="R188" s="30" t="s">
        <v>462</v>
      </c>
    </row>
    <row r="189" customFormat="false" ht="23.85" hidden="false" customHeight="false" outlineLevel="0" collapsed="false">
      <c r="A189" s="12" t="s">
        <v>19</v>
      </c>
      <c r="B189" s="12" t="s">
        <v>528</v>
      </c>
      <c r="C189" s="10" t="s">
        <v>529</v>
      </c>
      <c r="D189" s="26" t="n">
        <v>28.67</v>
      </c>
      <c r="E189" s="11" t="n">
        <v>3722.3</v>
      </c>
      <c r="F189" s="10" t="s">
        <v>135</v>
      </c>
      <c r="G189" s="7" t="n">
        <v>3</v>
      </c>
      <c r="H189" s="12" t="s">
        <v>83</v>
      </c>
      <c r="I189" s="12" t="s">
        <v>84</v>
      </c>
      <c r="J189" s="10" t="s">
        <v>85</v>
      </c>
      <c r="K189" s="9" t="n">
        <f aca="false">IF(ISNUMBER(D189),COUNTIF($D$6:$D$338,"&lt;"&amp;D189)/(COUNT($D$6:$D$338)-1),"")</f>
        <v>0.485436893203884</v>
      </c>
      <c r="L189" s="9" t="n">
        <f aca="false">IF(ISNUMBER(E189),COUNTIF($E$6:$E$338,"&lt;"&amp;E189)/(COUNT($E$6:$E$338)-1),"")</f>
        <v>0.47289156626506</v>
      </c>
      <c r="M189" s="9" t="n">
        <f aca="false">IF(AND(K189="",L189=""),"",(IF(ISNUMBER(K189),$C$3*K189,0)+IF(ISNUMBER(L189),$E$3*L189,0))/(IF(ISNUMBER(K189),$C$3,0)+IF(ISNUMBER(L189),$E$3,0)))</f>
        <v>0.479164229734472</v>
      </c>
      <c r="N189" s="12"/>
      <c r="O189" s="7" t="n">
        <f aca="false">IF(N189&lt;&gt;"","",COUNTIFS($A$6:$A$338,A189,$N$6:$N$338,"",$M$6:$M$338,"&gt;"&amp;M189)+COUNTIFS($A$6:A189,A189,$N$6:N189,"",$M$6:M189,M189))</f>
        <v>30</v>
      </c>
      <c r="P189" s="12" t="str">
        <f aca="false">IF(O189="","Excluded",IF(O189&lt;=5,"Lead",IF(O189&lt;=10,"Next wave","Long list")))</f>
        <v>Long list</v>
      </c>
      <c r="Q189" s="10" t="s">
        <v>86</v>
      </c>
      <c r="R189" s="30" t="s">
        <v>530</v>
      </c>
    </row>
    <row r="190" customFormat="false" ht="23.85" hidden="false" customHeight="false" outlineLevel="0" collapsed="false">
      <c r="A190" s="12" t="s">
        <v>19</v>
      </c>
      <c r="B190" s="12" t="s">
        <v>531</v>
      </c>
      <c r="C190" s="10" t="s">
        <v>532</v>
      </c>
      <c r="D190" s="26" t="n">
        <v>16.48</v>
      </c>
      <c r="E190" s="11" t="n">
        <v>6526.6</v>
      </c>
      <c r="F190" s="10" t="s">
        <v>164</v>
      </c>
      <c r="G190" s="7" t="n">
        <v>16</v>
      </c>
      <c r="H190" s="12" t="s">
        <v>90</v>
      </c>
      <c r="I190" s="12" t="s">
        <v>84</v>
      </c>
      <c r="J190" s="10"/>
      <c r="K190" s="9" t="n">
        <f aca="false">IF(ISNUMBER(D190),COUNTIF($D$6:$D$338,"&lt;"&amp;D190)/(COUNT($D$6:$D$338)-1),"")</f>
        <v>0.346278317152104</v>
      </c>
      <c r="L190" s="9" t="n">
        <f aca="false">IF(ISNUMBER(E190),COUNTIF($E$6:$E$338,"&lt;"&amp;E190)/(COUNT($E$6:$E$338)-1),"")</f>
        <v>0.605421686746988</v>
      </c>
      <c r="M190" s="9" t="n">
        <f aca="false">IF(AND(K190="",L190=""),"",(IF(ISNUMBER(K190),$C$3*K190,0)+IF(ISNUMBER(L190),$E$3*L190,0))/(IF(ISNUMBER(K190),$C$3,0)+IF(ISNUMBER(L190),$E$3,0)))</f>
        <v>0.475850001949546</v>
      </c>
      <c r="N190" s="12"/>
      <c r="O190" s="7" t="n">
        <f aca="false">IF(N190&lt;&gt;"","",COUNTIFS($A$6:$A$338,A190,$N$6:$N$338,"",$M$6:$M$338,"&gt;"&amp;M190)+COUNTIFS($A$6:A190,A190,$N$6:N190,"",$M$6:M190,M190))</f>
        <v>31</v>
      </c>
      <c r="P190" s="12" t="str">
        <f aca="false">IF(O190="","Excluded",IF(O190&lt;=5,"Lead",IF(O190&lt;=10,"Next wave","Long list")))</f>
        <v>Long list</v>
      </c>
      <c r="Q190" s="10" t="s">
        <v>102</v>
      </c>
      <c r="R190" s="30" t="s">
        <v>533</v>
      </c>
    </row>
    <row r="191" customFormat="false" ht="23.85" hidden="false" customHeight="false" outlineLevel="0" collapsed="false">
      <c r="A191" s="12" t="s">
        <v>19</v>
      </c>
      <c r="B191" s="12" t="s">
        <v>179</v>
      </c>
      <c r="C191" s="10" t="s">
        <v>180</v>
      </c>
      <c r="D191" s="26" t="n">
        <v>6.08</v>
      </c>
      <c r="E191" s="11" t="n">
        <v>35276.7</v>
      </c>
      <c r="F191" s="10" t="s">
        <v>534</v>
      </c>
      <c r="G191" s="7" t="n">
        <v>14</v>
      </c>
      <c r="H191" s="12" t="s">
        <v>77</v>
      </c>
      <c r="I191" s="12" t="s">
        <v>78</v>
      </c>
      <c r="J191" s="10" t="s">
        <v>175</v>
      </c>
      <c r="K191" s="9" t="n">
        <f aca="false">IF(ISNUMBER(D191),COUNTIF($D$6:$D$338,"&lt;"&amp;D191)/(COUNT($D$6:$D$338)-1),"")</f>
        <v>0.0517799352750809</v>
      </c>
      <c r="L191" s="9" t="n">
        <f aca="false">IF(ISNUMBER(E191),COUNTIF($E$6:$E$338,"&lt;"&amp;E191)/(COUNT($E$6:$E$338)-1),"")</f>
        <v>0.870481927710843</v>
      </c>
      <c r="M191" s="9" t="n">
        <f aca="false">IF(AND(K191="",L191=""),"",(IF(ISNUMBER(K191),$C$3*K191,0)+IF(ISNUMBER(L191),$E$3*L191,0))/(IF(ISNUMBER(K191),$C$3,0)+IF(ISNUMBER(L191),$E$3,0)))</f>
        <v>0.461130931492962</v>
      </c>
      <c r="N191" s="12"/>
      <c r="O191" s="7" t="n">
        <f aca="false">IF(N191&lt;&gt;"","",COUNTIFS($A$6:$A$338,A191,$N$6:$N$338,"",$M$6:$M$338,"&gt;"&amp;M191)+COUNTIFS($A$6:A191,A191,$N$6:N191,"",$M$6:M191,M191))</f>
        <v>32</v>
      </c>
      <c r="P191" s="12" t="str">
        <f aca="false">IF(O191="","Excluded",IF(O191&lt;=5,"Lead",IF(O191&lt;=10,"Next wave","Long list")))</f>
        <v>Long list</v>
      </c>
      <c r="Q191" s="10" t="s">
        <v>80</v>
      </c>
      <c r="R191" s="30" t="s">
        <v>352</v>
      </c>
    </row>
    <row r="192" customFormat="false" ht="23.85" hidden="false" customHeight="false" outlineLevel="0" collapsed="false">
      <c r="A192" s="12" t="s">
        <v>19</v>
      </c>
      <c r="B192" s="12" t="s">
        <v>535</v>
      </c>
      <c r="C192" s="10" t="s">
        <v>536</v>
      </c>
      <c r="D192" s="26" t="n">
        <v>122.21</v>
      </c>
      <c r="E192" s="11" t="n">
        <v>578.1</v>
      </c>
      <c r="F192" s="10" t="s">
        <v>537</v>
      </c>
      <c r="G192" s="7" t="n">
        <v>4</v>
      </c>
      <c r="H192" s="12" t="s">
        <v>77</v>
      </c>
      <c r="I192" s="12" t="s">
        <v>84</v>
      </c>
      <c r="J192" s="10" t="s">
        <v>101</v>
      </c>
      <c r="K192" s="9" t="n">
        <f aca="false">IF(ISNUMBER(D192),COUNTIF($D$6:$D$338,"&lt;"&amp;D192)/(COUNT($D$6:$D$338)-1),"")</f>
        <v>0.789644012944984</v>
      </c>
      <c r="L192" s="9" t="n">
        <f aca="false">IF(ISNUMBER(E192),COUNTIF($E$6:$E$338,"&lt;"&amp;E192)/(COUNT($E$6:$E$338)-1),"")</f>
        <v>0.129518072289157</v>
      </c>
      <c r="M192" s="9" t="n">
        <f aca="false">IF(AND(K192="",L192=""),"",(IF(ISNUMBER(K192),$C$3*K192,0)+IF(ISNUMBER(L192),$E$3*L192,0))/(IF(ISNUMBER(K192),$C$3,0)+IF(ISNUMBER(L192),$E$3,0)))</f>
        <v>0.45958104261707</v>
      </c>
      <c r="N192" s="12"/>
      <c r="O192" s="7" t="n">
        <f aca="false">IF(N192&lt;&gt;"","",COUNTIFS($A$6:$A$338,A192,$N$6:$N$338,"",$M$6:$M$338,"&gt;"&amp;M192)+COUNTIFS($A$6:A192,A192,$N$6:N192,"",$M$6:M192,M192))</f>
        <v>33</v>
      </c>
      <c r="P192" s="12" t="str">
        <f aca="false">IF(O192="","Excluded",IF(O192&lt;=5,"Lead",IF(O192&lt;=10,"Next wave","Long list")))</f>
        <v>Long list</v>
      </c>
      <c r="Q192" s="10" t="s">
        <v>102</v>
      </c>
      <c r="R192" s="30" t="s">
        <v>538</v>
      </c>
    </row>
    <row r="193" customFormat="false" ht="23.85" hidden="false" customHeight="false" outlineLevel="0" collapsed="false">
      <c r="A193" s="12" t="s">
        <v>19</v>
      </c>
      <c r="B193" s="12" t="s">
        <v>241</v>
      </c>
      <c r="C193" s="10" t="s">
        <v>242</v>
      </c>
      <c r="D193" s="26" t="n">
        <v>39.05</v>
      </c>
      <c r="E193" s="11" t="n">
        <v>2508.1</v>
      </c>
      <c r="F193" s="10" t="s">
        <v>118</v>
      </c>
      <c r="G193" s="7" t="n">
        <v>15</v>
      </c>
      <c r="H193" s="12" t="s">
        <v>77</v>
      </c>
      <c r="I193" s="12" t="s">
        <v>84</v>
      </c>
      <c r="J193" s="10" t="s">
        <v>178</v>
      </c>
      <c r="K193" s="9" t="n">
        <f aca="false">IF(ISNUMBER(D193),COUNTIF($D$6:$D$338,"&lt;"&amp;D193)/(COUNT($D$6:$D$338)-1),"")</f>
        <v>0.58252427184466</v>
      </c>
      <c r="L193" s="9" t="n">
        <f aca="false">IF(ISNUMBER(E193),COUNTIF($E$6:$E$338,"&lt;"&amp;E193)/(COUNT($E$6:$E$338)-1),"")</f>
        <v>0.313253012048193</v>
      </c>
      <c r="M193" s="9" t="n">
        <f aca="false">IF(AND(K193="",L193=""),"",(IF(ISNUMBER(K193),$C$3*K193,0)+IF(ISNUMBER(L193),$E$3*L193,0))/(IF(ISNUMBER(K193),$C$3,0)+IF(ISNUMBER(L193),$E$3,0)))</f>
        <v>0.447888641946426</v>
      </c>
      <c r="N193" s="12"/>
      <c r="O193" s="7" t="n">
        <f aca="false">IF(N193&lt;&gt;"","",COUNTIFS($A$6:$A$338,A193,$N$6:$N$338,"",$M$6:$M$338,"&gt;"&amp;M193)+COUNTIFS($A$6:A193,A193,$N$6:N193,"",$M$6:M193,M193))</f>
        <v>34</v>
      </c>
      <c r="P193" s="12" t="str">
        <f aca="false">IF(O193="","Excluded",IF(O193&lt;=5,"Lead",IF(O193&lt;=10,"Next wave","Long list")))</f>
        <v>Long list</v>
      </c>
      <c r="Q193" s="10" t="s">
        <v>80</v>
      </c>
      <c r="R193" s="30" t="s">
        <v>539</v>
      </c>
    </row>
    <row r="194" customFormat="false" ht="23.85" hidden="false" customHeight="false" outlineLevel="0" collapsed="false">
      <c r="A194" s="12" t="s">
        <v>19</v>
      </c>
      <c r="B194" s="12" t="s">
        <v>358</v>
      </c>
      <c r="C194" s="10" t="s">
        <v>359</v>
      </c>
      <c r="D194" s="26" t="n">
        <v>101.76</v>
      </c>
      <c r="E194" s="11" t="n">
        <v>517.1</v>
      </c>
      <c r="F194" s="10" t="s">
        <v>540</v>
      </c>
      <c r="G194" s="7" t="n">
        <v>32</v>
      </c>
      <c r="H194" s="12" t="s">
        <v>83</v>
      </c>
      <c r="I194" s="12" t="s">
        <v>84</v>
      </c>
      <c r="J194" s="10" t="s">
        <v>287</v>
      </c>
      <c r="K194" s="9" t="n">
        <f aca="false">IF(ISNUMBER(D194),COUNTIF($D$6:$D$338,"&lt;"&amp;D194)/(COUNT($D$6:$D$338)-1),"")</f>
        <v>0.776699029126214</v>
      </c>
      <c r="L194" s="9" t="n">
        <f aca="false">IF(ISNUMBER(E194),COUNTIF($E$6:$E$338,"&lt;"&amp;E194)/(COUNT($E$6:$E$338)-1),"")</f>
        <v>0.108433734939759</v>
      </c>
      <c r="M194" s="9" t="n">
        <f aca="false">IF(AND(K194="",L194=""),"",(IF(ISNUMBER(K194),$C$3*K194,0)+IF(ISNUMBER(L194),$E$3*L194,0))/(IF(ISNUMBER(K194),$C$3,0)+IF(ISNUMBER(L194),$E$3,0)))</f>
        <v>0.442566382032986</v>
      </c>
      <c r="N194" s="12"/>
      <c r="O194" s="7" t="n">
        <f aca="false">IF(N194&lt;&gt;"","",COUNTIFS($A$6:$A$338,A194,$N$6:$N$338,"",$M$6:$M$338,"&gt;"&amp;M194)+COUNTIFS($A$6:A194,A194,$N$6:N194,"",$M$6:M194,M194))</f>
        <v>35</v>
      </c>
      <c r="P194" s="12" t="str">
        <f aca="false">IF(O194="","Excluded",IF(O194&lt;=5,"Lead",IF(O194&lt;=10,"Next wave","Long list")))</f>
        <v>Long list</v>
      </c>
      <c r="Q194" s="10" t="s">
        <v>86</v>
      </c>
      <c r="R194" s="30" t="s">
        <v>360</v>
      </c>
    </row>
    <row r="195" customFormat="false" ht="23.85" hidden="false" customHeight="false" outlineLevel="0" collapsed="false">
      <c r="A195" s="12" t="s">
        <v>19</v>
      </c>
      <c r="B195" s="12" t="s">
        <v>541</v>
      </c>
      <c r="C195" s="10" t="s">
        <v>542</v>
      </c>
      <c r="D195" s="26" t="n">
        <v>14.69</v>
      </c>
      <c r="E195" s="11" t="n">
        <v>5633.9</v>
      </c>
      <c r="F195" s="10" t="s">
        <v>94</v>
      </c>
      <c r="G195" s="7" t="n">
        <v>2</v>
      </c>
      <c r="H195" s="12" t="s">
        <v>83</v>
      </c>
      <c r="I195" s="12" t="s">
        <v>84</v>
      </c>
      <c r="J195" s="10" t="s">
        <v>85</v>
      </c>
      <c r="K195" s="9" t="n">
        <f aca="false">IF(ISNUMBER(D195),COUNTIF($D$6:$D$338,"&lt;"&amp;D195)/(COUNT($D$6:$D$338)-1),"")</f>
        <v>0.320388349514563</v>
      </c>
      <c r="L195" s="9" t="n">
        <f aca="false">IF(ISNUMBER(E195),COUNTIF($E$6:$E$338,"&lt;"&amp;E195)/(COUNT($E$6:$E$338)-1),"")</f>
        <v>0.560240963855422</v>
      </c>
      <c r="M195" s="9" t="n">
        <f aca="false">IF(AND(K195="",L195=""),"",(IF(ISNUMBER(K195),$C$3*K195,0)+IF(ISNUMBER(L195),$E$3*L195,0))/(IF(ISNUMBER(K195),$C$3,0)+IF(ISNUMBER(L195),$E$3,0)))</f>
        <v>0.440314656684992</v>
      </c>
      <c r="N195" s="12"/>
      <c r="O195" s="7" t="n">
        <f aca="false">IF(N195&lt;&gt;"","",COUNTIFS($A$6:$A$338,A195,$N$6:$N$338,"",$M$6:$M$338,"&gt;"&amp;M195)+COUNTIFS($A$6:A195,A195,$N$6:N195,"",$M$6:M195,M195))</f>
        <v>36</v>
      </c>
      <c r="P195" s="12" t="str">
        <f aca="false">IF(O195="","Excluded",IF(O195&lt;=5,"Lead",IF(O195&lt;=10,"Next wave","Long list")))</f>
        <v>Long list</v>
      </c>
      <c r="Q195" s="10" t="s">
        <v>86</v>
      </c>
      <c r="R195" s="30" t="s">
        <v>543</v>
      </c>
    </row>
    <row r="196" customFormat="false" ht="35.05" hidden="false" customHeight="false" outlineLevel="0" collapsed="false">
      <c r="A196" s="12" t="s">
        <v>19</v>
      </c>
      <c r="B196" s="12" t="s">
        <v>396</v>
      </c>
      <c r="C196" s="10" t="s">
        <v>397</v>
      </c>
      <c r="D196" s="26" t="n">
        <v>113.73</v>
      </c>
      <c r="E196" s="11" t="n">
        <v>301.7</v>
      </c>
      <c r="F196" s="10" t="s">
        <v>273</v>
      </c>
      <c r="G196" s="7" t="n">
        <v>22</v>
      </c>
      <c r="H196" s="12" t="s">
        <v>77</v>
      </c>
      <c r="I196" s="12" t="s">
        <v>84</v>
      </c>
      <c r="J196" s="10" t="s">
        <v>399</v>
      </c>
      <c r="K196" s="9" t="n">
        <f aca="false">IF(ISNUMBER(D196),COUNTIF($D$6:$D$338,"&lt;"&amp;D196)/(COUNT($D$6:$D$338)-1),"")</f>
        <v>0.779935275080906</v>
      </c>
      <c r="L196" s="9" t="n">
        <f aca="false">IF(ISNUMBER(E196),COUNTIF($E$6:$E$338,"&lt;"&amp;E196)/(COUNT($E$6:$E$338)-1),"")</f>
        <v>0.0813253012048193</v>
      </c>
      <c r="M196" s="9" t="n">
        <f aca="false">IF(AND(K196="",L196=""),"",(IF(ISNUMBER(K196),$C$3*K196,0)+IF(ISNUMBER(L196),$E$3*L196,0))/(IF(ISNUMBER(K196),$C$3,0)+IF(ISNUMBER(L196),$E$3,0)))</f>
        <v>0.430630288142863</v>
      </c>
      <c r="N196" s="12"/>
      <c r="O196" s="7" t="n">
        <f aca="false">IF(N196&lt;&gt;"","",COUNTIFS($A$6:$A$338,A196,$N$6:$N$338,"",$M$6:$M$338,"&gt;"&amp;M196)+COUNTIFS($A$6:A196,A196,$N$6:N196,"",$M$6:M196,M196))</f>
        <v>37</v>
      </c>
      <c r="P196" s="12" t="str">
        <f aca="false">IF(O196="","Excluded",IF(O196&lt;=5,"Lead",IF(O196&lt;=10,"Next wave","Long list")))</f>
        <v>Long list</v>
      </c>
      <c r="Q196" s="10" t="s">
        <v>80</v>
      </c>
      <c r="R196" s="30" t="s">
        <v>400</v>
      </c>
    </row>
    <row r="197" customFormat="false" ht="23.85" hidden="false" customHeight="false" outlineLevel="0" collapsed="false">
      <c r="A197" s="12" t="s">
        <v>19</v>
      </c>
      <c r="B197" s="12" t="s">
        <v>335</v>
      </c>
      <c r="C197" s="10" t="s">
        <v>336</v>
      </c>
      <c r="D197" s="26" t="n">
        <v>25.16</v>
      </c>
      <c r="E197" s="11" t="n">
        <v>2770.2</v>
      </c>
      <c r="F197" s="10" t="s">
        <v>544</v>
      </c>
      <c r="G197" s="7" t="n">
        <v>24</v>
      </c>
      <c r="H197" s="12" t="s">
        <v>77</v>
      </c>
      <c r="I197" s="12" t="s">
        <v>84</v>
      </c>
      <c r="J197" s="10" t="s">
        <v>101</v>
      </c>
      <c r="K197" s="9" t="n">
        <f aca="false">IF(ISNUMBER(D197),COUNTIF($D$6:$D$338,"&lt;"&amp;D197)/(COUNT($D$6:$D$338)-1),"")</f>
        <v>0.469255663430421</v>
      </c>
      <c r="L197" s="9" t="n">
        <f aca="false">IF(ISNUMBER(E197),COUNTIF($E$6:$E$338,"&lt;"&amp;E197)/(COUNT($E$6:$E$338)-1),"")</f>
        <v>0.346385542168675</v>
      </c>
      <c r="M197" s="9" t="n">
        <f aca="false">IF(AND(K197="",L197=""),"",(IF(ISNUMBER(K197),$C$3*K197,0)+IF(ISNUMBER(L197),$E$3*L197,0))/(IF(ISNUMBER(K197),$C$3,0)+IF(ISNUMBER(L197),$E$3,0)))</f>
        <v>0.407820602799548</v>
      </c>
      <c r="N197" s="12"/>
      <c r="O197" s="7" t="n">
        <f aca="false">IF(N197&lt;&gt;"","",COUNTIFS($A$6:$A$338,A197,$N$6:$N$338,"",$M$6:$M$338,"&gt;"&amp;M197)+COUNTIFS($A$6:A197,A197,$N$6:N197,"",$M$6:M197,M197))</f>
        <v>38</v>
      </c>
      <c r="P197" s="12" t="str">
        <f aca="false">IF(O197="","Excluded",IF(O197&lt;=5,"Lead",IF(O197&lt;=10,"Next wave","Long list")))</f>
        <v>Long list</v>
      </c>
      <c r="Q197" s="10" t="s">
        <v>102</v>
      </c>
      <c r="R197" s="30" t="s">
        <v>338</v>
      </c>
    </row>
    <row r="198" customFormat="false" ht="23.85" hidden="false" customHeight="false" outlineLevel="0" collapsed="false">
      <c r="A198" s="12" t="s">
        <v>19</v>
      </c>
      <c r="B198" s="12" t="s">
        <v>477</v>
      </c>
      <c r="C198" s="10" t="s">
        <v>478</v>
      </c>
      <c r="D198" s="26" t="n">
        <v>6.44</v>
      </c>
      <c r="E198" s="11" t="n">
        <v>13516.1</v>
      </c>
      <c r="F198" s="10" t="s">
        <v>183</v>
      </c>
      <c r="G198" s="7" t="n">
        <v>6</v>
      </c>
      <c r="H198" s="12" t="s">
        <v>77</v>
      </c>
      <c r="I198" s="12" t="s">
        <v>78</v>
      </c>
      <c r="J198" s="10" t="s">
        <v>151</v>
      </c>
      <c r="K198" s="9" t="n">
        <f aca="false">IF(ISNUMBER(D198),COUNTIF($D$6:$D$338,"&lt;"&amp;D198)/(COUNT($D$6:$D$338)-1),"")</f>
        <v>0.0776699029126214</v>
      </c>
      <c r="L198" s="9" t="n">
        <f aca="false">IF(ISNUMBER(E198),COUNTIF($E$6:$E$338,"&lt;"&amp;E198)/(COUNT($E$6:$E$338)-1),"")</f>
        <v>0.731927710843374</v>
      </c>
      <c r="M198" s="9" t="n">
        <f aca="false">IF(AND(K198="",L198=""),"",(IF(ISNUMBER(K198),$C$3*K198,0)+IF(ISNUMBER(L198),$E$3*L198,0))/(IF(ISNUMBER(K198),$C$3,0)+IF(ISNUMBER(L198),$E$3,0)))</f>
        <v>0.404798806877997</v>
      </c>
      <c r="N198" s="12"/>
      <c r="O198" s="7" t="n">
        <f aca="false">IF(N198&lt;&gt;"","",COUNTIFS($A$6:$A$338,A198,$N$6:$N$338,"",$M$6:$M$338,"&gt;"&amp;M198)+COUNTIFS($A$6:A198,A198,$N$6:N198,"",$M$6:M198,M198))</f>
        <v>39</v>
      </c>
      <c r="P198" s="12" t="str">
        <f aca="false">IF(O198="","Excluded",IF(O198&lt;=5,"Lead",IF(O198&lt;=10,"Next wave","Long list")))</f>
        <v>Long list</v>
      </c>
      <c r="Q198" s="10" t="s">
        <v>80</v>
      </c>
      <c r="R198" s="30" t="s">
        <v>480</v>
      </c>
    </row>
    <row r="199" customFormat="false" ht="23.85" hidden="false" customHeight="false" outlineLevel="0" collapsed="false">
      <c r="A199" s="12" t="s">
        <v>19</v>
      </c>
      <c r="B199" s="12" t="s">
        <v>545</v>
      </c>
      <c r="C199" s="10" t="s">
        <v>514</v>
      </c>
      <c r="D199" s="26" t="n">
        <v>92.62</v>
      </c>
      <c r="E199" s="11" t="n">
        <v>140.9</v>
      </c>
      <c r="F199" s="10" t="s">
        <v>76</v>
      </c>
      <c r="G199" s="7" t="n">
        <v>31</v>
      </c>
      <c r="H199" s="12" t="s">
        <v>77</v>
      </c>
      <c r="I199" s="12" t="s">
        <v>84</v>
      </c>
      <c r="J199" s="10" t="s">
        <v>142</v>
      </c>
      <c r="K199" s="9" t="n">
        <f aca="false">IF(ISNUMBER(D199),COUNTIF($D$6:$D$338,"&lt;"&amp;D199)/(COUNT($D$6:$D$338)-1),"")</f>
        <v>0.757281553398058</v>
      </c>
      <c r="L199" s="9" t="n">
        <f aca="false">IF(ISNUMBER(E199),COUNTIF($E$6:$E$338,"&lt;"&amp;E199)/(COUNT($E$6:$E$338)-1),"")</f>
        <v>0.0421686746987952</v>
      </c>
      <c r="M199" s="9" t="n">
        <f aca="false">IF(AND(K199="",L199=""),"",(IF(ISNUMBER(K199),$C$3*K199,0)+IF(ISNUMBER(L199),$E$3*L199,0))/(IF(ISNUMBER(K199),$C$3,0)+IF(ISNUMBER(L199),$E$3,0)))</f>
        <v>0.399725114048427</v>
      </c>
      <c r="N199" s="12"/>
      <c r="O199" s="7" t="n">
        <f aca="false">IF(N199&lt;&gt;"","",COUNTIFS($A$6:$A$338,A199,$N$6:$N$338,"",$M$6:$M$338,"&gt;"&amp;M199)+COUNTIFS($A$6:A199,A199,$N$6:N199,"",$M$6:M199,M199))</f>
        <v>40</v>
      </c>
      <c r="P199" s="12" t="str">
        <f aca="false">IF(O199="","Excluded",IF(O199&lt;=5,"Lead",IF(O199&lt;=10,"Next wave","Long list")))</f>
        <v>Long list</v>
      </c>
      <c r="Q199" s="10" t="s">
        <v>102</v>
      </c>
      <c r="R199" s="30" t="s">
        <v>546</v>
      </c>
    </row>
    <row r="200" customFormat="false" ht="23.85" hidden="false" customHeight="false" outlineLevel="0" collapsed="false">
      <c r="A200" s="12" t="s">
        <v>19</v>
      </c>
      <c r="B200" s="12" t="s">
        <v>547</v>
      </c>
      <c r="C200" s="10" t="s">
        <v>548</v>
      </c>
      <c r="D200" s="26" t="n">
        <v>11.33</v>
      </c>
      <c r="E200" s="11" t="n">
        <v>4675.1</v>
      </c>
      <c r="F200" s="10" t="s">
        <v>273</v>
      </c>
      <c r="G200" s="7" t="n">
        <v>24</v>
      </c>
      <c r="H200" s="12" t="s">
        <v>549</v>
      </c>
      <c r="I200" s="12" t="s">
        <v>84</v>
      </c>
      <c r="J200" s="10"/>
      <c r="K200" s="9" t="n">
        <f aca="false">IF(ISNUMBER(D200),COUNTIF($D$6:$D$338,"&lt;"&amp;D200)/(COUNT($D$6:$D$338)-1),"")</f>
        <v>0.262135922330097</v>
      </c>
      <c r="L200" s="9" t="n">
        <f aca="false">IF(ISNUMBER(E200),COUNTIF($E$6:$E$338,"&lt;"&amp;E200)/(COUNT($E$6:$E$338)-1),"")</f>
        <v>0.52710843373494</v>
      </c>
      <c r="M200" s="9" t="n">
        <f aca="false">IF(AND(K200="",L200=""),"",(IF(ISNUMBER(K200),$C$3*K200,0)+IF(ISNUMBER(L200),$E$3*L200,0))/(IF(ISNUMBER(K200),$C$3,0)+IF(ISNUMBER(L200),$E$3,0)))</f>
        <v>0.394622178032518</v>
      </c>
      <c r="N200" s="12"/>
      <c r="O200" s="7" t="n">
        <f aca="false">IF(N200&lt;&gt;"","",COUNTIFS($A$6:$A$338,A200,$N$6:$N$338,"",$M$6:$M$338,"&gt;"&amp;M200)+COUNTIFS($A$6:A200,A200,$N$6:N200,"",$M$6:M200,M200))</f>
        <v>41</v>
      </c>
      <c r="P200" s="12" t="str">
        <f aca="false">IF(O200="","Excluded",IF(O200&lt;=5,"Lead",IF(O200&lt;=10,"Next wave","Long list")))</f>
        <v>Long list</v>
      </c>
      <c r="Q200" s="10" t="s">
        <v>102</v>
      </c>
      <c r="R200" s="30" t="s">
        <v>550</v>
      </c>
    </row>
    <row r="201" customFormat="false" ht="35.05" hidden="false" customHeight="false" outlineLevel="0" collapsed="false">
      <c r="A201" s="12" t="s">
        <v>19</v>
      </c>
      <c r="B201" s="12" t="s">
        <v>423</v>
      </c>
      <c r="C201" s="10" t="s">
        <v>424</v>
      </c>
      <c r="D201" s="26" t="n">
        <v>9.65</v>
      </c>
      <c r="E201" s="11" t="n">
        <v>6294.9</v>
      </c>
      <c r="F201" s="10" t="s">
        <v>143</v>
      </c>
      <c r="G201" s="7" t="n">
        <v>4</v>
      </c>
      <c r="H201" s="12" t="s">
        <v>77</v>
      </c>
      <c r="I201" s="12" t="s">
        <v>78</v>
      </c>
      <c r="J201" s="10" t="s">
        <v>213</v>
      </c>
      <c r="K201" s="9" t="n">
        <f aca="false">IF(ISNUMBER(D201),COUNTIF($D$6:$D$338,"&lt;"&amp;D201)/(COUNT($D$6:$D$338)-1),"")</f>
        <v>0.190938511326861</v>
      </c>
      <c r="L201" s="9" t="n">
        <f aca="false">IF(ISNUMBER(E201),COUNTIF($E$6:$E$338,"&lt;"&amp;E201)/(COUNT($E$6:$E$338)-1),"")</f>
        <v>0.593373493975904</v>
      </c>
      <c r="M201" s="9" t="n">
        <f aca="false">IF(AND(K201="",L201=""),"",(IF(ISNUMBER(K201),$C$3*K201,0)+IF(ISNUMBER(L201),$E$3*L201,0))/(IF(ISNUMBER(K201),$C$3,0)+IF(ISNUMBER(L201),$E$3,0)))</f>
        <v>0.392156002651382</v>
      </c>
      <c r="N201" s="12"/>
      <c r="O201" s="7" t="n">
        <f aca="false">IF(N201&lt;&gt;"","",COUNTIFS($A$6:$A$338,A201,$N$6:$N$338,"",$M$6:$M$338,"&gt;"&amp;M201)+COUNTIFS($A$6:A201,A201,$N$6:N201,"",$M$6:M201,M201))</f>
        <v>42</v>
      </c>
      <c r="P201" s="12" t="str">
        <f aca="false">IF(O201="","Excluded",IF(O201&lt;=5,"Lead",IF(O201&lt;=10,"Next wave","Long list")))</f>
        <v>Long list</v>
      </c>
      <c r="Q201" s="10" t="s">
        <v>80</v>
      </c>
      <c r="R201" s="30" t="s">
        <v>425</v>
      </c>
    </row>
    <row r="202" customFormat="false" ht="23.85" hidden="false" customHeight="false" outlineLevel="0" collapsed="false">
      <c r="A202" s="12" t="s">
        <v>19</v>
      </c>
      <c r="B202" s="12" t="s">
        <v>488</v>
      </c>
      <c r="C202" s="10" t="s">
        <v>384</v>
      </c>
      <c r="D202" s="26" t="n">
        <v>5.1</v>
      </c>
      <c r="E202" s="11" t="n">
        <v>20184.3</v>
      </c>
      <c r="F202" s="10" t="s">
        <v>371</v>
      </c>
      <c r="G202" s="7" t="n">
        <v>12</v>
      </c>
      <c r="H202" s="12" t="s">
        <v>196</v>
      </c>
      <c r="I202" s="12" t="s">
        <v>84</v>
      </c>
      <c r="J202" s="10" t="s">
        <v>163</v>
      </c>
      <c r="K202" s="9" t="n">
        <f aca="false">IF(ISNUMBER(D202),COUNTIF($D$6:$D$338,"&lt;"&amp;D202)/(COUNT($D$6:$D$338)-1),"")</f>
        <v>0</v>
      </c>
      <c r="L202" s="9" t="n">
        <f aca="false">IF(ISNUMBER(E202),COUNTIF($E$6:$E$338,"&lt;"&amp;E202)/(COUNT($E$6:$E$338)-1),"")</f>
        <v>0.774096385542169</v>
      </c>
      <c r="M202" s="9" t="n">
        <f aca="false">IF(AND(K202="",L202=""),"",(IF(ISNUMBER(K202),$C$3*K202,0)+IF(ISNUMBER(L202),$E$3*L202,0))/(IF(ISNUMBER(K202),$C$3,0)+IF(ISNUMBER(L202),$E$3,0)))</f>
        <v>0.387048192771084</v>
      </c>
      <c r="N202" s="12"/>
      <c r="O202" s="7" t="n">
        <f aca="false">IF(N202&lt;&gt;"","",COUNTIFS($A$6:$A$338,A202,$N$6:$N$338,"",$M$6:$M$338,"&gt;"&amp;M202)+COUNTIFS($A$6:A202,A202,$N$6:N202,"",$M$6:M202,M202))</f>
        <v>43</v>
      </c>
      <c r="P202" s="12" t="str">
        <f aca="false">IF(O202="","Excluded",IF(O202&lt;=5,"Lead",IF(O202&lt;=10,"Next wave","Long list")))</f>
        <v>Long list</v>
      </c>
      <c r="Q202" s="10" t="s">
        <v>80</v>
      </c>
      <c r="R202" s="30" t="s">
        <v>489</v>
      </c>
    </row>
    <row r="203" customFormat="false" ht="23.85" hidden="false" customHeight="false" outlineLevel="0" collapsed="false">
      <c r="A203" s="12" t="s">
        <v>19</v>
      </c>
      <c r="B203" s="12" t="s">
        <v>551</v>
      </c>
      <c r="C203" s="10" t="s">
        <v>552</v>
      </c>
      <c r="D203" s="26" t="n">
        <v>6.7</v>
      </c>
      <c r="E203" s="11" t="n">
        <v>7739</v>
      </c>
      <c r="F203" s="10" t="s">
        <v>89</v>
      </c>
      <c r="G203" s="7" t="n">
        <v>28</v>
      </c>
      <c r="H203" s="12" t="s">
        <v>77</v>
      </c>
      <c r="I203" s="12" t="s">
        <v>84</v>
      </c>
      <c r="J203" s="10" t="s">
        <v>101</v>
      </c>
      <c r="K203" s="9" t="n">
        <f aca="false">IF(ISNUMBER(D203),COUNTIF($D$6:$D$338,"&lt;"&amp;D203)/(COUNT($D$6:$D$338)-1),"")</f>
        <v>0.0938511326860841</v>
      </c>
      <c r="L203" s="9" t="n">
        <f aca="false">IF(ISNUMBER(E203),COUNTIF($E$6:$E$338,"&lt;"&amp;E203)/(COUNT($E$6:$E$338)-1),"")</f>
        <v>0.647590361445783</v>
      </c>
      <c r="M203" s="9" t="n">
        <f aca="false">IF(AND(K203="",L203=""),"",(IF(ISNUMBER(K203),$C$3*K203,0)+IF(ISNUMBER(L203),$E$3*L203,0))/(IF(ISNUMBER(K203),$C$3,0)+IF(ISNUMBER(L203),$E$3,0)))</f>
        <v>0.370720747065934</v>
      </c>
      <c r="N203" s="12"/>
      <c r="O203" s="7" t="n">
        <f aca="false">IF(N203&lt;&gt;"","",COUNTIFS($A$6:$A$338,A203,$N$6:$N$338,"",$M$6:$M$338,"&gt;"&amp;M203)+COUNTIFS($A$6:A203,A203,$N$6:N203,"",$M$6:M203,M203))</f>
        <v>44</v>
      </c>
      <c r="P203" s="12" t="str">
        <f aca="false">IF(O203="","Excluded",IF(O203&lt;=5,"Lead",IF(O203&lt;=10,"Next wave","Long list")))</f>
        <v>Long list</v>
      </c>
      <c r="Q203" s="10" t="s">
        <v>102</v>
      </c>
      <c r="R203" s="30" t="s">
        <v>553</v>
      </c>
    </row>
    <row r="204" customFormat="false" ht="23.85" hidden="false" customHeight="false" outlineLevel="0" collapsed="false">
      <c r="A204" s="12" t="s">
        <v>19</v>
      </c>
      <c r="B204" s="12" t="s">
        <v>554</v>
      </c>
      <c r="C204" s="10" t="s">
        <v>555</v>
      </c>
      <c r="D204" s="26" t="n">
        <v>13.54</v>
      </c>
      <c r="E204" s="11" t="n">
        <v>2902.1</v>
      </c>
      <c r="F204" s="10" t="s">
        <v>556</v>
      </c>
      <c r="G204" s="7" t="n">
        <v>6</v>
      </c>
      <c r="H204" s="12" t="s">
        <v>77</v>
      </c>
      <c r="I204" s="12" t="s">
        <v>84</v>
      </c>
      <c r="J204" s="10"/>
      <c r="K204" s="9" t="n">
        <f aca="false">IF(ISNUMBER(D204),COUNTIF($D$6:$D$338,"&lt;"&amp;D204)/(COUNT($D$6:$D$338)-1),"")</f>
        <v>0.294498381877023</v>
      </c>
      <c r="L204" s="9" t="n">
        <f aca="false">IF(ISNUMBER(E204),COUNTIF($E$6:$E$338,"&lt;"&amp;E204)/(COUNT($E$6:$E$338)-1),"")</f>
        <v>0.38855421686747</v>
      </c>
      <c r="M204" s="9" t="n">
        <f aca="false">IF(AND(K204="",L204=""),"",(IF(ISNUMBER(K204),$C$3*K204,0)+IF(ISNUMBER(L204),$E$3*L204,0))/(IF(ISNUMBER(K204),$C$3,0)+IF(ISNUMBER(L204),$E$3,0)))</f>
        <v>0.341526299372246</v>
      </c>
      <c r="N204" s="12"/>
      <c r="O204" s="7" t="n">
        <f aca="false">IF(N204&lt;&gt;"","",COUNTIFS($A$6:$A$338,A204,$N$6:$N$338,"",$M$6:$M$338,"&gt;"&amp;M204)+COUNTIFS($A$6:A204,A204,$N$6:N204,"",$M$6:M204,M204))</f>
        <v>45</v>
      </c>
      <c r="P204" s="12" t="str">
        <f aca="false">IF(O204="","Excluded",IF(O204&lt;=5,"Lead",IF(O204&lt;=10,"Next wave","Long list")))</f>
        <v>Long list</v>
      </c>
      <c r="Q204" s="10" t="s">
        <v>102</v>
      </c>
      <c r="R204" s="30" t="s">
        <v>557</v>
      </c>
    </row>
    <row r="205" customFormat="false" ht="23.85" hidden="false" customHeight="false" outlineLevel="0" collapsed="false">
      <c r="A205" s="12" t="s">
        <v>19</v>
      </c>
      <c r="B205" s="12" t="s">
        <v>420</v>
      </c>
      <c r="C205" s="10" t="s">
        <v>421</v>
      </c>
      <c r="D205" s="26" t="n">
        <v>6.07</v>
      </c>
      <c r="E205" s="11" t="n">
        <v>6287.6</v>
      </c>
      <c r="F205" s="10" t="s">
        <v>94</v>
      </c>
      <c r="G205" s="7" t="n">
        <v>1</v>
      </c>
      <c r="H205" s="12" t="s">
        <v>77</v>
      </c>
      <c r="I205" s="12" t="s">
        <v>78</v>
      </c>
      <c r="J205" s="10" t="s">
        <v>142</v>
      </c>
      <c r="K205" s="9" t="n">
        <f aca="false">IF(ISNUMBER(D205),COUNTIF($D$6:$D$338,"&lt;"&amp;D205)/(COUNT($D$6:$D$338)-1),"")</f>
        <v>0.0485436893203884</v>
      </c>
      <c r="L205" s="9" t="n">
        <f aca="false">IF(ISNUMBER(E205),COUNTIF($E$6:$E$338,"&lt;"&amp;E205)/(COUNT($E$6:$E$338)-1),"")</f>
        <v>0.587349397590361</v>
      </c>
      <c r="M205" s="9" t="n">
        <f aca="false">IF(AND(K205="",L205=""),"",(IF(ISNUMBER(K205),$C$3*K205,0)+IF(ISNUMBER(L205),$E$3*L205,0))/(IF(ISNUMBER(K205),$C$3,0)+IF(ISNUMBER(L205),$E$3,0)))</f>
        <v>0.317946543455375</v>
      </c>
      <c r="N205" s="12"/>
      <c r="O205" s="7" t="n">
        <f aca="false">IF(N205&lt;&gt;"","",COUNTIFS($A$6:$A$338,A205,$N$6:$N$338,"",$M$6:$M$338,"&gt;"&amp;M205)+COUNTIFS($A$6:A205,A205,$N$6:N205,"",$M$6:M205,M205))</f>
        <v>46</v>
      </c>
      <c r="P205" s="12" t="str">
        <f aca="false">IF(O205="","Excluded",IF(O205&lt;=5,"Lead",IF(O205&lt;=10,"Next wave","Long list")))</f>
        <v>Long list</v>
      </c>
      <c r="Q205" s="10" t="s">
        <v>102</v>
      </c>
      <c r="R205" s="30" t="s">
        <v>422</v>
      </c>
    </row>
    <row r="206" customFormat="false" ht="23.85" hidden="false" customHeight="false" outlineLevel="0" collapsed="false">
      <c r="A206" s="12" t="s">
        <v>19</v>
      </c>
      <c r="B206" s="12" t="s">
        <v>481</v>
      </c>
      <c r="C206" s="10" t="s">
        <v>482</v>
      </c>
      <c r="D206" s="26" t="n">
        <v>9.75</v>
      </c>
      <c r="E206" s="11" t="n">
        <v>2033.7</v>
      </c>
      <c r="F206" s="10" t="s">
        <v>544</v>
      </c>
      <c r="G206" s="7" t="n">
        <v>22</v>
      </c>
      <c r="H206" s="12" t="s">
        <v>77</v>
      </c>
      <c r="I206" s="12" t="s">
        <v>78</v>
      </c>
      <c r="J206" s="10" t="s">
        <v>142</v>
      </c>
      <c r="K206" s="9" t="n">
        <f aca="false">IF(ISNUMBER(D206),COUNTIF($D$6:$D$338,"&lt;"&amp;D206)/(COUNT($D$6:$D$338)-1),"")</f>
        <v>0.197411003236246</v>
      </c>
      <c r="L206" s="9" t="n">
        <f aca="false">IF(ISNUMBER(E206),COUNTIF($E$6:$E$338,"&lt;"&amp;E206)/(COUNT($E$6:$E$338)-1),"")</f>
        <v>0.268072289156627</v>
      </c>
      <c r="M206" s="9" t="n">
        <f aca="false">IF(AND(K206="",L206=""),"",(IF(ISNUMBER(K206),$C$3*K206,0)+IF(ISNUMBER(L206),$E$3*L206,0))/(IF(ISNUMBER(K206),$C$3,0)+IF(ISNUMBER(L206),$E$3,0)))</f>
        <v>0.232741646196436</v>
      </c>
      <c r="N206" s="12"/>
      <c r="O206" s="7" t="n">
        <f aca="false">IF(N206&lt;&gt;"","",COUNTIFS($A$6:$A$338,A206,$N$6:$N$338,"",$M$6:$M$338,"&gt;"&amp;M206)+COUNTIFS($A$6:A206,A206,$N$6:N206,"",$M$6:M206,M206))</f>
        <v>47</v>
      </c>
      <c r="P206" s="12" t="str">
        <f aca="false">IF(O206="","Excluded",IF(O206&lt;=5,"Lead",IF(O206&lt;=10,"Next wave","Long list")))</f>
        <v>Long list</v>
      </c>
      <c r="Q206" s="10" t="s">
        <v>102</v>
      </c>
      <c r="R206" s="30" t="s">
        <v>483</v>
      </c>
    </row>
    <row r="207" customFormat="false" ht="23.85" hidden="false" customHeight="false" outlineLevel="0" collapsed="false">
      <c r="A207" s="12" t="s">
        <v>19</v>
      </c>
      <c r="B207" s="12" t="s">
        <v>558</v>
      </c>
      <c r="C207" s="10" t="s">
        <v>384</v>
      </c>
      <c r="D207" s="26" t="n">
        <v>5.48</v>
      </c>
      <c r="E207" s="11" t="n">
        <v>3257.6</v>
      </c>
      <c r="F207" s="10" t="s">
        <v>94</v>
      </c>
      <c r="G207" s="7" t="n">
        <v>1</v>
      </c>
      <c r="H207" s="12" t="s">
        <v>95</v>
      </c>
      <c r="I207" s="12" t="s">
        <v>95</v>
      </c>
      <c r="J207" s="10"/>
      <c r="K207" s="9" t="n">
        <f aca="false">IF(ISNUMBER(D207),COUNTIF($D$6:$D$338,"&lt;"&amp;D207)/(COUNT($D$6:$D$338)-1),"")</f>
        <v>0.029126213592233</v>
      </c>
      <c r="L207" s="9" t="n">
        <f aca="false">IF(ISNUMBER(E207),COUNTIF($E$6:$E$338,"&lt;"&amp;E207)/(COUNT($E$6:$E$338)-1),"")</f>
        <v>0.433734939759036</v>
      </c>
      <c r="M207" s="9" t="n">
        <f aca="false">IF(AND(K207="",L207=""),"",(IF(ISNUMBER(K207),$C$3*K207,0)+IF(ISNUMBER(L207),$E$3*L207,0))/(IF(ISNUMBER(K207),$C$3,0)+IF(ISNUMBER(L207),$E$3,0)))</f>
        <v>0.231430576675635</v>
      </c>
      <c r="N207" s="12"/>
      <c r="O207" s="7" t="n">
        <f aca="false">IF(N207&lt;&gt;"","",COUNTIFS($A$6:$A$338,A207,$N$6:$N$338,"",$M$6:$M$338,"&gt;"&amp;M207)+COUNTIFS($A$6:A207,A207,$N$6:N207,"",$M$6:M207,M207))</f>
        <v>48</v>
      </c>
      <c r="P207" s="12" t="str">
        <f aca="false">IF(O207="","Excluded",IF(O207&lt;=5,"Lead",IF(O207&lt;=10,"Next wave","Long list")))</f>
        <v>Long list</v>
      </c>
      <c r="Q207" s="10" t="s">
        <v>97</v>
      </c>
      <c r="R207" s="30" t="s">
        <v>559</v>
      </c>
    </row>
    <row r="208" customFormat="false" ht="23.85" hidden="false" customHeight="false" outlineLevel="0" collapsed="false">
      <c r="A208" s="12" t="s">
        <v>19</v>
      </c>
      <c r="B208" s="12" t="s">
        <v>409</v>
      </c>
      <c r="C208" s="10" t="s">
        <v>410</v>
      </c>
      <c r="D208" s="26" t="n">
        <v>10.03</v>
      </c>
      <c r="E208" s="11" t="n">
        <v>1127.6</v>
      </c>
      <c r="F208" s="10" t="s">
        <v>147</v>
      </c>
      <c r="G208" s="7" t="n">
        <v>1</v>
      </c>
      <c r="H208" s="12" t="s">
        <v>83</v>
      </c>
      <c r="I208" s="12" t="s">
        <v>84</v>
      </c>
      <c r="J208" s="10" t="s">
        <v>287</v>
      </c>
      <c r="K208" s="9" t="n">
        <f aca="false">IF(ISNUMBER(D208),COUNTIF($D$6:$D$338,"&lt;"&amp;D208)/(COUNT($D$6:$D$338)-1),"")</f>
        <v>0.220064724919094</v>
      </c>
      <c r="L208" s="9" t="n">
        <f aca="false">IF(ISNUMBER(E208),COUNTIF($E$6:$E$338,"&lt;"&amp;E208)/(COUNT($E$6:$E$338)-1),"")</f>
        <v>0.162650602409639</v>
      </c>
      <c r="M208" s="9" t="n">
        <f aca="false">IF(AND(K208="",L208=""),"",(IF(ISNUMBER(K208),$C$3*K208,0)+IF(ISNUMBER(L208),$E$3*L208,0))/(IF(ISNUMBER(K208),$C$3,0)+IF(ISNUMBER(L208),$E$3,0)))</f>
        <v>0.191357663664366</v>
      </c>
      <c r="N208" s="12"/>
      <c r="O208" s="7" t="n">
        <f aca="false">IF(N208&lt;&gt;"","",COUNTIFS($A$6:$A$338,A208,$N$6:$N$338,"",$M$6:$M$338,"&gt;"&amp;M208)+COUNTIFS($A$6:A208,A208,$N$6:N208,"",$M$6:M208,M208))</f>
        <v>49</v>
      </c>
      <c r="P208" s="12" t="str">
        <f aca="false">IF(O208="","Excluded",IF(O208&lt;=5,"Lead",IF(O208&lt;=10,"Next wave","Long list")))</f>
        <v>Long list</v>
      </c>
      <c r="Q208" s="10" t="s">
        <v>86</v>
      </c>
      <c r="R208" s="30" t="s">
        <v>411</v>
      </c>
    </row>
    <row r="209" customFormat="false" ht="23.85" hidden="false" customHeight="false" outlineLevel="0" collapsed="false">
      <c r="A209" s="12" t="s">
        <v>19</v>
      </c>
      <c r="B209" s="12" t="s">
        <v>380</v>
      </c>
      <c r="C209" s="10" t="s">
        <v>381</v>
      </c>
      <c r="D209" s="26" t="n">
        <v>6.23</v>
      </c>
      <c r="E209" s="11" t="n">
        <v>2441.2</v>
      </c>
      <c r="F209" s="10" t="s">
        <v>147</v>
      </c>
      <c r="G209" s="7" t="n">
        <v>1</v>
      </c>
      <c r="H209" s="12" t="s">
        <v>95</v>
      </c>
      <c r="I209" s="12" t="s">
        <v>95</v>
      </c>
      <c r="J209" s="10"/>
      <c r="K209" s="9" t="n">
        <f aca="false">IF(ISNUMBER(D209),COUNTIF($D$6:$D$338,"&lt;"&amp;D209)/(COUNT($D$6:$D$338)-1),"")</f>
        <v>0.0647249190938511</v>
      </c>
      <c r="L209" s="9" t="n">
        <f aca="false">IF(ISNUMBER(E209),COUNTIF($E$6:$E$338,"&lt;"&amp;E209)/(COUNT($E$6:$E$338)-1),"")</f>
        <v>0.289156626506024</v>
      </c>
      <c r="M209" s="9" t="n">
        <f aca="false">IF(AND(K209="",L209=""),"",(IF(ISNUMBER(K209),$C$3*K209,0)+IF(ISNUMBER(L209),$E$3*L209,0))/(IF(ISNUMBER(K209),$C$3,0)+IF(ISNUMBER(L209),$E$3,0)))</f>
        <v>0.176940772799938</v>
      </c>
      <c r="N209" s="12"/>
      <c r="O209" s="7" t="n">
        <f aca="false">IF(N209&lt;&gt;"","",COUNTIFS($A$6:$A$338,A209,$N$6:$N$338,"",$M$6:$M$338,"&gt;"&amp;M209)+COUNTIFS($A$6:A209,A209,$N$6:N209,"",$M$6:M209,M209))</f>
        <v>50</v>
      </c>
      <c r="P209" s="12" t="str">
        <f aca="false">IF(O209="","Excluded",IF(O209&lt;=5,"Lead",IF(O209&lt;=10,"Next wave","Long list")))</f>
        <v>Long list</v>
      </c>
      <c r="Q209" s="10" t="s">
        <v>97</v>
      </c>
      <c r="R209" s="30" t="s">
        <v>382</v>
      </c>
    </row>
    <row r="210" customFormat="false" ht="23.85" hidden="false" customHeight="false" outlineLevel="0" collapsed="false">
      <c r="A210" s="12" t="s">
        <v>19</v>
      </c>
      <c r="B210" s="12" t="s">
        <v>560</v>
      </c>
      <c r="C210" s="10" t="s">
        <v>561</v>
      </c>
      <c r="D210" s="26" t="n">
        <v>9.83</v>
      </c>
      <c r="E210" s="11" t="n">
        <v>315.7</v>
      </c>
      <c r="F210" s="10" t="s">
        <v>94</v>
      </c>
      <c r="G210" s="7" t="n">
        <v>1</v>
      </c>
      <c r="H210" s="12" t="s">
        <v>95</v>
      </c>
      <c r="I210" s="12" t="s">
        <v>84</v>
      </c>
      <c r="J210" s="10"/>
      <c r="K210" s="9" t="n">
        <f aca="false">IF(ISNUMBER(D210),COUNTIF($D$6:$D$338,"&lt;"&amp;D210)/(COUNT($D$6:$D$338)-1),"")</f>
        <v>0.210355987055016</v>
      </c>
      <c r="L210" s="9" t="n">
        <f aca="false">IF(ISNUMBER(E210),COUNTIF($E$6:$E$338,"&lt;"&amp;E210)/(COUNT($E$6:$E$338)-1),"")</f>
        <v>0.0903614457831325</v>
      </c>
      <c r="M210" s="9" t="n">
        <f aca="false">IF(AND(K210="",L210=""),"",(IF(ISNUMBER(K210),$C$3*K210,0)+IF(ISNUMBER(L210),$E$3*L210,0))/(IF(ISNUMBER(K210),$C$3,0)+IF(ISNUMBER(L210),$E$3,0)))</f>
        <v>0.150358716419074</v>
      </c>
      <c r="N210" s="12"/>
      <c r="O210" s="7" t="n">
        <f aca="false">IF(N210&lt;&gt;"","",COUNTIFS($A$6:$A$338,A210,$N$6:$N$338,"",$M$6:$M$338,"&gt;"&amp;M210)+COUNTIFS($A$6:A210,A210,$N$6:N210,"",$M$6:M210,M210))</f>
        <v>51</v>
      </c>
      <c r="P210" s="12" t="str">
        <f aca="false">IF(O210="","Excluded",IF(O210&lt;=5,"Lead",IF(O210&lt;=10,"Next wave","Long list")))</f>
        <v>Long list</v>
      </c>
      <c r="Q210" s="10" t="s">
        <v>97</v>
      </c>
      <c r="R210" s="30" t="s">
        <v>562</v>
      </c>
    </row>
    <row r="211" customFormat="false" ht="23.85" hidden="false" customHeight="false" outlineLevel="0" collapsed="false">
      <c r="A211" s="12" t="s">
        <v>19</v>
      </c>
      <c r="B211" s="12" t="s">
        <v>367</v>
      </c>
      <c r="C211" s="10" t="s">
        <v>368</v>
      </c>
      <c r="D211" s="26" t="n">
        <v>5.42</v>
      </c>
      <c r="E211" s="11" t="n">
        <v>1437.9</v>
      </c>
      <c r="F211" s="10" t="s">
        <v>164</v>
      </c>
      <c r="G211" s="7" t="n">
        <v>15</v>
      </c>
      <c r="H211" s="12" t="s">
        <v>83</v>
      </c>
      <c r="I211" s="12" t="s">
        <v>95</v>
      </c>
      <c r="J211" s="10" t="s">
        <v>287</v>
      </c>
      <c r="K211" s="9" t="n">
        <f aca="false">IF(ISNUMBER(D211),COUNTIF($D$6:$D$338,"&lt;"&amp;D211)/(COUNT($D$6:$D$338)-1),"")</f>
        <v>0.0258899676375405</v>
      </c>
      <c r="L211" s="9" t="n">
        <f aca="false">IF(ISNUMBER(E211),COUNTIF($E$6:$E$338,"&lt;"&amp;E211)/(COUNT($E$6:$E$338)-1),"")</f>
        <v>0.207831325301205</v>
      </c>
      <c r="M211" s="9" t="n">
        <f aca="false">IF(AND(K211="",L211=""),"",(IF(ISNUMBER(K211),$C$3*K211,0)+IF(ISNUMBER(L211),$E$3*L211,0))/(IF(ISNUMBER(K211),$C$3,0)+IF(ISNUMBER(L211),$E$3,0)))</f>
        <v>0.116860646469373</v>
      </c>
      <c r="N211" s="12"/>
      <c r="O211" s="7" t="n">
        <f aca="false">IF(N211&lt;&gt;"","",COUNTIFS($A$6:$A$338,A211,$N$6:$N$338,"",$M$6:$M$338,"&gt;"&amp;M211)+COUNTIFS($A$6:A211,A211,$N$6:N211,"",$M$6:M211,M211))</f>
        <v>52</v>
      </c>
      <c r="P211" s="12" t="str">
        <f aca="false">IF(O211="","Excluded",IF(O211&lt;=5,"Lead",IF(O211&lt;=10,"Next wave","Long list")))</f>
        <v>Long list</v>
      </c>
      <c r="Q211" s="10" t="s">
        <v>86</v>
      </c>
      <c r="R211" s="30" t="s">
        <v>370</v>
      </c>
    </row>
    <row r="212" customFormat="false" ht="23.85" hidden="false" customHeight="false" outlineLevel="0" collapsed="false">
      <c r="A212" s="12" t="s">
        <v>19</v>
      </c>
      <c r="B212" s="12" t="s">
        <v>205</v>
      </c>
      <c r="C212" s="10" t="s">
        <v>206</v>
      </c>
      <c r="D212" s="26"/>
      <c r="E212" s="11" t="n">
        <v>93119.2</v>
      </c>
      <c r="F212" s="10" t="s">
        <v>302</v>
      </c>
      <c r="G212" s="7" t="n">
        <v>1</v>
      </c>
      <c r="H212" s="12" t="s">
        <v>95</v>
      </c>
      <c r="I212" s="12" t="s">
        <v>95</v>
      </c>
      <c r="J212" s="10" t="s">
        <v>168</v>
      </c>
      <c r="K212" s="9" t="str">
        <f aca="false">IF(ISNUMBER(D212),COUNTIF($D$6:$D$338,"&lt;"&amp;D212)/(COUNT($D$6:$D$338)-1),"")</f>
        <v/>
      </c>
      <c r="L212" s="9" t="n">
        <f aca="false">IF(ISNUMBER(E212),COUNTIF($E$6:$E$338,"&lt;"&amp;E212)/(COUNT($E$6:$E$338)-1),"")</f>
        <v>0.981927710843374</v>
      </c>
      <c r="M212" s="9" t="n">
        <f aca="false">IF(AND(K212="",L212=""),"",(IF(ISNUMBER(K212),$C$3*K212,0)+IF(ISNUMBER(L212),$E$3*L212,0))/(IF(ISNUMBER(K212),$C$3,0)+IF(ISNUMBER(L212),$E$3,0)))</f>
        <v>0.981927710843374</v>
      </c>
      <c r="N212" s="12" t="s">
        <v>303</v>
      </c>
      <c r="O212" s="7" t="str">
        <f aca="false">IF(N212&lt;&gt;"","",COUNTIFS($A$6:$A$338,A212,$N$6:$N$338,"",$M$6:$M$338,"&gt;"&amp;M212)+COUNTIFS($A$6:A212,A212,$N$6:N212,"",$M$6:M212,M212))</f>
        <v/>
      </c>
      <c r="P212" s="12" t="str">
        <f aca="false">IF(O212="","Excluded",IF(O212&lt;=5,"Lead",IF(O212&lt;=10,"Next wave","Long list")))</f>
        <v>Excluded</v>
      </c>
      <c r="Q212" s="10" t="s">
        <v>97</v>
      </c>
      <c r="R212" s="30" t="s">
        <v>344</v>
      </c>
    </row>
    <row r="213" customFormat="false" ht="23.85" hidden="false" customHeight="false" outlineLevel="0" collapsed="false">
      <c r="A213" s="12" t="s">
        <v>19</v>
      </c>
      <c r="B213" s="12" t="s">
        <v>494</v>
      </c>
      <c r="C213" s="10" t="s">
        <v>495</v>
      </c>
      <c r="D213" s="26"/>
      <c r="E213" s="11" t="n">
        <v>18596.2</v>
      </c>
      <c r="F213" s="10" t="s">
        <v>94</v>
      </c>
      <c r="G213" s="7" t="n">
        <v>9</v>
      </c>
      <c r="H213" s="12" t="s">
        <v>172</v>
      </c>
      <c r="I213" s="12" t="s">
        <v>84</v>
      </c>
      <c r="J213" s="10"/>
      <c r="K213" s="9" t="str">
        <f aca="false">IF(ISNUMBER(D213),COUNTIF($D$6:$D$338,"&lt;"&amp;D213)/(COUNT($D$6:$D$338)-1),"")</f>
        <v/>
      </c>
      <c r="L213" s="9" t="n">
        <f aca="false">IF(ISNUMBER(E213),COUNTIF($E$6:$E$338,"&lt;"&amp;E213)/(COUNT($E$6:$E$338)-1),"")</f>
        <v>0.768072289156627</v>
      </c>
      <c r="M213" s="9" t="n">
        <f aca="false">IF(AND(K213="",L213=""),"",(IF(ISNUMBER(K213),$C$3*K213,0)+IF(ISNUMBER(L213),$E$3*L213,0))/(IF(ISNUMBER(K213),$C$3,0)+IF(ISNUMBER(L213),$E$3,0)))</f>
        <v>0.768072289156627</v>
      </c>
      <c r="N213" s="12" t="s">
        <v>307</v>
      </c>
      <c r="O213" s="7" t="str">
        <f aca="false">IF(N213&lt;&gt;"","",COUNTIFS($A$6:$A$338,A213,$N$6:$N$338,"",$M$6:$M$338,"&gt;"&amp;M213)+COUNTIFS($A$6:A213,A213,$N$6:N213,"",$M$6:M213,M213))</f>
        <v/>
      </c>
      <c r="P213" s="12" t="str">
        <f aca="false">IF(O213="","Excluded",IF(O213&lt;=5,"Lead",IF(O213&lt;=10,"Next wave","Long list")))</f>
        <v>Excluded</v>
      </c>
      <c r="Q213" s="10" t="s">
        <v>102</v>
      </c>
      <c r="R213" s="30" t="s">
        <v>496</v>
      </c>
    </row>
    <row r="214" customFormat="false" ht="23.85" hidden="false" customHeight="false" outlineLevel="0" collapsed="false">
      <c r="A214" s="12" t="s">
        <v>19</v>
      </c>
      <c r="B214" s="12" t="s">
        <v>173</v>
      </c>
      <c r="C214" s="10" t="s">
        <v>174</v>
      </c>
      <c r="D214" s="26" t="n">
        <v>35.27</v>
      </c>
      <c r="E214" s="11" t="n">
        <v>6632.6</v>
      </c>
      <c r="F214" s="10" t="s">
        <v>302</v>
      </c>
      <c r="G214" s="7" t="n">
        <v>3</v>
      </c>
      <c r="H214" s="12" t="s">
        <v>77</v>
      </c>
      <c r="I214" s="12" t="s">
        <v>78</v>
      </c>
      <c r="J214" s="10" t="s">
        <v>175</v>
      </c>
      <c r="K214" s="9" t="n">
        <f aca="false">IF(ISNUMBER(D214),COUNTIF($D$6:$D$338,"&lt;"&amp;D214)/(COUNT($D$6:$D$338)-1),"")</f>
        <v>0.559870550161812</v>
      </c>
      <c r="L214" s="9" t="n">
        <f aca="false">IF(ISNUMBER(E214),COUNTIF($E$6:$E$338,"&lt;"&amp;E214)/(COUNT($E$6:$E$338)-1),"")</f>
        <v>0.61144578313253</v>
      </c>
      <c r="M214" s="9" t="n">
        <f aca="false">IF(AND(K214="",L214=""),"",(IF(ISNUMBER(K214),$C$3*K214,0)+IF(ISNUMBER(L214),$E$3*L214,0))/(IF(ISNUMBER(K214),$C$3,0)+IF(ISNUMBER(L214),$E$3,0)))</f>
        <v>0.585658166647171</v>
      </c>
      <c r="N214" s="12" t="s">
        <v>303</v>
      </c>
      <c r="O214" s="7" t="str">
        <f aca="false">IF(N214&lt;&gt;"","",COUNTIFS($A$6:$A$338,A214,$N$6:$N$338,"",$M$6:$M$338,"&gt;"&amp;M214)+COUNTIFS($A$6:A214,A214,$N$6:N214,"",$M$6:M214,M214))</f>
        <v/>
      </c>
      <c r="P214" s="12" t="str">
        <f aca="false">IF(O214="","Excluded",IF(O214&lt;=5,"Lead",IF(O214&lt;=10,"Next wave","Long list")))</f>
        <v>Excluded</v>
      </c>
      <c r="Q214" s="10" t="s">
        <v>80</v>
      </c>
      <c r="R214" s="30" t="s">
        <v>445</v>
      </c>
    </row>
    <row r="215" customFormat="false" ht="23.85" hidden="false" customHeight="false" outlineLevel="0" collapsed="false">
      <c r="A215" s="12" t="s">
        <v>19</v>
      </c>
      <c r="B215" s="12" t="s">
        <v>437</v>
      </c>
      <c r="C215" s="10" t="s">
        <v>438</v>
      </c>
      <c r="D215" s="26" t="n">
        <v>32.6</v>
      </c>
      <c r="E215" s="11" t="n">
        <v>5695.2</v>
      </c>
      <c r="F215" s="10" t="s">
        <v>302</v>
      </c>
      <c r="G215" s="7" t="n">
        <v>2</v>
      </c>
      <c r="H215" s="12" t="s">
        <v>77</v>
      </c>
      <c r="I215" s="12" t="s">
        <v>84</v>
      </c>
      <c r="J215" s="10"/>
      <c r="K215" s="9" t="n">
        <f aca="false">IF(ISNUMBER(D215),COUNTIF($D$6:$D$338,"&lt;"&amp;D215)/(COUNT($D$6:$D$338)-1),"")</f>
        <v>0.533980582524272</v>
      </c>
      <c r="L215" s="9" t="n">
        <f aca="false">IF(ISNUMBER(E215),COUNTIF($E$6:$E$338,"&lt;"&amp;E215)/(COUNT($E$6:$E$338)-1),"")</f>
        <v>0.563253012048193</v>
      </c>
      <c r="M215" s="9" t="n">
        <f aca="false">IF(AND(K215="",L215=""),"",(IF(ISNUMBER(K215),$C$3*K215,0)+IF(ISNUMBER(L215),$E$3*L215,0))/(IF(ISNUMBER(K215),$C$3,0)+IF(ISNUMBER(L215),$E$3,0)))</f>
        <v>0.548616797286232</v>
      </c>
      <c r="N215" s="12" t="s">
        <v>303</v>
      </c>
      <c r="O215" s="7" t="str">
        <f aca="false">IF(N215&lt;&gt;"","",COUNTIFS($A$6:$A$338,A215,$N$6:$N$338,"",$M$6:$M$338,"&gt;"&amp;M215)+COUNTIFS($A$6:A215,A215,$N$6:N215,"",$M$6:M215,M215))</f>
        <v/>
      </c>
      <c r="P215" s="12" t="str">
        <f aca="false">IF(O215="","Excluded",IF(O215&lt;=5,"Lead",IF(O215&lt;=10,"Next wave","Long list")))</f>
        <v>Excluded</v>
      </c>
      <c r="Q215" s="10" t="s">
        <v>102</v>
      </c>
      <c r="R215" s="30" t="s">
        <v>439</v>
      </c>
    </row>
    <row r="216" customFormat="false" ht="23.85" hidden="false" customHeight="false" outlineLevel="0" collapsed="false">
      <c r="A216" s="12" t="s">
        <v>19</v>
      </c>
      <c r="B216" s="12" t="s">
        <v>563</v>
      </c>
      <c r="C216" s="10" t="s">
        <v>564</v>
      </c>
      <c r="D216" s="26"/>
      <c r="E216" s="11" t="n">
        <v>2009.5</v>
      </c>
      <c r="F216" s="10" t="s">
        <v>94</v>
      </c>
      <c r="G216" s="7" t="n">
        <v>2</v>
      </c>
      <c r="H216" s="12" t="s">
        <v>95</v>
      </c>
      <c r="I216" s="12" t="s">
        <v>84</v>
      </c>
      <c r="J216" s="10"/>
      <c r="K216" s="9" t="str">
        <f aca="false">IF(ISNUMBER(D216),COUNTIF($D$6:$D$338,"&lt;"&amp;D216)/(COUNT($D$6:$D$338)-1),"")</f>
        <v/>
      </c>
      <c r="L216" s="9" t="n">
        <f aca="false">IF(ISNUMBER(E216),COUNTIF($E$6:$E$338,"&lt;"&amp;E216)/(COUNT($E$6:$E$338)-1),"")</f>
        <v>0.265060240963855</v>
      </c>
      <c r="M216" s="9" t="n">
        <f aca="false">IF(AND(K216="",L216=""),"",(IF(ISNUMBER(K216),$C$3*K216,0)+IF(ISNUMBER(L216),$E$3*L216,0))/(IF(ISNUMBER(K216),$C$3,0)+IF(ISNUMBER(L216),$E$3,0)))</f>
        <v>0.265060240963855</v>
      </c>
      <c r="N216" s="12" t="s">
        <v>307</v>
      </c>
      <c r="O216" s="7" t="str">
        <f aca="false">IF(N216&lt;&gt;"","",COUNTIFS($A$6:$A$338,A216,$N$6:$N$338,"",$M$6:$M$338,"&gt;"&amp;M216)+COUNTIFS($A$6:A216,A216,$N$6:N216,"",$M$6:M216,M216))</f>
        <v/>
      </c>
      <c r="P216" s="12" t="str">
        <f aca="false">IF(O216="","Excluded",IF(O216&lt;=5,"Lead",IF(O216&lt;=10,"Next wave","Long list")))</f>
        <v>Excluded</v>
      </c>
      <c r="Q216" s="10" t="s">
        <v>97</v>
      </c>
      <c r="R216" s="30" t="s">
        <v>565</v>
      </c>
    </row>
    <row r="217" customFormat="false" ht="23.85" hidden="false" customHeight="false" outlineLevel="0" collapsed="false">
      <c r="A217" s="12" t="s">
        <v>19</v>
      </c>
      <c r="B217" s="12" t="s">
        <v>260</v>
      </c>
      <c r="C217" s="10" t="s">
        <v>261</v>
      </c>
      <c r="D217" s="26" t="n">
        <v>5.12</v>
      </c>
      <c r="E217" s="11" t="n">
        <v>3067.4</v>
      </c>
      <c r="F217" s="10" t="s">
        <v>302</v>
      </c>
      <c r="G217" s="7" t="n">
        <v>1</v>
      </c>
      <c r="H217" s="12" t="s">
        <v>83</v>
      </c>
      <c r="I217" s="12" t="s">
        <v>84</v>
      </c>
      <c r="J217" s="10" t="s">
        <v>566</v>
      </c>
      <c r="K217" s="9" t="n">
        <f aca="false">IF(ISNUMBER(D217),COUNTIF($D$6:$D$338,"&lt;"&amp;D217)/(COUNT($D$6:$D$338)-1),"")</f>
        <v>0.00323624595469256</v>
      </c>
      <c r="L217" s="9" t="n">
        <f aca="false">IF(ISNUMBER(E217),COUNTIF($E$6:$E$338,"&lt;"&amp;E217)/(COUNT($E$6:$E$338)-1),"")</f>
        <v>0.418674698795181</v>
      </c>
      <c r="M217" s="9" t="n">
        <f aca="false">IF(AND(K217="",L217=""),"",(IF(ISNUMBER(K217),$C$3*K217,0)+IF(ISNUMBER(L217),$E$3*L217,0))/(IF(ISNUMBER(K217),$C$3,0)+IF(ISNUMBER(L217),$E$3,0)))</f>
        <v>0.210955472374937</v>
      </c>
      <c r="N217" s="12" t="s">
        <v>303</v>
      </c>
      <c r="O217" s="7" t="str">
        <f aca="false">IF(N217&lt;&gt;"","",COUNTIFS($A$6:$A$338,A217,$N$6:$N$338,"",$M$6:$M$338,"&gt;"&amp;M217)+COUNTIFS($A$6:A217,A217,$N$6:N217,"",$M$6:M217,M217))</f>
        <v/>
      </c>
      <c r="P217" s="12" t="str">
        <f aca="false">IF(O217="","Excluded",IF(O217&lt;=5,"Lead",IF(O217&lt;=10,"Next wave","Long list")))</f>
        <v>Excluded</v>
      </c>
      <c r="Q217" s="10" t="s">
        <v>86</v>
      </c>
      <c r="R217" s="30" t="s">
        <v>459</v>
      </c>
    </row>
    <row r="218" customFormat="false" ht="23.85" hidden="false" customHeight="false" outlineLevel="0" collapsed="false">
      <c r="A218" s="12" t="s">
        <v>19</v>
      </c>
      <c r="B218" s="12" t="s">
        <v>567</v>
      </c>
      <c r="C218" s="10" t="s">
        <v>568</v>
      </c>
      <c r="D218" s="26" t="n">
        <v>9.93</v>
      </c>
      <c r="E218" s="11" t="n">
        <v>1228.5</v>
      </c>
      <c r="F218" s="10" t="s">
        <v>302</v>
      </c>
      <c r="G218" s="7" t="n">
        <v>1</v>
      </c>
      <c r="H218" s="12" t="s">
        <v>77</v>
      </c>
      <c r="I218" s="12" t="s">
        <v>84</v>
      </c>
      <c r="J218" s="10" t="s">
        <v>101</v>
      </c>
      <c r="K218" s="9" t="n">
        <f aca="false">IF(ISNUMBER(D218),COUNTIF($D$6:$D$338,"&lt;"&amp;D218)/(COUNT($D$6:$D$338)-1),"")</f>
        <v>0.216828478964401</v>
      </c>
      <c r="L218" s="9" t="n">
        <f aca="false">IF(ISNUMBER(E218),COUNTIF($E$6:$E$338,"&lt;"&amp;E218)/(COUNT($E$6:$E$338)-1),"")</f>
        <v>0.177710843373494</v>
      </c>
      <c r="M218" s="9" t="n">
        <f aca="false">IF(AND(K218="",L218=""),"",(IF(ISNUMBER(K218),$C$3*K218,0)+IF(ISNUMBER(L218),$E$3*L218,0))/(IF(ISNUMBER(K218),$C$3,0)+IF(ISNUMBER(L218),$E$3,0)))</f>
        <v>0.197269661168948</v>
      </c>
      <c r="N218" s="12" t="s">
        <v>303</v>
      </c>
      <c r="O218" s="7" t="str">
        <f aca="false">IF(N218&lt;&gt;"","",COUNTIFS($A$6:$A$338,A218,$N$6:$N$338,"",$M$6:$M$338,"&gt;"&amp;M218)+COUNTIFS($A$6:A218,A218,$N$6:N218,"",$M$6:M218,M218))</f>
        <v/>
      </c>
      <c r="P218" s="12" t="str">
        <f aca="false">IF(O218="","Excluded",IF(O218&lt;=5,"Lead",IF(O218&lt;=10,"Next wave","Long list")))</f>
        <v>Excluded</v>
      </c>
      <c r="Q218" s="10" t="s">
        <v>102</v>
      </c>
      <c r="R218" s="30" t="s">
        <v>569</v>
      </c>
    </row>
    <row r="219" customFormat="false" ht="23.85" hidden="false" customHeight="false" outlineLevel="0" collapsed="false">
      <c r="A219" s="12" t="s">
        <v>19</v>
      </c>
      <c r="B219" s="12" t="s">
        <v>497</v>
      </c>
      <c r="C219" s="10" t="s">
        <v>498</v>
      </c>
      <c r="D219" s="26"/>
      <c r="E219" s="11" t="n">
        <v>1332.4</v>
      </c>
      <c r="F219" s="10" t="s">
        <v>195</v>
      </c>
      <c r="G219" s="7" t="n">
        <v>8</v>
      </c>
      <c r="H219" s="12" t="s">
        <v>196</v>
      </c>
      <c r="I219" s="12" t="s">
        <v>84</v>
      </c>
      <c r="J219" s="10"/>
      <c r="K219" s="9" t="str">
        <f aca="false">IF(ISNUMBER(D219),COUNTIF($D$6:$D$338,"&lt;"&amp;D219)/(COUNT($D$6:$D$338)-1),"")</f>
        <v/>
      </c>
      <c r="L219" s="9" t="n">
        <f aca="false">IF(ISNUMBER(E219),COUNTIF($E$6:$E$338,"&lt;"&amp;E219)/(COUNT($E$6:$E$338)-1),"")</f>
        <v>0.183734939759036</v>
      </c>
      <c r="M219" s="9" t="n">
        <f aca="false">IF(AND(K219="",L219=""),"",(IF(ISNUMBER(K219),$C$3*K219,0)+IF(ISNUMBER(L219),$E$3*L219,0))/(IF(ISNUMBER(K219),$C$3,0)+IF(ISNUMBER(L219),$E$3,0)))</f>
        <v>0.183734939759036</v>
      </c>
      <c r="N219" s="12" t="s">
        <v>307</v>
      </c>
      <c r="O219" s="7" t="str">
        <f aca="false">IF(N219&lt;&gt;"","",COUNTIFS($A$6:$A$338,A219,$N$6:$N$338,"",$M$6:$M$338,"&gt;"&amp;M219)+COUNTIFS($A$6:A219,A219,$N$6:N219,"",$M$6:M219,M219))</f>
        <v/>
      </c>
      <c r="P219" s="12" t="str">
        <f aca="false">IF(O219="","Excluded",IF(O219&lt;=5,"Lead",IF(O219&lt;=10,"Next wave","Long list")))</f>
        <v>Excluded</v>
      </c>
      <c r="Q219" s="10" t="s">
        <v>102</v>
      </c>
      <c r="R219" s="30" t="s">
        <v>499</v>
      </c>
    </row>
    <row r="220" customFormat="false" ht="23.85" hidden="false" customHeight="false" outlineLevel="0" collapsed="false">
      <c r="A220" s="12" t="s">
        <v>53</v>
      </c>
      <c r="B220" s="12" t="s">
        <v>116</v>
      </c>
      <c r="C220" s="10" t="s">
        <v>117</v>
      </c>
      <c r="D220" s="26" t="n">
        <v>35.03</v>
      </c>
      <c r="E220" s="11" t="n">
        <v>32830.2</v>
      </c>
      <c r="F220" s="10" t="s">
        <v>147</v>
      </c>
      <c r="G220" s="7" t="n">
        <v>2</v>
      </c>
      <c r="H220" s="12" t="s">
        <v>77</v>
      </c>
      <c r="I220" s="12" t="s">
        <v>84</v>
      </c>
      <c r="J220" s="10" t="s">
        <v>119</v>
      </c>
      <c r="K220" s="9" t="n">
        <f aca="false">IF(ISNUMBER(D220),COUNTIF($D$6:$D$338,"&lt;"&amp;D220)/(COUNT($D$6:$D$338)-1),"")</f>
        <v>0.550161812297735</v>
      </c>
      <c r="L220" s="9" t="n">
        <f aca="false">IF(ISNUMBER(E220),COUNTIF($E$6:$E$338,"&lt;"&amp;E220)/(COUNT($E$6:$E$338)-1),"")</f>
        <v>0.825301204819277</v>
      </c>
      <c r="M220" s="9" t="n">
        <f aca="false">IF(AND(K220="",L220=""),"",(IF(ISNUMBER(K220),$C$3*K220,0)+IF(ISNUMBER(L220),$E$3*L220,0))/(IF(ISNUMBER(K220),$C$3,0)+IF(ISNUMBER(L220),$E$3,0)))</f>
        <v>0.687731508558506</v>
      </c>
      <c r="N220" s="12"/>
      <c r="O220" s="7" t="n">
        <f aca="false">IF(N220&lt;&gt;"","",COUNTIFS($A$6:$A$338,A220,$N$6:$N$338,"",$M$6:$M$338,"&gt;"&amp;M220)+COUNTIFS($A$6:A220,A220,$N$6:N220,"",$M$6:M220,M220))</f>
        <v>1</v>
      </c>
      <c r="P220" s="12" t="str">
        <f aca="false">IF(O220="","Excluded",IF(O220&lt;=5,"Lead",IF(O220&lt;=10,"Next wave","Long list")))</f>
        <v>Lead</v>
      </c>
      <c r="Q220" s="10" t="s">
        <v>80</v>
      </c>
      <c r="R220" s="30" t="s">
        <v>426</v>
      </c>
    </row>
    <row r="221" customFormat="false" ht="23.85" hidden="false" customHeight="false" outlineLevel="0" collapsed="false">
      <c r="A221" s="12" t="s">
        <v>53</v>
      </c>
      <c r="B221" s="12" t="s">
        <v>285</v>
      </c>
      <c r="C221" s="10" t="s">
        <v>286</v>
      </c>
      <c r="D221" s="26" t="n">
        <v>10.14</v>
      </c>
      <c r="E221" s="11" t="n">
        <v>1053.6</v>
      </c>
      <c r="F221" s="10" t="s">
        <v>147</v>
      </c>
      <c r="G221" s="7" t="n">
        <v>1</v>
      </c>
      <c r="H221" s="12" t="s">
        <v>95</v>
      </c>
      <c r="I221" s="12" t="s">
        <v>84</v>
      </c>
      <c r="J221" s="10" t="s">
        <v>163</v>
      </c>
      <c r="K221" s="9" t="n">
        <f aca="false">IF(ISNUMBER(D221),COUNTIF($D$6:$D$338,"&lt;"&amp;D221)/(COUNT($D$6:$D$338)-1),"")</f>
        <v>0.233009708737864</v>
      </c>
      <c r="L221" s="9" t="n">
        <f aca="false">IF(ISNUMBER(E221),COUNTIF($E$6:$E$338,"&lt;"&amp;E221)/(COUNT($E$6:$E$338)-1),"")</f>
        <v>0.150602409638554</v>
      </c>
      <c r="M221" s="9" t="n">
        <f aca="false">IF(AND(K221="",L221=""),"",(IF(ISNUMBER(K221),$C$3*K221,0)+IF(ISNUMBER(L221),$E$3*L221,0))/(IF(ISNUMBER(K221),$C$3,0)+IF(ISNUMBER(L221),$E$3,0)))</f>
        <v>0.191806059188209</v>
      </c>
      <c r="N221" s="12"/>
      <c r="O221" s="7" t="n">
        <f aca="false">IF(N221&lt;&gt;"","",COUNTIFS($A$6:$A$338,A221,$N$6:$N$338,"",$M$6:$M$338,"&gt;"&amp;M221)+COUNTIFS($A$6:A221,A221,$N$6:N221,"",$M$6:M221,M221))</f>
        <v>2</v>
      </c>
      <c r="P221" s="12" t="str">
        <f aca="false">IF(O221="","Excluded",IF(O221&lt;=5,"Lead",IF(O221&lt;=10,"Next wave","Long list")))</f>
        <v>Lead</v>
      </c>
      <c r="Q221" s="10" t="s">
        <v>97</v>
      </c>
      <c r="R221" s="30" t="s">
        <v>301</v>
      </c>
    </row>
    <row r="222" customFormat="false" ht="23.85" hidden="false" customHeight="false" outlineLevel="0" collapsed="false">
      <c r="A222" s="12" t="s">
        <v>53</v>
      </c>
      <c r="B222" s="12" t="s">
        <v>148</v>
      </c>
      <c r="C222" s="10" t="s">
        <v>149</v>
      </c>
      <c r="D222" s="26" t="n">
        <v>21.3</v>
      </c>
      <c r="E222" s="11" t="n">
        <v>53539.9</v>
      </c>
      <c r="F222" s="10" t="s">
        <v>302</v>
      </c>
      <c r="G222" s="7" t="n">
        <v>1</v>
      </c>
      <c r="H222" s="12" t="s">
        <v>77</v>
      </c>
      <c r="I222" s="12" t="s">
        <v>107</v>
      </c>
      <c r="J222" s="10" t="s">
        <v>151</v>
      </c>
      <c r="K222" s="9" t="n">
        <f aca="false">IF(ISNUMBER(D222),COUNTIF($D$6:$D$338,"&lt;"&amp;D222)/(COUNT($D$6:$D$338)-1),"")</f>
        <v>0.401294498381877</v>
      </c>
      <c r="L222" s="9" t="n">
        <f aca="false">IF(ISNUMBER(E222),COUNTIF($E$6:$E$338,"&lt;"&amp;E222)/(COUNT($E$6:$E$338)-1),"")</f>
        <v>0.921686746987952</v>
      </c>
      <c r="M222" s="9" t="n">
        <f aca="false">IF(AND(K222="",L222=""),"",(IF(ISNUMBER(K222),$C$3*K222,0)+IF(ISNUMBER(L222),$E$3*L222,0))/(IF(ISNUMBER(K222),$C$3,0)+IF(ISNUMBER(L222),$E$3,0)))</f>
        <v>0.661490622684914</v>
      </c>
      <c r="N222" s="12" t="s">
        <v>303</v>
      </c>
      <c r="O222" s="7" t="str">
        <f aca="false">IF(N222&lt;&gt;"","",COUNTIFS($A$6:$A$338,A222,$N$6:$N$338,"",$M$6:$M$338,"&gt;"&amp;M222)+COUNTIFS($A$6:A222,A222,$N$6:N222,"",$M$6:M222,M222))</f>
        <v/>
      </c>
      <c r="P222" s="12" t="str">
        <f aca="false">IF(O222="","Excluded",IF(O222&lt;=5,"Lead",IF(O222&lt;=10,"Next wave","Long list")))</f>
        <v>Excluded</v>
      </c>
      <c r="Q222" s="10" t="s">
        <v>80</v>
      </c>
      <c r="R222" s="30" t="s">
        <v>315</v>
      </c>
    </row>
    <row r="223" customFormat="false" ht="23.85" hidden="false" customHeight="false" outlineLevel="0" collapsed="false">
      <c r="A223" s="12" t="s">
        <v>53</v>
      </c>
      <c r="B223" s="12" t="s">
        <v>104</v>
      </c>
      <c r="C223" s="10" t="s">
        <v>105</v>
      </c>
      <c r="D223" s="26" t="n">
        <v>11.47</v>
      </c>
      <c r="E223" s="11" t="n">
        <v>59827.2</v>
      </c>
      <c r="F223" s="10" t="s">
        <v>302</v>
      </c>
      <c r="G223" s="7" t="n">
        <v>1</v>
      </c>
      <c r="H223" s="12" t="s">
        <v>77</v>
      </c>
      <c r="I223" s="12" t="s">
        <v>78</v>
      </c>
      <c r="J223" s="10" t="s">
        <v>108</v>
      </c>
      <c r="K223" s="9" t="n">
        <f aca="false">IF(ISNUMBER(D223),COUNTIF($D$6:$D$338,"&lt;"&amp;D223)/(COUNT($D$6:$D$338)-1),"")</f>
        <v>0.26537216828479</v>
      </c>
      <c r="L223" s="9" t="n">
        <f aca="false">IF(ISNUMBER(E223),COUNTIF($E$6:$E$338,"&lt;"&amp;E223)/(COUNT($E$6:$E$338)-1),"")</f>
        <v>0.957831325301205</v>
      </c>
      <c r="M223" s="9" t="n">
        <f aca="false">IF(AND(K223="",L223=""),"",(IF(ISNUMBER(K223),$C$3*K223,0)+IF(ISNUMBER(L223),$E$3*L223,0))/(IF(ISNUMBER(K223),$C$3,0)+IF(ISNUMBER(L223),$E$3,0)))</f>
        <v>0.611601746792997</v>
      </c>
      <c r="N223" s="12" t="s">
        <v>303</v>
      </c>
      <c r="O223" s="7" t="str">
        <f aca="false">IF(N223&lt;&gt;"","",COUNTIFS($A$6:$A$338,A223,$N$6:$N$338,"",$M$6:$M$338,"&gt;"&amp;M223)+COUNTIFS($A$6:A223,A223,$N$6:N223,"",$M$6:M223,M223))</f>
        <v/>
      </c>
      <c r="P223" s="12" t="str">
        <f aca="false">IF(O223="","Excluded",IF(O223&lt;=5,"Lead",IF(O223&lt;=10,"Next wave","Long list")))</f>
        <v>Excluded</v>
      </c>
      <c r="Q223" s="10" t="s">
        <v>80</v>
      </c>
      <c r="R223" s="30" t="s">
        <v>312</v>
      </c>
    </row>
    <row r="224" customFormat="false" ht="23.85" hidden="false" customHeight="false" outlineLevel="0" collapsed="false">
      <c r="A224" s="12" t="s">
        <v>53</v>
      </c>
      <c r="B224" s="12" t="s">
        <v>56</v>
      </c>
      <c r="C224" s="10" t="s">
        <v>152</v>
      </c>
      <c r="D224" s="26" t="n">
        <v>11.1</v>
      </c>
      <c r="E224" s="11" t="n">
        <v>58920.4</v>
      </c>
      <c r="F224" s="10" t="s">
        <v>302</v>
      </c>
      <c r="G224" s="7" t="n">
        <v>2</v>
      </c>
      <c r="H224" s="12" t="s">
        <v>77</v>
      </c>
      <c r="I224" s="12" t="s">
        <v>107</v>
      </c>
      <c r="J224" s="10" t="s">
        <v>154</v>
      </c>
      <c r="K224" s="9" t="n">
        <f aca="false">IF(ISNUMBER(D224),COUNTIF($D$6:$D$338,"&lt;"&amp;D224)/(COUNT($D$6:$D$338)-1),"")</f>
        <v>0.258899676375405</v>
      </c>
      <c r="L224" s="9" t="n">
        <f aca="false">IF(ISNUMBER(E224),COUNTIF($E$6:$E$338,"&lt;"&amp;E224)/(COUNT($E$6:$E$338)-1),"")</f>
        <v>0.936746987951807</v>
      </c>
      <c r="M224" s="9" t="n">
        <f aca="false">IF(AND(K224="",L224=""),"",(IF(ISNUMBER(K224),$C$3*K224,0)+IF(ISNUMBER(L224),$E$3*L224,0))/(IF(ISNUMBER(K224),$C$3,0)+IF(ISNUMBER(L224),$E$3,0)))</f>
        <v>0.597823332163606</v>
      </c>
      <c r="N224" s="12" t="s">
        <v>303</v>
      </c>
      <c r="O224" s="7" t="str">
        <f aca="false">IF(N224&lt;&gt;"","",COUNTIFS($A$6:$A$338,A224,$N$6:$N$338,"",$M$6:$M$338,"&gt;"&amp;M224)+COUNTIFS($A$6:A224,A224,$N$6:N224,"",$M$6:M224,M224))</f>
        <v/>
      </c>
      <c r="P224" s="12" t="str">
        <f aca="false">IF(O224="","Excluded",IF(O224&lt;=5,"Lead",IF(O224&lt;=10,"Next wave","Long list")))</f>
        <v>Excluded</v>
      </c>
      <c r="Q224" s="10" t="s">
        <v>80</v>
      </c>
      <c r="R224" s="30" t="s">
        <v>317</v>
      </c>
    </row>
    <row r="225" customFormat="false" ht="23.85" hidden="false" customHeight="false" outlineLevel="0" collapsed="false">
      <c r="A225" s="12" t="s">
        <v>53</v>
      </c>
      <c r="B225" s="12" t="s">
        <v>173</v>
      </c>
      <c r="C225" s="10" t="s">
        <v>174</v>
      </c>
      <c r="D225" s="26" t="n">
        <v>32.43</v>
      </c>
      <c r="E225" s="11" t="n">
        <v>6632.6</v>
      </c>
      <c r="F225" s="10" t="s">
        <v>302</v>
      </c>
      <c r="G225" s="7" t="n">
        <v>2</v>
      </c>
      <c r="H225" s="12" t="s">
        <v>196</v>
      </c>
      <c r="I225" s="12" t="s">
        <v>84</v>
      </c>
      <c r="J225" s="10" t="s">
        <v>175</v>
      </c>
      <c r="K225" s="9" t="n">
        <f aca="false">IF(ISNUMBER(D225),COUNTIF($D$6:$D$338,"&lt;"&amp;D225)/(COUNT($D$6:$D$338)-1),"")</f>
        <v>0.530744336569579</v>
      </c>
      <c r="L225" s="9" t="n">
        <f aca="false">IF(ISNUMBER(E225),COUNTIF($E$6:$E$338,"&lt;"&amp;E225)/(COUNT($E$6:$E$338)-1),"")</f>
        <v>0.61144578313253</v>
      </c>
      <c r="M225" s="9" t="n">
        <f aca="false">IF(AND(K225="",L225=""),"",(IF(ISNUMBER(K225),$C$3*K225,0)+IF(ISNUMBER(L225),$E$3*L225,0))/(IF(ISNUMBER(K225),$C$3,0)+IF(ISNUMBER(L225),$E$3,0)))</f>
        <v>0.571095059851055</v>
      </c>
      <c r="N225" s="12" t="s">
        <v>303</v>
      </c>
      <c r="O225" s="7" t="str">
        <f aca="false">IF(N225&lt;&gt;"","",COUNTIFS($A$6:$A$338,A225,$N$6:$N$338,"",$M$6:$M$338,"&gt;"&amp;M225)+COUNTIFS($A$6:A225,A225,$N$6:N225,"",$M$6:M225,M225))</f>
        <v/>
      </c>
      <c r="P225" s="12" t="str">
        <f aca="false">IF(O225="","Excluded",IF(O225&lt;=5,"Lead",IF(O225&lt;=10,"Next wave","Long list")))</f>
        <v>Excluded</v>
      </c>
      <c r="Q225" s="10" t="s">
        <v>80</v>
      </c>
      <c r="R225" s="30" t="s">
        <v>445</v>
      </c>
    </row>
    <row r="226" customFormat="false" ht="23.85" hidden="false" customHeight="false" outlineLevel="0" collapsed="false">
      <c r="A226" s="12" t="s">
        <v>53</v>
      </c>
      <c r="B226" s="12" t="s">
        <v>214</v>
      </c>
      <c r="C226" s="10" t="s">
        <v>215</v>
      </c>
      <c r="D226" s="26"/>
      <c r="E226" s="11" t="n">
        <v>4036.6</v>
      </c>
      <c r="F226" s="10" t="s">
        <v>302</v>
      </c>
      <c r="G226" s="7" t="n">
        <v>1</v>
      </c>
      <c r="H226" s="12" t="s">
        <v>196</v>
      </c>
      <c r="I226" s="12" t="s">
        <v>84</v>
      </c>
      <c r="J226" s="10" t="s">
        <v>163</v>
      </c>
      <c r="K226" s="9" t="str">
        <f aca="false">IF(ISNUMBER(D226),COUNTIF($D$6:$D$338,"&lt;"&amp;D226)/(COUNT($D$6:$D$338)-1),"")</f>
        <v/>
      </c>
      <c r="L226" s="9" t="n">
        <f aca="false">IF(ISNUMBER(E226),COUNTIF($E$6:$E$338,"&lt;"&amp;E226)/(COUNT($E$6:$E$338)-1),"")</f>
        <v>0.503012048192771</v>
      </c>
      <c r="M226" s="9" t="n">
        <f aca="false">IF(AND(K226="",L226=""),"",(IF(ISNUMBER(K226),$C$3*K226,0)+IF(ISNUMBER(L226),$E$3*L226,0))/(IF(ISNUMBER(K226),$C$3,0)+IF(ISNUMBER(L226),$E$3,0)))</f>
        <v>0.503012048192771</v>
      </c>
      <c r="N226" s="12" t="s">
        <v>303</v>
      </c>
      <c r="O226" s="7" t="str">
        <f aca="false">IF(N226&lt;&gt;"","",COUNTIFS($A$6:$A$338,A226,$N$6:$N$338,"",$M$6:$M$338,"&gt;"&amp;M226)+COUNTIFS($A$6:A226,A226,$N$6:N226,"",$M$6:M226,M226))</f>
        <v/>
      </c>
      <c r="P226" s="12" t="str">
        <f aca="false">IF(O226="","Excluded",IF(O226&lt;=5,"Lead",IF(O226&lt;=10,"Next wave","Long list")))</f>
        <v>Excluded</v>
      </c>
      <c r="Q226" s="10" t="s">
        <v>80</v>
      </c>
      <c r="R226" s="30" t="s">
        <v>475</v>
      </c>
    </row>
    <row r="227" customFormat="false" ht="23.85" hidden="false" customHeight="false" outlineLevel="0" collapsed="false">
      <c r="A227" s="12" t="s">
        <v>53</v>
      </c>
      <c r="B227" s="12" t="s">
        <v>446</v>
      </c>
      <c r="C227" s="10" t="s">
        <v>447</v>
      </c>
      <c r="D227" s="26" t="n">
        <v>125.38</v>
      </c>
      <c r="E227" s="11" t="n">
        <v>184.9</v>
      </c>
      <c r="F227" s="10" t="s">
        <v>302</v>
      </c>
      <c r="G227" s="7" t="n">
        <v>1</v>
      </c>
      <c r="H227" s="12" t="s">
        <v>77</v>
      </c>
      <c r="I227" s="12" t="s">
        <v>84</v>
      </c>
      <c r="J227" s="10" t="s">
        <v>163</v>
      </c>
      <c r="K227" s="9" t="n">
        <f aca="false">IF(ISNUMBER(D227),COUNTIF($D$6:$D$338,"&lt;"&amp;D227)/(COUNT($D$6:$D$338)-1),"")</f>
        <v>0.796116504854369</v>
      </c>
      <c r="L227" s="9" t="n">
        <f aca="false">IF(ISNUMBER(E227),COUNTIF($E$6:$E$338,"&lt;"&amp;E227)/(COUNT($E$6:$E$338)-1),"")</f>
        <v>0.0572289156626506</v>
      </c>
      <c r="M227" s="9" t="n">
        <f aca="false">IF(AND(K227="",L227=""),"",(IF(ISNUMBER(K227),$C$3*K227,0)+IF(ISNUMBER(L227),$E$3*L227,0))/(IF(ISNUMBER(K227),$C$3,0)+IF(ISNUMBER(L227),$E$3,0)))</f>
        <v>0.42667271025851</v>
      </c>
      <c r="N227" s="12" t="s">
        <v>303</v>
      </c>
      <c r="O227" s="7" t="str">
        <f aca="false">IF(N227&lt;&gt;"","",COUNTIFS($A$6:$A$338,A227,$N$6:$N$338,"",$M$6:$M$338,"&gt;"&amp;M227)+COUNTIFS($A$6:A227,A227,$N$6:N227,"",$M$6:M227,M227))</f>
        <v/>
      </c>
      <c r="P227" s="12" t="str">
        <f aca="false">IF(O227="","Excluded",IF(O227&lt;=5,"Lead",IF(O227&lt;=10,"Next wave","Long list")))</f>
        <v>Excluded</v>
      </c>
      <c r="Q227" s="10" t="s">
        <v>80</v>
      </c>
      <c r="R227" s="30" t="s">
        <v>448</v>
      </c>
    </row>
    <row r="228" customFormat="false" ht="23.85" hidden="false" customHeight="false" outlineLevel="0" collapsed="false">
      <c r="A228" s="12" t="s">
        <v>53</v>
      </c>
      <c r="B228" s="12" t="s">
        <v>241</v>
      </c>
      <c r="C228" s="10" t="s">
        <v>242</v>
      </c>
      <c r="D228" s="26" t="n">
        <v>32.88</v>
      </c>
      <c r="E228" s="11" t="n">
        <v>2508.1</v>
      </c>
      <c r="F228" s="10" t="s">
        <v>302</v>
      </c>
      <c r="G228" s="7" t="n">
        <v>1</v>
      </c>
      <c r="H228" s="12" t="s">
        <v>77</v>
      </c>
      <c r="I228" s="12" t="s">
        <v>84</v>
      </c>
      <c r="J228" s="10" t="s">
        <v>178</v>
      </c>
      <c r="K228" s="9" t="n">
        <f aca="false">IF(ISNUMBER(D228),COUNTIF($D$6:$D$338,"&lt;"&amp;D228)/(COUNT($D$6:$D$338)-1),"")</f>
        <v>0.537216828478964</v>
      </c>
      <c r="L228" s="9" t="n">
        <f aca="false">IF(ISNUMBER(E228),COUNTIF($E$6:$E$338,"&lt;"&amp;E228)/(COUNT($E$6:$E$338)-1),"")</f>
        <v>0.313253012048193</v>
      </c>
      <c r="M228" s="9" t="n">
        <f aca="false">IF(AND(K228="",L228=""),"",(IF(ISNUMBER(K228),$C$3*K228,0)+IF(ISNUMBER(L228),$E$3*L228,0))/(IF(ISNUMBER(K228),$C$3,0)+IF(ISNUMBER(L228),$E$3,0)))</f>
        <v>0.425234920263579</v>
      </c>
      <c r="N228" s="12" t="s">
        <v>303</v>
      </c>
      <c r="O228" s="7" t="str">
        <f aca="false">IF(N228&lt;&gt;"","",COUNTIFS($A$6:$A$338,A228,$N$6:$N$338,"",$M$6:$M$338,"&gt;"&amp;M228)+COUNTIFS($A$6:A228,A228,$N$6:N228,"",$M$6:M228,M228))</f>
        <v/>
      </c>
      <c r="P228" s="12" t="str">
        <f aca="false">IF(O228="","Excluded",IF(O228&lt;=5,"Lead",IF(O228&lt;=10,"Next wave","Long list")))</f>
        <v>Excluded</v>
      </c>
      <c r="Q228" s="10" t="s">
        <v>80</v>
      </c>
      <c r="R228" s="30" t="s">
        <v>539</v>
      </c>
    </row>
    <row r="229" customFormat="false" ht="23.85" hidden="false" customHeight="false" outlineLevel="0" collapsed="false">
      <c r="A229" s="12" t="s">
        <v>53</v>
      </c>
      <c r="B229" s="12" t="s">
        <v>405</v>
      </c>
      <c r="C229" s="10" t="s">
        <v>406</v>
      </c>
      <c r="D229" s="26"/>
      <c r="E229" s="11" t="n">
        <v>2937.3</v>
      </c>
      <c r="F229" s="10" t="s">
        <v>302</v>
      </c>
      <c r="G229" s="7" t="n">
        <v>1</v>
      </c>
      <c r="H229" s="12" t="s">
        <v>196</v>
      </c>
      <c r="I229" s="12" t="s">
        <v>95</v>
      </c>
      <c r="J229" s="10" t="s">
        <v>163</v>
      </c>
      <c r="K229" s="9" t="str">
        <f aca="false">IF(ISNUMBER(D229),COUNTIF($D$6:$D$338,"&lt;"&amp;D229)/(COUNT($D$6:$D$338)-1),"")</f>
        <v/>
      </c>
      <c r="L229" s="9" t="n">
        <f aca="false">IF(ISNUMBER(E229),COUNTIF($E$6:$E$338,"&lt;"&amp;E229)/(COUNT($E$6:$E$338)-1),"")</f>
        <v>0.406626506024096</v>
      </c>
      <c r="M229" s="9" t="n">
        <f aca="false">IF(AND(K229="",L229=""),"",(IF(ISNUMBER(K229),$C$3*K229,0)+IF(ISNUMBER(L229),$E$3*L229,0))/(IF(ISNUMBER(K229),$C$3,0)+IF(ISNUMBER(L229),$E$3,0)))</f>
        <v>0.406626506024096</v>
      </c>
      <c r="N229" s="12" t="s">
        <v>303</v>
      </c>
      <c r="O229" s="7" t="str">
        <f aca="false">IF(N229&lt;&gt;"","",COUNTIFS($A$6:$A$338,A229,$N$6:$N$338,"",$M$6:$M$338,"&gt;"&amp;M229)+COUNTIFS($A$6:A229,A229,$N$6:N229,"",$M$6:M229,M229))</f>
        <v/>
      </c>
      <c r="P229" s="12" t="str">
        <f aca="false">IF(O229="","Excluded",IF(O229&lt;=5,"Lead",IF(O229&lt;=10,"Next wave","Long list")))</f>
        <v>Excluded</v>
      </c>
      <c r="Q229" s="10" t="s">
        <v>80</v>
      </c>
      <c r="R229" s="30" t="s">
        <v>408</v>
      </c>
    </row>
    <row r="230" customFormat="false" ht="23.85" hidden="false" customHeight="false" outlineLevel="0" collapsed="false">
      <c r="A230" s="12" t="s">
        <v>53</v>
      </c>
      <c r="B230" s="12" t="s">
        <v>570</v>
      </c>
      <c r="C230" s="10" t="s">
        <v>571</v>
      </c>
      <c r="D230" s="26" t="n">
        <v>8.11</v>
      </c>
      <c r="E230" s="11" t="n">
        <v>7218.2</v>
      </c>
      <c r="F230" s="10" t="s">
        <v>302</v>
      </c>
      <c r="G230" s="7" t="n">
        <v>1</v>
      </c>
      <c r="H230" s="12" t="s">
        <v>196</v>
      </c>
      <c r="I230" s="12" t="s">
        <v>84</v>
      </c>
      <c r="J230" s="10"/>
      <c r="K230" s="9" t="n">
        <f aca="false">IF(ISNUMBER(D230),COUNTIF($D$6:$D$338,"&lt;"&amp;D230)/(COUNT($D$6:$D$338)-1),"")</f>
        <v>0.16504854368932</v>
      </c>
      <c r="L230" s="9" t="n">
        <f aca="false">IF(ISNUMBER(E230),COUNTIF($E$6:$E$338,"&lt;"&amp;E230)/(COUNT($E$6:$E$338)-1),"")</f>
        <v>0.641566265060241</v>
      </c>
      <c r="M230" s="9" t="n">
        <f aca="false">IF(AND(K230="",L230=""),"",(IF(ISNUMBER(K230),$C$3*K230,0)+IF(ISNUMBER(L230),$E$3*L230,0))/(IF(ISNUMBER(K230),$C$3,0)+IF(ISNUMBER(L230),$E$3,0)))</f>
        <v>0.403307404374781</v>
      </c>
      <c r="N230" s="12" t="s">
        <v>303</v>
      </c>
      <c r="O230" s="7" t="str">
        <f aca="false">IF(N230&lt;&gt;"","",COUNTIFS($A$6:$A$338,A230,$N$6:$N$338,"",$M$6:$M$338,"&gt;"&amp;M230)+COUNTIFS($A$6:A230,A230,$N$6:N230,"",$M$6:M230,M230))</f>
        <v/>
      </c>
      <c r="P230" s="12" t="str">
        <f aca="false">IF(O230="","Excluded",IF(O230&lt;=5,"Lead",IF(O230&lt;=10,"Next wave","Long list")))</f>
        <v>Excluded</v>
      </c>
      <c r="Q230" s="10" t="s">
        <v>102</v>
      </c>
      <c r="R230" s="30" t="s">
        <v>572</v>
      </c>
    </row>
    <row r="231" customFormat="false" ht="23.85" hidden="false" customHeight="false" outlineLevel="0" collapsed="false">
      <c r="A231" s="12" t="s">
        <v>53</v>
      </c>
      <c r="B231" s="12" t="s">
        <v>573</v>
      </c>
      <c r="C231" s="10" t="s">
        <v>574</v>
      </c>
      <c r="D231" s="26" t="n">
        <v>7.55</v>
      </c>
      <c r="E231" s="11" t="n">
        <v>4930.6</v>
      </c>
      <c r="F231" s="10" t="s">
        <v>302</v>
      </c>
      <c r="G231" s="7" t="n">
        <v>1</v>
      </c>
      <c r="H231" s="12" t="s">
        <v>196</v>
      </c>
      <c r="I231" s="12" t="s">
        <v>84</v>
      </c>
      <c r="J231" s="10"/>
      <c r="K231" s="9" t="n">
        <f aca="false">IF(ISNUMBER(D231),COUNTIF($D$6:$D$338,"&lt;"&amp;D231)/(COUNT($D$6:$D$338)-1),"")</f>
        <v>0.13915857605178</v>
      </c>
      <c r="L231" s="9" t="n">
        <f aca="false">IF(ISNUMBER(E231),COUNTIF($E$6:$E$338,"&lt;"&amp;E231)/(COUNT($E$6:$E$338)-1),"")</f>
        <v>0.548192771084337</v>
      </c>
      <c r="M231" s="9" t="n">
        <f aca="false">IF(AND(K231="",L231=""),"",(IF(ISNUMBER(K231),$C$3*K231,0)+IF(ISNUMBER(L231),$E$3*L231,0))/(IF(ISNUMBER(K231),$C$3,0)+IF(ISNUMBER(L231),$E$3,0)))</f>
        <v>0.343675673568059</v>
      </c>
      <c r="N231" s="12" t="s">
        <v>303</v>
      </c>
      <c r="O231" s="7" t="str">
        <f aca="false">IF(N231&lt;&gt;"","",COUNTIFS($A$6:$A$338,A231,$N$6:$N$338,"",$M$6:$M$338,"&gt;"&amp;M231)+COUNTIFS($A$6:A231,A231,$N$6:N231,"",$M$6:M231,M231))</f>
        <v/>
      </c>
      <c r="P231" s="12" t="str">
        <f aca="false">IF(O231="","Excluded",IF(O231&lt;=5,"Lead",IF(O231&lt;=10,"Next wave","Long list")))</f>
        <v>Excluded</v>
      </c>
      <c r="Q231" s="10" t="s">
        <v>102</v>
      </c>
      <c r="R231" s="30" t="s">
        <v>575</v>
      </c>
    </row>
    <row r="232" customFormat="false" ht="23.85" hidden="false" customHeight="false" outlineLevel="0" collapsed="false">
      <c r="A232" s="12" t="s">
        <v>53</v>
      </c>
      <c r="B232" s="12" t="s">
        <v>576</v>
      </c>
      <c r="C232" s="10" t="s">
        <v>577</v>
      </c>
      <c r="D232" s="26" t="n">
        <v>18.28</v>
      </c>
      <c r="E232" s="11" t="n">
        <v>1223.2</v>
      </c>
      <c r="F232" s="10" t="s">
        <v>302</v>
      </c>
      <c r="G232" s="7" t="n">
        <v>1</v>
      </c>
      <c r="H232" s="12" t="s">
        <v>77</v>
      </c>
      <c r="I232" s="12" t="s">
        <v>78</v>
      </c>
      <c r="J232" s="10" t="s">
        <v>142</v>
      </c>
      <c r="K232" s="9" t="n">
        <f aca="false">IF(ISNUMBER(D232),COUNTIF($D$6:$D$338,"&lt;"&amp;D232)/(COUNT($D$6:$D$338)-1),"")</f>
        <v>0.372168284789644</v>
      </c>
      <c r="L232" s="9" t="n">
        <f aca="false">IF(ISNUMBER(E232),COUNTIF($E$6:$E$338,"&lt;"&amp;E232)/(COUNT($E$6:$E$338)-1),"")</f>
        <v>0.174698795180723</v>
      </c>
      <c r="M232" s="9" t="n">
        <f aca="false">IF(AND(K232="",L232=""),"",(IF(ISNUMBER(K232),$C$3*K232,0)+IF(ISNUMBER(L232),$E$3*L232,0))/(IF(ISNUMBER(K232),$C$3,0)+IF(ISNUMBER(L232),$E$3,0)))</f>
        <v>0.273433539985184</v>
      </c>
      <c r="N232" s="12" t="s">
        <v>303</v>
      </c>
      <c r="O232" s="7" t="str">
        <f aca="false">IF(N232&lt;&gt;"","",COUNTIFS($A$6:$A$338,A232,$N$6:$N$338,"",$M$6:$M$338,"&gt;"&amp;M232)+COUNTIFS($A$6:A232,A232,$N$6:N232,"",$M$6:M232,M232))</f>
        <v/>
      </c>
      <c r="P232" s="12" t="str">
        <f aca="false">IF(O232="","Excluded",IF(O232&lt;=5,"Lead",IF(O232&lt;=10,"Next wave","Long list")))</f>
        <v>Excluded</v>
      </c>
      <c r="Q232" s="10" t="s">
        <v>102</v>
      </c>
      <c r="R232" s="30" t="s">
        <v>578</v>
      </c>
    </row>
    <row r="233" customFormat="false" ht="23.85" hidden="false" customHeight="false" outlineLevel="0" collapsed="false">
      <c r="A233" s="12" t="s">
        <v>53</v>
      </c>
      <c r="B233" s="12" t="s">
        <v>579</v>
      </c>
      <c r="C233" s="10" t="s">
        <v>580</v>
      </c>
      <c r="D233" s="26"/>
      <c r="E233" s="11" t="n">
        <v>1930</v>
      </c>
      <c r="F233" s="10" t="s">
        <v>302</v>
      </c>
      <c r="G233" s="7" t="n">
        <v>1</v>
      </c>
      <c r="H233" s="12" t="s">
        <v>77</v>
      </c>
      <c r="I233" s="12" t="s">
        <v>78</v>
      </c>
      <c r="J233" s="10" t="s">
        <v>142</v>
      </c>
      <c r="K233" s="9" t="str">
        <f aca="false">IF(ISNUMBER(D233),COUNTIF($D$6:$D$338,"&lt;"&amp;D233)/(COUNT($D$6:$D$338)-1),"")</f>
        <v/>
      </c>
      <c r="L233" s="9" t="n">
        <f aca="false">IF(ISNUMBER(E233),COUNTIF($E$6:$E$338,"&lt;"&amp;E233)/(COUNT($E$6:$E$338)-1),"")</f>
        <v>0.259036144578313</v>
      </c>
      <c r="M233" s="9" t="n">
        <f aca="false">IF(AND(K233="",L233=""),"",(IF(ISNUMBER(K233),$C$3*K233,0)+IF(ISNUMBER(L233),$E$3*L233,0))/(IF(ISNUMBER(K233),$C$3,0)+IF(ISNUMBER(L233),$E$3,0)))</f>
        <v>0.259036144578313</v>
      </c>
      <c r="N233" s="12" t="s">
        <v>303</v>
      </c>
      <c r="O233" s="7" t="str">
        <f aca="false">IF(N233&lt;&gt;"","",COUNTIFS($A$6:$A$338,A233,$N$6:$N$338,"",$M$6:$M$338,"&gt;"&amp;M233)+COUNTIFS($A$6:A233,A233,$N$6:N233,"",$M$6:M233,M233))</f>
        <v/>
      </c>
      <c r="P233" s="12" t="str">
        <f aca="false">IF(O233="","Excluded",IF(O233&lt;=5,"Lead",IF(O233&lt;=10,"Next wave","Long list")))</f>
        <v>Excluded</v>
      </c>
      <c r="Q233" s="10" t="s">
        <v>102</v>
      </c>
      <c r="R233" s="30" t="s">
        <v>581</v>
      </c>
    </row>
    <row r="234" customFormat="false" ht="23.85" hidden="false" customHeight="false" outlineLevel="0" collapsed="false">
      <c r="A234" s="12" t="s">
        <v>53</v>
      </c>
      <c r="B234" s="12" t="s">
        <v>267</v>
      </c>
      <c r="C234" s="10" t="s">
        <v>268</v>
      </c>
      <c r="D234" s="26" t="n">
        <v>24.71</v>
      </c>
      <c r="E234" s="11" t="n">
        <v>14.3</v>
      </c>
      <c r="F234" s="10" t="s">
        <v>302</v>
      </c>
      <c r="G234" s="7" t="n">
        <v>1</v>
      </c>
      <c r="H234" s="12" t="s">
        <v>196</v>
      </c>
      <c r="I234" s="12" t="s">
        <v>84</v>
      </c>
      <c r="J234" s="10"/>
      <c r="K234" s="9" t="n">
        <f aca="false">IF(ISNUMBER(D234),COUNTIF($D$6:$D$338,"&lt;"&amp;D234)/(COUNT($D$6:$D$338)-1),"")</f>
        <v>0.462783171521036</v>
      </c>
      <c r="L234" s="9" t="n">
        <f aca="false">IF(ISNUMBER(E234),COUNTIF($E$6:$E$338,"&lt;"&amp;E234)/(COUNT($E$6:$E$338)-1),"")</f>
        <v>0.00301204819277108</v>
      </c>
      <c r="M234" s="9" t="n">
        <f aca="false">IF(AND(K234="",L234=""),"",(IF(ISNUMBER(K234),$C$3*K234,0)+IF(ISNUMBER(L234),$E$3*L234,0))/(IF(ISNUMBER(K234),$C$3,0)+IF(ISNUMBER(L234),$E$3,0)))</f>
        <v>0.232897609856903</v>
      </c>
      <c r="N234" s="12" t="s">
        <v>303</v>
      </c>
      <c r="O234" s="7" t="str">
        <f aca="false">IF(N234&lt;&gt;"","",COUNTIFS($A$6:$A$338,A234,$N$6:$N$338,"",$M$6:$M$338,"&gt;"&amp;M234)+COUNTIFS($A$6:A234,A234,$N$6:N234,"",$M$6:M234,M234))</f>
        <v/>
      </c>
      <c r="P234" s="12" t="str">
        <f aca="false">IF(O234="","Excluded",IF(O234&lt;=5,"Lead",IF(O234&lt;=10,"Next wave","Long list")))</f>
        <v>Excluded</v>
      </c>
      <c r="Q234" s="10" t="s">
        <v>102</v>
      </c>
      <c r="R234" s="30" t="s">
        <v>582</v>
      </c>
    </row>
    <row r="235" customFormat="false" ht="23.85" hidden="false" customHeight="false" outlineLevel="0" collapsed="false">
      <c r="A235" s="12" t="s">
        <v>53</v>
      </c>
      <c r="B235" s="12" t="s">
        <v>583</v>
      </c>
      <c r="C235" s="10" t="s">
        <v>584</v>
      </c>
      <c r="D235" s="26"/>
      <c r="E235" s="11" t="n">
        <v>1578.9</v>
      </c>
      <c r="F235" s="10" t="s">
        <v>147</v>
      </c>
      <c r="G235" s="7" t="n">
        <v>1</v>
      </c>
      <c r="H235" s="12" t="s">
        <v>95</v>
      </c>
      <c r="I235" s="12" t="s">
        <v>95</v>
      </c>
      <c r="J235" s="10"/>
      <c r="K235" s="9" t="str">
        <f aca="false">IF(ISNUMBER(D235),COUNTIF($D$6:$D$338,"&lt;"&amp;D235)/(COUNT($D$6:$D$338)-1),"")</f>
        <v/>
      </c>
      <c r="L235" s="9" t="n">
        <f aca="false">IF(ISNUMBER(E235),COUNTIF($E$6:$E$338,"&lt;"&amp;E235)/(COUNT($E$6:$E$338)-1),"")</f>
        <v>0.216867469879518</v>
      </c>
      <c r="M235" s="9" t="n">
        <f aca="false">IF(AND(K235="",L235=""),"",(IF(ISNUMBER(K235),$C$3*K235,0)+IF(ISNUMBER(L235),$E$3*L235,0))/(IF(ISNUMBER(K235),$C$3,0)+IF(ISNUMBER(L235),$E$3,0)))</f>
        <v>0.216867469879518</v>
      </c>
      <c r="N235" s="12" t="s">
        <v>307</v>
      </c>
      <c r="O235" s="7" t="str">
        <f aca="false">IF(N235&lt;&gt;"","",COUNTIFS($A$6:$A$338,A235,$N$6:$N$338,"",$M$6:$M$338,"&gt;"&amp;M235)+COUNTIFS($A$6:A235,A235,$N$6:N235,"",$M$6:M235,M235))</f>
        <v/>
      </c>
      <c r="P235" s="12" t="str">
        <f aca="false">IF(O235="","Excluded",IF(O235&lt;=5,"Lead",IF(O235&lt;=10,"Next wave","Long list")))</f>
        <v>Excluded</v>
      </c>
      <c r="Q235" s="10" t="s">
        <v>97</v>
      </c>
      <c r="R235" s="30" t="s">
        <v>585</v>
      </c>
    </row>
    <row r="236" customFormat="false" ht="23.85" hidden="false" customHeight="false" outlineLevel="0" collapsed="false">
      <c r="A236" s="12" t="s">
        <v>53</v>
      </c>
      <c r="B236" s="12" t="s">
        <v>269</v>
      </c>
      <c r="C236" s="10" t="s">
        <v>270</v>
      </c>
      <c r="D236" s="26" t="n">
        <v>13.94</v>
      </c>
      <c r="E236" s="11" t="n">
        <v>71.4</v>
      </c>
      <c r="F236" s="10" t="s">
        <v>302</v>
      </c>
      <c r="G236" s="7" t="n">
        <v>1</v>
      </c>
      <c r="H236" s="12" t="s">
        <v>77</v>
      </c>
      <c r="I236" s="12" t="s">
        <v>84</v>
      </c>
      <c r="J236" s="10" t="s">
        <v>213</v>
      </c>
      <c r="K236" s="9" t="n">
        <f aca="false">IF(ISNUMBER(D236),COUNTIF($D$6:$D$338,"&lt;"&amp;D236)/(COUNT($D$6:$D$338)-1),"")</f>
        <v>0.307443365695793</v>
      </c>
      <c r="L236" s="9" t="n">
        <f aca="false">IF(ISNUMBER(E236),COUNTIF($E$6:$E$338,"&lt;"&amp;E236)/(COUNT($E$6:$E$338)-1),"")</f>
        <v>0.0210843373493976</v>
      </c>
      <c r="M236" s="9" t="n">
        <f aca="false">IF(AND(K236="",L236=""),"",(IF(ISNUMBER(K236),$C$3*K236,0)+IF(ISNUMBER(L236),$E$3*L236,0))/(IF(ISNUMBER(K236),$C$3,0)+IF(ISNUMBER(L236),$E$3,0)))</f>
        <v>0.164263851522595</v>
      </c>
      <c r="N236" s="12" t="s">
        <v>303</v>
      </c>
      <c r="O236" s="7" t="str">
        <f aca="false">IF(N236&lt;&gt;"","",COUNTIFS($A$6:$A$338,A236,$N$6:$N$338,"",$M$6:$M$338,"&gt;"&amp;M236)+COUNTIFS($A$6:A236,A236,$N$6:N236,"",$M$6:M236,M236))</f>
        <v/>
      </c>
      <c r="P236" s="12" t="str">
        <f aca="false">IF(O236="","Excluded",IF(O236&lt;=5,"Lead",IF(O236&lt;=10,"Next wave","Long list")))</f>
        <v>Excluded</v>
      </c>
      <c r="Q236" s="10" t="s">
        <v>80</v>
      </c>
      <c r="R236" s="30" t="s">
        <v>416</v>
      </c>
    </row>
    <row r="237" customFormat="false" ht="23.85" hidden="false" customHeight="false" outlineLevel="0" collapsed="false">
      <c r="A237" s="12" t="s">
        <v>53</v>
      </c>
      <c r="B237" s="12" t="s">
        <v>271</v>
      </c>
      <c r="C237" s="10" t="s">
        <v>272</v>
      </c>
      <c r="D237" s="26" t="n">
        <v>6.81</v>
      </c>
      <c r="E237" s="11" t="n">
        <v>287.5</v>
      </c>
      <c r="F237" s="10" t="s">
        <v>302</v>
      </c>
      <c r="G237" s="7" t="n">
        <v>1</v>
      </c>
      <c r="H237" s="12" t="s">
        <v>196</v>
      </c>
      <c r="I237" s="12" t="s">
        <v>84</v>
      </c>
      <c r="J237" s="10"/>
      <c r="K237" s="9" t="n">
        <f aca="false">IF(ISNUMBER(D237),COUNTIF($D$6:$D$338,"&lt;"&amp;D237)/(COUNT($D$6:$D$338)-1),"")</f>
        <v>0.106796116504854</v>
      </c>
      <c r="L237" s="9" t="n">
        <f aca="false">IF(ISNUMBER(E237),COUNTIF($E$6:$E$338,"&lt;"&amp;E237)/(COUNT($E$6:$E$338)-1),"")</f>
        <v>0.0753012048192771</v>
      </c>
      <c r="M237" s="9" t="n">
        <f aca="false">IF(AND(K237="",L237=""),"",(IF(ISNUMBER(K237),$C$3*K237,0)+IF(ISNUMBER(L237),$E$3*L237,0))/(IF(ISNUMBER(K237),$C$3,0)+IF(ISNUMBER(L237),$E$3,0)))</f>
        <v>0.0910486606620657</v>
      </c>
      <c r="N237" s="12" t="s">
        <v>303</v>
      </c>
      <c r="O237" s="7" t="str">
        <f aca="false">IF(N237&lt;&gt;"","",COUNTIFS($A$6:$A$338,A237,$N$6:$N$338,"",$M$6:$M$338,"&gt;"&amp;M237)+COUNTIFS($A$6:A237,A237,$N$6:N237,"",$M$6:M237,M237))</f>
        <v/>
      </c>
      <c r="P237" s="12" t="str">
        <f aca="false">IF(O237="","Excluded",IF(O237&lt;=5,"Lead",IF(O237&lt;=10,"Next wave","Long list")))</f>
        <v>Excluded</v>
      </c>
      <c r="Q237" s="10" t="s">
        <v>102</v>
      </c>
      <c r="R237" s="30" t="s">
        <v>586</v>
      </c>
    </row>
    <row r="238" customFormat="false" ht="23.85" hidden="false" customHeight="false" outlineLevel="0" collapsed="false">
      <c r="A238" s="12" t="s">
        <v>53</v>
      </c>
      <c r="B238" s="12" t="s">
        <v>587</v>
      </c>
      <c r="C238" s="10" t="s">
        <v>588</v>
      </c>
      <c r="D238" s="26" t="n">
        <v>5.35</v>
      </c>
      <c r="E238" s="11" t="n">
        <v>170.5</v>
      </c>
      <c r="F238" s="10" t="s">
        <v>302</v>
      </c>
      <c r="G238" s="7" t="n">
        <v>1</v>
      </c>
      <c r="H238" s="12" t="s">
        <v>196</v>
      </c>
      <c r="I238" s="12" t="s">
        <v>84</v>
      </c>
      <c r="J238" s="10"/>
      <c r="K238" s="9" t="n">
        <f aca="false">IF(ISNUMBER(D238),COUNTIF($D$6:$D$338,"&lt;"&amp;D238)/(COUNT($D$6:$D$338)-1),"")</f>
        <v>0.0161812297734628</v>
      </c>
      <c r="L238" s="9" t="n">
        <f aca="false">IF(ISNUMBER(E238),COUNTIF($E$6:$E$338,"&lt;"&amp;E238)/(COUNT($E$6:$E$338)-1),"")</f>
        <v>0.0542168674698795</v>
      </c>
      <c r="M238" s="9" t="n">
        <f aca="false">IF(AND(K238="",L238=""),"",(IF(ISNUMBER(K238),$C$3*K238,0)+IF(ISNUMBER(L238),$E$3*L238,0))/(IF(ISNUMBER(K238),$C$3,0)+IF(ISNUMBER(L238),$E$3,0)))</f>
        <v>0.0351990486216712</v>
      </c>
      <c r="N238" s="12" t="s">
        <v>303</v>
      </c>
      <c r="O238" s="7" t="str">
        <f aca="false">IF(N238&lt;&gt;"","",COUNTIFS($A$6:$A$338,A238,$N$6:$N$338,"",$M$6:$M$338,"&gt;"&amp;M238)+COUNTIFS($A$6:A238,A238,$N$6:N238,"",$M$6:M238,M238))</f>
        <v/>
      </c>
      <c r="P238" s="12" t="str">
        <f aca="false">IF(O238="","Excluded",IF(O238&lt;=5,"Lead",IF(O238&lt;=10,"Next wave","Long list")))</f>
        <v>Excluded</v>
      </c>
      <c r="Q238" s="10" t="s">
        <v>102</v>
      </c>
      <c r="R238" s="30" t="s">
        <v>589</v>
      </c>
    </row>
    <row r="239" customFormat="false" ht="35.05" hidden="false" customHeight="false" outlineLevel="0" collapsed="false">
      <c r="A239" s="12" t="s">
        <v>35</v>
      </c>
      <c r="B239" s="12" t="s">
        <v>87</v>
      </c>
      <c r="C239" s="10" t="s">
        <v>88</v>
      </c>
      <c r="D239" s="26" t="n">
        <v>360.02</v>
      </c>
      <c r="E239" s="11" t="n">
        <v>28093.4</v>
      </c>
      <c r="F239" s="10" t="s">
        <v>207</v>
      </c>
      <c r="G239" s="7" t="n">
        <v>5</v>
      </c>
      <c r="H239" s="12" t="s">
        <v>77</v>
      </c>
      <c r="I239" s="12" t="s">
        <v>78</v>
      </c>
      <c r="J239" s="10" t="s">
        <v>91</v>
      </c>
      <c r="K239" s="9" t="n">
        <f aca="false">IF(ISNUMBER(D239),COUNTIF($D$6:$D$338,"&lt;"&amp;D239)/(COUNT($D$6:$D$338)-1),"")</f>
        <v>0.912621359223301</v>
      </c>
      <c r="L239" s="9" t="n">
        <f aca="false">IF(ISNUMBER(E239),COUNTIF($E$6:$E$338,"&lt;"&amp;E239)/(COUNT($E$6:$E$338)-1),"")</f>
        <v>0.792168674698795</v>
      </c>
      <c r="M239" s="9" t="n">
        <f aca="false">IF(AND(K239="",L239=""),"",(IF(ISNUMBER(K239),$C$3*K239,0)+IF(ISNUMBER(L239),$E$3*L239,0))/(IF(ISNUMBER(K239),$C$3,0)+IF(ISNUMBER(L239),$E$3,0)))</f>
        <v>0.852395016961048</v>
      </c>
      <c r="N239" s="12"/>
      <c r="O239" s="7" t="n">
        <f aca="false">IF(N239&lt;&gt;"","",COUNTIFS($A$6:$A$338,A239,$N$6:$N$338,"",$M$6:$M$338,"&gt;"&amp;M239)+COUNTIFS($A$6:A239,A239,$N$6:N239,"",$M$6:M239,M239))</f>
        <v>1</v>
      </c>
      <c r="P239" s="12" t="str">
        <f aca="false">IF(O239="","Excluded",IF(O239&lt;=5,"Lead",IF(O239&lt;=10,"Next wave","Long list")))</f>
        <v>Lead</v>
      </c>
      <c r="Q239" s="10" t="s">
        <v>80</v>
      </c>
      <c r="R239" s="30" t="s">
        <v>311</v>
      </c>
    </row>
    <row r="240" customFormat="false" ht="23.85" hidden="false" customHeight="false" outlineLevel="0" collapsed="false">
      <c r="A240" s="12" t="s">
        <v>35</v>
      </c>
      <c r="B240" s="12" t="s">
        <v>109</v>
      </c>
      <c r="C240" s="10" t="s">
        <v>110</v>
      </c>
      <c r="D240" s="26" t="n">
        <v>343.8</v>
      </c>
      <c r="E240" s="11" t="n">
        <v>7904.7</v>
      </c>
      <c r="F240" s="10" t="s">
        <v>147</v>
      </c>
      <c r="G240" s="7" t="n">
        <v>9</v>
      </c>
      <c r="H240" s="12" t="s">
        <v>77</v>
      </c>
      <c r="I240" s="12" t="s">
        <v>84</v>
      </c>
      <c r="J240" s="10" t="s">
        <v>111</v>
      </c>
      <c r="K240" s="9" t="n">
        <f aca="false">IF(ISNUMBER(D240),COUNTIF($D$6:$D$338,"&lt;"&amp;D240)/(COUNT($D$6:$D$338)-1),"")</f>
        <v>0.902912621359223</v>
      </c>
      <c r="L240" s="9" t="n">
        <f aca="false">IF(ISNUMBER(E240),COUNTIF($E$6:$E$338,"&lt;"&amp;E240)/(COUNT($E$6:$E$338)-1),"")</f>
        <v>0.650602409638554</v>
      </c>
      <c r="M240" s="9" t="n">
        <f aca="false">IF(AND(K240="",L240=""),"",(IF(ISNUMBER(K240),$C$3*K240,0)+IF(ISNUMBER(L240),$E$3*L240,0))/(IF(ISNUMBER(K240),$C$3,0)+IF(ISNUMBER(L240),$E$3,0)))</f>
        <v>0.776757515498889</v>
      </c>
      <c r="N240" s="12"/>
      <c r="O240" s="7" t="n">
        <f aca="false">IF(N240&lt;&gt;"","",COUNTIFS($A$6:$A$338,A240,$N$6:$N$338,"",$M$6:$M$338,"&gt;"&amp;M240)+COUNTIFS($A$6:A240,A240,$N$6:N240,"",$M$6:M240,M240))</f>
        <v>2</v>
      </c>
      <c r="P240" s="12" t="str">
        <f aca="false">IF(O240="","Excluded",IF(O240&lt;=5,"Lead",IF(O240&lt;=10,"Next wave","Long list")))</f>
        <v>Lead</v>
      </c>
      <c r="Q240" s="10" t="s">
        <v>80</v>
      </c>
      <c r="R240" s="30" t="s">
        <v>313</v>
      </c>
    </row>
    <row r="241" customFormat="false" ht="23.85" hidden="false" customHeight="false" outlineLevel="0" collapsed="false">
      <c r="A241" s="12" t="s">
        <v>35</v>
      </c>
      <c r="B241" s="12" t="s">
        <v>116</v>
      </c>
      <c r="C241" s="10" t="s">
        <v>117</v>
      </c>
      <c r="D241" s="26" t="n">
        <v>41.77</v>
      </c>
      <c r="E241" s="11" t="n">
        <v>32830.2</v>
      </c>
      <c r="F241" s="10" t="s">
        <v>222</v>
      </c>
      <c r="G241" s="7" t="n">
        <v>11</v>
      </c>
      <c r="H241" s="12" t="s">
        <v>77</v>
      </c>
      <c r="I241" s="12" t="s">
        <v>84</v>
      </c>
      <c r="J241" s="10" t="s">
        <v>119</v>
      </c>
      <c r="K241" s="9" t="n">
        <f aca="false">IF(ISNUMBER(D241),COUNTIF($D$6:$D$338,"&lt;"&amp;D241)/(COUNT($D$6:$D$338)-1),"")</f>
        <v>0.601941747572816</v>
      </c>
      <c r="L241" s="9" t="n">
        <f aca="false">IF(ISNUMBER(E241),COUNTIF($E$6:$E$338,"&lt;"&amp;E241)/(COUNT($E$6:$E$338)-1),"")</f>
        <v>0.825301204819277</v>
      </c>
      <c r="M241" s="9" t="n">
        <f aca="false">IF(AND(K241="",L241=""),"",(IF(ISNUMBER(K241),$C$3*K241,0)+IF(ISNUMBER(L241),$E$3*L241,0))/(IF(ISNUMBER(K241),$C$3,0)+IF(ISNUMBER(L241),$E$3,0)))</f>
        <v>0.713621476196046</v>
      </c>
      <c r="N241" s="12"/>
      <c r="O241" s="7" t="n">
        <f aca="false">IF(N241&lt;&gt;"","",COUNTIFS($A$6:$A$338,A241,$N$6:$N$338,"",$M$6:$M$338,"&gt;"&amp;M241)+COUNTIFS($A$6:A241,A241,$N$6:N241,"",$M$6:M241,M241))</f>
        <v>3</v>
      </c>
      <c r="P241" s="12" t="str">
        <f aca="false">IF(O241="","Excluded",IF(O241&lt;=5,"Lead",IF(O241&lt;=10,"Next wave","Long list")))</f>
        <v>Lead</v>
      </c>
      <c r="Q241" s="10" t="s">
        <v>80</v>
      </c>
      <c r="R241" s="30" t="s">
        <v>426</v>
      </c>
    </row>
    <row r="242" customFormat="false" ht="23.85" hidden="false" customHeight="false" outlineLevel="0" collapsed="false">
      <c r="A242" s="12" t="s">
        <v>35</v>
      </c>
      <c r="B242" s="12" t="s">
        <v>223</v>
      </c>
      <c r="C242" s="10" t="s">
        <v>224</v>
      </c>
      <c r="D242" s="26" t="n">
        <v>54.55</v>
      </c>
      <c r="E242" s="11" t="n">
        <v>3407.5</v>
      </c>
      <c r="F242" s="10" t="s">
        <v>147</v>
      </c>
      <c r="G242" s="7" t="n">
        <v>1</v>
      </c>
      <c r="H242" s="12" t="s">
        <v>77</v>
      </c>
      <c r="I242" s="12" t="s">
        <v>84</v>
      </c>
      <c r="J242" s="10"/>
      <c r="K242" s="9" t="n">
        <f aca="false">IF(ISNUMBER(D242),COUNTIF($D$6:$D$338,"&lt;"&amp;D242)/(COUNT($D$6:$D$338)-1),"")</f>
        <v>0.640776699029126</v>
      </c>
      <c r="L242" s="9" t="n">
        <f aca="false">IF(ISNUMBER(E242),COUNTIF($E$6:$E$338,"&lt;"&amp;E242)/(COUNT($E$6:$E$338)-1),"")</f>
        <v>0.436746987951807</v>
      </c>
      <c r="M242" s="9" t="n">
        <f aca="false">IF(AND(K242="",L242=""),"",(IF(ISNUMBER(K242),$C$3*K242,0)+IF(ISNUMBER(L242),$E$3*L242,0))/(IF(ISNUMBER(K242),$C$3,0)+IF(ISNUMBER(L242),$E$3,0)))</f>
        <v>0.538761843490467</v>
      </c>
      <c r="N242" s="12"/>
      <c r="O242" s="7" t="n">
        <f aca="false">IF(N242&lt;&gt;"","",COUNTIFS($A$6:$A$338,A242,$N$6:$N$338,"",$M$6:$M$338,"&gt;"&amp;M242)+COUNTIFS($A$6:A242,A242,$N$6:N242,"",$M$6:M242,M242))</f>
        <v>4</v>
      </c>
      <c r="P242" s="12" t="str">
        <f aca="false">IF(O242="","Excluded",IF(O242&lt;=5,"Lead",IF(O242&lt;=10,"Next wave","Long list")))</f>
        <v>Lead</v>
      </c>
      <c r="Q242" s="10" t="s">
        <v>102</v>
      </c>
      <c r="R242" s="30" t="s">
        <v>339</v>
      </c>
    </row>
    <row r="243" customFormat="false" ht="15" hidden="false" customHeight="false" outlineLevel="0" collapsed="false">
      <c r="A243" s="12" t="s">
        <v>35</v>
      </c>
      <c r="B243" s="12" t="s">
        <v>225</v>
      </c>
      <c r="C243" s="10" t="s">
        <v>226</v>
      </c>
      <c r="D243" s="26" t="n">
        <v>66.93</v>
      </c>
      <c r="E243" s="11" t="n">
        <v>135.1</v>
      </c>
      <c r="F243" s="10" t="s">
        <v>169</v>
      </c>
      <c r="G243" s="7" t="n">
        <v>2</v>
      </c>
      <c r="H243" s="12" t="s">
        <v>77</v>
      </c>
      <c r="I243" s="12" t="s">
        <v>84</v>
      </c>
      <c r="J243" s="10"/>
      <c r="K243" s="9" t="n">
        <f aca="false">IF(ISNUMBER(D243),COUNTIF($D$6:$D$338,"&lt;"&amp;D243)/(COUNT($D$6:$D$338)-1),"")</f>
        <v>0.6957928802589</v>
      </c>
      <c r="L243" s="9" t="n">
        <f aca="false">IF(ISNUMBER(E243),COUNTIF($E$6:$E$338,"&lt;"&amp;E243)/(COUNT($E$6:$E$338)-1),"")</f>
        <v>0.0391566265060241</v>
      </c>
      <c r="M243" s="9" t="n">
        <f aca="false">IF(AND(K243="",L243=""),"",(IF(ISNUMBER(K243),$C$3*K243,0)+IF(ISNUMBER(L243),$E$3*L243,0))/(IF(ISNUMBER(K243),$C$3,0)+IF(ISNUMBER(L243),$E$3,0)))</f>
        <v>0.367474753382462</v>
      </c>
      <c r="N243" s="12"/>
      <c r="O243" s="7" t="n">
        <f aca="false">IF(N243&lt;&gt;"","",COUNTIFS($A$6:$A$338,A243,$N$6:$N$338,"",$M$6:$M$338,"&gt;"&amp;M243)+COUNTIFS($A$6:A243,A243,$N$6:N243,"",$M$6:M243,M243))</f>
        <v>5</v>
      </c>
      <c r="P243" s="12" t="str">
        <f aca="false">IF(O243="","Excluded",IF(O243&lt;=5,"Lead",IF(O243&lt;=10,"Next wave","Long list")))</f>
        <v>Lead</v>
      </c>
      <c r="Q243" s="10" t="s">
        <v>102</v>
      </c>
      <c r="R243" s="30" t="s">
        <v>590</v>
      </c>
    </row>
    <row r="244" customFormat="false" ht="23.85" hidden="false" customHeight="false" outlineLevel="0" collapsed="false">
      <c r="A244" s="12" t="s">
        <v>35</v>
      </c>
      <c r="B244" s="12" t="s">
        <v>227</v>
      </c>
      <c r="C244" s="10" t="s">
        <v>228</v>
      </c>
      <c r="D244" s="26" t="n">
        <v>51.79</v>
      </c>
      <c r="E244" s="11" t="n">
        <v>21.8</v>
      </c>
      <c r="F244" s="10" t="s">
        <v>147</v>
      </c>
      <c r="G244" s="7" t="n">
        <v>1</v>
      </c>
      <c r="H244" s="12" t="s">
        <v>77</v>
      </c>
      <c r="I244" s="12" t="s">
        <v>84</v>
      </c>
      <c r="J244" s="10" t="s">
        <v>163</v>
      </c>
      <c r="K244" s="9" t="n">
        <f aca="false">IF(ISNUMBER(D244),COUNTIF($D$6:$D$338,"&lt;"&amp;D244)/(COUNT($D$6:$D$338)-1),"")</f>
        <v>0.627831715210356</v>
      </c>
      <c r="L244" s="9" t="n">
        <f aca="false">IF(ISNUMBER(E244),COUNTIF($E$6:$E$338,"&lt;"&amp;E244)/(COUNT($E$6:$E$338)-1),"")</f>
        <v>0.0120481927710843</v>
      </c>
      <c r="M244" s="9" t="n">
        <f aca="false">IF(AND(K244="",L244=""),"",(IF(ISNUMBER(K244),$C$3*K244,0)+IF(ISNUMBER(L244),$E$3*L244,0))/(IF(ISNUMBER(K244),$C$3,0)+IF(ISNUMBER(L244),$E$3,0)))</f>
        <v>0.31993995399072</v>
      </c>
      <c r="N244" s="12"/>
      <c r="O244" s="7" t="n">
        <f aca="false">IF(N244&lt;&gt;"","",COUNTIFS($A$6:$A$338,A244,$N$6:$N$338,"",$M$6:$M$338,"&gt;"&amp;M244)+COUNTIFS($A$6:A244,A244,$N$6:N244,"",$M$6:M244,M244))</f>
        <v>6</v>
      </c>
      <c r="P244" s="12" t="str">
        <f aca="false">IF(O244="","Excluded",IF(O244&lt;=5,"Lead",IF(O244&lt;=10,"Next wave","Long list")))</f>
        <v>Next wave</v>
      </c>
      <c r="Q244" s="10" t="s">
        <v>80</v>
      </c>
      <c r="R244" s="30" t="s">
        <v>490</v>
      </c>
    </row>
    <row r="245" customFormat="false" ht="23.85" hidden="false" customHeight="false" outlineLevel="0" collapsed="false">
      <c r="A245" s="12" t="s">
        <v>35</v>
      </c>
      <c r="B245" s="12" t="s">
        <v>229</v>
      </c>
      <c r="C245" s="10" t="s">
        <v>230</v>
      </c>
      <c r="D245" s="26" t="n">
        <v>14.96</v>
      </c>
      <c r="E245" s="11" t="n">
        <v>1352.6</v>
      </c>
      <c r="F245" s="10" t="s">
        <v>147</v>
      </c>
      <c r="G245" s="7" t="n">
        <v>1</v>
      </c>
      <c r="H245" s="12" t="s">
        <v>77</v>
      </c>
      <c r="I245" s="12" t="s">
        <v>84</v>
      </c>
      <c r="J245" s="10" t="s">
        <v>178</v>
      </c>
      <c r="K245" s="9" t="n">
        <f aca="false">IF(ISNUMBER(D245),COUNTIF($D$6:$D$338,"&lt;"&amp;D245)/(COUNT($D$6:$D$338)-1),"")</f>
        <v>0.323624595469256</v>
      </c>
      <c r="L245" s="9" t="n">
        <f aca="false">IF(ISNUMBER(E245),COUNTIF($E$6:$E$338,"&lt;"&amp;E245)/(COUNT($E$6:$E$338)-1),"")</f>
        <v>0.189759036144578</v>
      </c>
      <c r="M245" s="9" t="n">
        <f aca="false">IF(AND(K245="",L245=""),"",(IF(ISNUMBER(K245),$C$3*K245,0)+IF(ISNUMBER(L245),$E$3*L245,0))/(IF(ISNUMBER(K245),$C$3,0)+IF(ISNUMBER(L245),$E$3,0)))</f>
        <v>0.256691815806917</v>
      </c>
      <c r="N245" s="12"/>
      <c r="O245" s="7" t="n">
        <f aca="false">IF(N245&lt;&gt;"","",COUNTIFS($A$6:$A$338,A245,$N$6:$N$338,"",$M$6:$M$338,"&gt;"&amp;M245)+COUNTIFS($A$6:A245,A245,$N$6:N245,"",$M$6:M245,M245))</f>
        <v>7</v>
      </c>
      <c r="P245" s="12" t="str">
        <f aca="false">IF(O245="","Excluded",IF(O245&lt;=5,"Lead",IF(O245&lt;=10,"Next wave","Long list")))</f>
        <v>Next wave</v>
      </c>
      <c r="Q245" s="10" t="s">
        <v>80</v>
      </c>
      <c r="R245" s="30" t="s">
        <v>401</v>
      </c>
    </row>
    <row r="246" customFormat="false" ht="23.85" hidden="false" customHeight="false" outlineLevel="0" collapsed="false">
      <c r="A246" s="12" t="s">
        <v>43</v>
      </c>
      <c r="B246" s="12" t="s">
        <v>249</v>
      </c>
      <c r="C246" s="10" t="s">
        <v>210</v>
      </c>
      <c r="D246" s="26" t="n">
        <v>90.21</v>
      </c>
      <c r="E246" s="11" t="n">
        <v>18568.8</v>
      </c>
      <c r="F246" s="10" t="s">
        <v>198</v>
      </c>
      <c r="G246" s="7" t="n">
        <v>3</v>
      </c>
      <c r="H246" s="12" t="s">
        <v>77</v>
      </c>
      <c r="I246" s="12" t="s">
        <v>84</v>
      </c>
      <c r="J246" s="10"/>
      <c r="K246" s="9" t="n">
        <f aca="false">IF(ISNUMBER(D246),COUNTIF($D$6:$D$338,"&lt;"&amp;D246)/(COUNT($D$6:$D$338)-1),"")</f>
        <v>0.744336569579288</v>
      </c>
      <c r="L246" s="9" t="n">
        <f aca="false">IF(ISNUMBER(E246),COUNTIF($E$6:$E$338,"&lt;"&amp;E246)/(COUNT($E$6:$E$338)-1),"")</f>
        <v>0.762048192771084</v>
      </c>
      <c r="M246" s="9" t="n">
        <f aca="false">IF(AND(K246="",L246=""),"",(IF(ISNUMBER(K246),$C$3*K246,0)+IF(ISNUMBER(L246),$E$3*L246,0))/(IF(ISNUMBER(K246),$C$3,0)+IF(ISNUMBER(L246),$E$3,0)))</f>
        <v>0.753192381175186</v>
      </c>
      <c r="N246" s="12"/>
      <c r="O246" s="7" t="n">
        <f aca="false">IF(N246&lt;&gt;"","",COUNTIFS($A$6:$A$338,A246,$N$6:$N$338,"",$M$6:$M$338,"&gt;"&amp;M246)+COUNTIFS($A$6:A246,A246,$N$6:N246,"",$M$6:M246,M246))</f>
        <v>1</v>
      </c>
      <c r="P246" s="12" t="str">
        <f aca="false">IF(O246="","Excluded",IF(O246&lt;=5,"Lead",IF(O246&lt;=10,"Next wave","Long list")))</f>
        <v>Lead</v>
      </c>
      <c r="Q246" s="10" t="s">
        <v>102</v>
      </c>
      <c r="R246" s="30" t="s">
        <v>591</v>
      </c>
    </row>
    <row r="247" customFormat="false" ht="15" hidden="false" customHeight="false" outlineLevel="0" collapsed="false">
      <c r="A247" s="12" t="s">
        <v>43</v>
      </c>
      <c r="B247" s="12" t="s">
        <v>250</v>
      </c>
      <c r="C247" s="10" t="s">
        <v>251</v>
      </c>
      <c r="D247" s="26" t="n">
        <v>69.37</v>
      </c>
      <c r="E247" s="11" t="n">
        <v>2557.1</v>
      </c>
      <c r="F247" s="10" t="s">
        <v>94</v>
      </c>
      <c r="G247" s="7" t="n">
        <v>1</v>
      </c>
      <c r="H247" s="12" t="s">
        <v>77</v>
      </c>
      <c r="I247" s="12" t="s">
        <v>84</v>
      </c>
      <c r="J247" s="10"/>
      <c r="K247" s="9" t="n">
        <f aca="false">IF(ISNUMBER(D247),COUNTIF($D$6:$D$338,"&lt;"&amp;D247)/(COUNT($D$6:$D$338)-1),"")</f>
        <v>0.702265372168285</v>
      </c>
      <c r="L247" s="9" t="n">
        <f aca="false">IF(ISNUMBER(E247),COUNTIF($E$6:$E$338,"&lt;"&amp;E247)/(COUNT($E$6:$E$338)-1),"")</f>
        <v>0.325301204819277</v>
      </c>
      <c r="M247" s="9" t="n">
        <f aca="false">IF(AND(K247="",L247=""),"",(IF(ISNUMBER(K247),$C$3*K247,0)+IF(ISNUMBER(L247),$E$3*L247,0))/(IF(ISNUMBER(K247),$C$3,0)+IF(ISNUMBER(L247),$E$3,0)))</f>
        <v>0.513783288493781</v>
      </c>
      <c r="N247" s="12"/>
      <c r="O247" s="7" t="n">
        <f aca="false">IF(N247&lt;&gt;"","",COUNTIFS($A$6:$A$338,A247,$N$6:$N$338,"",$M$6:$M$338,"&gt;"&amp;M247)+COUNTIFS($A$6:A247,A247,$N$6:N247,"",$M$6:M247,M247))</f>
        <v>2</v>
      </c>
      <c r="P247" s="12" t="str">
        <f aca="false">IF(O247="","Excluded",IF(O247&lt;=5,"Lead",IF(O247&lt;=10,"Next wave","Long list")))</f>
        <v>Lead</v>
      </c>
      <c r="Q247" s="10" t="s">
        <v>102</v>
      </c>
      <c r="R247" s="30" t="s">
        <v>592</v>
      </c>
    </row>
    <row r="248" customFormat="false" ht="23.85" hidden="false" customHeight="false" outlineLevel="0" collapsed="false">
      <c r="A248" s="12" t="s">
        <v>43</v>
      </c>
      <c r="B248" s="12" t="s">
        <v>176</v>
      </c>
      <c r="C248" s="10" t="s">
        <v>177</v>
      </c>
      <c r="D248" s="26" t="n">
        <v>51.18</v>
      </c>
      <c r="E248" s="11" t="n">
        <v>2931.4</v>
      </c>
      <c r="F248" s="10" t="s">
        <v>147</v>
      </c>
      <c r="G248" s="7" t="n">
        <v>2</v>
      </c>
      <c r="H248" s="12" t="s">
        <v>196</v>
      </c>
      <c r="I248" s="12" t="s">
        <v>84</v>
      </c>
      <c r="J248" s="10" t="s">
        <v>178</v>
      </c>
      <c r="K248" s="9" t="n">
        <f aca="false">IF(ISNUMBER(D248),COUNTIF($D$6:$D$338,"&lt;"&amp;D248)/(COUNT($D$6:$D$338)-1),"")</f>
        <v>0.621359223300971</v>
      </c>
      <c r="L248" s="9" t="n">
        <f aca="false">IF(ISNUMBER(E248),COUNTIF($E$6:$E$338,"&lt;"&amp;E248)/(COUNT($E$6:$E$338)-1),"")</f>
        <v>0.394578313253012</v>
      </c>
      <c r="M248" s="9" t="n">
        <f aca="false">IF(AND(K248="",L248=""),"",(IF(ISNUMBER(K248),$C$3*K248,0)+IF(ISNUMBER(L248),$E$3*L248,0))/(IF(ISNUMBER(K248),$C$3,0)+IF(ISNUMBER(L248),$E$3,0)))</f>
        <v>0.507968768276991</v>
      </c>
      <c r="N248" s="12"/>
      <c r="O248" s="7" t="n">
        <f aca="false">IF(N248&lt;&gt;"","",COUNTIFS($A$6:$A$338,A248,$N$6:$N$338,"",$M$6:$M$338,"&gt;"&amp;M248)+COUNTIFS($A$6:A248,A248,$N$6:N248,"",$M$6:M248,M248))</f>
        <v>3</v>
      </c>
      <c r="P248" s="12" t="str">
        <f aca="false">IF(O248="","Excluded",IF(O248&lt;=5,"Lead",IF(O248&lt;=10,"Next wave","Long list")))</f>
        <v>Lead</v>
      </c>
      <c r="Q248" s="10" t="s">
        <v>80</v>
      </c>
      <c r="R248" s="30" t="s">
        <v>440</v>
      </c>
    </row>
    <row r="249" customFormat="false" ht="23.85" hidden="false" customHeight="false" outlineLevel="0" collapsed="false">
      <c r="A249" s="12" t="s">
        <v>43</v>
      </c>
      <c r="B249" s="12" t="s">
        <v>166</v>
      </c>
      <c r="C249" s="10" t="s">
        <v>167</v>
      </c>
      <c r="D249" s="26" t="n">
        <v>30.01</v>
      </c>
      <c r="E249" s="11" t="n">
        <v>3625.3</v>
      </c>
      <c r="F249" s="10" t="s">
        <v>147</v>
      </c>
      <c r="G249" s="7" t="n">
        <v>1</v>
      </c>
      <c r="H249" s="12" t="s">
        <v>77</v>
      </c>
      <c r="I249" s="12" t="s">
        <v>84</v>
      </c>
      <c r="J249" s="10" t="s">
        <v>168</v>
      </c>
      <c r="K249" s="9" t="n">
        <f aca="false">IF(ISNUMBER(D249),COUNTIF($D$6:$D$338,"&lt;"&amp;D249)/(COUNT($D$6:$D$338)-1),"")</f>
        <v>0.501618122977346</v>
      </c>
      <c r="L249" s="9" t="n">
        <f aca="false">IF(ISNUMBER(E249),COUNTIF($E$6:$E$338,"&lt;"&amp;E249)/(COUNT($E$6:$E$338)-1),"")</f>
        <v>0.454819277108434</v>
      </c>
      <c r="M249" s="9" t="n">
        <f aca="false">IF(AND(K249="",L249=""),"",(IF(ISNUMBER(K249),$C$3*K249,0)+IF(ISNUMBER(L249),$E$3*L249,0))/(IF(ISNUMBER(K249),$C$3,0)+IF(ISNUMBER(L249),$E$3,0)))</f>
        <v>0.47821870004289</v>
      </c>
      <c r="N249" s="12"/>
      <c r="O249" s="7" t="n">
        <f aca="false">IF(N249&lt;&gt;"","",COUNTIFS($A$6:$A$338,A249,$N$6:$N$338,"",$M$6:$M$338,"&gt;"&amp;M249)+COUNTIFS($A$6:A249,A249,$N$6:N249,"",$M$6:M249,M249))</f>
        <v>4</v>
      </c>
      <c r="P249" s="12" t="str">
        <f aca="false">IF(O249="","Excluded",IF(O249&lt;=5,"Lead",IF(O249&lt;=10,"Next wave","Long list")))</f>
        <v>Lead</v>
      </c>
      <c r="Q249" s="10" t="s">
        <v>80</v>
      </c>
      <c r="R249" s="30" t="s">
        <v>304</v>
      </c>
    </row>
    <row r="250" customFormat="false" ht="23.85" hidden="false" customHeight="false" outlineLevel="0" collapsed="false">
      <c r="A250" s="12" t="s">
        <v>43</v>
      </c>
      <c r="B250" s="12" t="s">
        <v>252</v>
      </c>
      <c r="C250" s="10" t="s">
        <v>253</v>
      </c>
      <c r="D250" s="26" t="n">
        <v>30.35</v>
      </c>
      <c r="E250" s="11" t="n">
        <v>1296.8</v>
      </c>
      <c r="F250" s="10" t="s">
        <v>94</v>
      </c>
      <c r="G250" s="7" t="n">
        <v>2</v>
      </c>
      <c r="H250" s="12" t="s">
        <v>196</v>
      </c>
      <c r="I250" s="12" t="s">
        <v>84</v>
      </c>
      <c r="J250" s="10"/>
      <c r="K250" s="9" t="n">
        <f aca="false">IF(ISNUMBER(D250),COUNTIF($D$6:$D$338,"&lt;"&amp;D250)/(COUNT($D$6:$D$338)-1),"")</f>
        <v>0.514563106796117</v>
      </c>
      <c r="L250" s="9" t="n">
        <f aca="false">IF(ISNUMBER(E250),COUNTIF($E$6:$E$338,"&lt;"&amp;E250)/(COUNT($E$6:$E$338)-1),"")</f>
        <v>0.180722891566265</v>
      </c>
      <c r="M250" s="9" t="n">
        <f aca="false">IF(AND(K250="",L250=""),"",(IF(ISNUMBER(K250),$C$3*K250,0)+IF(ISNUMBER(L250),$E$3*L250,0))/(IF(ISNUMBER(K250),$C$3,0)+IF(ISNUMBER(L250),$E$3,0)))</f>
        <v>0.347642999181191</v>
      </c>
      <c r="N250" s="12"/>
      <c r="O250" s="7" t="n">
        <f aca="false">IF(N250&lt;&gt;"","",COUNTIFS($A$6:$A$338,A250,$N$6:$N$338,"",$M$6:$M$338,"&gt;"&amp;M250)+COUNTIFS($A$6:A250,A250,$N$6:N250,"",$M$6:M250,M250))</f>
        <v>5</v>
      </c>
      <c r="P250" s="12" t="str">
        <f aca="false">IF(O250="","Excluded",IF(O250&lt;=5,"Lead",IF(O250&lt;=10,"Next wave","Long list")))</f>
        <v>Lead</v>
      </c>
      <c r="Q250" s="10" t="s">
        <v>102</v>
      </c>
      <c r="R250" s="30" t="s">
        <v>593</v>
      </c>
    </row>
    <row r="251" customFormat="false" ht="23.85" hidden="false" customHeight="false" outlineLevel="0" collapsed="false">
      <c r="A251" s="12" t="s">
        <v>43</v>
      </c>
      <c r="B251" s="12" t="s">
        <v>227</v>
      </c>
      <c r="C251" s="10" t="s">
        <v>228</v>
      </c>
      <c r="D251" s="26" t="n">
        <v>51.79</v>
      </c>
      <c r="E251" s="11" t="n">
        <v>21.8</v>
      </c>
      <c r="F251" s="10" t="s">
        <v>147</v>
      </c>
      <c r="G251" s="7" t="n">
        <v>1</v>
      </c>
      <c r="H251" s="12" t="s">
        <v>77</v>
      </c>
      <c r="I251" s="12" t="s">
        <v>84</v>
      </c>
      <c r="J251" s="10" t="s">
        <v>163</v>
      </c>
      <c r="K251" s="9" t="n">
        <f aca="false">IF(ISNUMBER(D251),COUNTIF($D$6:$D$338,"&lt;"&amp;D251)/(COUNT($D$6:$D$338)-1),"")</f>
        <v>0.627831715210356</v>
      </c>
      <c r="L251" s="9" t="n">
        <f aca="false">IF(ISNUMBER(E251),COUNTIF($E$6:$E$338,"&lt;"&amp;E251)/(COUNT($E$6:$E$338)-1),"")</f>
        <v>0.0120481927710843</v>
      </c>
      <c r="M251" s="9" t="n">
        <f aca="false">IF(AND(K251="",L251=""),"",(IF(ISNUMBER(K251),$C$3*K251,0)+IF(ISNUMBER(L251),$E$3*L251,0))/(IF(ISNUMBER(K251),$C$3,0)+IF(ISNUMBER(L251),$E$3,0)))</f>
        <v>0.31993995399072</v>
      </c>
      <c r="N251" s="12"/>
      <c r="O251" s="7" t="n">
        <f aca="false">IF(N251&lt;&gt;"","",COUNTIFS($A$6:$A$338,A251,$N$6:$N$338,"",$M$6:$M$338,"&gt;"&amp;M251)+COUNTIFS($A$6:A251,A251,$N$6:N251,"",$M$6:M251,M251))</f>
        <v>6</v>
      </c>
      <c r="P251" s="12" t="str">
        <f aca="false">IF(O251="","Excluded",IF(O251&lt;=5,"Lead",IF(O251&lt;=10,"Next wave","Long list")))</f>
        <v>Next wave</v>
      </c>
      <c r="Q251" s="10" t="s">
        <v>80</v>
      </c>
      <c r="R251" s="30" t="s">
        <v>490</v>
      </c>
    </row>
    <row r="252" customFormat="false" ht="23.85" hidden="false" customHeight="false" outlineLevel="0" collapsed="false">
      <c r="A252" s="12" t="s">
        <v>43</v>
      </c>
      <c r="B252" s="12" t="s">
        <v>254</v>
      </c>
      <c r="C252" s="10" t="s">
        <v>255</v>
      </c>
      <c r="D252" s="26" t="n">
        <v>22.55</v>
      </c>
      <c r="E252" s="11" t="n">
        <v>1076.1</v>
      </c>
      <c r="F252" s="10" t="s">
        <v>147</v>
      </c>
      <c r="G252" s="7" t="n">
        <v>1</v>
      </c>
      <c r="H252" s="12" t="s">
        <v>77</v>
      </c>
      <c r="I252" s="12" t="s">
        <v>84</v>
      </c>
      <c r="J252" s="10"/>
      <c r="K252" s="9" t="n">
        <f aca="false">IF(ISNUMBER(D252),COUNTIF($D$6:$D$338,"&lt;"&amp;D252)/(COUNT($D$6:$D$338)-1),"")</f>
        <v>0.420711974110032</v>
      </c>
      <c r="L252" s="9" t="n">
        <f aca="false">IF(ISNUMBER(E252),COUNTIF($E$6:$E$338,"&lt;"&amp;E252)/(COUNT($E$6:$E$338)-1),"")</f>
        <v>0.159638554216867</v>
      </c>
      <c r="M252" s="9" t="n">
        <f aca="false">IF(AND(K252="",L252=""),"",(IF(ISNUMBER(K252),$C$3*K252,0)+IF(ISNUMBER(L252),$E$3*L252,0))/(IF(ISNUMBER(K252),$C$3,0)+IF(ISNUMBER(L252),$E$3,0)))</f>
        <v>0.29017526416345</v>
      </c>
      <c r="N252" s="12"/>
      <c r="O252" s="7" t="n">
        <f aca="false">IF(N252&lt;&gt;"","",COUNTIFS($A$6:$A$338,A252,$N$6:$N$338,"",$M$6:$M$338,"&gt;"&amp;M252)+COUNTIFS($A$6:A252,A252,$N$6:N252,"",$M$6:M252,M252))</f>
        <v>7</v>
      </c>
      <c r="P252" s="12" t="str">
        <f aca="false">IF(O252="","Excluded",IF(O252&lt;=5,"Lead",IF(O252&lt;=10,"Next wave","Long list")))</f>
        <v>Next wave</v>
      </c>
      <c r="Q252" s="10" t="s">
        <v>102</v>
      </c>
      <c r="R252" s="30" t="s">
        <v>594</v>
      </c>
    </row>
    <row r="253" customFormat="false" ht="23.85" hidden="false" customHeight="false" outlineLevel="0" collapsed="false">
      <c r="A253" s="12" t="s">
        <v>43</v>
      </c>
      <c r="B253" s="12" t="s">
        <v>256</v>
      </c>
      <c r="C253" s="10" t="s">
        <v>257</v>
      </c>
      <c r="D253" s="26" t="n">
        <v>10.12</v>
      </c>
      <c r="E253" s="11" t="n">
        <v>2476.9</v>
      </c>
      <c r="F253" s="10" t="s">
        <v>147</v>
      </c>
      <c r="G253" s="7" t="n">
        <v>1</v>
      </c>
      <c r="H253" s="12" t="s">
        <v>77</v>
      </c>
      <c r="I253" s="12" t="s">
        <v>84</v>
      </c>
      <c r="J253" s="10" t="s">
        <v>178</v>
      </c>
      <c r="K253" s="9" t="n">
        <f aca="false">IF(ISNUMBER(D253),COUNTIF($D$6:$D$338,"&lt;"&amp;D253)/(COUNT($D$6:$D$338)-1),"")</f>
        <v>0.229773462783172</v>
      </c>
      <c r="L253" s="9" t="n">
        <f aca="false">IF(ISNUMBER(E253),COUNTIF($E$6:$E$338,"&lt;"&amp;E253)/(COUNT($E$6:$E$338)-1),"")</f>
        <v>0.295180722891566</v>
      </c>
      <c r="M253" s="9" t="n">
        <f aca="false">IF(AND(K253="",L253=""),"",(IF(ISNUMBER(K253),$C$3*K253,0)+IF(ISNUMBER(L253),$E$3*L253,0))/(IF(ISNUMBER(K253),$C$3,0)+IF(ISNUMBER(L253),$E$3,0)))</f>
        <v>0.262477092837369</v>
      </c>
      <c r="N253" s="12"/>
      <c r="O253" s="7" t="n">
        <f aca="false">IF(N253&lt;&gt;"","",COUNTIFS($A$6:$A$338,A253,$N$6:$N$338,"",$M$6:$M$338,"&gt;"&amp;M253)+COUNTIFS($A$6:A253,A253,$N$6:N253,"",$M$6:M253,M253))</f>
        <v>8</v>
      </c>
      <c r="P253" s="12" t="str">
        <f aca="false">IF(O253="","Excluded",IF(O253&lt;=5,"Lead",IF(O253&lt;=10,"Next wave","Long list")))</f>
        <v>Next wave</v>
      </c>
      <c r="Q253" s="10" t="s">
        <v>80</v>
      </c>
      <c r="R253" s="30" t="s">
        <v>386</v>
      </c>
    </row>
    <row r="254" customFormat="false" ht="23.85" hidden="false" customHeight="false" outlineLevel="0" collapsed="false">
      <c r="A254" s="12" t="s">
        <v>43</v>
      </c>
      <c r="B254" s="12" t="s">
        <v>258</v>
      </c>
      <c r="C254" s="10" t="s">
        <v>259</v>
      </c>
      <c r="D254" s="26" t="n">
        <v>18</v>
      </c>
      <c r="E254" s="11" t="n">
        <v>513.2</v>
      </c>
      <c r="F254" s="10" t="s">
        <v>147</v>
      </c>
      <c r="G254" s="7" t="n">
        <v>1</v>
      </c>
      <c r="H254" s="12" t="s">
        <v>77</v>
      </c>
      <c r="I254" s="12" t="s">
        <v>84</v>
      </c>
      <c r="J254" s="10"/>
      <c r="K254" s="9" t="n">
        <f aca="false">IF(ISNUMBER(D254),COUNTIF($D$6:$D$338,"&lt;"&amp;D254)/(COUNT($D$6:$D$338)-1),"")</f>
        <v>0.368932038834951</v>
      </c>
      <c r="L254" s="9" t="n">
        <f aca="false">IF(ISNUMBER(E254),COUNTIF($E$6:$E$338,"&lt;"&amp;E254)/(COUNT($E$6:$E$338)-1),"")</f>
        <v>0.105421686746988</v>
      </c>
      <c r="M254" s="9" t="n">
        <f aca="false">IF(AND(K254="",L254=""),"",(IF(ISNUMBER(K254),$C$3*K254,0)+IF(ISNUMBER(L254),$E$3*L254,0))/(IF(ISNUMBER(K254),$C$3,0)+IF(ISNUMBER(L254),$E$3,0)))</f>
        <v>0.23717686279097</v>
      </c>
      <c r="N254" s="12"/>
      <c r="O254" s="7" t="n">
        <f aca="false">IF(N254&lt;&gt;"","",COUNTIFS($A$6:$A$338,A254,$N$6:$N$338,"",$M$6:$M$338,"&gt;"&amp;M254)+COUNTIFS($A$6:A254,A254,$N$6:N254,"",$M$6:M254,M254))</f>
        <v>9</v>
      </c>
      <c r="P254" s="12" t="str">
        <f aca="false">IF(O254="","Excluded",IF(O254&lt;=5,"Lead",IF(O254&lt;=10,"Next wave","Long list")))</f>
        <v>Next wave</v>
      </c>
      <c r="Q254" s="10" t="s">
        <v>102</v>
      </c>
      <c r="R254" s="30" t="s">
        <v>595</v>
      </c>
    </row>
    <row r="255" customFormat="false" ht="23.85" hidden="false" customHeight="false" outlineLevel="0" collapsed="false">
      <c r="A255" s="12" t="s">
        <v>43</v>
      </c>
      <c r="B255" s="12" t="s">
        <v>260</v>
      </c>
      <c r="C255" s="10" t="s">
        <v>261</v>
      </c>
      <c r="D255" s="26" t="n">
        <v>5.56</v>
      </c>
      <c r="E255" s="11" t="n">
        <v>3067.4</v>
      </c>
      <c r="F255" s="10" t="s">
        <v>147</v>
      </c>
      <c r="G255" s="7" t="n">
        <v>1</v>
      </c>
      <c r="H255" s="12" t="s">
        <v>77</v>
      </c>
      <c r="I255" s="12" t="s">
        <v>84</v>
      </c>
      <c r="J255" s="10" t="s">
        <v>168</v>
      </c>
      <c r="K255" s="9" t="n">
        <f aca="false">IF(ISNUMBER(D255),COUNTIF($D$6:$D$338,"&lt;"&amp;D255)/(COUNT($D$6:$D$338)-1),"")</f>
        <v>0.0323624595469256</v>
      </c>
      <c r="L255" s="9" t="n">
        <f aca="false">IF(ISNUMBER(E255),COUNTIF($E$6:$E$338,"&lt;"&amp;E255)/(COUNT($E$6:$E$338)-1),"")</f>
        <v>0.418674698795181</v>
      </c>
      <c r="M255" s="9" t="n">
        <f aca="false">IF(AND(K255="",L255=""),"",(IF(ISNUMBER(K255),$C$3*K255,0)+IF(ISNUMBER(L255),$E$3*L255,0))/(IF(ISNUMBER(K255),$C$3,0)+IF(ISNUMBER(L255),$E$3,0)))</f>
        <v>0.225518579171053</v>
      </c>
      <c r="N255" s="12"/>
      <c r="O255" s="7" t="n">
        <f aca="false">IF(N255&lt;&gt;"","",COUNTIFS($A$6:$A$338,A255,$N$6:$N$338,"",$M$6:$M$338,"&gt;"&amp;M255)+COUNTIFS($A$6:A255,A255,$N$6:N255,"",$M$6:M255,M255))</f>
        <v>10</v>
      </c>
      <c r="P255" s="12" t="str">
        <f aca="false">IF(O255="","Excluded",IF(O255&lt;=5,"Lead",IF(O255&lt;=10,"Next wave","Long list")))</f>
        <v>Next wave</v>
      </c>
      <c r="Q255" s="10" t="s">
        <v>80</v>
      </c>
      <c r="R255" s="30" t="s">
        <v>459</v>
      </c>
    </row>
    <row r="256" customFormat="false" ht="23.85" hidden="false" customHeight="false" outlineLevel="0" collapsed="false">
      <c r="A256" s="12" t="s">
        <v>49</v>
      </c>
      <c r="B256" s="12" t="s">
        <v>56</v>
      </c>
      <c r="C256" s="10" t="s">
        <v>152</v>
      </c>
      <c r="D256" s="26" t="n">
        <v>24.1</v>
      </c>
      <c r="E256" s="11" t="n">
        <v>58920.4</v>
      </c>
      <c r="F256" s="10" t="s">
        <v>276</v>
      </c>
      <c r="G256" s="7" t="n">
        <v>23</v>
      </c>
      <c r="H256" s="12" t="s">
        <v>77</v>
      </c>
      <c r="I256" s="12" t="s">
        <v>78</v>
      </c>
      <c r="J256" s="10" t="s">
        <v>154</v>
      </c>
      <c r="K256" s="9" t="n">
        <f aca="false">IF(ISNUMBER(D256),COUNTIF($D$6:$D$338,"&lt;"&amp;D256)/(COUNT($D$6:$D$338)-1),"")</f>
        <v>0.449838187702265</v>
      </c>
      <c r="L256" s="9" t="n">
        <f aca="false">IF(ISNUMBER(E256),COUNTIF($E$6:$E$338,"&lt;"&amp;E256)/(COUNT($E$6:$E$338)-1),"")</f>
        <v>0.936746987951807</v>
      </c>
      <c r="M256" s="9" t="n">
        <f aca="false">IF(AND(K256="",L256=""),"",(IF(ISNUMBER(K256),$C$3*K256,0)+IF(ISNUMBER(L256),$E$3*L256,0))/(IF(ISNUMBER(K256),$C$3,0)+IF(ISNUMBER(L256),$E$3,0)))</f>
        <v>0.693292587827036</v>
      </c>
      <c r="N256" s="12"/>
      <c r="O256" s="7" t="n">
        <f aca="false">IF(N256&lt;&gt;"","",COUNTIFS($A$6:$A$338,A256,$N$6:$N$338,"",$M$6:$M$338,"&gt;"&amp;M256)+COUNTIFS($A$6:A256,A256,$N$6:N256,"",$M$6:M256,M256))</f>
        <v>1</v>
      </c>
      <c r="P256" s="12" t="str">
        <f aca="false">IF(O256="","Excluded",IF(O256&lt;=5,"Lead",IF(O256&lt;=10,"Next wave","Long list")))</f>
        <v>Lead</v>
      </c>
      <c r="Q256" s="10" t="s">
        <v>80</v>
      </c>
      <c r="R256" s="30" t="s">
        <v>317</v>
      </c>
    </row>
    <row r="257" customFormat="false" ht="23.85" hidden="false" customHeight="false" outlineLevel="0" collapsed="false">
      <c r="A257" s="12" t="s">
        <v>49</v>
      </c>
      <c r="B257" s="12" t="s">
        <v>166</v>
      </c>
      <c r="C257" s="10" t="s">
        <v>167</v>
      </c>
      <c r="D257" s="26" t="n">
        <v>30.01</v>
      </c>
      <c r="E257" s="11" t="n">
        <v>3625.3</v>
      </c>
      <c r="F257" s="10" t="s">
        <v>147</v>
      </c>
      <c r="G257" s="7" t="n">
        <v>1</v>
      </c>
      <c r="H257" s="12" t="s">
        <v>77</v>
      </c>
      <c r="I257" s="12" t="s">
        <v>84</v>
      </c>
      <c r="J257" s="10" t="s">
        <v>168</v>
      </c>
      <c r="K257" s="9" t="n">
        <f aca="false">IF(ISNUMBER(D257),COUNTIF($D$6:$D$338,"&lt;"&amp;D257)/(COUNT($D$6:$D$338)-1),"")</f>
        <v>0.501618122977346</v>
      </c>
      <c r="L257" s="9" t="n">
        <f aca="false">IF(ISNUMBER(E257),COUNTIF($E$6:$E$338,"&lt;"&amp;E257)/(COUNT($E$6:$E$338)-1),"")</f>
        <v>0.454819277108434</v>
      </c>
      <c r="M257" s="9" t="n">
        <f aca="false">IF(AND(K257="",L257=""),"",(IF(ISNUMBER(K257),$C$3*K257,0)+IF(ISNUMBER(L257),$E$3*L257,0))/(IF(ISNUMBER(K257),$C$3,0)+IF(ISNUMBER(L257),$E$3,0)))</f>
        <v>0.47821870004289</v>
      </c>
      <c r="N257" s="12"/>
      <c r="O257" s="7" t="n">
        <f aca="false">IF(N257&lt;&gt;"","",COUNTIFS($A$6:$A$338,A257,$N$6:$N$338,"",$M$6:$M$338,"&gt;"&amp;M257)+COUNTIFS($A$6:A257,A257,$N$6:N257,"",$M$6:M257,M257))</f>
        <v>2</v>
      </c>
      <c r="P257" s="12" t="str">
        <f aca="false">IF(O257="","Excluded",IF(O257&lt;=5,"Lead",IF(O257&lt;=10,"Next wave","Long list")))</f>
        <v>Lead</v>
      </c>
      <c r="Q257" s="10" t="s">
        <v>80</v>
      </c>
      <c r="R257" s="30" t="s">
        <v>304</v>
      </c>
    </row>
    <row r="258" customFormat="false" ht="23.85" hidden="false" customHeight="false" outlineLevel="0" collapsed="false">
      <c r="A258" s="12" t="s">
        <v>49</v>
      </c>
      <c r="B258" s="12" t="s">
        <v>277</v>
      </c>
      <c r="C258" s="10" t="s">
        <v>278</v>
      </c>
      <c r="D258" s="26" t="n">
        <v>6.38</v>
      </c>
      <c r="E258" s="11" t="n">
        <v>16359.3</v>
      </c>
      <c r="F258" s="10" t="s">
        <v>147</v>
      </c>
      <c r="G258" s="7" t="n">
        <v>1</v>
      </c>
      <c r="H258" s="12" t="s">
        <v>77</v>
      </c>
      <c r="I258" s="12" t="s">
        <v>84</v>
      </c>
      <c r="J258" s="10"/>
      <c r="K258" s="9" t="n">
        <f aca="false">IF(ISNUMBER(D258),COUNTIF($D$6:$D$338,"&lt;"&amp;D258)/(COUNT($D$6:$D$338)-1),"")</f>
        <v>0.0711974110032363</v>
      </c>
      <c r="L258" s="9" t="n">
        <f aca="false">IF(ISNUMBER(E258),COUNTIF($E$6:$E$338,"&lt;"&amp;E258)/(COUNT($E$6:$E$338)-1),"")</f>
        <v>0.740963855421687</v>
      </c>
      <c r="M258" s="9" t="n">
        <f aca="false">IF(AND(K258="",L258=""),"",(IF(ISNUMBER(K258),$C$3*K258,0)+IF(ISNUMBER(L258),$E$3*L258,0))/(IF(ISNUMBER(K258),$C$3,0)+IF(ISNUMBER(L258),$E$3,0)))</f>
        <v>0.406080633212462</v>
      </c>
      <c r="N258" s="12"/>
      <c r="O258" s="7" t="n">
        <f aca="false">IF(N258&lt;&gt;"","",COUNTIFS($A$6:$A$338,A258,$N$6:$N$338,"",$M$6:$M$338,"&gt;"&amp;M258)+COUNTIFS($A$6:A258,A258,$N$6:N258,"",$M$6:M258,M258))</f>
        <v>3</v>
      </c>
      <c r="P258" s="12" t="str">
        <f aca="false">IF(O258="","Excluded",IF(O258&lt;=5,"Lead",IF(O258&lt;=10,"Next wave","Long list")))</f>
        <v>Lead</v>
      </c>
      <c r="Q258" s="10" t="s">
        <v>102</v>
      </c>
      <c r="R258" s="30" t="s">
        <v>372</v>
      </c>
    </row>
    <row r="259" customFormat="false" ht="23.85" hidden="false" customHeight="false" outlineLevel="0" collapsed="false">
      <c r="A259" s="12" t="s">
        <v>49</v>
      </c>
      <c r="B259" s="12" t="s">
        <v>279</v>
      </c>
      <c r="C259" s="10" t="s">
        <v>280</v>
      </c>
      <c r="D259" s="26" t="n">
        <v>54.62</v>
      </c>
      <c r="E259" s="11" t="n">
        <v>117.1</v>
      </c>
      <c r="F259" s="10" t="s">
        <v>147</v>
      </c>
      <c r="G259" s="7" t="n">
        <v>1</v>
      </c>
      <c r="H259" s="12" t="s">
        <v>77</v>
      </c>
      <c r="I259" s="12" t="s">
        <v>95</v>
      </c>
      <c r="J259" s="10"/>
      <c r="K259" s="9" t="n">
        <f aca="false">IF(ISNUMBER(D259),COUNTIF($D$6:$D$338,"&lt;"&amp;D259)/(COUNT($D$6:$D$338)-1),"")</f>
        <v>0.647249190938511</v>
      </c>
      <c r="L259" s="9" t="n">
        <f aca="false">IF(ISNUMBER(E259),COUNTIF($E$6:$E$338,"&lt;"&amp;E259)/(COUNT($E$6:$E$338)-1),"")</f>
        <v>0.036144578313253</v>
      </c>
      <c r="M259" s="9" t="n">
        <f aca="false">IF(AND(K259="",L259=""),"",(IF(ISNUMBER(K259),$C$3*K259,0)+IF(ISNUMBER(L259),$E$3*L259,0))/(IF(ISNUMBER(K259),$C$3,0)+IF(ISNUMBER(L259),$E$3,0)))</f>
        <v>0.341696884625882</v>
      </c>
      <c r="N259" s="12"/>
      <c r="O259" s="7" t="n">
        <f aca="false">IF(N259&lt;&gt;"","",COUNTIFS($A$6:$A$338,A259,$N$6:$N$338,"",$M$6:$M$338,"&gt;"&amp;M259)+COUNTIFS($A$6:A259,A259,$N$6:N259,"",$M$6:M259,M259))</f>
        <v>4</v>
      </c>
      <c r="P259" s="12" t="str">
        <f aca="false">IF(O259="","Excluded",IF(O259&lt;=5,"Lead",IF(O259&lt;=10,"Next wave","Long list")))</f>
        <v>Lead</v>
      </c>
      <c r="Q259" s="10" t="s">
        <v>102</v>
      </c>
      <c r="R259" s="30" t="s">
        <v>596</v>
      </c>
    </row>
    <row r="260" customFormat="false" ht="23.85" hidden="false" customHeight="false" outlineLevel="0" collapsed="false">
      <c r="A260" s="12" t="s">
        <v>49</v>
      </c>
      <c r="B260" s="12" t="s">
        <v>281</v>
      </c>
      <c r="C260" s="10" t="s">
        <v>282</v>
      </c>
      <c r="D260" s="26" t="n">
        <v>7.41</v>
      </c>
      <c r="E260" s="11" t="n">
        <v>570.1</v>
      </c>
      <c r="F260" s="10" t="s">
        <v>147</v>
      </c>
      <c r="G260" s="7" t="n">
        <v>1</v>
      </c>
      <c r="H260" s="12" t="s">
        <v>77</v>
      </c>
      <c r="I260" s="12" t="s">
        <v>78</v>
      </c>
      <c r="J260" s="10" t="s">
        <v>142</v>
      </c>
      <c r="K260" s="9" t="n">
        <f aca="false">IF(ISNUMBER(D260),COUNTIF($D$6:$D$338,"&lt;"&amp;D260)/(COUNT($D$6:$D$338)-1),"")</f>
        <v>0.132686084142395</v>
      </c>
      <c r="L260" s="9" t="n">
        <f aca="false">IF(ISNUMBER(E260),COUNTIF($E$6:$E$338,"&lt;"&amp;E260)/(COUNT($E$6:$E$338)-1),"")</f>
        <v>0.123493975903614</v>
      </c>
      <c r="M260" s="9" t="n">
        <f aca="false">IF(AND(K260="",L260=""),"",(IF(ISNUMBER(K260),$C$3*K260,0)+IF(ISNUMBER(L260),$E$3*L260,0))/(IF(ISNUMBER(K260),$C$3,0)+IF(ISNUMBER(L260),$E$3,0)))</f>
        <v>0.128090030023005</v>
      </c>
      <c r="N260" s="12"/>
      <c r="O260" s="7" t="n">
        <f aca="false">IF(N260&lt;&gt;"","",COUNTIFS($A$6:$A$338,A260,$N$6:$N$338,"",$M$6:$M$338,"&gt;"&amp;M260)+COUNTIFS($A$6:A260,A260,$N$6:N260,"",$M$6:M260,M260))</f>
        <v>5</v>
      </c>
      <c r="P260" s="12" t="str">
        <f aca="false">IF(O260="","Excluded",IF(O260&lt;=5,"Lead",IF(O260&lt;=10,"Next wave","Long list")))</f>
        <v>Lead</v>
      </c>
      <c r="Q260" s="10" t="s">
        <v>102</v>
      </c>
      <c r="R260" s="30" t="s">
        <v>414</v>
      </c>
    </row>
    <row r="261" customFormat="false" ht="23.85" hidden="false" customHeight="false" outlineLevel="0" collapsed="false">
      <c r="A261" s="12" t="s">
        <v>47</v>
      </c>
      <c r="B261" s="12" t="s">
        <v>116</v>
      </c>
      <c r="C261" s="10" t="s">
        <v>117</v>
      </c>
      <c r="D261" s="26" t="n">
        <v>79.53</v>
      </c>
      <c r="E261" s="11" t="n">
        <v>32830.2</v>
      </c>
      <c r="F261" s="10" t="s">
        <v>89</v>
      </c>
      <c r="G261" s="7" t="n">
        <v>32</v>
      </c>
      <c r="H261" s="12" t="s">
        <v>77</v>
      </c>
      <c r="I261" s="12" t="s">
        <v>84</v>
      </c>
      <c r="J261" s="10" t="s">
        <v>119</v>
      </c>
      <c r="K261" s="9" t="n">
        <f aca="false">IF(ISNUMBER(D261),COUNTIF($D$6:$D$338,"&lt;"&amp;D261)/(COUNT($D$6:$D$338)-1),"")</f>
        <v>0.715210355987055</v>
      </c>
      <c r="L261" s="9" t="n">
        <f aca="false">IF(ISNUMBER(E261),COUNTIF($E$6:$E$338,"&lt;"&amp;E261)/(COUNT($E$6:$E$338)-1),"")</f>
        <v>0.825301204819277</v>
      </c>
      <c r="M261" s="9" t="n">
        <f aca="false">IF(AND(K261="",L261=""),"",(IF(ISNUMBER(K261),$C$3*K261,0)+IF(ISNUMBER(L261),$E$3*L261,0))/(IF(ISNUMBER(K261),$C$3,0)+IF(ISNUMBER(L261),$E$3,0)))</f>
        <v>0.770255780403166</v>
      </c>
      <c r="N261" s="12"/>
      <c r="O261" s="7" t="n">
        <f aca="false">IF(N261&lt;&gt;"","",COUNTIFS($A$6:$A$338,A261,$N$6:$N$338,"",$M$6:$M$338,"&gt;"&amp;M261)+COUNTIFS($A$6:A261,A261,$N$6:N261,"",$M$6:M261,M261))</f>
        <v>1</v>
      </c>
      <c r="P261" s="12" t="str">
        <f aca="false">IF(O261="","Excluded",IF(O261&lt;=5,"Lead",IF(O261&lt;=10,"Next wave","Long list")))</f>
        <v>Lead</v>
      </c>
      <c r="Q261" s="10" t="s">
        <v>80</v>
      </c>
      <c r="R261" s="30" t="s">
        <v>426</v>
      </c>
    </row>
    <row r="262" customFormat="false" ht="23.85" hidden="false" customHeight="false" outlineLevel="0" collapsed="false">
      <c r="A262" s="12" t="s">
        <v>47</v>
      </c>
      <c r="B262" s="12" t="s">
        <v>265</v>
      </c>
      <c r="C262" s="10" t="s">
        <v>266</v>
      </c>
      <c r="D262" s="26" t="n">
        <v>59.3</v>
      </c>
      <c r="E262" s="11" t="n">
        <v>5118.1</v>
      </c>
      <c r="F262" s="10" t="s">
        <v>114</v>
      </c>
      <c r="G262" s="7" t="n">
        <v>9</v>
      </c>
      <c r="H262" s="12" t="s">
        <v>83</v>
      </c>
      <c r="I262" s="12" t="s">
        <v>84</v>
      </c>
      <c r="J262" s="10" t="s">
        <v>85</v>
      </c>
      <c r="K262" s="9" t="n">
        <f aca="false">IF(ISNUMBER(D262),COUNTIF($D$6:$D$338,"&lt;"&amp;D262)/(COUNT($D$6:$D$338)-1),"")</f>
        <v>0.663430420711974</v>
      </c>
      <c r="L262" s="9" t="n">
        <f aca="false">IF(ISNUMBER(E262),COUNTIF($E$6:$E$338,"&lt;"&amp;E262)/(COUNT($E$6:$E$338)-1),"")</f>
        <v>0.551204819277108</v>
      </c>
      <c r="M262" s="9" t="n">
        <f aca="false">IF(AND(K262="",L262=""),"",(IF(ISNUMBER(K262),$C$3*K262,0)+IF(ISNUMBER(L262),$E$3*L262,0))/(IF(ISNUMBER(K262),$C$3,0)+IF(ISNUMBER(L262),$E$3,0)))</f>
        <v>0.607317619994541</v>
      </c>
      <c r="N262" s="12"/>
      <c r="O262" s="7" t="n">
        <f aca="false">IF(N262&lt;&gt;"","",COUNTIFS($A$6:$A$338,A262,$N$6:$N$338,"",$M$6:$M$338,"&gt;"&amp;M262)+COUNTIFS($A$6:A262,A262,$N$6:N262,"",$M$6:M262,M262))</f>
        <v>2</v>
      </c>
      <c r="P262" s="12" t="str">
        <f aca="false">IF(O262="","Excluded",IF(O262&lt;=5,"Lead",IF(O262&lt;=10,"Next wave","Long list")))</f>
        <v>Lead</v>
      </c>
      <c r="Q262" s="10" t="s">
        <v>86</v>
      </c>
      <c r="R262" s="30" t="s">
        <v>597</v>
      </c>
    </row>
    <row r="263" customFormat="false" ht="23.85" hidden="false" customHeight="false" outlineLevel="0" collapsed="false">
      <c r="A263" s="12" t="s">
        <v>47</v>
      </c>
      <c r="B263" s="12" t="s">
        <v>267</v>
      </c>
      <c r="C263" s="10" t="s">
        <v>268</v>
      </c>
      <c r="D263" s="26" t="n">
        <v>163.51</v>
      </c>
      <c r="E263" s="11" t="n">
        <v>14.3</v>
      </c>
      <c r="F263" s="10" t="s">
        <v>89</v>
      </c>
      <c r="G263" s="7" t="n">
        <v>19</v>
      </c>
      <c r="H263" s="12" t="s">
        <v>196</v>
      </c>
      <c r="I263" s="12" t="s">
        <v>84</v>
      </c>
      <c r="J263" s="10"/>
      <c r="K263" s="9" t="n">
        <f aca="false">IF(ISNUMBER(D263),COUNTIF($D$6:$D$338,"&lt;"&amp;D263)/(COUNT($D$6:$D$338)-1),"")</f>
        <v>0.83495145631068</v>
      </c>
      <c r="L263" s="9" t="n">
        <f aca="false">IF(ISNUMBER(E263),COUNTIF($E$6:$E$338,"&lt;"&amp;E263)/(COUNT($E$6:$E$338)-1),"")</f>
        <v>0.00301204819277108</v>
      </c>
      <c r="M263" s="9" t="n">
        <f aca="false">IF(AND(K263="",L263=""),"",(IF(ISNUMBER(K263),$C$3*K263,0)+IF(ISNUMBER(L263),$E$3*L263,0))/(IF(ISNUMBER(K263),$C$3,0)+IF(ISNUMBER(L263),$E$3,0)))</f>
        <v>0.418981752251725</v>
      </c>
      <c r="N263" s="12"/>
      <c r="O263" s="7" t="n">
        <f aca="false">IF(N263&lt;&gt;"","",COUNTIFS($A$6:$A$338,A263,$N$6:$N$338,"",$M$6:$M$338,"&gt;"&amp;M263)+COUNTIFS($A$6:A263,A263,$N$6:N263,"",$M$6:M263,M263))</f>
        <v>3</v>
      </c>
      <c r="P263" s="12" t="str">
        <f aca="false">IF(O263="","Excluded",IF(O263&lt;=5,"Lead",IF(O263&lt;=10,"Next wave","Long list")))</f>
        <v>Lead</v>
      </c>
      <c r="Q263" s="10" t="s">
        <v>102</v>
      </c>
      <c r="R263" s="30" t="s">
        <v>582</v>
      </c>
    </row>
    <row r="264" customFormat="false" ht="23.85" hidden="false" customHeight="false" outlineLevel="0" collapsed="false">
      <c r="A264" s="12" t="s">
        <v>47</v>
      </c>
      <c r="B264" s="12" t="s">
        <v>241</v>
      </c>
      <c r="C264" s="10" t="s">
        <v>242</v>
      </c>
      <c r="D264" s="26" t="n">
        <v>22.38</v>
      </c>
      <c r="E264" s="11" t="n">
        <v>2508.1</v>
      </c>
      <c r="F264" s="10" t="s">
        <v>147</v>
      </c>
      <c r="G264" s="7" t="n">
        <v>1</v>
      </c>
      <c r="H264" s="12" t="s">
        <v>77</v>
      </c>
      <c r="I264" s="12" t="s">
        <v>84</v>
      </c>
      <c r="J264" s="10" t="s">
        <v>178</v>
      </c>
      <c r="K264" s="9" t="n">
        <f aca="false">IF(ISNUMBER(D264),COUNTIF($D$6:$D$338,"&lt;"&amp;D264)/(COUNT($D$6:$D$338)-1),"")</f>
        <v>0.411003236245955</v>
      </c>
      <c r="L264" s="9" t="n">
        <f aca="false">IF(ISNUMBER(E264),COUNTIF($E$6:$E$338,"&lt;"&amp;E264)/(COUNT($E$6:$E$338)-1),"")</f>
        <v>0.313253012048193</v>
      </c>
      <c r="M264" s="9" t="n">
        <f aca="false">IF(AND(K264="",L264=""),"",(IF(ISNUMBER(K264),$C$3*K264,0)+IF(ISNUMBER(L264),$E$3*L264,0))/(IF(ISNUMBER(K264),$C$3,0)+IF(ISNUMBER(L264),$E$3,0)))</f>
        <v>0.362128124147074</v>
      </c>
      <c r="N264" s="12"/>
      <c r="O264" s="7" t="n">
        <f aca="false">IF(N264&lt;&gt;"","",COUNTIFS($A$6:$A$338,A264,$N$6:$N$338,"",$M$6:$M$338,"&gt;"&amp;M264)+COUNTIFS($A$6:A264,A264,$N$6:N264,"",$M$6:M264,M264))</f>
        <v>4</v>
      </c>
      <c r="P264" s="12" t="str">
        <f aca="false">IF(O264="","Excluded",IF(O264&lt;=5,"Lead",IF(O264&lt;=10,"Next wave","Long list")))</f>
        <v>Lead</v>
      </c>
      <c r="Q264" s="10" t="s">
        <v>80</v>
      </c>
      <c r="R264" s="30" t="s">
        <v>539</v>
      </c>
    </row>
    <row r="265" customFormat="false" ht="23.85" hidden="false" customHeight="false" outlineLevel="0" collapsed="false">
      <c r="A265" s="12" t="s">
        <v>47</v>
      </c>
      <c r="B265" s="12" t="s">
        <v>269</v>
      </c>
      <c r="C265" s="10" t="s">
        <v>270</v>
      </c>
      <c r="D265" s="26" t="n">
        <v>42.21</v>
      </c>
      <c r="E265" s="11" t="n">
        <v>71.4</v>
      </c>
      <c r="F265" s="10" t="s">
        <v>232</v>
      </c>
      <c r="G265" s="7" t="n">
        <v>1</v>
      </c>
      <c r="H265" s="12" t="s">
        <v>95</v>
      </c>
      <c r="I265" s="12" t="s">
        <v>95</v>
      </c>
      <c r="J265" s="10" t="s">
        <v>178</v>
      </c>
      <c r="K265" s="9" t="n">
        <f aca="false">IF(ISNUMBER(D265),COUNTIF($D$6:$D$338,"&lt;"&amp;D265)/(COUNT($D$6:$D$338)-1),"")</f>
        <v>0.608414239482201</v>
      </c>
      <c r="L265" s="9" t="n">
        <f aca="false">IF(ISNUMBER(E265),COUNTIF($E$6:$E$338,"&lt;"&amp;E265)/(COUNT($E$6:$E$338)-1),"")</f>
        <v>0.0210843373493976</v>
      </c>
      <c r="M265" s="9" t="n">
        <f aca="false">IF(AND(K265="",L265=""),"",(IF(ISNUMBER(K265),$C$3*K265,0)+IF(ISNUMBER(L265),$E$3*L265,0))/(IF(ISNUMBER(K265),$C$3,0)+IF(ISNUMBER(L265),$E$3,0)))</f>
        <v>0.314749288415799</v>
      </c>
      <c r="N265" s="12"/>
      <c r="O265" s="7" t="n">
        <f aca="false">IF(N265&lt;&gt;"","",COUNTIFS($A$6:$A$338,A265,$N$6:$N$338,"",$M$6:$M$338,"&gt;"&amp;M265)+COUNTIFS($A$6:A265,A265,$N$6:N265,"",$M$6:M265,M265))</f>
        <v>5</v>
      </c>
      <c r="P265" s="12" t="str">
        <f aca="false">IF(O265="","Excluded",IF(O265&lt;=5,"Lead",IF(O265&lt;=10,"Next wave","Long list")))</f>
        <v>Lead</v>
      </c>
      <c r="Q265" s="10" t="s">
        <v>97</v>
      </c>
      <c r="R265" s="30" t="s">
        <v>416</v>
      </c>
    </row>
    <row r="266" customFormat="false" ht="23.85" hidden="false" customHeight="false" outlineLevel="0" collapsed="false">
      <c r="A266" s="12" t="s">
        <v>47</v>
      </c>
      <c r="B266" s="12" t="s">
        <v>271</v>
      </c>
      <c r="C266" s="10" t="s">
        <v>272</v>
      </c>
      <c r="D266" s="26" t="n">
        <v>15.8</v>
      </c>
      <c r="E266" s="11" t="n">
        <v>287.5</v>
      </c>
      <c r="F266" s="10" t="s">
        <v>273</v>
      </c>
      <c r="G266" s="7" t="n">
        <v>18</v>
      </c>
      <c r="H266" s="12" t="s">
        <v>196</v>
      </c>
      <c r="I266" s="12" t="s">
        <v>84</v>
      </c>
      <c r="J266" s="10"/>
      <c r="K266" s="9" t="n">
        <f aca="false">IF(ISNUMBER(D266),COUNTIF($D$6:$D$338,"&lt;"&amp;D266)/(COUNT($D$6:$D$338)-1),"")</f>
        <v>0.339805825242718</v>
      </c>
      <c r="L266" s="9" t="n">
        <f aca="false">IF(ISNUMBER(E266),COUNTIF($E$6:$E$338,"&lt;"&amp;E266)/(COUNT($E$6:$E$338)-1),"")</f>
        <v>0.0753012048192771</v>
      </c>
      <c r="M266" s="9" t="n">
        <f aca="false">IF(AND(K266="",L266=""),"",(IF(ISNUMBER(K266),$C$3*K266,0)+IF(ISNUMBER(L266),$E$3*L266,0))/(IF(ISNUMBER(K266),$C$3,0)+IF(ISNUMBER(L266),$E$3,0)))</f>
        <v>0.207553515030998</v>
      </c>
      <c r="N266" s="12"/>
      <c r="O266" s="7" t="n">
        <f aca="false">IF(N266&lt;&gt;"","",COUNTIFS($A$6:$A$338,A266,$N$6:$N$338,"",$M$6:$M$338,"&gt;"&amp;M266)+COUNTIFS($A$6:A266,A266,$N$6:N266,"",$M$6:M266,M266))</f>
        <v>6</v>
      </c>
      <c r="P266" s="12" t="str">
        <f aca="false">IF(O266="","Excluded",IF(O266&lt;=5,"Lead",IF(O266&lt;=10,"Next wave","Long list")))</f>
        <v>Next wave</v>
      </c>
      <c r="Q266" s="10" t="s">
        <v>102</v>
      </c>
      <c r="R266" s="30" t="s">
        <v>586</v>
      </c>
    </row>
    <row r="267" customFormat="false" ht="23.85" hidden="false" customHeight="false" outlineLevel="0" collapsed="false">
      <c r="A267" s="12" t="s">
        <v>47</v>
      </c>
      <c r="B267" s="12" t="s">
        <v>274</v>
      </c>
      <c r="C267" s="10" t="s">
        <v>275</v>
      </c>
      <c r="D267" s="26" t="n">
        <v>8.71</v>
      </c>
      <c r="E267" s="11" t="n">
        <v>1781.1</v>
      </c>
      <c r="F267" s="10" t="s">
        <v>273</v>
      </c>
      <c r="G267" s="7" t="n">
        <v>12</v>
      </c>
      <c r="H267" s="12" t="s">
        <v>196</v>
      </c>
      <c r="I267" s="12" t="s">
        <v>84</v>
      </c>
      <c r="J267" s="10"/>
      <c r="K267" s="9" t="n">
        <f aca="false">IF(ISNUMBER(D267),COUNTIF($D$6:$D$338,"&lt;"&amp;D267)/(COUNT($D$6:$D$338)-1),"")</f>
        <v>0.171521035598706</v>
      </c>
      <c r="L267" s="9" t="n">
        <f aca="false">IF(ISNUMBER(E267),COUNTIF($E$6:$E$338,"&lt;"&amp;E267)/(COUNT($E$6:$E$338)-1),"")</f>
        <v>0.228915662650602</v>
      </c>
      <c r="M267" s="9" t="n">
        <f aca="false">IF(AND(K267="",L267=""),"",(IF(ISNUMBER(K267),$C$3*K267,0)+IF(ISNUMBER(L267),$E$3*L267,0))/(IF(ISNUMBER(K267),$C$3,0)+IF(ISNUMBER(L267),$E$3,0)))</f>
        <v>0.200218349124654</v>
      </c>
      <c r="N267" s="12"/>
      <c r="O267" s="7" t="n">
        <f aca="false">IF(N267&lt;&gt;"","",COUNTIFS($A$6:$A$338,A267,$N$6:$N$338,"",$M$6:$M$338,"&gt;"&amp;M267)+COUNTIFS($A$6:A267,A267,$N$6:N267,"",$M$6:M267,M267))</f>
        <v>7</v>
      </c>
      <c r="P267" s="12" t="str">
        <f aca="false">IF(O267="","Excluded",IF(O267&lt;=5,"Lead",IF(O267&lt;=10,"Next wave","Long list")))</f>
        <v>Next wave</v>
      </c>
      <c r="Q267" s="10" t="s">
        <v>102</v>
      </c>
      <c r="R267" s="30" t="s">
        <v>598</v>
      </c>
    </row>
    <row r="268" customFormat="false" ht="23.85" hidden="false" customHeight="false" outlineLevel="0" collapsed="false">
      <c r="A268" s="12" t="s">
        <v>55</v>
      </c>
      <c r="B268" s="12" t="s">
        <v>56</v>
      </c>
      <c r="C268" s="10" t="s">
        <v>152</v>
      </c>
      <c r="D268" s="26" t="n">
        <v>11.71</v>
      </c>
      <c r="E268" s="11" t="n">
        <v>58920.4</v>
      </c>
      <c r="F268" s="10" t="s">
        <v>169</v>
      </c>
      <c r="G268" s="7" t="n">
        <v>2</v>
      </c>
      <c r="H268" s="12" t="s">
        <v>77</v>
      </c>
      <c r="I268" s="12" t="s">
        <v>78</v>
      </c>
      <c r="J268" s="10" t="s">
        <v>154</v>
      </c>
      <c r="K268" s="9" t="n">
        <f aca="false">IF(ISNUMBER(D268),COUNTIF($D$6:$D$338,"&lt;"&amp;D268)/(COUNT($D$6:$D$338)-1),"")</f>
        <v>0.268608414239482</v>
      </c>
      <c r="L268" s="9" t="n">
        <f aca="false">IF(ISNUMBER(E268),COUNTIF($E$6:$E$338,"&lt;"&amp;E268)/(COUNT($E$6:$E$338)-1),"")</f>
        <v>0.936746987951807</v>
      </c>
      <c r="M268" s="9" t="n">
        <f aca="false">IF(AND(K268="",L268=""),"",(IF(ISNUMBER(K268),$C$3*K268,0)+IF(ISNUMBER(L268),$E$3*L268,0))/(IF(ISNUMBER(K268),$C$3,0)+IF(ISNUMBER(L268),$E$3,0)))</f>
        <v>0.602677701095645</v>
      </c>
      <c r="N268" s="12"/>
      <c r="O268" s="7" t="n">
        <f aca="false">IF(N268&lt;&gt;"","",COUNTIFS($A$6:$A$338,A268,$N$6:$N$338,"",$M$6:$M$338,"&gt;"&amp;M268)+COUNTIFS($A$6:A268,A268,$N$6:N268,"",$M$6:M268,M268))</f>
        <v>1</v>
      </c>
      <c r="P268" s="12" t="str">
        <f aca="false">IF(O268="","Excluded",IF(O268&lt;=5,"Lead",IF(O268&lt;=10,"Next wave","Long list")))</f>
        <v>Lead</v>
      </c>
      <c r="Q268" s="10" t="s">
        <v>80</v>
      </c>
      <c r="R268" s="30" t="s">
        <v>317</v>
      </c>
    </row>
    <row r="269" customFormat="false" ht="35.05" hidden="false" customHeight="false" outlineLevel="0" collapsed="false">
      <c r="A269" s="12" t="s">
        <v>55</v>
      </c>
      <c r="B269" s="12" t="s">
        <v>599</v>
      </c>
      <c r="C269" s="10" t="s">
        <v>600</v>
      </c>
      <c r="D269" s="26" t="n">
        <v>20.23</v>
      </c>
      <c r="E269" s="11" t="n">
        <v>32204.5</v>
      </c>
      <c r="F269" s="10" t="s">
        <v>302</v>
      </c>
      <c r="G269" s="7" t="n">
        <v>1</v>
      </c>
      <c r="H269" s="12" t="s">
        <v>77</v>
      </c>
      <c r="I269" s="12" t="s">
        <v>78</v>
      </c>
      <c r="J269" s="10" t="s">
        <v>142</v>
      </c>
      <c r="K269" s="9" t="n">
        <f aca="false">IF(ISNUMBER(D269),COUNTIF($D$6:$D$338,"&lt;"&amp;D269)/(COUNT($D$6:$D$338)-1),"")</f>
        <v>0.385113268608414</v>
      </c>
      <c r="L269" s="9" t="n">
        <f aca="false">IF(ISNUMBER(E269),COUNTIF($E$6:$E$338,"&lt;"&amp;E269)/(COUNT($E$6:$E$338)-1),"")</f>
        <v>0.822289156626506</v>
      </c>
      <c r="M269" s="9" t="n">
        <f aca="false">IF(AND(K269="",L269=""),"",(IF(ISNUMBER(K269),$C$3*K269,0)+IF(ISNUMBER(L269),$E$3*L269,0))/(IF(ISNUMBER(K269),$C$3,0)+IF(ISNUMBER(L269),$E$3,0)))</f>
        <v>0.60370121261746</v>
      </c>
      <c r="N269" s="12" t="s">
        <v>303</v>
      </c>
      <c r="O269" s="7" t="str">
        <f aca="false">IF(N269&lt;&gt;"","",COUNTIFS($A$6:$A$338,A269,$N$6:$N$338,"",$M$6:$M$338,"&gt;"&amp;M269)+COUNTIFS($A$6:A269,A269,$N$6:N269,"",$M$6:M269,M269))</f>
        <v/>
      </c>
      <c r="P269" s="12" t="str">
        <f aca="false">IF(O269="","Excluded",IF(O269&lt;=5,"Lead",IF(O269&lt;=10,"Next wave","Long list")))</f>
        <v>Excluded</v>
      </c>
      <c r="Q269" s="10" t="s">
        <v>102</v>
      </c>
      <c r="R269" s="30" t="s">
        <v>601</v>
      </c>
    </row>
    <row r="270" customFormat="false" ht="23.85" hidden="false" customHeight="false" outlineLevel="0" collapsed="false">
      <c r="A270" s="12" t="s">
        <v>55</v>
      </c>
      <c r="B270" s="12" t="s">
        <v>211</v>
      </c>
      <c r="C270" s="10" t="s">
        <v>212</v>
      </c>
      <c r="D270" s="26" t="n">
        <v>23.05</v>
      </c>
      <c r="E270" s="11" t="n">
        <v>5713.6</v>
      </c>
      <c r="F270" s="10" t="s">
        <v>302</v>
      </c>
      <c r="G270" s="7" t="n">
        <v>1</v>
      </c>
      <c r="H270" s="12" t="s">
        <v>77</v>
      </c>
      <c r="I270" s="12" t="s">
        <v>78</v>
      </c>
      <c r="J270" s="10" t="s">
        <v>213</v>
      </c>
      <c r="K270" s="9" t="n">
        <f aca="false">IF(ISNUMBER(D270),COUNTIF($D$6:$D$338,"&lt;"&amp;D270)/(COUNT($D$6:$D$338)-1),"")</f>
        <v>0.427184466019417</v>
      </c>
      <c r="L270" s="9" t="n">
        <f aca="false">IF(ISNUMBER(E270),COUNTIF($E$6:$E$338,"&lt;"&amp;E270)/(COUNT($E$6:$E$338)-1),"")</f>
        <v>0.569277108433735</v>
      </c>
      <c r="M270" s="9" t="n">
        <f aca="false">IF(AND(K270="",L270=""),"",(IF(ISNUMBER(K270),$C$3*K270,0)+IF(ISNUMBER(L270),$E$3*L270,0))/(IF(ISNUMBER(K270),$C$3,0)+IF(ISNUMBER(L270),$E$3,0)))</f>
        <v>0.498230787226576</v>
      </c>
      <c r="N270" s="12" t="s">
        <v>303</v>
      </c>
      <c r="O270" s="7" t="str">
        <f aca="false">IF(N270&lt;&gt;"","",COUNTIFS($A$6:$A$338,A270,$N$6:$N$338,"",$M$6:$M$338,"&gt;"&amp;M270)+COUNTIFS($A$6:A270,A270,$N$6:N270,"",$M$6:M270,M270))</f>
        <v/>
      </c>
      <c r="P270" s="12" t="str">
        <f aca="false">IF(O270="","Excluded",IF(O270&lt;=5,"Lead",IF(O270&lt;=10,"Next wave","Long list")))</f>
        <v>Excluded</v>
      </c>
      <c r="Q270" s="10" t="s">
        <v>80</v>
      </c>
      <c r="R270" s="30" t="s">
        <v>376</v>
      </c>
    </row>
    <row r="271" customFormat="false" ht="35.05" hidden="false" customHeight="false" outlineLevel="0" collapsed="false">
      <c r="A271" s="12" t="s">
        <v>55</v>
      </c>
      <c r="B271" s="12" t="s">
        <v>423</v>
      </c>
      <c r="C271" s="10" t="s">
        <v>424</v>
      </c>
      <c r="D271" s="26" t="n">
        <v>13.03</v>
      </c>
      <c r="E271" s="11" t="n">
        <v>6294.9</v>
      </c>
      <c r="F271" s="10" t="s">
        <v>302</v>
      </c>
      <c r="G271" s="7" t="n">
        <v>1</v>
      </c>
      <c r="H271" s="12" t="s">
        <v>77</v>
      </c>
      <c r="I271" s="12" t="s">
        <v>78</v>
      </c>
      <c r="J271" s="10" t="s">
        <v>213</v>
      </c>
      <c r="K271" s="9" t="n">
        <f aca="false">IF(ISNUMBER(D271),COUNTIF($D$6:$D$338,"&lt;"&amp;D271)/(COUNT($D$6:$D$338)-1),"")</f>
        <v>0.288025889967638</v>
      </c>
      <c r="L271" s="9" t="n">
        <f aca="false">IF(ISNUMBER(E271),COUNTIF($E$6:$E$338,"&lt;"&amp;E271)/(COUNT($E$6:$E$338)-1),"")</f>
        <v>0.593373493975904</v>
      </c>
      <c r="M271" s="9" t="n">
        <f aca="false">IF(AND(K271="",L271=""),"",(IF(ISNUMBER(K271),$C$3*K271,0)+IF(ISNUMBER(L271),$E$3*L271,0))/(IF(ISNUMBER(K271),$C$3,0)+IF(ISNUMBER(L271),$E$3,0)))</f>
        <v>0.440699691971771</v>
      </c>
      <c r="N271" s="12" t="s">
        <v>303</v>
      </c>
      <c r="O271" s="7" t="str">
        <f aca="false">IF(N271&lt;&gt;"","",COUNTIFS($A$6:$A$338,A271,$N$6:$N$338,"",$M$6:$M$338,"&gt;"&amp;M271)+COUNTIFS($A$6:A271,A271,$N$6:N271,"",$M$6:M271,M271))</f>
        <v/>
      </c>
      <c r="P271" s="12" t="str">
        <f aca="false">IF(O271="","Excluded",IF(O271&lt;=5,"Lead",IF(O271&lt;=10,"Next wave","Long list")))</f>
        <v>Excluded</v>
      </c>
      <c r="Q271" s="10" t="s">
        <v>80</v>
      </c>
      <c r="R271" s="30" t="s">
        <v>425</v>
      </c>
    </row>
    <row r="272" customFormat="false" ht="23.85" hidden="false" customHeight="false" outlineLevel="0" collapsed="false">
      <c r="A272" s="12" t="s">
        <v>55</v>
      </c>
      <c r="B272" s="12" t="s">
        <v>201</v>
      </c>
      <c r="C272" s="10" t="s">
        <v>202</v>
      </c>
      <c r="D272" s="26" t="n">
        <v>6.94</v>
      </c>
      <c r="E272" s="11" t="n">
        <v>4790.5</v>
      </c>
      <c r="F272" s="10" t="s">
        <v>302</v>
      </c>
      <c r="G272" s="7" t="n">
        <v>1</v>
      </c>
      <c r="H272" s="12" t="s">
        <v>77</v>
      </c>
      <c r="I272" s="12" t="s">
        <v>84</v>
      </c>
      <c r="J272" s="10" t="s">
        <v>163</v>
      </c>
      <c r="K272" s="9" t="n">
        <f aca="false">IF(ISNUMBER(D272),COUNTIF($D$6:$D$338,"&lt;"&amp;D272)/(COUNT($D$6:$D$338)-1),"")</f>
        <v>0.110032362459547</v>
      </c>
      <c r="L272" s="9" t="n">
        <f aca="false">IF(ISNUMBER(E272),COUNTIF($E$6:$E$338,"&lt;"&amp;E272)/(COUNT($E$6:$E$338)-1),"")</f>
        <v>0.533132530120482</v>
      </c>
      <c r="M272" s="9" t="n">
        <f aca="false">IF(AND(K272="",L272=""),"",(IF(ISNUMBER(K272),$C$3*K272,0)+IF(ISNUMBER(L272),$E$3*L272,0))/(IF(ISNUMBER(K272),$C$3,0)+IF(ISNUMBER(L272),$E$3,0)))</f>
        <v>0.321582446290014</v>
      </c>
      <c r="N272" s="12" t="s">
        <v>303</v>
      </c>
      <c r="O272" s="7" t="str">
        <f aca="false">IF(N272&lt;&gt;"","",COUNTIFS($A$6:$A$338,A272,$N$6:$N$338,"",$M$6:$M$338,"&gt;"&amp;M272)+COUNTIFS($A$6:A272,A272,$N$6:N272,"",$M$6:M272,M272))</f>
        <v/>
      </c>
      <c r="P272" s="12" t="str">
        <f aca="false">IF(O272="","Excluded",IF(O272&lt;=5,"Lead",IF(O272&lt;=10,"Next wave","Long list")))</f>
        <v>Excluded</v>
      </c>
      <c r="Q272" s="10" t="s">
        <v>80</v>
      </c>
      <c r="R272" s="30" t="s">
        <v>428</v>
      </c>
    </row>
    <row r="273" customFormat="false" ht="35.05" hidden="false" customHeight="false" outlineLevel="0" collapsed="false">
      <c r="A273" s="12" t="s">
        <v>29</v>
      </c>
      <c r="B273" s="12" t="s">
        <v>87</v>
      </c>
      <c r="C273" s="10" t="s">
        <v>88</v>
      </c>
      <c r="D273" s="26" t="n">
        <v>887.33</v>
      </c>
      <c r="E273" s="11" t="n">
        <v>28093.4</v>
      </c>
      <c r="F273" s="10" t="s">
        <v>131</v>
      </c>
      <c r="G273" s="7" t="n">
        <v>34</v>
      </c>
      <c r="H273" s="12" t="s">
        <v>77</v>
      </c>
      <c r="I273" s="12" t="s">
        <v>84</v>
      </c>
      <c r="J273" s="10" t="s">
        <v>91</v>
      </c>
      <c r="K273" s="9" t="n">
        <f aca="false">IF(ISNUMBER(D273),COUNTIF($D$6:$D$338,"&lt;"&amp;D273)/(COUNT($D$6:$D$338)-1),"")</f>
        <v>0.967637540453075</v>
      </c>
      <c r="L273" s="9" t="n">
        <f aca="false">IF(ISNUMBER(E273),COUNTIF($E$6:$E$338,"&lt;"&amp;E273)/(COUNT($E$6:$E$338)-1),"")</f>
        <v>0.792168674698795</v>
      </c>
      <c r="M273" s="9" t="n">
        <f aca="false">IF(AND(K273="",L273=""),"",(IF(ISNUMBER(K273),$C$3*K273,0)+IF(ISNUMBER(L273),$E$3*L273,0))/(IF(ISNUMBER(K273),$C$3,0)+IF(ISNUMBER(L273),$E$3,0)))</f>
        <v>0.879903107575935</v>
      </c>
      <c r="N273" s="12"/>
      <c r="O273" s="7" t="n">
        <f aca="false">IF(N273&lt;&gt;"","",COUNTIFS($A$6:$A$338,A273,$N$6:$N$338,"",$M$6:$M$338,"&gt;"&amp;M273)+COUNTIFS($A$6:A273,A273,$N$6:N273,"",$M$6:M273,M273))</f>
        <v>1</v>
      </c>
      <c r="P273" s="12" t="str">
        <f aca="false">IF(O273="","Excluded",IF(O273&lt;=5,"Lead",IF(O273&lt;=10,"Next wave","Long list")))</f>
        <v>Lead</v>
      </c>
      <c r="Q273" s="10" t="s">
        <v>80</v>
      </c>
      <c r="R273" s="30" t="s">
        <v>311</v>
      </c>
    </row>
    <row r="274" customFormat="false" ht="23.85" hidden="false" customHeight="false" outlineLevel="0" collapsed="false">
      <c r="A274" s="12" t="s">
        <v>29</v>
      </c>
      <c r="B274" s="12" t="s">
        <v>112</v>
      </c>
      <c r="C274" s="10" t="s">
        <v>113</v>
      </c>
      <c r="D274" s="26" t="n">
        <v>438.59</v>
      </c>
      <c r="E274" s="11" t="n">
        <v>11366.1</v>
      </c>
      <c r="F274" s="10" t="s">
        <v>183</v>
      </c>
      <c r="G274" s="7" t="n">
        <v>7</v>
      </c>
      <c r="H274" s="12" t="s">
        <v>83</v>
      </c>
      <c r="I274" s="12" t="s">
        <v>84</v>
      </c>
      <c r="J274" s="10" t="s">
        <v>115</v>
      </c>
      <c r="K274" s="9" t="n">
        <f aca="false">IF(ISNUMBER(D274),COUNTIF($D$6:$D$338,"&lt;"&amp;D274)/(COUNT($D$6:$D$338)-1),"")</f>
        <v>0.938511326860841</v>
      </c>
      <c r="L274" s="9" t="n">
        <f aca="false">IF(ISNUMBER(E274),COUNTIF($E$6:$E$338,"&lt;"&amp;E274)/(COUNT($E$6:$E$338)-1),"")</f>
        <v>0.686746987951807</v>
      </c>
      <c r="M274" s="9" t="n">
        <f aca="false">IF(AND(K274="",L274=""),"",(IF(ISNUMBER(K274),$C$3*K274,0)+IF(ISNUMBER(L274),$E$3*L274,0))/(IF(ISNUMBER(K274),$C$3,0)+IF(ISNUMBER(L274),$E$3,0)))</f>
        <v>0.812629157406324</v>
      </c>
      <c r="N274" s="12"/>
      <c r="O274" s="7" t="n">
        <f aca="false">IF(N274&lt;&gt;"","",COUNTIFS($A$6:$A$338,A274,$N$6:$N$338,"",$M$6:$M$338,"&gt;"&amp;M274)+COUNTIFS($A$6:A274,A274,$N$6:N274,"",$M$6:M274,M274))</f>
        <v>2</v>
      </c>
      <c r="P274" s="12" t="str">
        <f aca="false">IF(O274="","Excluded",IF(O274&lt;=5,"Lead",IF(O274&lt;=10,"Next wave","Long list")))</f>
        <v>Lead</v>
      </c>
      <c r="Q274" s="10" t="s">
        <v>86</v>
      </c>
      <c r="R274" s="30" t="s">
        <v>299</v>
      </c>
    </row>
    <row r="275" customFormat="false" ht="23.85" hidden="false" customHeight="false" outlineLevel="0" collapsed="false">
      <c r="A275" s="12" t="s">
        <v>29</v>
      </c>
      <c r="B275" s="12" t="s">
        <v>116</v>
      </c>
      <c r="C275" s="10" t="s">
        <v>117</v>
      </c>
      <c r="D275" s="26" t="n">
        <v>40.14</v>
      </c>
      <c r="E275" s="11" t="n">
        <v>32830.2</v>
      </c>
      <c r="F275" s="10" t="s">
        <v>184</v>
      </c>
      <c r="G275" s="7" t="n">
        <v>7</v>
      </c>
      <c r="H275" s="12" t="s">
        <v>77</v>
      </c>
      <c r="I275" s="12" t="s">
        <v>84</v>
      </c>
      <c r="J275" s="10" t="s">
        <v>119</v>
      </c>
      <c r="K275" s="9" t="n">
        <f aca="false">IF(ISNUMBER(D275),COUNTIF($D$6:$D$338,"&lt;"&amp;D275)/(COUNT($D$6:$D$338)-1),"")</f>
        <v>0.592233009708738</v>
      </c>
      <c r="L275" s="9" t="n">
        <f aca="false">IF(ISNUMBER(E275),COUNTIF($E$6:$E$338,"&lt;"&amp;E275)/(COUNT($E$6:$E$338)-1),"")</f>
        <v>0.825301204819277</v>
      </c>
      <c r="M275" s="9" t="n">
        <f aca="false">IF(AND(K275="",L275=""),"",(IF(ISNUMBER(K275),$C$3*K275,0)+IF(ISNUMBER(L275),$E$3*L275,0))/(IF(ISNUMBER(K275),$C$3,0)+IF(ISNUMBER(L275),$E$3,0)))</f>
        <v>0.708767107264008</v>
      </c>
      <c r="N275" s="12"/>
      <c r="O275" s="7" t="n">
        <f aca="false">IF(N275&lt;&gt;"","",COUNTIFS($A$6:$A$338,A275,$N$6:$N$338,"",$M$6:$M$338,"&gt;"&amp;M275)+COUNTIFS($A$6:A275,A275,$N$6:N275,"",$M$6:M275,M275))</f>
        <v>3</v>
      </c>
      <c r="P275" s="12" t="str">
        <f aca="false">IF(O275="","Excluded",IF(O275&lt;=5,"Lead",IF(O275&lt;=10,"Next wave","Long list")))</f>
        <v>Lead</v>
      </c>
      <c r="Q275" s="10" t="s">
        <v>80</v>
      </c>
      <c r="R275" s="30" t="s">
        <v>426</v>
      </c>
    </row>
    <row r="276" customFormat="false" ht="35.05" hidden="false" customHeight="false" outlineLevel="0" collapsed="false">
      <c r="A276" s="12" t="s">
        <v>29</v>
      </c>
      <c r="B276" s="12" t="s">
        <v>120</v>
      </c>
      <c r="C276" s="10" t="s">
        <v>121</v>
      </c>
      <c r="D276" s="26" t="n">
        <v>15.95</v>
      </c>
      <c r="E276" s="11" t="n">
        <v>41503.2</v>
      </c>
      <c r="F276" s="10" t="s">
        <v>185</v>
      </c>
      <c r="G276" s="7" t="n">
        <v>2</v>
      </c>
      <c r="H276" s="12" t="s">
        <v>77</v>
      </c>
      <c r="I276" s="12" t="s">
        <v>128</v>
      </c>
      <c r="J276" s="10" t="s">
        <v>122</v>
      </c>
      <c r="K276" s="9" t="n">
        <f aca="false">IF(ISNUMBER(D276),COUNTIF($D$6:$D$338,"&lt;"&amp;D276)/(COUNT($D$6:$D$338)-1),"")</f>
        <v>0.343042071197411</v>
      </c>
      <c r="L276" s="9" t="n">
        <f aca="false">IF(ISNUMBER(E276),COUNTIF($E$6:$E$338,"&lt;"&amp;E276)/(COUNT($E$6:$E$338)-1),"")</f>
        <v>0.885542168674699</v>
      </c>
      <c r="M276" s="9" t="n">
        <f aca="false">IF(AND(K276="",L276=""),"",(IF(ISNUMBER(K276),$C$3*K276,0)+IF(ISNUMBER(L276),$E$3*L276,0))/(IF(ISNUMBER(K276),$C$3,0)+IF(ISNUMBER(L276),$E$3,0)))</f>
        <v>0.614292119936055</v>
      </c>
      <c r="N276" s="12"/>
      <c r="O276" s="7" t="n">
        <f aca="false">IF(N276&lt;&gt;"","",COUNTIFS($A$6:$A$338,A276,$N$6:$N$338,"",$M$6:$M$338,"&gt;"&amp;M276)+COUNTIFS($A$6:A276,A276,$N$6:N276,"",$M$6:M276,M276))</f>
        <v>4</v>
      </c>
      <c r="P276" s="12" t="str">
        <f aca="false">IF(O276="","Excluded",IF(O276&lt;=5,"Lead",IF(O276&lt;=10,"Next wave","Long list")))</f>
        <v>Lead</v>
      </c>
      <c r="Q276" s="10" t="s">
        <v>80</v>
      </c>
      <c r="R276" s="30" t="s">
        <v>318</v>
      </c>
    </row>
    <row r="277" customFormat="false" ht="35.05" hidden="false" customHeight="false" outlineLevel="0" collapsed="false">
      <c r="A277" s="12" t="s">
        <v>29</v>
      </c>
      <c r="B277" s="12" t="s">
        <v>129</v>
      </c>
      <c r="C277" s="10" t="s">
        <v>130</v>
      </c>
      <c r="D277" s="26" t="n">
        <v>180.42</v>
      </c>
      <c r="E277" s="11" t="n">
        <v>2886</v>
      </c>
      <c r="F277" s="10" t="s">
        <v>186</v>
      </c>
      <c r="G277" s="7" t="n">
        <v>9</v>
      </c>
      <c r="H277" s="12" t="s">
        <v>77</v>
      </c>
      <c r="I277" s="12" t="s">
        <v>84</v>
      </c>
      <c r="J277" s="10" t="s">
        <v>132</v>
      </c>
      <c r="K277" s="9" t="n">
        <f aca="false">IF(ISNUMBER(D277),COUNTIF($D$6:$D$338,"&lt;"&amp;D277)/(COUNT($D$6:$D$338)-1),"")</f>
        <v>0.844660194174757</v>
      </c>
      <c r="L277" s="9" t="n">
        <f aca="false">IF(ISNUMBER(E277),COUNTIF($E$6:$E$338,"&lt;"&amp;E277)/(COUNT($E$6:$E$338)-1),"")</f>
        <v>0.373493975903614</v>
      </c>
      <c r="M277" s="9" t="n">
        <f aca="false">IF(AND(K277="",L277=""),"",(IF(ISNUMBER(K277),$C$3*K277,0)+IF(ISNUMBER(L277),$E$3*L277,0))/(IF(ISNUMBER(K277),$C$3,0)+IF(ISNUMBER(L277),$E$3,0)))</f>
        <v>0.609077085039186</v>
      </c>
      <c r="N277" s="12"/>
      <c r="O277" s="7" t="n">
        <f aca="false">IF(N277&lt;&gt;"","",COUNTIFS($A$6:$A$338,A277,$N$6:$N$338,"",$M$6:$M$338,"&gt;"&amp;M277)+COUNTIFS($A$6:A277,A277,$N$6:N277,"",$M$6:M277,M277))</f>
        <v>5</v>
      </c>
      <c r="P277" s="12" t="str">
        <f aca="false">IF(O277="","Excluded",IF(O277&lt;=5,"Lead",IF(O277&lt;=10,"Next wave","Long list")))</f>
        <v>Lead</v>
      </c>
      <c r="Q277" s="10" t="s">
        <v>80</v>
      </c>
      <c r="R277" s="30" t="s">
        <v>331</v>
      </c>
    </row>
    <row r="278" customFormat="false" ht="23.85" hidden="false" customHeight="false" outlineLevel="0" collapsed="false">
      <c r="A278" s="12" t="s">
        <v>29</v>
      </c>
      <c r="B278" s="12" t="s">
        <v>56</v>
      </c>
      <c r="C278" s="10" t="s">
        <v>152</v>
      </c>
      <c r="D278" s="26" t="n">
        <v>11.91</v>
      </c>
      <c r="E278" s="11" t="n">
        <v>58920.4</v>
      </c>
      <c r="F278" s="10" t="s">
        <v>187</v>
      </c>
      <c r="G278" s="7" t="n">
        <v>18</v>
      </c>
      <c r="H278" s="12" t="s">
        <v>77</v>
      </c>
      <c r="I278" s="12" t="s">
        <v>107</v>
      </c>
      <c r="J278" s="10" t="s">
        <v>154</v>
      </c>
      <c r="K278" s="9" t="n">
        <f aca="false">IF(ISNUMBER(D278),COUNTIF($D$6:$D$338,"&lt;"&amp;D278)/(COUNT($D$6:$D$338)-1),"")</f>
        <v>0.275080906148867</v>
      </c>
      <c r="L278" s="9" t="n">
        <f aca="false">IF(ISNUMBER(E278),COUNTIF($E$6:$E$338,"&lt;"&amp;E278)/(COUNT($E$6:$E$338)-1),"")</f>
        <v>0.936746987951807</v>
      </c>
      <c r="M278" s="9" t="n">
        <f aca="false">IF(AND(K278="",L278=""),"",(IF(ISNUMBER(K278),$C$3*K278,0)+IF(ISNUMBER(L278),$E$3*L278,0))/(IF(ISNUMBER(K278),$C$3,0)+IF(ISNUMBER(L278),$E$3,0)))</f>
        <v>0.605913947050337</v>
      </c>
      <c r="N278" s="12"/>
      <c r="O278" s="7" t="n">
        <f aca="false">IF(N278&lt;&gt;"","",COUNTIFS($A$6:$A$338,A278,$N$6:$N$338,"",$M$6:$M$338,"&gt;"&amp;M278)+COUNTIFS($A$6:A278,A278,$N$6:N278,"",$M$6:M278,M278))</f>
        <v>6</v>
      </c>
      <c r="P278" s="12" t="str">
        <f aca="false">IF(O278="","Excluded",IF(O278&lt;=5,"Lead",IF(O278&lt;=10,"Next wave","Long list")))</f>
        <v>Next wave</v>
      </c>
      <c r="Q278" s="10" t="s">
        <v>80</v>
      </c>
      <c r="R278" s="30" t="s">
        <v>317</v>
      </c>
    </row>
    <row r="279" customFormat="false" ht="23.85" hidden="false" customHeight="false" outlineLevel="0" collapsed="false">
      <c r="A279" s="12" t="s">
        <v>29</v>
      </c>
      <c r="B279" s="12" t="s">
        <v>173</v>
      </c>
      <c r="C279" s="10" t="s">
        <v>174</v>
      </c>
      <c r="D279" s="26" t="n">
        <v>36.53</v>
      </c>
      <c r="E279" s="11" t="n">
        <v>6632.6</v>
      </c>
      <c r="F279" s="10" t="s">
        <v>183</v>
      </c>
      <c r="G279" s="7" t="n">
        <v>4</v>
      </c>
      <c r="H279" s="12" t="s">
        <v>172</v>
      </c>
      <c r="I279" s="12" t="s">
        <v>84</v>
      </c>
      <c r="J279" s="10" t="s">
        <v>175</v>
      </c>
      <c r="K279" s="9" t="n">
        <f aca="false">IF(ISNUMBER(D279),COUNTIF($D$6:$D$338,"&lt;"&amp;D279)/(COUNT($D$6:$D$338)-1),"")</f>
        <v>0.566343042071198</v>
      </c>
      <c r="L279" s="9" t="n">
        <f aca="false">IF(ISNUMBER(E279),COUNTIF($E$6:$E$338,"&lt;"&amp;E279)/(COUNT($E$6:$E$338)-1),"")</f>
        <v>0.61144578313253</v>
      </c>
      <c r="M279" s="9" t="n">
        <f aca="false">IF(AND(K279="",L279=""),"",(IF(ISNUMBER(K279),$C$3*K279,0)+IF(ISNUMBER(L279),$E$3*L279,0))/(IF(ISNUMBER(K279),$C$3,0)+IF(ISNUMBER(L279),$E$3,0)))</f>
        <v>0.588894412601864</v>
      </c>
      <c r="N279" s="12"/>
      <c r="O279" s="7" t="n">
        <f aca="false">IF(N279&lt;&gt;"","",COUNTIFS($A$6:$A$338,A279,$N$6:$N$338,"",$M$6:$M$338,"&gt;"&amp;M279)+COUNTIFS($A$6:A279,A279,$N$6:N279,"",$M$6:M279,M279))</f>
        <v>7</v>
      </c>
      <c r="P279" s="12" t="str">
        <f aca="false">IF(O279="","Excluded",IF(O279&lt;=5,"Lead",IF(O279&lt;=10,"Next wave","Long list")))</f>
        <v>Next wave</v>
      </c>
      <c r="Q279" s="10" t="s">
        <v>80</v>
      </c>
      <c r="R279" s="30" t="s">
        <v>445</v>
      </c>
    </row>
    <row r="280" customFormat="false" ht="23.85" hidden="false" customHeight="false" outlineLevel="0" collapsed="false">
      <c r="A280" s="12" t="s">
        <v>29</v>
      </c>
      <c r="B280" s="12" t="s">
        <v>188</v>
      </c>
      <c r="C280" s="10" t="s">
        <v>189</v>
      </c>
      <c r="D280" s="26" t="n">
        <v>198.74</v>
      </c>
      <c r="E280" s="11" t="n">
        <v>1976.6</v>
      </c>
      <c r="F280" s="10" t="s">
        <v>190</v>
      </c>
      <c r="G280" s="7" t="n">
        <v>2</v>
      </c>
      <c r="H280" s="12" t="s">
        <v>77</v>
      </c>
      <c r="I280" s="12" t="s">
        <v>84</v>
      </c>
      <c r="J280" s="10" t="s">
        <v>142</v>
      </c>
      <c r="K280" s="9" t="n">
        <f aca="false">IF(ISNUMBER(D280),COUNTIF($D$6:$D$338,"&lt;"&amp;D280)/(COUNT($D$6:$D$338)-1),"")</f>
        <v>0.854368932038835</v>
      </c>
      <c r="L280" s="9" t="n">
        <f aca="false">IF(ISNUMBER(E280),COUNTIF($E$6:$E$338,"&lt;"&amp;E280)/(COUNT($E$6:$E$338)-1),"")</f>
        <v>0.262048192771084</v>
      </c>
      <c r="M280" s="9" t="n">
        <f aca="false">IF(AND(K280="",L280=""),"",(IF(ISNUMBER(K280),$C$3*K280,0)+IF(ISNUMBER(L280),$E$3*L280,0))/(IF(ISNUMBER(K280),$C$3,0)+IF(ISNUMBER(L280),$E$3,0)))</f>
        <v>0.55820856240496</v>
      </c>
      <c r="N280" s="12"/>
      <c r="O280" s="7" t="n">
        <f aca="false">IF(N280&lt;&gt;"","",COUNTIFS($A$6:$A$338,A280,$N$6:$N$338,"",$M$6:$M$338,"&gt;"&amp;M280)+COUNTIFS($A$6:A280,A280,$N$6:N280,"",$M$6:M280,M280))</f>
        <v>8</v>
      </c>
      <c r="P280" s="12" t="str">
        <f aca="false">IF(O280="","Excluded",IF(O280&lt;=5,"Lead",IF(O280&lt;=10,"Next wave","Long list")))</f>
        <v>Next wave</v>
      </c>
      <c r="Q280" s="10" t="s">
        <v>102</v>
      </c>
      <c r="R280" s="30" t="s">
        <v>602</v>
      </c>
    </row>
    <row r="281" customFormat="false" ht="23.85" hidden="false" customHeight="false" outlineLevel="0" collapsed="false">
      <c r="A281" s="12" t="s">
        <v>29</v>
      </c>
      <c r="B281" s="12" t="s">
        <v>191</v>
      </c>
      <c r="C281" s="10" t="s">
        <v>192</v>
      </c>
      <c r="D281" s="26" t="n">
        <v>24.41</v>
      </c>
      <c r="E281" s="11" t="n">
        <v>6893.7</v>
      </c>
      <c r="F281" s="10" t="s">
        <v>127</v>
      </c>
      <c r="G281" s="7" t="n">
        <v>1</v>
      </c>
      <c r="H281" s="12" t="s">
        <v>77</v>
      </c>
      <c r="I281" s="12" t="s">
        <v>84</v>
      </c>
      <c r="J281" s="10" t="s">
        <v>163</v>
      </c>
      <c r="K281" s="9" t="n">
        <f aca="false">IF(ISNUMBER(D281),COUNTIF($D$6:$D$338,"&lt;"&amp;D281)/(COUNT($D$6:$D$338)-1),"")</f>
        <v>0.456310679611651</v>
      </c>
      <c r="L281" s="9" t="n">
        <f aca="false">IF(ISNUMBER(E281),COUNTIF($E$6:$E$338,"&lt;"&amp;E281)/(COUNT($E$6:$E$338)-1),"")</f>
        <v>0.632530120481928</v>
      </c>
      <c r="M281" s="9" t="n">
        <f aca="false">IF(AND(K281="",L281=""),"",(IF(ISNUMBER(K281),$C$3*K281,0)+IF(ISNUMBER(L281),$E$3*L281,0))/(IF(ISNUMBER(K281),$C$3,0)+IF(ISNUMBER(L281),$E$3,0)))</f>
        <v>0.544420400046789</v>
      </c>
      <c r="N281" s="12"/>
      <c r="O281" s="7" t="n">
        <f aca="false">IF(N281&lt;&gt;"","",COUNTIFS($A$6:$A$338,A281,$N$6:$N$338,"",$M$6:$M$338,"&gt;"&amp;M281)+COUNTIFS($A$6:A281,A281,$N$6:N281,"",$M$6:M281,M281))</f>
        <v>9</v>
      </c>
      <c r="P281" s="12" t="str">
        <f aca="false">IF(O281="","Excluded",IF(O281&lt;=5,"Lead",IF(O281&lt;=10,"Next wave","Long list")))</f>
        <v>Next wave</v>
      </c>
      <c r="Q281" s="10" t="s">
        <v>80</v>
      </c>
      <c r="R281" s="30" t="s">
        <v>343</v>
      </c>
    </row>
    <row r="282" customFormat="false" ht="23.85" hidden="false" customHeight="false" outlineLevel="0" collapsed="false">
      <c r="A282" s="12" t="s">
        <v>29</v>
      </c>
      <c r="B282" s="12" t="s">
        <v>193</v>
      </c>
      <c r="C282" s="10" t="s">
        <v>194</v>
      </c>
      <c r="D282" s="26" t="n">
        <v>14.55</v>
      </c>
      <c r="E282" s="11" t="n">
        <v>8594.3</v>
      </c>
      <c r="F282" s="10" t="s">
        <v>195</v>
      </c>
      <c r="G282" s="7" t="n">
        <v>7</v>
      </c>
      <c r="H282" s="12" t="s">
        <v>196</v>
      </c>
      <c r="I282" s="12" t="s">
        <v>84</v>
      </c>
      <c r="J282" s="10"/>
      <c r="K282" s="9" t="n">
        <f aca="false">IF(ISNUMBER(D282),COUNTIF($D$6:$D$338,"&lt;"&amp;D282)/(COUNT($D$6:$D$338)-1),"")</f>
        <v>0.317152103559871</v>
      </c>
      <c r="L282" s="9" t="n">
        <f aca="false">IF(ISNUMBER(E282),COUNTIF($E$6:$E$338,"&lt;"&amp;E282)/(COUNT($E$6:$E$338)-1),"")</f>
        <v>0.680722891566265</v>
      </c>
      <c r="M282" s="9" t="n">
        <f aca="false">IF(AND(K282="",L282=""),"",(IF(ISNUMBER(K282),$C$3*K282,0)+IF(ISNUMBER(L282),$E$3*L282,0))/(IF(ISNUMBER(K282),$C$3,0)+IF(ISNUMBER(L282),$E$3,0)))</f>
        <v>0.498937497563068</v>
      </c>
      <c r="N282" s="12"/>
      <c r="O282" s="7" t="n">
        <f aca="false">IF(N282&lt;&gt;"","",COUNTIFS($A$6:$A$338,A282,$N$6:$N$338,"",$M$6:$M$338,"&gt;"&amp;M282)+COUNTIFS($A$6:A282,A282,$N$6:N282,"",$M$6:M282,M282))</f>
        <v>10</v>
      </c>
      <c r="P282" s="12" t="str">
        <f aca="false">IF(O282="","Excluded",IF(O282&lt;=5,"Lead",IF(O282&lt;=10,"Next wave","Long list")))</f>
        <v>Next wave</v>
      </c>
      <c r="Q282" s="10" t="s">
        <v>102</v>
      </c>
      <c r="R282" s="30" t="s">
        <v>603</v>
      </c>
    </row>
    <row r="283" customFormat="false" ht="23.85" hidden="false" customHeight="false" outlineLevel="0" collapsed="false">
      <c r="A283" s="12" t="s">
        <v>29</v>
      </c>
      <c r="B283" s="12" t="s">
        <v>179</v>
      </c>
      <c r="C283" s="10" t="s">
        <v>180</v>
      </c>
      <c r="D283" s="26" t="n">
        <v>6.08</v>
      </c>
      <c r="E283" s="11" t="n">
        <v>35276.7</v>
      </c>
      <c r="F283" s="10" t="s">
        <v>89</v>
      </c>
      <c r="G283" s="7" t="n">
        <v>14</v>
      </c>
      <c r="H283" s="12" t="s">
        <v>77</v>
      </c>
      <c r="I283" s="12" t="s">
        <v>78</v>
      </c>
      <c r="J283" s="10" t="s">
        <v>175</v>
      </c>
      <c r="K283" s="9" t="n">
        <f aca="false">IF(ISNUMBER(D283),COUNTIF($D$6:$D$338,"&lt;"&amp;D283)/(COUNT($D$6:$D$338)-1),"")</f>
        <v>0.0517799352750809</v>
      </c>
      <c r="L283" s="9" t="n">
        <f aca="false">IF(ISNUMBER(E283),COUNTIF($E$6:$E$338,"&lt;"&amp;E283)/(COUNT($E$6:$E$338)-1),"")</f>
        <v>0.870481927710843</v>
      </c>
      <c r="M283" s="9" t="n">
        <f aca="false">IF(AND(K283="",L283=""),"",(IF(ISNUMBER(K283),$C$3*K283,0)+IF(ISNUMBER(L283),$E$3*L283,0))/(IF(ISNUMBER(K283),$C$3,0)+IF(ISNUMBER(L283),$E$3,0)))</f>
        <v>0.461130931492962</v>
      </c>
      <c r="N283" s="12"/>
      <c r="O283" s="7" t="n">
        <f aca="false">IF(N283&lt;&gt;"","",COUNTIFS($A$6:$A$338,A283,$N$6:$N$338,"",$M$6:$M$338,"&gt;"&amp;M283)+COUNTIFS($A$6:A283,A283,$N$6:N283,"",$M$6:M283,M283))</f>
        <v>11</v>
      </c>
      <c r="P283" s="12" t="str">
        <f aca="false">IF(O283="","Excluded",IF(O283&lt;=5,"Lead",IF(O283&lt;=10,"Next wave","Long list")))</f>
        <v>Long list</v>
      </c>
      <c r="Q283" s="10" t="s">
        <v>80</v>
      </c>
      <c r="R283" s="30" t="s">
        <v>352</v>
      </c>
    </row>
    <row r="284" customFormat="false" ht="23.85" hidden="false" customHeight="false" outlineLevel="0" collapsed="false">
      <c r="A284" s="12" t="s">
        <v>29</v>
      </c>
      <c r="B284" s="12" t="s">
        <v>604</v>
      </c>
      <c r="C284" s="10" t="s">
        <v>605</v>
      </c>
      <c r="D284" s="26" t="n">
        <v>29.39</v>
      </c>
      <c r="E284" s="11" t="n">
        <v>2991.3</v>
      </c>
      <c r="F284" s="10" t="s">
        <v>147</v>
      </c>
      <c r="G284" s="7" t="n">
        <v>1</v>
      </c>
      <c r="H284" s="12" t="s">
        <v>77</v>
      </c>
      <c r="I284" s="12" t="s">
        <v>107</v>
      </c>
      <c r="J284" s="10" t="s">
        <v>142</v>
      </c>
      <c r="K284" s="9" t="n">
        <f aca="false">IF(ISNUMBER(D284),COUNTIF($D$6:$D$338,"&lt;"&amp;D284)/(COUNT($D$6:$D$338)-1),"")</f>
        <v>0.488673139158576</v>
      </c>
      <c r="L284" s="9" t="n">
        <f aca="false">IF(ISNUMBER(E284),COUNTIF($E$6:$E$338,"&lt;"&amp;E284)/(COUNT($E$6:$E$338)-1),"")</f>
        <v>0.41566265060241</v>
      </c>
      <c r="M284" s="9" t="n">
        <f aca="false">IF(AND(K284="",L284=""),"",(IF(ISNUMBER(K284),$C$3*K284,0)+IF(ISNUMBER(L284),$E$3*L284,0))/(IF(ISNUMBER(K284),$C$3,0)+IF(ISNUMBER(L284),$E$3,0)))</f>
        <v>0.452167894880493</v>
      </c>
      <c r="N284" s="12"/>
      <c r="O284" s="7" t="n">
        <f aca="false">IF(N284&lt;&gt;"","",COUNTIFS($A$6:$A$338,A284,$N$6:$N$338,"",$M$6:$M$338,"&gt;"&amp;M284)+COUNTIFS($A$6:A284,A284,$N$6:N284,"",$M$6:M284,M284))</f>
        <v>12</v>
      </c>
      <c r="P284" s="12" t="str">
        <f aca="false">IF(O284="","Excluded",IF(O284&lt;=5,"Lead",IF(O284&lt;=10,"Next wave","Long list")))</f>
        <v>Long list</v>
      </c>
      <c r="Q284" s="10" t="s">
        <v>102</v>
      </c>
      <c r="R284" s="30" t="s">
        <v>606</v>
      </c>
    </row>
    <row r="285" customFormat="false" ht="23.85" hidden="false" customHeight="false" outlineLevel="0" collapsed="false">
      <c r="A285" s="12" t="s">
        <v>29</v>
      </c>
      <c r="B285" s="12" t="s">
        <v>477</v>
      </c>
      <c r="C285" s="10" t="s">
        <v>478</v>
      </c>
      <c r="D285" s="26" t="n">
        <v>7.27</v>
      </c>
      <c r="E285" s="11" t="n">
        <v>13516.1</v>
      </c>
      <c r="F285" s="10" t="s">
        <v>479</v>
      </c>
      <c r="G285" s="7" t="n">
        <v>10</v>
      </c>
      <c r="H285" s="12" t="s">
        <v>77</v>
      </c>
      <c r="I285" s="12" t="s">
        <v>78</v>
      </c>
      <c r="J285" s="10" t="s">
        <v>151</v>
      </c>
      <c r="K285" s="9" t="n">
        <f aca="false">IF(ISNUMBER(D285),COUNTIF($D$6:$D$338,"&lt;"&amp;D285)/(COUNT($D$6:$D$338)-1),"")</f>
        <v>0.122977346278317</v>
      </c>
      <c r="L285" s="9" t="n">
        <f aca="false">IF(ISNUMBER(E285),COUNTIF($E$6:$E$338,"&lt;"&amp;E285)/(COUNT($E$6:$E$338)-1),"")</f>
        <v>0.731927710843374</v>
      </c>
      <c r="M285" s="9" t="n">
        <f aca="false">IF(AND(K285="",L285=""),"",(IF(ISNUMBER(K285),$C$3*K285,0)+IF(ISNUMBER(L285),$E$3*L285,0))/(IF(ISNUMBER(K285),$C$3,0)+IF(ISNUMBER(L285),$E$3,0)))</f>
        <v>0.427452528560845</v>
      </c>
      <c r="N285" s="12"/>
      <c r="O285" s="7" t="n">
        <f aca="false">IF(N285&lt;&gt;"","",COUNTIFS($A$6:$A$338,A285,$N$6:$N$338,"",$M$6:$M$338,"&gt;"&amp;M285)+COUNTIFS($A$6:A285,A285,$N$6:N285,"",$M$6:M285,M285))</f>
        <v>13</v>
      </c>
      <c r="P285" s="12" t="str">
        <f aca="false">IF(O285="","Excluded",IF(O285&lt;=5,"Lead",IF(O285&lt;=10,"Next wave","Long list")))</f>
        <v>Long list</v>
      </c>
      <c r="Q285" s="10" t="s">
        <v>80</v>
      </c>
      <c r="R285" s="30" t="s">
        <v>480</v>
      </c>
    </row>
    <row r="286" customFormat="false" ht="23.85" hidden="false" customHeight="false" outlineLevel="0" collapsed="false">
      <c r="A286" s="12" t="s">
        <v>29</v>
      </c>
      <c r="B286" s="12" t="s">
        <v>554</v>
      </c>
      <c r="C286" s="10" t="s">
        <v>555</v>
      </c>
      <c r="D286" s="26" t="n">
        <v>17.63</v>
      </c>
      <c r="E286" s="11" t="n">
        <v>2902.1</v>
      </c>
      <c r="F286" s="10" t="s">
        <v>198</v>
      </c>
      <c r="G286" s="7" t="n">
        <v>2</v>
      </c>
      <c r="H286" s="12" t="s">
        <v>77</v>
      </c>
      <c r="I286" s="12" t="s">
        <v>84</v>
      </c>
      <c r="J286" s="10"/>
      <c r="K286" s="9" t="n">
        <f aca="false">IF(ISNUMBER(D286),COUNTIF($D$6:$D$338,"&lt;"&amp;D286)/(COUNT($D$6:$D$338)-1),"")</f>
        <v>0.359223300970874</v>
      </c>
      <c r="L286" s="9" t="n">
        <f aca="false">IF(ISNUMBER(E286),COUNTIF($E$6:$E$338,"&lt;"&amp;E286)/(COUNT($E$6:$E$338)-1),"")</f>
        <v>0.38855421686747</v>
      </c>
      <c r="M286" s="9" t="n">
        <f aca="false">IF(AND(K286="",L286=""),"",(IF(ISNUMBER(K286),$C$3*K286,0)+IF(ISNUMBER(L286),$E$3*L286,0))/(IF(ISNUMBER(K286),$C$3,0)+IF(ISNUMBER(L286),$E$3,0)))</f>
        <v>0.373888758919172</v>
      </c>
      <c r="N286" s="12"/>
      <c r="O286" s="7" t="n">
        <f aca="false">IF(N286&lt;&gt;"","",COUNTIFS($A$6:$A$338,A286,$N$6:$N$338,"",$M$6:$M$338,"&gt;"&amp;M286)+COUNTIFS($A$6:A286,A286,$N$6:N286,"",$M$6:M286,M286))</f>
        <v>14</v>
      </c>
      <c r="P286" s="12" t="str">
        <f aca="false">IF(O286="","Excluded",IF(O286&lt;=5,"Lead",IF(O286&lt;=10,"Next wave","Long list")))</f>
        <v>Long list</v>
      </c>
      <c r="Q286" s="10" t="s">
        <v>102</v>
      </c>
      <c r="R286" s="30" t="s">
        <v>557</v>
      </c>
    </row>
    <row r="287" customFormat="false" ht="23.85" hidden="false" customHeight="false" outlineLevel="0" collapsed="false">
      <c r="A287" s="12" t="s">
        <v>29</v>
      </c>
      <c r="B287" s="12" t="s">
        <v>446</v>
      </c>
      <c r="C287" s="10" t="s">
        <v>447</v>
      </c>
      <c r="D287" s="26" t="n">
        <v>64.26</v>
      </c>
      <c r="E287" s="11" t="n">
        <v>184.9</v>
      </c>
      <c r="F287" s="10" t="s">
        <v>607</v>
      </c>
      <c r="G287" s="7" t="n">
        <v>12</v>
      </c>
      <c r="H287" s="12" t="s">
        <v>77</v>
      </c>
      <c r="I287" s="12" t="s">
        <v>84</v>
      </c>
      <c r="J287" s="10" t="s">
        <v>163</v>
      </c>
      <c r="K287" s="9" t="n">
        <f aca="false">IF(ISNUMBER(D287),COUNTIF($D$6:$D$338,"&lt;"&amp;D287)/(COUNT($D$6:$D$338)-1),"")</f>
        <v>0.682847896440129</v>
      </c>
      <c r="L287" s="9" t="n">
        <f aca="false">IF(ISNUMBER(E287),COUNTIF($E$6:$E$338,"&lt;"&amp;E287)/(COUNT($E$6:$E$338)-1),"")</f>
        <v>0.0572289156626506</v>
      </c>
      <c r="M287" s="9" t="n">
        <f aca="false">IF(AND(K287="",L287=""),"",(IF(ISNUMBER(K287),$C$3*K287,0)+IF(ISNUMBER(L287),$E$3*L287,0))/(IF(ISNUMBER(K287),$C$3,0)+IF(ISNUMBER(L287),$E$3,0)))</f>
        <v>0.37003840605139</v>
      </c>
      <c r="N287" s="12"/>
      <c r="O287" s="7" t="n">
        <f aca="false">IF(N287&lt;&gt;"","",COUNTIFS($A$6:$A$338,A287,$N$6:$N$338,"",$M$6:$M$338,"&gt;"&amp;M287)+COUNTIFS($A$6:A287,A287,$N$6:N287,"",$M$6:M287,M287))</f>
        <v>15</v>
      </c>
      <c r="P287" s="12" t="str">
        <f aca="false">IF(O287="","Excluded",IF(O287&lt;=5,"Lead",IF(O287&lt;=10,"Next wave","Long list")))</f>
        <v>Long list</v>
      </c>
      <c r="Q287" s="10" t="s">
        <v>80</v>
      </c>
      <c r="R287" s="30" t="s">
        <v>448</v>
      </c>
    </row>
    <row r="288" customFormat="false" ht="23.85" hidden="false" customHeight="false" outlineLevel="0" collapsed="false">
      <c r="A288" s="12" t="s">
        <v>29</v>
      </c>
      <c r="B288" s="12" t="s">
        <v>383</v>
      </c>
      <c r="C288" s="10" t="s">
        <v>384</v>
      </c>
      <c r="D288" s="26" t="n">
        <v>9.75</v>
      </c>
      <c r="E288" s="11" t="n">
        <v>3923.6</v>
      </c>
      <c r="F288" s="10" t="s">
        <v>183</v>
      </c>
      <c r="G288" s="7" t="n">
        <v>5</v>
      </c>
      <c r="H288" s="12" t="s">
        <v>77</v>
      </c>
      <c r="I288" s="12" t="s">
        <v>84</v>
      </c>
      <c r="J288" s="10" t="s">
        <v>142</v>
      </c>
      <c r="K288" s="9" t="n">
        <f aca="false">IF(ISNUMBER(D288),COUNTIF($D$6:$D$338,"&lt;"&amp;D288)/(COUNT($D$6:$D$338)-1),"")</f>
        <v>0.197411003236246</v>
      </c>
      <c r="L288" s="9" t="n">
        <f aca="false">IF(ISNUMBER(E288),COUNTIF($E$6:$E$338,"&lt;"&amp;E288)/(COUNT($E$6:$E$338)-1),"")</f>
        <v>0.487951807228916</v>
      </c>
      <c r="M288" s="9" t="n">
        <f aca="false">IF(AND(K288="",L288=""),"",(IF(ISNUMBER(K288),$C$3*K288,0)+IF(ISNUMBER(L288),$E$3*L288,0))/(IF(ISNUMBER(K288),$C$3,0)+IF(ISNUMBER(L288),$E$3,0)))</f>
        <v>0.342681405232581</v>
      </c>
      <c r="N288" s="12"/>
      <c r="O288" s="7" t="n">
        <f aca="false">IF(N288&lt;&gt;"","",COUNTIFS($A$6:$A$338,A288,$N$6:$N$338,"",$M$6:$M$338,"&gt;"&amp;M288)+COUNTIFS($A$6:A288,A288,$N$6:N288,"",$M$6:M288,M288))</f>
        <v>16</v>
      </c>
      <c r="P288" s="12" t="str">
        <f aca="false">IF(O288="","Excluded",IF(O288&lt;=5,"Lead",IF(O288&lt;=10,"Next wave","Long list")))</f>
        <v>Long list</v>
      </c>
      <c r="Q288" s="10" t="s">
        <v>102</v>
      </c>
      <c r="R288" s="30" t="s">
        <v>385</v>
      </c>
    </row>
    <row r="289" customFormat="false" ht="23.85" hidden="false" customHeight="false" outlineLevel="0" collapsed="false">
      <c r="A289" s="12" t="s">
        <v>29</v>
      </c>
      <c r="B289" s="12" t="s">
        <v>608</v>
      </c>
      <c r="C289" s="10" t="s">
        <v>609</v>
      </c>
      <c r="D289" s="26" t="n">
        <v>30.66</v>
      </c>
      <c r="E289" s="11" t="n">
        <v>77.4</v>
      </c>
      <c r="F289" s="10" t="s">
        <v>106</v>
      </c>
      <c r="G289" s="7" t="n">
        <v>11</v>
      </c>
      <c r="H289" s="12" t="s">
        <v>196</v>
      </c>
      <c r="I289" s="12" t="s">
        <v>84</v>
      </c>
      <c r="J289" s="10"/>
      <c r="K289" s="9" t="n">
        <f aca="false">IF(ISNUMBER(D289),COUNTIF($D$6:$D$338,"&lt;"&amp;D289)/(COUNT($D$6:$D$338)-1),"")</f>
        <v>0.521035598705502</v>
      </c>
      <c r="L289" s="9" t="n">
        <f aca="false">IF(ISNUMBER(E289),COUNTIF($E$6:$E$338,"&lt;"&amp;E289)/(COUNT($E$6:$E$338)-1),"")</f>
        <v>0.0331325301204819</v>
      </c>
      <c r="M289" s="9" t="n">
        <f aca="false">IF(AND(K289="",L289=""),"",(IF(ISNUMBER(K289),$C$3*K289,0)+IF(ISNUMBER(L289),$E$3*L289,0))/(IF(ISNUMBER(K289),$C$3,0)+IF(ISNUMBER(L289),$E$3,0)))</f>
        <v>0.277084064412992</v>
      </c>
      <c r="N289" s="12"/>
      <c r="O289" s="7" t="n">
        <f aca="false">IF(N289&lt;&gt;"","",COUNTIFS($A$6:$A$338,A289,$N$6:$N$338,"",$M$6:$M$338,"&gt;"&amp;M289)+COUNTIFS($A$6:A289,A289,$N$6:N289,"",$M$6:M289,M289))</f>
        <v>17</v>
      </c>
      <c r="P289" s="12" t="str">
        <f aca="false">IF(O289="","Excluded",IF(O289&lt;=5,"Lead",IF(O289&lt;=10,"Next wave","Long list")))</f>
        <v>Long list</v>
      </c>
      <c r="Q289" s="10" t="s">
        <v>102</v>
      </c>
      <c r="R289" s="30" t="s">
        <v>610</v>
      </c>
    </row>
    <row r="290" customFormat="false" ht="23.85" hidden="false" customHeight="false" outlineLevel="0" collapsed="false">
      <c r="A290" s="12" t="s">
        <v>41</v>
      </c>
      <c r="B290" s="12" t="s">
        <v>112</v>
      </c>
      <c r="C290" s="10" t="s">
        <v>113</v>
      </c>
      <c r="D290" s="26" t="n">
        <v>531.87</v>
      </c>
      <c r="E290" s="11" t="n">
        <v>11366.1</v>
      </c>
      <c r="F290" s="10" t="s">
        <v>198</v>
      </c>
      <c r="G290" s="7" t="n">
        <v>1</v>
      </c>
      <c r="H290" s="12" t="s">
        <v>83</v>
      </c>
      <c r="I290" s="12" t="s">
        <v>84</v>
      </c>
      <c r="J290" s="10" t="s">
        <v>115</v>
      </c>
      <c r="K290" s="9" t="n">
        <f aca="false">IF(ISNUMBER(D290),COUNTIF($D$6:$D$338,"&lt;"&amp;D290)/(COUNT($D$6:$D$338)-1),"")</f>
        <v>0.944983818770227</v>
      </c>
      <c r="L290" s="9" t="n">
        <f aca="false">IF(ISNUMBER(E290),COUNTIF($E$6:$E$338,"&lt;"&amp;E290)/(COUNT($E$6:$E$338)-1),"")</f>
        <v>0.686746987951807</v>
      </c>
      <c r="M290" s="9" t="n">
        <f aca="false">IF(AND(K290="",L290=""),"",(IF(ISNUMBER(K290),$C$3*K290,0)+IF(ISNUMBER(L290),$E$3*L290,0))/(IF(ISNUMBER(K290),$C$3,0)+IF(ISNUMBER(L290),$E$3,0)))</f>
        <v>0.815865403361017</v>
      </c>
      <c r="N290" s="12"/>
      <c r="O290" s="7" t="n">
        <f aca="false">IF(N290&lt;&gt;"","",COUNTIFS($A$6:$A$338,A290,$N$6:$N$338,"",$M$6:$M$338,"&gt;"&amp;M290)+COUNTIFS($A$6:A290,A290,$N$6:N290,"",$M$6:M290,M290))</f>
        <v>1</v>
      </c>
      <c r="P290" s="12" t="str">
        <f aca="false">IF(O290="","Excluded",IF(O290&lt;=5,"Lead",IF(O290&lt;=10,"Next wave","Long list")))</f>
        <v>Lead</v>
      </c>
      <c r="Q290" s="10" t="s">
        <v>86</v>
      </c>
      <c r="R290" s="30" t="s">
        <v>299</v>
      </c>
    </row>
    <row r="291" customFormat="false" ht="23.85" hidden="false" customHeight="false" outlineLevel="0" collapsed="false">
      <c r="A291" s="12" t="s">
        <v>41</v>
      </c>
      <c r="B291" s="12" t="s">
        <v>244</v>
      </c>
      <c r="C291" s="10" t="s">
        <v>245</v>
      </c>
      <c r="D291" s="26" t="n">
        <v>118.34</v>
      </c>
      <c r="E291" s="11" t="n">
        <v>6183.2</v>
      </c>
      <c r="F291" s="10" t="s">
        <v>198</v>
      </c>
      <c r="G291" s="7" t="n">
        <v>2</v>
      </c>
      <c r="H291" s="12" t="s">
        <v>83</v>
      </c>
      <c r="I291" s="12" t="s">
        <v>84</v>
      </c>
      <c r="J291" s="10" t="s">
        <v>85</v>
      </c>
      <c r="K291" s="9" t="n">
        <f aca="false">IF(ISNUMBER(D291),COUNTIF($D$6:$D$338,"&lt;"&amp;D291)/(COUNT($D$6:$D$338)-1),"")</f>
        <v>0.783171521035599</v>
      </c>
      <c r="L291" s="9" t="n">
        <f aca="false">IF(ISNUMBER(E291),COUNTIF($E$6:$E$338,"&lt;"&amp;E291)/(COUNT($E$6:$E$338)-1),"")</f>
        <v>0.58433734939759</v>
      </c>
      <c r="M291" s="9" t="n">
        <f aca="false">IF(AND(K291="",L291=""),"",(IF(ISNUMBER(K291),$C$3*K291,0)+IF(ISNUMBER(L291),$E$3*L291,0))/(IF(ISNUMBER(K291),$C$3,0)+IF(ISNUMBER(L291),$E$3,0)))</f>
        <v>0.683754435216595</v>
      </c>
      <c r="N291" s="12"/>
      <c r="O291" s="7" t="n">
        <f aca="false">IF(N291&lt;&gt;"","",COUNTIFS($A$6:$A$338,A291,$N$6:$N$338,"",$M$6:$M$338,"&gt;"&amp;M291)+COUNTIFS($A$6:A291,A291,$N$6:N291,"",$M$6:M291,M291))</f>
        <v>2</v>
      </c>
      <c r="P291" s="12" t="str">
        <f aca="false">IF(O291="","Excluded",IF(O291&lt;=5,"Lead",IF(O291&lt;=10,"Next wave","Long list")))</f>
        <v>Lead</v>
      </c>
      <c r="Q291" s="10" t="s">
        <v>86</v>
      </c>
      <c r="R291" s="30" t="s">
        <v>611</v>
      </c>
    </row>
    <row r="292" customFormat="false" ht="23.85" hidden="false" customHeight="false" outlineLevel="0" collapsed="false">
      <c r="A292" s="12" t="s">
        <v>41</v>
      </c>
      <c r="B292" s="12" t="s">
        <v>56</v>
      </c>
      <c r="C292" s="10" t="s">
        <v>152</v>
      </c>
      <c r="D292" s="26" t="n">
        <v>12.08</v>
      </c>
      <c r="E292" s="11" t="n">
        <v>58920.4</v>
      </c>
      <c r="F292" s="10" t="s">
        <v>198</v>
      </c>
      <c r="G292" s="7" t="n">
        <v>1</v>
      </c>
      <c r="H292" s="12" t="s">
        <v>77</v>
      </c>
      <c r="I292" s="12" t="s">
        <v>78</v>
      </c>
      <c r="J292" s="10" t="s">
        <v>154</v>
      </c>
      <c r="K292" s="9" t="n">
        <f aca="false">IF(ISNUMBER(D292),COUNTIF($D$6:$D$338,"&lt;"&amp;D292)/(COUNT($D$6:$D$338)-1),"")</f>
        <v>0.27831715210356</v>
      </c>
      <c r="L292" s="9" t="n">
        <f aca="false">IF(ISNUMBER(E292),COUNTIF($E$6:$E$338,"&lt;"&amp;E292)/(COUNT($E$6:$E$338)-1),"")</f>
        <v>0.936746987951807</v>
      </c>
      <c r="M292" s="9" t="n">
        <f aca="false">IF(AND(K292="",L292=""),"",(IF(ISNUMBER(K292),$C$3*K292,0)+IF(ISNUMBER(L292),$E$3*L292,0))/(IF(ISNUMBER(K292),$C$3,0)+IF(ISNUMBER(L292),$E$3,0)))</f>
        <v>0.607532070027684</v>
      </c>
      <c r="N292" s="12"/>
      <c r="O292" s="7" t="n">
        <f aca="false">IF(N292&lt;&gt;"","",COUNTIFS($A$6:$A$338,A292,$N$6:$N$338,"",$M$6:$M$338,"&gt;"&amp;M292)+COUNTIFS($A$6:A292,A292,$N$6:N292,"",$M$6:M292,M292))</f>
        <v>3</v>
      </c>
      <c r="P292" s="12" t="str">
        <f aca="false">IF(O292="","Excluded",IF(O292&lt;=5,"Lead",IF(O292&lt;=10,"Next wave","Long list")))</f>
        <v>Lead</v>
      </c>
      <c r="Q292" s="10" t="s">
        <v>80</v>
      </c>
      <c r="R292" s="30" t="s">
        <v>317</v>
      </c>
    </row>
    <row r="293" customFormat="false" ht="23.85" hidden="false" customHeight="false" outlineLevel="0" collapsed="false">
      <c r="A293" s="12" t="s">
        <v>41</v>
      </c>
      <c r="B293" s="12" t="s">
        <v>246</v>
      </c>
      <c r="C293" s="10" t="s">
        <v>247</v>
      </c>
      <c r="D293" s="26" t="n">
        <v>10.96</v>
      </c>
      <c r="E293" s="11" t="n">
        <v>7260.1</v>
      </c>
      <c r="F293" s="10" t="s">
        <v>198</v>
      </c>
      <c r="G293" s="7" t="n">
        <v>1</v>
      </c>
      <c r="H293" s="12" t="s">
        <v>95</v>
      </c>
      <c r="I293" s="12" t="s">
        <v>95</v>
      </c>
      <c r="J293" s="10"/>
      <c r="K293" s="9" t="n">
        <f aca="false">IF(ISNUMBER(D293),COUNTIF($D$6:$D$338,"&lt;"&amp;D293)/(COUNT($D$6:$D$338)-1),"")</f>
        <v>0.255663430420712</v>
      </c>
      <c r="L293" s="9" t="n">
        <f aca="false">IF(ISNUMBER(E293),COUNTIF($E$6:$E$338,"&lt;"&amp;E293)/(COUNT($E$6:$E$338)-1),"")</f>
        <v>0.644578313253012</v>
      </c>
      <c r="M293" s="9" t="n">
        <f aca="false">IF(AND(K293="",L293=""),"",(IF(ISNUMBER(K293),$C$3*K293,0)+IF(ISNUMBER(L293),$E$3*L293,0))/(IF(ISNUMBER(K293),$C$3,0)+IF(ISNUMBER(L293),$E$3,0)))</f>
        <v>0.450120871836862</v>
      </c>
      <c r="N293" s="12"/>
      <c r="O293" s="7" t="n">
        <f aca="false">IF(N293&lt;&gt;"","",COUNTIFS($A$6:$A$338,A293,$N$6:$N$338,"",$M$6:$M$338,"&gt;"&amp;M293)+COUNTIFS($A$6:A293,A293,$N$6:N293,"",$M$6:M293,M293))</f>
        <v>4</v>
      </c>
      <c r="P293" s="12" t="str">
        <f aca="false">IF(O293="","Excluded",IF(O293&lt;=5,"Lead",IF(O293&lt;=10,"Next wave","Long list")))</f>
        <v>Lead</v>
      </c>
      <c r="Q293" s="10" t="s">
        <v>97</v>
      </c>
      <c r="R293" s="30" t="s">
        <v>612</v>
      </c>
    </row>
    <row r="294" customFormat="false" ht="23.85" hidden="false" customHeight="false" outlineLevel="0" collapsed="false">
      <c r="A294" s="12" t="s">
        <v>41</v>
      </c>
      <c r="B294" s="12" t="s">
        <v>248</v>
      </c>
      <c r="C294" s="10" t="s">
        <v>217</v>
      </c>
      <c r="D294" s="26" t="n">
        <v>12.21</v>
      </c>
      <c r="E294" s="11" t="n">
        <v>701.3</v>
      </c>
      <c r="F294" s="10" t="s">
        <v>169</v>
      </c>
      <c r="G294" s="7" t="n">
        <v>2</v>
      </c>
      <c r="H294" s="12" t="s">
        <v>196</v>
      </c>
      <c r="I294" s="12" t="s">
        <v>84</v>
      </c>
      <c r="J294" s="10"/>
      <c r="K294" s="9" t="n">
        <f aca="false">IF(ISNUMBER(D294),COUNTIF($D$6:$D$338,"&lt;"&amp;D294)/(COUNT($D$6:$D$338)-1),"")</f>
        <v>0.281553398058252</v>
      </c>
      <c r="L294" s="9" t="n">
        <f aca="false">IF(ISNUMBER(E294),COUNTIF($E$6:$E$338,"&lt;"&amp;E294)/(COUNT($E$6:$E$338)-1),"")</f>
        <v>0.132530120481928</v>
      </c>
      <c r="M294" s="9" t="n">
        <f aca="false">IF(AND(K294="",L294=""),"",(IF(ISNUMBER(K294),$C$3*K294,0)+IF(ISNUMBER(L294),$E$3*L294,0))/(IF(ISNUMBER(K294),$C$3,0)+IF(ISNUMBER(L294),$E$3,0)))</f>
        <v>0.20704175927009</v>
      </c>
      <c r="N294" s="12"/>
      <c r="O294" s="7" t="n">
        <f aca="false">IF(N294&lt;&gt;"","",COUNTIFS($A$6:$A$338,A294,$N$6:$N$338,"",$M$6:$M$338,"&gt;"&amp;M294)+COUNTIFS($A$6:A294,A294,$N$6:N294,"",$M$6:M294,M294))</f>
        <v>5</v>
      </c>
      <c r="P294" s="12" t="str">
        <f aca="false">IF(O294="","Excluded",IF(O294&lt;=5,"Lead",IF(O294&lt;=10,"Next wave","Long list")))</f>
        <v>Lead</v>
      </c>
      <c r="Q294" s="10" t="s">
        <v>102</v>
      </c>
      <c r="R294" s="30" t="s">
        <v>613</v>
      </c>
    </row>
    <row r="295" customFormat="false" ht="23.85" hidden="false" customHeight="false" outlineLevel="0" collapsed="false">
      <c r="A295" s="12" t="s">
        <v>41</v>
      </c>
      <c r="B295" s="12" t="s">
        <v>249</v>
      </c>
      <c r="C295" s="10" t="s">
        <v>210</v>
      </c>
      <c r="D295" s="26"/>
      <c r="E295" s="11" t="n">
        <v>18568.8</v>
      </c>
      <c r="F295" s="10" t="s">
        <v>198</v>
      </c>
      <c r="G295" s="7" t="n">
        <v>1</v>
      </c>
      <c r="H295" s="12" t="s">
        <v>95</v>
      </c>
      <c r="I295" s="12" t="s">
        <v>95</v>
      </c>
      <c r="J295" s="10"/>
      <c r="K295" s="9" t="str">
        <f aca="false">IF(ISNUMBER(D295),COUNTIF($D$6:$D$338,"&lt;"&amp;D295)/(COUNT($D$6:$D$338)-1),"")</f>
        <v/>
      </c>
      <c r="L295" s="9" t="n">
        <f aca="false">IF(ISNUMBER(E295),COUNTIF($E$6:$E$338,"&lt;"&amp;E295)/(COUNT($E$6:$E$338)-1),"")</f>
        <v>0.762048192771084</v>
      </c>
      <c r="M295" s="9" t="n">
        <f aca="false">IF(AND(K295="",L295=""),"",(IF(ISNUMBER(K295),$C$3*K295,0)+IF(ISNUMBER(L295),$E$3*L295,0))/(IF(ISNUMBER(K295),$C$3,0)+IF(ISNUMBER(L295),$E$3,0)))</f>
        <v>0.762048192771084</v>
      </c>
      <c r="N295" s="12" t="s">
        <v>307</v>
      </c>
      <c r="O295" s="7" t="str">
        <f aca="false">IF(N295&lt;&gt;"","",COUNTIFS($A$6:$A$338,A295,$N$6:$N$338,"",$M$6:$M$338,"&gt;"&amp;M295)+COUNTIFS($A$6:A295,A295,$N$6:N295,"",$M$6:M295,M295))</f>
        <v/>
      </c>
      <c r="P295" s="12" t="str">
        <f aca="false">IF(O295="","Excluded",IF(O295&lt;=5,"Lead",IF(O295&lt;=10,"Next wave","Long list")))</f>
        <v>Excluded</v>
      </c>
      <c r="Q295" s="10" t="s">
        <v>97</v>
      </c>
      <c r="R295" s="30" t="s">
        <v>591</v>
      </c>
    </row>
    <row r="296" customFormat="false" ht="23.85" hidden="false" customHeight="false" outlineLevel="0" collapsed="false">
      <c r="A296" s="12" t="s">
        <v>41</v>
      </c>
      <c r="B296" s="12" t="s">
        <v>488</v>
      </c>
      <c r="C296" s="10" t="s">
        <v>384</v>
      </c>
      <c r="D296" s="26" t="n">
        <v>7.72</v>
      </c>
      <c r="E296" s="11" t="n">
        <v>20184.3</v>
      </c>
      <c r="F296" s="10" t="s">
        <v>302</v>
      </c>
      <c r="G296" s="7" t="n">
        <v>1</v>
      </c>
      <c r="H296" s="12" t="s">
        <v>77</v>
      </c>
      <c r="I296" s="12" t="s">
        <v>84</v>
      </c>
      <c r="J296" s="10" t="s">
        <v>163</v>
      </c>
      <c r="K296" s="9" t="n">
        <f aca="false">IF(ISNUMBER(D296),COUNTIF($D$6:$D$338,"&lt;"&amp;D296)/(COUNT($D$6:$D$338)-1),"")</f>
        <v>0.148867313915858</v>
      </c>
      <c r="L296" s="9" t="n">
        <f aca="false">IF(ISNUMBER(E296),COUNTIF($E$6:$E$338,"&lt;"&amp;E296)/(COUNT($E$6:$E$338)-1),"")</f>
        <v>0.774096385542169</v>
      </c>
      <c r="M296" s="9" t="n">
        <f aca="false">IF(AND(K296="",L296=""),"",(IF(ISNUMBER(K296),$C$3*K296,0)+IF(ISNUMBER(L296),$E$3*L296,0))/(IF(ISNUMBER(K296),$C$3,0)+IF(ISNUMBER(L296),$E$3,0)))</f>
        <v>0.461481849729013</v>
      </c>
      <c r="N296" s="12" t="s">
        <v>303</v>
      </c>
      <c r="O296" s="7" t="str">
        <f aca="false">IF(N296&lt;&gt;"","",COUNTIFS($A$6:$A$338,A296,$N$6:$N$338,"",$M$6:$M$338,"&gt;"&amp;M296)+COUNTIFS($A$6:A296,A296,$N$6:N296,"",$M$6:M296,M296))</f>
        <v/>
      </c>
      <c r="P296" s="12" t="str">
        <f aca="false">IF(O296="","Excluded",IF(O296&lt;=5,"Lead",IF(O296&lt;=10,"Next wave","Long list")))</f>
        <v>Excluded</v>
      </c>
      <c r="Q296" s="10" t="s">
        <v>80</v>
      </c>
      <c r="R296" s="30" t="s">
        <v>489</v>
      </c>
    </row>
    <row r="297" customFormat="false" ht="23.85" hidden="false" customHeight="false" outlineLevel="0" collapsed="false">
      <c r="A297" s="12" t="s">
        <v>45</v>
      </c>
      <c r="B297" s="12" t="s">
        <v>205</v>
      </c>
      <c r="C297" s="10" t="s">
        <v>206</v>
      </c>
      <c r="D297" s="26" t="n">
        <v>25.36</v>
      </c>
      <c r="E297" s="11" t="n">
        <v>93119.2</v>
      </c>
      <c r="F297" s="10" t="s">
        <v>190</v>
      </c>
      <c r="G297" s="7" t="n">
        <v>1</v>
      </c>
      <c r="H297" s="12" t="s">
        <v>77</v>
      </c>
      <c r="I297" s="12" t="s">
        <v>78</v>
      </c>
      <c r="J297" s="10" t="s">
        <v>175</v>
      </c>
      <c r="K297" s="9" t="n">
        <f aca="false">IF(ISNUMBER(D297),COUNTIF($D$6:$D$338,"&lt;"&amp;D297)/(COUNT($D$6:$D$338)-1),"")</f>
        <v>0.475728155339806</v>
      </c>
      <c r="L297" s="9" t="n">
        <f aca="false">IF(ISNUMBER(E297),COUNTIF($E$6:$E$338,"&lt;"&amp;E297)/(COUNT($E$6:$E$338)-1),"")</f>
        <v>0.981927710843374</v>
      </c>
      <c r="M297" s="9" t="n">
        <f aca="false">IF(AND(K297="",L297=""),"",(IF(ISNUMBER(K297),$C$3*K297,0)+IF(ISNUMBER(L297),$E$3*L297,0))/(IF(ISNUMBER(K297),$C$3,0)+IF(ISNUMBER(L297),$E$3,0)))</f>
        <v>0.72882793309159</v>
      </c>
      <c r="N297" s="12"/>
      <c r="O297" s="7" t="n">
        <f aca="false">IF(N297&lt;&gt;"","",COUNTIFS($A$6:$A$338,A297,$N$6:$N$338,"",$M$6:$M$338,"&gt;"&amp;M297)+COUNTIFS($A$6:A297,A297,$N$6:N297,"",$M$6:M297,M297))</f>
        <v>1</v>
      </c>
      <c r="P297" s="12" t="str">
        <f aca="false">IF(O297="","Excluded",IF(O297&lt;=5,"Lead",IF(O297&lt;=10,"Next wave","Long list")))</f>
        <v>Lead</v>
      </c>
      <c r="Q297" s="10" t="s">
        <v>80</v>
      </c>
      <c r="R297" s="30" t="s">
        <v>344</v>
      </c>
    </row>
    <row r="298" customFormat="false" ht="35.05" hidden="false" customHeight="false" outlineLevel="0" collapsed="false">
      <c r="A298" s="12" t="s">
        <v>45</v>
      </c>
      <c r="B298" s="12" t="s">
        <v>262</v>
      </c>
      <c r="C298" s="10" t="s">
        <v>263</v>
      </c>
      <c r="D298" s="26" t="n">
        <v>81.96</v>
      </c>
      <c r="E298" s="11" t="n">
        <v>3973.7</v>
      </c>
      <c r="F298" s="10" t="s">
        <v>190</v>
      </c>
      <c r="G298" s="7" t="n">
        <v>1</v>
      </c>
      <c r="H298" s="12" t="s">
        <v>77</v>
      </c>
      <c r="I298" s="12" t="s">
        <v>78</v>
      </c>
      <c r="J298" s="10" t="s">
        <v>264</v>
      </c>
      <c r="K298" s="9" t="n">
        <f aca="false">IF(ISNUMBER(D298),COUNTIF($D$6:$D$338,"&lt;"&amp;D298)/(COUNT($D$6:$D$338)-1),"")</f>
        <v>0.724919093851133</v>
      </c>
      <c r="L298" s="9" t="n">
        <f aca="false">IF(ISNUMBER(E298),COUNTIF($E$6:$E$338,"&lt;"&amp;E298)/(COUNT($E$6:$E$338)-1),"")</f>
        <v>0.493975903614458</v>
      </c>
      <c r="M298" s="9" t="n">
        <f aca="false">IF(AND(K298="",L298=""),"",(IF(ISNUMBER(K298),$C$3*K298,0)+IF(ISNUMBER(L298),$E$3*L298,0))/(IF(ISNUMBER(K298),$C$3,0)+IF(ISNUMBER(L298),$E$3,0)))</f>
        <v>0.609447498732795</v>
      </c>
      <c r="N298" s="12"/>
      <c r="O298" s="7" t="n">
        <f aca="false">IF(N298&lt;&gt;"","",COUNTIFS($A$6:$A$338,A298,$N$6:$N$338,"",$M$6:$M$338,"&gt;"&amp;M298)+COUNTIFS($A$6:A298,A298,$N$6:N298,"",$M$6:M298,M298))</f>
        <v>2</v>
      </c>
      <c r="P298" s="12" t="str">
        <f aca="false">IF(O298="","Excluded",IF(O298&lt;=5,"Lead",IF(O298&lt;=10,"Next wave","Long list")))</f>
        <v>Lead</v>
      </c>
      <c r="Q298" s="10" t="s">
        <v>80</v>
      </c>
      <c r="R298" s="30" t="s">
        <v>441</v>
      </c>
    </row>
    <row r="299" customFormat="false" ht="23.85" hidden="false" customHeight="false" outlineLevel="0" collapsed="false">
      <c r="A299" s="12" t="s">
        <v>45</v>
      </c>
      <c r="B299" s="12" t="s">
        <v>56</v>
      </c>
      <c r="C299" s="10" t="s">
        <v>152</v>
      </c>
      <c r="D299" s="26" t="n">
        <v>11.71</v>
      </c>
      <c r="E299" s="11" t="n">
        <v>58920.4</v>
      </c>
      <c r="F299" s="10" t="s">
        <v>89</v>
      </c>
      <c r="G299" s="7" t="n">
        <v>10</v>
      </c>
      <c r="H299" s="12" t="s">
        <v>77</v>
      </c>
      <c r="I299" s="12" t="s">
        <v>78</v>
      </c>
      <c r="J299" s="10" t="s">
        <v>154</v>
      </c>
      <c r="K299" s="9" t="n">
        <f aca="false">IF(ISNUMBER(D299),COUNTIF($D$6:$D$338,"&lt;"&amp;D299)/(COUNT($D$6:$D$338)-1),"")</f>
        <v>0.268608414239482</v>
      </c>
      <c r="L299" s="9" t="n">
        <f aca="false">IF(ISNUMBER(E299),COUNTIF($E$6:$E$338,"&lt;"&amp;E299)/(COUNT($E$6:$E$338)-1),"")</f>
        <v>0.936746987951807</v>
      </c>
      <c r="M299" s="9" t="n">
        <f aca="false">IF(AND(K299="",L299=""),"",(IF(ISNUMBER(K299),$C$3*K299,0)+IF(ISNUMBER(L299),$E$3*L299,0))/(IF(ISNUMBER(K299),$C$3,0)+IF(ISNUMBER(L299),$E$3,0)))</f>
        <v>0.602677701095645</v>
      </c>
      <c r="N299" s="12"/>
      <c r="O299" s="7" t="n">
        <f aca="false">IF(N299&lt;&gt;"","",COUNTIFS($A$6:$A$338,A299,$N$6:$N$338,"",$M$6:$M$338,"&gt;"&amp;M299)+COUNTIFS($A$6:A299,A299,$N$6:N299,"",$M$6:M299,M299))</f>
        <v>3</v>
      </c>
      <c r="P299" s="12" t="str">
        <f aca="false">IF(O299="","Excluded",IF(O299&lt;=5,"Lead",IF(O299&lt;=10,"Next wave","Long list")))</f>
        <v>Lead</v>
      </c>
      <c r="Q299" s="10" t="s">
        <v>80</v>
      </c>
      <c r="R299" s="30" t="s">
        <v>317</v>
      </c>
    </row>
    <row r="300" customFormat="false" ht="23.85" hidden="false" customHeight="false" outlineLevel="0" collapsed="false">
      <c r="A300" s="12" t="s">
        <v>45</v>
      </c>
      <c r="B300" s="12" t="s">
        <v>211</v>
      </c>
      <c r="C300" s="10" t="s">
        <v>212</v>
      </c>
      <c r="D300" s="26" t="n">
        <v>34.58</v>
      </c>
      <c r="E300" s="11" t="n">
        <v>5713.6</v>
      </c>
      <c r="F300" s="10" t="s">
        <v>190</v>
      </c>
      <c r="G300" s="7" t="n">
        <v>1</v>
      </c>
      <c r="H300" s="12" t="s">
        <v>77</v>
      </c>
      <c r="I300" s="12" t="s">
        <v>95</v>
      </c>
      <c r="J300" s="10" t="s">
        <v>178</v>
      </c>
      <c r="K300" s="9" t="n">
        <f aca="false">IF(ISNUMBER(D300),COUNTIF($D$6:$D$338,"&lt;"&amp;D300)/(COUNT($D$6:$D$338)-1),"")</f>
        <v>0.546925566343042</v>
      </c>
      <c r="L300" s="9" t="n">
        <f aca="false">IF(ISNUMBER(E300),COUNTIF($E$6:$E$338,"&lt;"&amp;E300)/(COUNT($E$6:$E$338)-1),"")</f>
        <v>0.569277108433735</v>
      </c>
      <c r="M300" s="9" t="n">
        <f aca="false">IF(AND(K300="",L300=""),"",(IF(ISNUMBER(K300),$C$3*K300,0)+IF(ISNUMBER(L300),$E$3*L300,0))/(IF(ISNUMBER(K300),$C$3,0)+IF(ISNUMBER(L300),$E$3,0)))</f>
        <v>0.558101337388389</v>
      </c>
      <c r="N300" s="12"/>
      <c r="O300" s="7" t="n">
        <f aca="false">IF(N300&lt;&gt;"","",COUNTIFS($A$6:$A$338,A300,$N$6:$N$338,"",$M$6:$M$338,"&gt;"&amp;M300)+COUNTIFS($A$6:A300,A300,$N$6:N300,"",$M$6:M300,M300))</f>
        <v>4</v>
      </c>
      <c r="P300" s="12" t="str">
        <f aca="false">IF(O300="","Excluded",IF(O300&lt;=5,"Lead",IF(O300&lt;=10,"Next wave","Long list")))</f>
        <v>Lead</v>
      </c>
      <c r="Q300" s="10" t="s">
        <v>80</v>
      </c>
      <c r="R300" s="30" t="s">
        <v>376</v>
      </c>
    </row>
    <row r="301" customFormat="false" ht="23.85" hidden="false" customHeight="false" outlineLevel="0" collapsed="false">
      <c r="A301" s="12" t="s">
        <v>33</v>
      </c>
      <c r="B301" s="12" t="s">
        <v>104</v>
      </c>
      <c r="C301" s="10" t="s">
        <v>105</v>
      </c>
      <c r="D301" s="26" t="n">
        <v>87.85</v>
      </c>
      <c r="E301" s="11" t="n">
        <v>59827.2</v>
      </c>
      <c r="F301" s="10" t="s">
        <v>169</v>
      </c>
      <c r="G301" s="7" t="n">
        <v>3</v>
      </c>
      <c r="H301" s="12" t="s">
        <v>77</v>
      </c>
      <c r="I301" s="12" t="s">
        <v>78</v>
      </c>
      <c r="J301" s="10" t="s">
        <v>108</v>
      </c>
      <c r="K301" s="9" t="n">
        <f aca="false">IF(ISNUMBER(D301),COUNTIF($D$6:$D$338,"&lt;"&amp;D301)/(COUNT($D$6:$D$338)-1),"")</f>
        <v>0.73462783171521</v>
      </c>
      <c r="L301" s="9" t="n">
        <f aca="false">IF(ISNUMBER(E301),COUNTIF($E$6:$E$338,"&lt;"&amp;E301)/(COUNT($E$6:$E$338)-1),"")</f>
        <v>0.957831325301205</v>
      </c>
      <c r="M301" s="9" t="n">
        <f aca="false">IF(AND(K301="",L301=""),"",(IF(ISNUMBER(K301),$C$3*K301,0)+IF(ISNUMBER(L301),$E$3*L301,0))/(IF(ISNUMBER(K301),$C$3,0)+IF(ISNUMBER(L301),$E$3,0)))</f>
        <v>0.846229578508208</v>
      </c>
      <c r="N301" s="12"/>
      <c r="O301" s="7" t="n">
        <f aca="false">IF(N301&lt;&gt;"","",COUNTIFS($A$6:$A$338,A301,$N$6:$N$338,"",$M$6:$M$338,"&gt;"&amp;M301)+COUNTIFS($A$6:A301,A301,$N$6:N301,"",$M$6:M301,M301))</f>
        <v>1</v>
      </c>
      <c r="P301" s="12" t="str">
        <f aca="false">IF(O301="","Excluded",IF(O301&lt;=5,"Lead",IF(O301&lt;=10,"Next wave","Long list")))</f>
        <v>Lead</v>
      </c>
      <c r="Q301" s="10" t="s">
        <v>80</v>
      </c>
      <c r="R301" s="30" t="s">
        <v>312</v>
      </c>
    </row>
    <row r="302" customFormat="false" ht="23.85" hidden="false" customHeight="false" outlineLevel="0" collapsed="false">
      <c r="A302" s="12" t="s">
        <v>33</v>
      </c>
      <c r="B302" s="12" t="s">
        <v>116</v>
      </c>
      <c r="C302" s="10" t="s">
        <v>117</v>
      </c>
      <c r="D302" s="26" t="n">
        <v>140.09</v>
      </c>
      <c r="E302" s="11" t="n">
        <v>32830.2</v>
      </c>
      <c r="F302" s="10" t="s">
        <v>169</v>
      </c>
      <c r="G302" s="7" t="n">
        <v>2</v>
      </c>
      <c r="H302" s="12" t="s">
        <v>172</v>
      </c>
      <c r="I302" s="12" t="s">
        <v>84</v>
      </c>
      <c r="J302" s="10" t="s">
        <v>119</v>
      </c>
      <c r="K302" s="9" t="n">
        <f aca="false">IF(ISNUMBER(D302),COUNTIF($D$6:$D$338,"&lt;"&amp;D302)/(COUNT($D$6:$D$338)-1),"")</f>
        <v>0.812297734627832</v>
      </c>
      <c r="L302" s="9" t="n">
        <f aca="false">IF(ISNUMBER(E302),COUNTIF($E$6:$E$338,"&lt;"&amp;E302)/(COUNT($E$6:$E$338)-1),"")</f>
        <v>0.825301204819277</v>
      </c>
      <c r="M302" s="9" t="n">
        <f aca="false">IF(AND(K302="",L302=""),"",(IF(ISNUMBER(K302),$C$3*K302,0)+IF(ISNUMBER(L302),$E$3*L302,0))/(IF(ISNUMBER(K302),$C$3,0)+IF(ISNUMBER(L302),$E$3,0)))</f>
        <v>0.818799469723554</v>
      </c>
      <c r="N302" s="12"/>
      <c r="O302" s="7" t="n">
        <f aca="false">IF(N302&lt;&gt;"","",COUNTIFS($A$6:$A$338,A302,$N$6:$N$338,"",$M$6:$M$338,"&gt;"&amp;M302)+COUNTIFS($A$6:A302,A302,$N$6:N302,"",$M$6:M302,M302))</f>
        <v>2</v>
      </c>
      <c r="P302" s="12" t="str">
        <f aca="false">IF(O302="","Excluded",IF(O302&lt;=5,"Lead",IF(O302&lt;=10,"Next wave","Long list")))</f>
        <v>Lead</v>
      </c>
      <c r="Q302" s="10" t="s">
        <v>80</v>
      </c>
      <c r="R302" s="30" t="s">
        <v>426</v>
      </c>
    </row>
    <row r="303" customFormat="false" ht="23.85" hidden="false" customHeight="false" outlineLevel="0" collapsed="false">
      <c r="A303" s="12" t="s">
        <v>33</v>
      </c>
      <c r="B303" s="12" t="s">
        <v>205</v>
      </c>
      <c r="C303" s="10" t="s">
        <v>206</v>
      </c>
      <c r="D303" s="26" t="n">
        <v>12.3</v>
      </c>
      <c r="E303" s="11" t="n">
        <v>93119.2</v>
      </c>
      <c r="F303" s="10" t="s">
        <v>207</v>
      </c>
      <c r="G303" s="7" t="n">
        <v>5</v>
      </c>
      <c r="H303" s="12" t="s">
        <v>77</v>
      </c>
      <c r="I303" s="12" t="s">
        <v>78</v>
      </c>
      <c r="J303" s="10" t="s">
        <v>175</v>
      </c>
      <c r="K303" s="9" t="n">
        <f aca="false">IF(ISNUMBER(D303),COUNTIF($D$6:$D$338,"&lt;"&amp;D303)/(COUNT($D$6:$D$338)-1),"")</f>
        <v>0.284789644012945</v>
      </c>
      <c r="L303" s="9" t="n">
        <f aca="false">IF(ISNUMBER(E303),COUNTIF($E$6:$E$338,"&lt;"&amp;E303)/(COUNT($E$6:$E$338)-1),"")</f>
        <v>0.981927710843374</v>
      </c>
      <c r="M303" s="9" t="n">
        <f aca="false">IF(AND(K303="",L303=""),"",(IF(ISNUMBER(K303),$C$3*K303,0)+IF(ISNUMBER(L303),$E$3*L303,0))/(IF(ISNUMBER(K303),$C$3,0)+IF(ISNUMBER(L303),$E$3,0)))</f>
        <v>0.633358677428159</v>
      </c>
      <c r="N303" s="12"/>
      <c r="O303" s="7" t="n">
        <f aca="false">IF(N303&lt;&gt;"","",COUNTIFS($A$6:$A$338,A303,$N$6:$N$338,"",$M$6:$M$338,"&gt;"&amp;M303)+COUNTIFS($A$6:A303,A303,$N$6:N303,"",$M$6:M303,M303))</f>
        <v>3</v>
      </c>
      <c r="P303" s="12" t="str">
        <f aca="false">IF(O303="","Excluded",IF(O303&lt;=5,"Lead",IF(O303&lt;=10,"Next wave","Long list")))</f>
        <v>Lead</v>
      </c>
      <c r="Q303" s="10" t="s">
        <v>80</v>
      </c>
      <c r="R303" s="30" t="s">
        <v>344</v>
      </c>
    </row>
    <row r="304" customFormat="false" ht="23.85" hidden="false" customHeight="false" outlineLevel="0" collapsed="false">
      <c r="A304" s="12" t="s">
        <v>33</v>
      </c>
      <c r="B304" s="12" t="s">
        <v>208</v>
      </c>
      <c r="C304" s="10" t="s">
        <v>174</v>
      </c>
      <c r="D304" s="26" t="n">
        <v>6.73</v>
      </c>
      <c r="E304" s="11" t="n">
        <v>44038.9</v>
      </c>
      <c r="F304" s="10" t="s">
        <v>94</v>
      </c>
      <c r="G304" s="7" t="n">
        <v>1</v>
      </c>
      <c r="H304" s="12" t="s">
        <v>77</v>
      </c>
      <c r="I304" s="12" t="s">
        <v>78</v>
      </c>
      <c r="J304" s="10" t="s">
        <v>142</v>
      </c>
      <c r="K304" s="9" t="n">
        <f aca="false">IF(ISNUMBER(D304),COUNTIF($D$6:$D$338,"&lt;"&amp;D304)/(COUNT($D$6:$D$338)-1),"")</f>
        <v>0.0970873786407767</v>
      </c>
      <c r="L304" s="9" t="n">
        <f aca="false">IF(ISNUMBER(E304),COUNTIF($E$6:$E$338,"&lt;"&amp;E304)/(COUNT($E$6:$E$338)-1),"")</f>
        <v>0.918674698795181</v>
      </c>
      <c r="M304" s="9" t="n">
        <f aca="false">IF(AND(K304="",L304=""),"",(IF(ISNUMBER(K304),$C$3*K304,0)+IF(ISNUMBER(L304),$E$3*L304,0))/(IF(ISNUMBER(K304),$C$3,0)+IF(ISNUMBER(L304),$E$3,0)))</f>
        <v>0.507881038717979</v>
      </c>
      <c r="N304" s="12"/>
      <c r="O304" s="7" t="n">
        <f aca="false">IF(N304&lt;&gt;"","",COUNTIFS($A$6:$A$338,A304,$N$6:$N$338,"",$M$6:$M$338,"&gt;"&amp;M304)+COUNTIFS($A$6:A304,A304,$N$6:N304,"",$M$6:M304,M304))</f>
        <v>4</v>
      </c>
      <c r="P304" s="12" t="str">
        <f aca="false">IF(O304="","Excluded",IF(O304&lt;=5,"Lead",IF(O304&lt;=10,"Next wave","Long list")))</f>
        <v>Lead</v>
      </c>
      <c r="Q304" s="10" t="s">
        <v>102</v>
      </c>
      <c r="R304" s="30" t="s">
        <v>614</v>
      </c>
    </row>
    <row r="305" customFormat="false" ht="23.85" hidden="false" customHeight="false" outlineLevel="0" collapsed="false">
      <c r="A305" s="12" t="s">
        <v>33</v>
      </c>
      <c r="B305" s="12" t="s">
        <v>209</v>
      </c>
      <c r="C305" s="10" t="s">
        <v>210</v>
      </c>
      <c r="D305" s="26" t="n">
        <v>33.71</v>
      </c>
      <c r="E305" s="11" t="n">
        <v>3562.4</v>
      </c>
      <c r="F305" s="10" t="s">
        <v>169</v>
      </c>
      <c r="G305" s="7" t="n">
        <v>3</v>
      </c>
      <c r="H305" s="12" t="s">
        <v>172</v>
      </c>
      <c r="I305" s="12" t="s">
        <v>84</v>
      </c>
      <c r="J305" s="10"/>
      <c r="K305" s="9" t="n">
        <f aca="false">IF(ISNUMBER(D305),COUNTIF($D$6:$D$338,"&lt;"&amp;D305)/(COUNT($D$6:$D$338)-1),"")</f>
        <v>0.54368932038835</v>
      </c>
      <c r="L305" s="9" t="n">
        <f aca="false">IF(ISNUMBER(E305),COUNTIF($E$6:$E$338,"&lt;"&amp;E305)/(COUNT($E$6:$E$338)-1),"")</f>
        <v>0.448795180722892</v>
      </c>
      <c r="M305" s="9" t="n">
        <f aca="false">IF(AND(K305="",L305=""),"",(IF(ISNUMBER(K305),$C$3*K305,0)+IF(ISNUMBER(L305),$E$3*L305,0))/(IF(ISNUMBER(K305),$C$3,0)+IF(ISNUMBER(L305),$E$3,0)))</f>
        <v>0.496242250555621</v>
      </c>
      <c r="N305" s="12"/>
      <c r="O305" s="7" t="n">
        <f aca="false">IF(N305&lt;&gt;"","",COUNTIFS($A$6:$A$338,A305,$N$6:$N$338,"",$M$6:$M$338,"&gt;"&amp;M305)+COUNTIFS($A$6:A305,A305,$N$6:N305,"",$M$6:M305,M305))</f>
        <v>5</v>
      </c>
      <c r="P305" s="12" t="str">
        <f aca="false">IF(O305="","Excluded",IF(O305&lt;=5,"Lead",IF(O305&lt;=10,"Next wave","Long list")))</f>
        <v>Lead</v>
      </c>
      <c r="Q305" s="10" t="s">
        <v>102</v>
      </c>
      <c r="R305" s="30" t="s">
        <v>615</v>
      </c>
    </row>
    <row r="306" customFormat="false" ht="23.85" hidden="false" customHeight="false" outlineLevel="0" collapsed="false">
      <c r="A306" s="12" t="s">
        <v>33</v>
      </c>
      <c r="B306" s="12" t="s">
        <v>211</v>
      </c>
      <c r="C306" s="10" t="s">
        <v>212</v>
      </c>
      <c r="D306" s="26" t="n">
        <v>20.27</v>
      </c>
      <c r="E306" s="11" t="n">
        <v>5713.6</v>
      </c>
      <c r="F306" s="10" t="s">
        <v>169</v>
      </c>
      <c r="G306" s="7" t="n">
        <v>4</v>
      </c>
      <c r="H306" s="12" t="s">
        <v>77</v>
      </c>
      <c r="I306" s="12" t="s">
        <v>78</v>
      </c>
      <c r="J306" s="10" t="s">
        <v>213</v>
      </c>
      <c r="K306" s="9" t="n">
        <f aca="false">IF(ISNUMBER(D306),COUNTIF($D$6:$D$338,"&lt;"&amp;D306)/(COUNT($D$6:$D$338)-1),"")</f>
        <v>0.388349514563107</v>
      </c>
      <c r="L306" s="9" t="n">
        <f aca="false">IF(ISNUMBER(E306),COUNTIF($E$6:$E$338,"&lt;"&amp;E306)/(COUNT($E$6:$E$338)-1),"")</f>
        <v>0.569277108433735</v>
      </c>
      <c r="M306" s="9" t="n">
        <f aca="false">IF(AND(K306="",L306=""),"",(IF(ISNUMBER(K306),$C$3*K306,0)+IF(ISNUMBER(L306),$E$3*L306,0))/(IF(ISNUMBER(K306),$C$3,0)+IF(ISNUMBER(L306),$E$3,0)))</f>
        <v>0.478813311498421</v>
      </c>
      <c r="N306" s="12"/>
      <c r="O306" s="7" t="n">
        <f aca="false">IF(N306&lt;&gt;"","",COUNTIFS($A$6:$A$338,A306,$N$6:$N$338,"",$M$6:$M$338,"&gt;"&amp;M306)+COUNTIFS($A$6:A306,A306,$N$6:N306,"",$M$6:M306,M306))</f>
        <v>6</v>
      </c>
      <c r="P306" s="12" t="str">
        <f aca="false">IF(O306="","Excluded",IF(O306&lt;=5,"Lead",IF(O306&lt;=10,"Next wave","Long list")))</f>
        <v>Next wave</v>
      </c>
      <c r="Q306" s="10" t="s">
        <v>80</v>
      </c>
      <c r="R306" s="30" t="s">
        <v>376</v>
      </c>
    </row>
    <row r="307" customFormat="false" ht="23.85" hidden="false" customHeight="false" outlineLevel="0" collapsed="false">
      <c r="A307" s="12" t="s">
        <v>33</v>
      </c>
      <c r="B307" s="12" t="s">
        <v>214</v>
      </c>
      <c r="C307" s="10" t="s">
        <v>215</v>
      </c>
      <c r="D307" s="26" t="n">
        <v>23.71</v>
      </c>
      <c r="E307" s="11" t="n">
        <v>4036.6</v>
      </c>
      <c r="F307" s="10" t="s">
        <v>169</v>
      </c>
      <c r="G307" s="7" t="n">
        <v>3</v>
      </c>
      <c r="H307" s="12" t="s">
        <v>196</v>
      </c>
      <c r="I307" s="12" t="s">
        <v>84</v>
      </c>
      <c r="J307" s="10" t="s">
        <v>163</v>
      </c>
      <c r="K307" s="9" t="n">
        <f aca="false">IF(ISNUMBER(D307),COUNTIF($D$6:$D$338,"&lt;"&amp;D307)/(COUNT($D$6:$D$338)-1),"")</f>
        <v>0.436893203883495</v>
      </c>
      <c r="L307" s="9" t="n">
        <f aca="false">IF(ISNUMBER(E307),COUNTIF($E$6:$E$338,"&lt;"&amp;E307)/(COUNT($E$6:$E$338)-1),"")</f>
        <v>0.503012048192771</v>
      </c>
      <c r="M307" s="9" t="n">
        <f aca="false">IF(AND(K307="",L307=""),"",(IF(ISNUMBER(K307),$C$3*K307,0)+IF(ISNUMBER(L307),$E$3*L307,0))/(IF(ISNUMBER(K307),$C$3,0)+IF(ISNUMBER(L307),$E$3,0)))</f>
        <v>0.469952626038133</v>
      </c>
      <c r="N307" s="12"/>
      <c r="O307" s="7" t="n">
        <f aca="false">IF(N307&lt;&gt;"","",COUNTIFS($A$6:$A$338,A307,$N$6:$N$338,"",$M$6:$M$338,"&gt;"&amp;M307)+COUNTIFS($A$6:A307,A307,$N$6:N307,"",$M$6:M307,M307))</f>
        <v>7</v>
      </c>
      <c r="P307" s="12" t="str">
        <f aca="false">IF(O307="","Excluded",IF(O307&lt;=5,"Lead",IF(O307&lt;=10,"Next wave","Long list")))</f>
        <v>Next wave</v>
      </c>
      <c r="Q307" s="10" t="s">
        <v>80</v>
      </c>
      <c r="R307" s="30" t="s">
        <v>475</v>
      </c>
    </row>
    <row r="308" customFormat="false" ht="23.85" hidden="false" customHeight="false" outlineLevel="0" collapsed="false">
      <c r="A308" s="12" t="s">
        <v>33</v>
      </c>
      <c r="B308" s="12" t="s">
        <v>216</v>
      </c>
      <c r="C308" s="10" t="s">
        <v>217</v>
      </c>
      <c r="D308" s="26" t="n">
        <v>5.32</v>
      </c>
      <c r="E308" s="11" t="n">
        <v>17590.5</v>
      </c>
      <c r="F308" s="10" t="s">
        <v>94</v>
      </c>
      <c r="G308" s="7" t="n">
        <v>1</v>
      </c>
      <c r="H308" s="12" t="s">
        <v>196</v>
      </c>
      <c r="I308" s="12" t="s">
        <v>84</v>
      </c>
      <c r="J308" s="10" t="s">
        <v>168</v>
      </c>
      <c r="K308" s="9" t="n">
        <f aca="false">IF(ISNUMBER(D308),COUNTIF($D$6:$D$338,"&lt;"&amp;D308)/(COUNT($D$6:$D$338)-1),"")</f>
        <v>0.00970873786407767</v>
      </c>
      <c r="L308" s="9" t="n">
        <f aca="false">IF(ISNUMBER(E308),COUNTIF($E$6:$E$338,"&lt;"&amp;E308)/(COUNT($E$6:$E$338)-1),"")</f>
        <v>0.746987951807229</v>
      </c>
      <c r="M308" s="9" t="n">
        <f aca="false">IF(AND(K308="",L308=""),"",(IF(ISNUMBER(K308),$C$3*K308,0)+IF(ISNUMBER(L308),$E$3*L308,0))/(IF(ISNUMBER(K308),$C$3,0)+IF(ISNUMBER(L308),$E$3,0)))</f>
        <v>0.378348344835653</v>
      </c>
      <c r="N308" s="12"/>
      <c r="O308" s="7" t="n">
        <f aca="false">IF(N308&lt;&gt;"","",COUNTIFS($A$6:$A$338,A308,$N$6:$N$338,"",$M$6:$M$338,"&gt;"&amp;M308)+COUNTIFS($A$6:A308,A308,$N$6:N308,"",$M$6:M308,M308))</f>
        <v>8</v>
      </c>
      <c r="P308" s="12" t="str">
        <f aca="false">IF(O308="","Excluded",IF(O308&lt;=5,"Lead",IF(O308&lt;=10,"Next wave","Long list")))</f>
        <v>Next wave</v>
      </c>
      <c r="Q308" s="10" t="s">
        <v>80</v>
      </c>
      <c r="R308" s="30" t="s">
        <v>357</v>
      </c>
    </row>
    <row r="309" customFormat="false" ht="23.85" hidden="false" customHeight="false" outlineLevel="0" collapsed="false">
      <c r="A309" s="12" t="s">
        <v>33</v>
      </c>
      <c r="B309" s="12" t="s">
        <v>218</v>
      </c>
      <c r="C309" s="10" t="s">
        <v>219</v>
      </c>
      <c r="D309" s="26" t="n">
        <v>59.12</v>
      </c>
      <c r="E309" s="11" t="n">
        <v>163.6</v>
      </c>
      <c r="F309" s="10" t="s">
        <v>94</v>
      </c>
      <c r="G309" s="7" t="n">
        <v>3</v>
      </c>
      <c r="H309" s="12" t="s">
        <v>196</v>
      </c>
      <c r="I309" s="12" t="s">
        <v>78</v>
      </c>
      <c r="J309" s="10" t="s">
        <v>142</v>
      </c>
      <c r="K309" s="9" t="n">
        <f aca="false">IF(ISNUMBER(D309),COUNTIF($D$6:$D$338,"&lt;"&amp;D309)/(COUNT($D$6:$D$338)-1),"")</f>
        <v>0.660194174757282</v>
      </c>
      <c r="L309" s="9" t="n">
        <f aca="false">IF(ISNUMBER(E309),COUNTIF($E$6:$E$338,"&lt;"&amp;E309)/(COUNT($E$6:$E$338)-1),"")</f>
        <v>0.0512048192771084</v>
      </c>
      <c r="M309" s="9" t="n">
        <f aca="false">IF(AND(K309="",L309=""),"",(IF(ISNUMBER(K309),$C$3*K309,0)+IF(ISNUMBER(L309),$E$3*L309,0))/(IF(ISNUMBER(K309),$C$3,0)+IF(ISNUMBER(L309),$E$3,0)))</f>
        <v>0.355699497017195</v>
      </c>
      <c r="N309" s="12"/>
      <c r="O309" s="7" t="n">
        <f aca="false">IF(N309&lt;&gt;"","",COUNTIFS($A$6:$A$338,A309,$N$6:$N$338,"",$M$6:$M$338,"&gt;"&amp;M309)+COUNTIFS($A$6:A309,A309,$N$6:N309,"",$M$6:M309,M309))</f>
        <v>9</v>
      </c>
      <c r="P309" s="12" t="str">
        <f aca="false">IF(O309="","Excluded",IF(O309&lt;=5,"Lead",IF(O309&lt;=10,"Next wave","Long list")))</f>
        <v>Next wave</v>
      </c>
      <c r="Q309" s="10" t="s">
        <v>102</v>
      </c>
      <c r="R309" s="30" t="s">
        <v>616</v>
      </c>
    </row>
    <row r="310" customFormat="false" ht="23.85" hidden="false" customHeight="false" outlineLevel="0" collapsed="false">
      <c r="A310" s="12" t="s">
        <v>33</v>
      </c>
      <c r="B310" s="12" t="s">
        <v>220</v>
      </c>
      <c r="C310" s="10" t="s">
        <v>221</v>
      </c>
      <c r="D310" s="26" t="n">
        <v>8.98</v>
      </c>
      <c r="E310" s="11" t="n">
        <v>4492.8</v>
      </c>
      <c r="F310" s="10" t="s">
        <v>169</v>
      </c>
      <c r="G310" s="7" t="n">
        <v>2</v>
      </c>
      <c r="H310" s="12" t="s">
        <v>196</v>
      </c>
      <c r="I310" s="12" t="s">
        <v>84</v>
      </c>
      <c r="J310" s="10"/>
      <c r="K310" s="9" t="n">
        <f aca="false">IF(ISNUMBER(D310),COUNTIF($D$6:$D$338,"&lt;"&amp;D310)/(COUNT($D$6:$D$338)-1),"")</f>
        <v>0.177993527508091</v>
      </c>
      <c r="L310" s="9" t="n">
        <f aca="false">IF(ISNUMBER(E310),COUNTIF($E$6:$E$338,"&lt;"&amp;E310)/(COUNT($E$6:$E$338)-1),"")</f>
        <v>0.524096385542169</v>
      </c>
      <c r="M310" s="9" t="n">
        <f aca="false">IF(AND(K310="",L310=""),"",(IF(ISNUMBER(K310),$C$3*K310,0)+IF(ISNUMBER(L310),$E$3*L310,0))/(IF(ISNUMBER(K310),$C$3,0)+IF(ISNUMBER(L310),$E$3,0)))</f>
        <v>0.35104495652513</v>
      </c>
      <c r="N310" s="12"/>
      <c r="O310" s="7" t="n">
        <f aca="false">IF(N310&lt;&gt;"","",COUNTIFS($A$6:$A$338,A310,$N$6:$N$338,"",$M$6:$M$338,"&gt;"&amp;M310)+COUNTIFS($A$6:A310,A310,$N$6:N310,"",$M$6:M310,M310))</f>
        <v>10</v>
      </c>
      <c r="P310" s="12" t="str">
        <f aca="false">IF(O310="","Excluded",IF(O310&lt;=5,"Lead",IF(O310&lt;=10,"Next wave","Long list")))</f>
        <v>Next wave</v>
      </c>
      <c r="Q310" s="10" t="s">
        <v>102</v>
      </c>
      <c r="R310" s="30" t="s">
        <v>617</v>
      </c>
    </row>
    <row r="311" customFormat="false" ht="23.85" hidden="false" customHeight="false" outlineLevel="0" collapsed="false">
      <c r="A311" s="12" t="s">
        <v>33</v>
      </c>
      <c r="B311" s="12" t="s">
        <v>269</v>
      </c>
      <c r="C311" s="10" t="s">
        <v>270</v>
      </c>
      <c r="D311" s="26" t="n">
        <v>33.18</v>
      </c>
      <c r="E311" s="11" t="n">
        <v>71.4</v>
      </c>
      <c r="F311" s="10" t="s">
        <v>169</v>
      </c>
      <c r="G311" s="7" t="n">
        <v>2</v>
      </c>
      <c r="H311" s="12" t="s">
        <v>77</v>
      </c>
      <c r="I311" s="12" t="s">
        <v>78</v>
      </c>
      <c r="J311" s="10" t="s">
        <v>213</v>
      </c>
      <c r="K311" s="9" t="n">
        <f aca="false">IF(ISNUMBER(D311),COUNTIF($D$6:$D$338,"&lt;"&amp;D311)/(COUNT($D$6:$D$338)-1),"")</f>
        <v>0.540453074433657</v>
      </c>
      <c r="L311" s="9" t="n">
        <f aca="false">IF(ISNUMBER(E311),COUNTIF($E$6:$E$338,"&lt;"&amp;E311)/(COUNT($E$6:$E$338)-1),"")</f>
        <v>0.0210843373493976</v>
      </c>
      <c r="M311" s="9" t="n">
        <f aca="false">IF(AND(K311="",L311=""),"",(IF(ISNUMBER(K311),$C$3*K311,0)+IF(ISNUMBER(L311),$E$3*L311,0))/(IF(ISNUMBER(K311),$C$3,0)+IF(ISNUMBER(L311),$E$3,0)))</f>
        <v>0.280768705891527</v>
      </c>
      <c r="N311" s="12"/>
      <c r="O311" s="7" t="n">
        <f aca="false">IF(N311&lt;&gt;"","",COUNTIFS($A$6:$A$338,A311,$N$6:$N$338,"",$M$6:$M$338,"&gt;"&amp;M311)+COUNTIFS($A$6:A311,A311,$N$6:N311,"",$M$6:M311,M311))</f>
        <v>11</v>
      </c>
      <c r="P311" s="12" t="str">
        <f aca="false">IF(O311="","Excluded",IF(O311&lt;=5,"Lead",IF(O311&lt;=10,"Next wave","Long list")))</f>
        <v>Long list</v>
      </c>
      <c r="Q311" s="10" t="s">
        <v>80</v>
      </c>
      <c r="R311" s="30" t="s">
        <v>416</v>
      </c>
    </row>
    <row r="312" customFormat="false" ht="23.85" hidden="false" customHeight="false" outlineLevel="0" collapsed="false">
      <c r="A312" s="12" t="s">
        <v>33</v>
      </c>
      <c r="B312" s="12" t="s">
        <v>618</v>
      </c>
      <c r="C312" s="10" t="s">
        <v>438</v>
      </c>
      <c r="D312" s="26" t="n">
        <v>13.9</v>
      </c>
      <c r="E312" s="11" t="n">
        <v>1894.8</v>
      </c>
      <c r="F312" s="10" t="s">
        <v>94</v>
      </c>
      <c r="G312" s="7" t="n">
        <v>2</v>
      </c>
      <c r="H312" s="12" t="s">
        <v>196</v>
      </c>
      <c r="I312" s="12" t="s">
        <v>84</v>
      </c>
      <c r="J312" s="10"/>
      <c r="K312" s="9" t="n">
        <f aca="false">IF(ISNUMBER(D312),COUNTIF($D$6:$D$338,"&lt;"&amp;D312)/(COUNT($D$6:$D$338)-1),"")</f>
        <v>0.3042071197411</v>
      </c>
      <c r="L312" s="9" t="n">
        <f aca="false">IF(ISNUMBER(E312),COUNTIF($E$6:$E$338,"&lt;"&amp;E312)/(COUNT($E$6:$E$338)-1),"")</f>
        <v>0.256024096385542</v>
      </c>
      <c r="M312" s="9" t="n">
        <f aca="false">IF(AND(K312="",L312=""),"",(IF(ISNUMBER(K312),$C$3*K312,0)+IF(ISNUMBER(L312),$E$3*L312,0))/(IF(ISNUMBER(K312),$C$3,0)+IF(ISNUMBER(L312),$E$3,0)))</f>
        <v>0.280115608063321</v>
      </c>
      <c r="N312" s="12"/>
      <c r="O312" s="7" t="n">
        <f aca="false">IF(N312&lt;&gt;"","",COUNTIFS($A$6:$A$338,A312,$N$6:$N$338,"",$M$6:$M$338,"&gt;"&amp;M312)+COUNTIFS($A$6:A312,A312,$N$6:N312,"",$M$6:M312,M312))</f>
        <v>12</v>
      </c>
      <c r="P312" s="12" t="str">
        <f aca="false">IF(O312="","Excluded",IF(O312&lt;=5,"Lead",IF(O312&lt;=10,"Next wave","Long list")))</f>
        <v>Long list</v>
      </c>
      <c r="Q312" s="10" t="s">
        <v>102</v>
      </c>
      <c r="R312" s="30" t="s">
        <v>619</v>
      </c>
    </row>
    <row r="313" customFormat="false" ht="23.85" hidden="false" customHeight="false" outlineLevel="0" collapsed="false">
      <c r="A313" s="12" t="s">
        <v>33</v>
      </c>
      <c r="B313" s="12" t="s">
        <v>620</v>
      </c>
      <c r="C313" s="10" t="s">
        <v>621</v>
      </c>
      <c r="D313" s="26" t="n">
        <v>17.44</v>
      </c>
      <c r="E313" s="11" t="n">
        <v>1008.3</v>
      </c>
      <c r="F313" s="10" t="s">
        <v>169</v>
      </c>
      <c r="G313" s="7" t="n">
        <v>2</v>
      </c>
      <c r="H313" s="12" t="s">
        <v>196</v>
      </c>
      <c r="I313" s="12" t="s">
        <v>84</v>
      </c>
      <c r="J313" s="10"/>
      <c r="K313" s="9" t="n">
        <f aca="false">IF(ISNUMBER(D313),COUNTIF($D$6:$D$338,"&lt;"&amp;D313)/(COUNT($D$6:$D$338)-1),"")</f>
        <v>0.355987055016181</v>
      </c>
      <c r="L313" s="9" t="n">
        <f aca="false">IF(ISNUMBER(E313),COUNTIF($E$6:$E$338,"&lt;"&amp;E313)/(COUNT($E$6:$E$338)-1),"")</f>
        <v>0.147590361445783</v>
      </c>
      <c r="M313" s="9" t="n">
        <f aca="false">IF(AND(K313="",L313=""),"",(IF(ISNUMBER(K313),$C$3*K313,0)+IF(ISNUMBER(L313),$E$3*L313,0))/(IF(ISNUMBER(K313),$C$3,0)+IF(ISNUMBER(L313),$E$3,0)))</f>
        <v>0.251788708230982</v>
      </c>
      <c r="N313" s="12"/>
      <c r="O313" s="7" t="n">
        <f aca="false">IF(N313&lt;&gt;"","",COUNTIFS($A$6:$A$338,A313,$N$6:$N$338,"",$M$6:$M$338,"&gt;"&amp;M313)+COUNTIFS($A$6:A313,A313,$N$6:N313,"",$M$6:M313,M313))</f>
        <v>13</v>
      </c>
      <c r="P313" s="12" t="str">
        <f aca="false">IF(O313="","Excluded",IF(O313&lt;=5,"Lead",IF(O313&lt;=10,"Next wave","Long list")))</f>
        <v>Long list</v>
      </c>
      <c r="Q313" s="10" t="s">
        <v>102</v>
      </c>
      <c r="R313" s="30" t="s">
        <v>622</v>
      </c>
    </row>
    <row r="314" customFormat="false" ht="23.85" hidden="false" customHeight="false" outlineLevel="0" collapsed="false">
      <c r="A314" s="12" t="s">
        <v>33</v>
      </c>
      <c r="B314" s="12" t="s">
        <v>623</v>
      </c>
      <c r="C314" s="10" t="s">
        <v>624</v>
      </c>
      <c r="D314" s="26" t="n">
        <v>29.63</v>
      </c>
      <c r="E314" s="11" t="n">
        <v>19</v>
      </c>
      <c r="F314" s="10" t="s">
        <v>169</v>
      </c>
      <c r="G314" s="7" t="n">
        <v>2</v>
      </c>
      <c r="H314" s="12" t="s">
        <v>196</v>
      </c>
      <c r="I314" s="12" t="s">
        <v>84</v>
      </c>
      <c r="J314" s="10"/>
      <c r="K314" s="9" t="n">
        <f aca="false">IF(ISNUMBER(D314),COUNTIF($D$6:$D$338,"&lt;"&amp;D314)/(COUNT($D$6:$D$338)-1),"")</f>
        <v>0.491909385113269</v>
      </c>
      <c r="L314" s="9" t="n">
        <f aca="false">IF(ISNUMBER(E314),COUNTIF($E$6:$E$338,"&lt;"&amp;E314)/(COUNT($E$6:$E$338)-1),"")</f>
        <v>0.00903614457831325</v>
      </c>
      <c r="M314" s="9" t="n">
        <f aca="false">IF(AND(K314="",L314=""),"",(IF(ISNUMBER(K314),$C$3*K314,0)+IF(ISNUMBER(L314),$E$3*L314,0))/(IF(ISNUMBER(K314),$C$3,0)+IF(ISNUMBER(L314),$E$3,0)))</f>
        <v>0.250472764845791</v>
      </c>
      <c r="N314" s="12"/>
      <c r="O314" s="7" t="n">
        <f aca="false">IF(N314&lt;&gt;"","",COUNTIFS($A$6:$A$338,A314,$N$6:$N$338,"",$M$6:$M$338,"&gt;"&amp;M314)+COUNTIFS($A$6:A314,A314,$N$6:N314,"",$M$6:M314,M314))</f>
        <v>14</v>
      </c>
      <c r="P314" s="12" t="str">
        <f aca="false">IF(O314="","Excluded",IF(O314&lt;=5,"Lead",IF(O314&lt;=10,"Next wave","Long list")))</f>
        <v>Long list</v>
      </c>
      <c r="Q314" s="10" t="s">
        <v>102</v>
      </c>
      <c r="R314" s="30" t="s">
        <v>625</v>
      </c>
    </row>
    <row r="315" customFormat="false" ht="23.85" hidden="false" customHeight="false" outlineLevel="0" collapsed="false">
      <c r="A315" s="12" t="s">
        <v>33</v>
      </c>
      <c r="B315" s="12" t="s">
        <v>626</v>
      </c>
      <c r="C315" s="10" t="s">
        <v>627</v>
      </c>
      <c r="D315" s="26" t="n">
        <v>6.79</v>
      </c>
      <c r="E315" s="11" t="n">
        <v>2850.6</v>
      </c>
      <c r="F315" s="10" t="s">
        <v>169</v>
      </c>
      <c r="G315" s="7" t="n">
        <v>2</v>
      </c>
      <c r="H315" s="12" t="s">
        <v>77</v>
      </c>
      <c r="I315" s="12" t="s">
        <v>84</v>
      </c>
      <c r="J315" s="10"/>
      <c r="K315" s="9" t="n">
        <f aca="false">IF(ISNUMBER(D315),COUNTIF($D$6:$D$338,"&lt;"&amp;D315)/(COUNT($D$6:$D$338)-1),"")</f>
        <v>0.103559870550162</v>
      </c>
      <c r="L315" s="9" t="n">
        <f aca="false">IF(ISNUMBER(E315),COUNTIF($E$6:$E$338,"&lt;"&amp;E315)/(COUNT($E$6:$E$338)-1),"")</f>
        <v>0.370481927710843</v>
      </c>
      <c r="M315" s="9" t="n">
        <f aca="false">IF(AND(K315="",L315=""),"",(IF(ISNUMBER(K315),$C$3*K315,0)+IF(ISNUMBER(L315),$E$3*L315,0))/(IF(ISNUMBER(K315),$C$3,0)+IF(ISNUMBER(L315),$E$3,0)))</f>
        <v>0.237020899130503</v>
      </c>
      <c r="N315" s="12"/>
      <c r="O315" s="7" t="n">
        <f aca="false">IF(N315&lt;&gt;"","",COUNTIFS($A$6:$A$338,A315,$N$6:$N$338,"",$M$6:$M$338,"&gt;"&amp;M315)+COUNTIFS($A$6:A315,A315,$N$6:N315,"",$M$6:M315,M315))</f>
        <v>15</v>
      </c>
      <c r="P315" s="12" t="str">
        <f aca="false">IF(O315="","Excluded",IF(O315&lt;=5,"Lead",IF(O315&lt;=10,"Next wave","Long list")))</f>
        <v>Long list</v>
      </c>
      <c r="Q315" s="10" t="s">
        <v>102</v>
      </c>
      <c r="R315" s="30" t="s">
        <v>628</v>
      </c>
    </row>
    <row r="316" customFormat="false" ht="15" hidden="false" customHeight="false" outlineLevel="0" collapsed="false">
      <c r="A316" s="12" t="s">
        <v>33</v>
      </c>
      <c r="B316" s="12" t="s">
        <v>250</v>
      </c>
      <c r="C316" s="10" t="s">
        <v>251</v>
      </c>
      <c r="D316" s="26" t="n">
        <v>6.45</v>
      </c>
      <c r="E316" s="11" t="n">
        <v>2557.1</v>
      </c>
      <c r="F316" s="10" t="s">
        <v>169</v>
      </c>
      <c r="G316" s="7" t="n">
        <v>2</v>
      </c>
      <c r="H316" s="12" t="s">
        <v>196</v>
      </c>
      <c r="I316" s="12" t="s">
        <v>84</v>
      </c>
      <c r="J316" s="10"/>
      <c r="K316" s="9" t="n">
        <f aca="false">IF(ISNUMBER(D316),COUNTIF($D$6:$D$338,"&lt;"&amp;D316)/(COUNT($D$6:$D$338)-1),"")</f>
        <v>0.0841423948220065</v>
      </c>
      <c r="L316" s="9" t="n">
        <f aca="false">IF(ISNUMBER(E316),COUNTIF($E$6:$E$338,"&lt;"&amp;E316)/(COUNT($E$6:$E$338)-1),"")</f>
        <v>0.325301204819277</v>
      </c>
      <c r="M316" s="9" t="n">
        <f aca="false">IF(AND(K316="",L316=""),"",(IF(ISNUMBER(K316),$C$3*K316,0)+IF(ISNUMBER(L316),$E$3*L316,0))/(IF(ISNUMBER(K316),$C$3,0)+IF(ISNUMBER(L316),$E$3,0)))</f>
        <v>0.204721799820642</v>
      </c>
      <c r="N316" s="12"/>
      <c r="O316" s="7" t="n">
        <f aca="false">IF(N316&lt;&gt;"","",COUNTIFS($A$6:$A$338,A316,$N$6:$N$338,"",$M$6:$M$338,"&gt;"&amp;M316)+COUNTIFS($A$6:A316,A316,$N$6:N316,"",$M$6:M316,M316))</f>
        <v>16</v>
      </c>
      <c r="P316" s="12" t="str">
        <f aca="false">IF(O316="","Excluded",IF(O316&lt;=5,"Lead",IF(O316&lt;=10,"Next wave","Long list")))</f>
        <v>Long list</v>
      </c>
      <c r="Q316" s="10" t="s">
        <v>102</v>
      </c>
      <c r="R316" s="30" t="s">
        <v>592</v>
      </c>
    </row>
    <row r="317" customFormat="false" ht="23.85" hidden="false" customHeight="false" outlineLevel="0" collapsed="false">
      <c r="A317" s="12" t="s">
        <v>33</v>
      </c>
      <c r="B317" s="12" t="s">
        <v>412</v>
      </c>
      <c r="C317" s="10" t="s">
        <v>282</v>
      </c>
      <c r="D317" s="26" t="n">
        <v>10.93</v>
      </c>
      <c r="E317" s="11" t="n">
        <v>260.9</v>
      </c>
      <c r="F317" s="10" t="s">
        <v>147</v>
      </c>
      <c r="G317" s="7" t="n">
        <v>1</v>
      </c>
      <c r="H317" s="12" t="s">
        <v>77</v>
      </c>
      <c r="I317" s="12" t="s">
        <v>78</v>
      </c>
      <c r="J317" s="10" t="s">
        <v>142</v>
      </c>
      <c r="K317" s="9" t="n">
        <f aca="false">IF(ISNUMBER(D317),COUNTIF($D$6:$D$338,"&lt;"&amp;D317)/(COUNT($D$6:$D$338)-1),"")</f>
        <v>0.249190938511327</v>
      </c>
      <c r="L317" s="9" t="n">
        <f aca="false">IF(ISNUMBER(E317),COUNTIF($E$6:$E$338,"&lt;"&amp;E317)/(COUNT($E$6:$E$338)-1),"")</f>
        <v>0.0692771084337349</v>
      </c>
      <c r="M317" s="9" t="n">
        <f aca="false">IF(AND(K317="",L317=""),"",(IF(ISNUMBER(K317),$C$3*K317,0)+IF(ISNUMBER(L317),$E$3*L317,0))/(IF(ISNUMBER(K317),$C$3,0)+IF(ISNUMBER(L317),$E$3,0)))</f>
        <v>0.159234023472531</v>
      </c>
      <c r="N317" s="12"/>
      <c r="O317" s="7" t="n">
        <f aca="false">IF(N317&lt;&gt;"","",COUNTIFS($A$6:$A$338,A317,$N$6:$N$338,"",$M$6:$M$338,"&gt;"&amp;M317)+COUNTIFS($A$6:A317,A317,$N$6:N317,"",$M$6:M317,M317))</f>
        <v>17</v>
      </c>
      <c r="P317" s="12" t="str">
        <f aca="false">IF(O317="","Excluded",IF(O317&lt;=5,"Lead",IF(O317&lt;=10,"Next wave","Long list")))</f>
        <v>Long list</v>
      </c>
      <c r="Q317" s="10" t="s">
        <v>102</v>
      </c>
      <c r="R317" s="30" t="s">
        <v>413</v>
      </c>
    </row>
    <row r="318" customFormat="false" ht="23.85" hidden="false" customHeight="false" outlineLevel="0" collapsed="false">
      <c r="A318" s="12" t="s">
        <v>33</v>
      </c>
      <c r="B318" s="12" t="s">
        <v>629</v>
      </c>
      <c r="C318" s="10" t="s">
        <v>630</v>
      </c>
      <c r="D318" s="26" t="n">
        <v>6.4</v>
      </c>
      <c r="E318" s="11" t="n">
        <v>1765.1</v>
      </c>
      <c r="F318" s="10" t="s">
        <v>169</v>
      </c>
      <c r="G318" s="7" t="n">
        <v>2</v>
      </c>
      <c r="H318" s="12" t="s">
        <v>196</v>
      </c>
      <c r="I318" s="12" t="s">
        <v>84</v>
      </c>
      <c r="J318" s="10"/>
      <c r="K318" s="9" t="n">
        <f aca="false">IF(ISNUMBER(D318),COUNTIF($D$6:$D$338,"&lt;"&amp;D318)/(COUNT($D$6:$D$338)-1),"")</f>
        <v>0.0744336569579288</v>
      </c>
      <c r="L318" s="9" t="n">
        <f aca="false">IF(ISNUMBER(E318),COUNTIF($E$6:$E$338,"&lt;"&amp;E318)/(COUNT($E$6:$E$338)-1),"")</f>
        <v>0.225903614457831</v>
      </c>
      <c r="M318" s="9" t="n">
        <f aca="false">IF(AND(K318="",L318=""),"",(IF(ISNUMBER(K318),$C$3*K318,0)+IF(ISNUMBER(L318),$E$3*L318,0))/(IF(ISNUMBER(K318),$C$3,0)+IF(ISNUMBER(L318),$E$3,0)))</f>
        <v>0.15016863570788</v>
      </c>
      <c r="N318" s="12"/>
      <c r="O318" s="7" t="n">
        <f aca="false">IF(N318&lt;&gt;"","",COUNTIFS($A$6:$A$338,A318,$N$6:$N$338,"",$M$6:$M$338,"&gt;"&amp;M318)+COUNTIFS($A$6:A318,A318,$N$6:N318,"",$M$6:M318,M318))</f>
        <v>18</v>
      </c>
      <c r="P318" s="12" t="str">
        <f aca="false">IF(O318="","Excluded",IF(O318&lt;=5,"Lead",IF(O318&lt;=10,"Next wave","Long list")))</f>
        <v>Long list</v>
      </c>
      <c r="Q318" s="10" t="s">
        <v>102</v>
      </c>
      <c r="R318" s="30" t="s">
        <v>631</v>
      </c>
    </row>
    <row r="319" customFormat="false" ht="23.85" hidden="false" customHeight="false" outlineLevel="0" collapsed="false">
      <c r="A319" s="12" t="s">
        <v>33</v>
      </c>
      <c r="B319" s="12" t="s">
        <v>632</v>
      </c>
      <c r="C319" s="10" t="s">
        <v>633</v>
      </c>
      <c r="D319" s="26" t="n">
        <v>6.74</v>
      </c>
      <c r="E319" s="11" t="n">
        <v>154.9</v>
      </c>
      <c r="F319" s="10" t="s">
        <v>169</v>
      </c>
      <c r="G319" s="7" t="n">
        <v>2</v>
      </c>
      <c r="H319" s="12" t="s">
        <v>196</v>
      </c>
      <c r="I319" s="12" t="s">
        <v>84</v>
      </c>
      <c r="J319" s="10"/>
      <c r="K319" s="9" t="n">
        <f aca="false">IF(ISNUMBER(D319),COUNTIF($D$6:$D$338,"&lt;"&amp;D319)/(COUNT($D$6:$D$338)-1),"")</f>
        <v>0.100323624595469</v>
      </c>
      <c r="L319" s="9" t="n">
        <f aca="false">IF(ISNUMBER(E319),COUNTIF($E$6:$E$338,"&lt;"&amp;E319)/(COUNT($E$6:$E$338)-1),"")</f>
        <v>0.0481927710843374</v>
      </c>
      <c r="M319" s="9" t="n">
        <f aca="false">IF(AND(K319="",L319=""),"",(IF(ISNUMBER(K319),$C$3*K319,0)+IF(ISNUMBER(L319),$E$3*L319,0))/(IF(ISNUMBER(K319),$C$3,0)+IF(ISNUMBER(L319),$E$3,0)))</f>
        <v>0.0742581978399033</v>
      </c>
      <c r="N319" s="12"/>
      <c r="O319" s="7" t="n">
        <f aca="false">IF(N319&lt;&gt;"","",COUNTIFS($A$6:$A$338,A319,$N$6:$N$338,"",$M$6:$M$338,"&gt;"&amp;M319)+COUNTIFS($A$6:A319,A319,$N$6:N319,"",$M$6:M319,M319))</f>
        <v>19</v>
      </c>
      <c r="P319" s="12" t="str">
        <f aca="false">IF(O319="","Excluded",IF(O319&lt;=5,"Lead",IF(O319&lt;=10,"Next wave","Long list")))</f>
        <v>Long list</v>
      </c>
      <c r="Q319" s="10" t="s">
        <v>102</v>
      </c>
      <c r="R319" s="30" t="s">
        <v>634</v>
      </c>
    </row>
    <row r="320" customFormat="false" ht="23.85" hidden="false" customHeight="false" outlineLevel="0" collapsed="false">
      <c r="A320" s="12" t="s">
        <v>33</v>
      </c>
      <c r="B320" s="12" t="s">
        <v>136</v>
      </c>
      <c r="C320" s="10" t="s">
        <v>137</v>
      </c>
      <c r="D320" s="26"/>
      <c r="E320" s="11" t="n">
        <v>8433.6</v>
      </c>
      <c r="F320" s="10" t="s">
        <v>302</v>
      </c>
      <c r="G320" s="7" t="n">
        <v>1</v>
      </c>
      <c r="H320" s="12" t="s">
        <v>77</v>
      </c>
      <c r="I320" s="12" t="s">
        <v>84</v>
      </c>
      <c r="J320" s="10"/>
      <c r="K320" s="9" t="str">
        <f aca="false">IF(ISNUMBER(D320),COUNTIF($D$6:$D$338,"&lt;"&amp;D320)/(COUNT($D$6:$D$338)-1),"")</f>
        <v/>
      </c>
      <c r="L320" s="9" t="n">
        <f aca="false">IF(ISNUMBER(E320),COUNTIF($E$6:$E$338,"&lt;"&amp;E320)/(COUNT($E$6:$E$338)-1),"")</f>
        <v>0.674698795180723</v>
      </c>
      <c r="M320" s="9" t="n">
        <f aca="false">IF(AND(K320="",L320=""),"",(IF(ISNUMBER(K320),$C$3*K320,0)+IF(ISNUMBER(L320),$E$3*L320,0))/(IF(ISNUMBER(K320),$C$3,0)+IF(ISNUMBER(L320),$E$3,0)))</f>
        <v>0.674698795180723</v>
      </c>
      <c r="N320" s="12" t="s">
        <v>303</v>
      </c>
      <c r="O320" s="7" t="str">
        <f aca="false">IF(N320&lt;&gt;"","",COUNTIFS($A$6:$A$338,A320,$N$6:$N$338,"",$M$6:$M$338,"&gt;"&amp;M320)+COUNTIFS($A$6:A320,A320,$N$6:N320,"",$M$6:M320,M320))</f>
        <v/>
      </c>
      <c r="P320" s="12" t="str">
        <f aca="false">IF(O320="","Excluded",IF(O320&lt;=5,"Lead",IF(O320&lt;=10,"Next wave","Long list")))</f>
        <v>Excluded</v>
      </c>
      <c r="Q320" s="10" t="s">
        <v>102</v>
      </c>
      <c r="R320" s="30" t="s">
        <v>469</v>
      </c>
    </row>
    <row r="321" customFormat="false" ht="35.05" hidden="false" customHeight="false" outlineLevel="0" collapsed="false">
      <c r="A321" s="12" t="s">
        <v>37</v>
      </c>
      <c r="B321" s="12" t="s">
        <v>87</v>
      </c>
      <c r="C321" s="10" t="s">
        <v>88</v>
      </c>
      <c r="D321" s="26" t="n">
        <v>618.92</v>
      </c>
      <c r="E321" s="11" t="n">
        <v>28093.4</v>
      </c>
      <c r="F321" s="10" t="s">
        <v>231</v>
      </c>
      <c r="G321" s="7" t="n">
        <v>6</v>
      </c>
      <c r="H321" s="12" t="s">
        <v>77</v>
      </c>
      <c r="I321" s="12" t="s">
        <v>84</v>
      </c>
      <c r="J321" s="10" t="s">
        <v>91</v>
      </c>
      <c r="K321" s="9" t="n">
        <f aca="false">IF(ISNUMBER(D321),COUNTIF($D$6:$D$338,"&lt;"&amp;D321)/(COUNT($D$6:$D$338)-1),"")</f>
        <v>0.957928802588997</v>
      </c>
      <c r="L321" s="9" t="n">
        <f aca="false">IF(ISNUMBER(E321),COUNTIF($E$6:$E$338,"&lt;"&amp;E321)/(COUNT($E$6:$E$338)-1),"")</f>
        <v>0.792168674698795</v>
      </c>
      <c r="M321" s="9" t="n">
        <f aca="false">IF(AND(K321="",L321=""),"",(IF(ISNUMBER(K321),$C$3*K321,0)+IF(ISNUMBER(L321),$E$3*L321,0))/(IF(ISNUMBER(K321),$C$3,0)+IF(ISNUMBER(L321),$E$3,0)))</f>
        <v>0.875048738643896</v>
      </c>
      <c r="N321" s="12"/>
      <c r="O321" s="7" t="n">
        <f aca="false">IF(N321&lt;&gt;"","",COUNTIFS($A$6:$A$338,A321,$N$6:$N$338,"",$M$6:$M$338,"&gt;"&amp;M321)+COUNTIFS($A$6:A321,A321,$N$6:N321,"",$M$6:M321,M321))</f>
        <v>1</v>
      </c>
      <c r="P321" s="12" t="str">
        <f aca="false">IF(O321="","Excluded",IF(O321&lt;=5,"Lead",IF(O321&lt;=10,"Next wave","Long list")))</f>
        <v>Lead</v>
      </c>
      <c r="Q321" s="10" t="s">
        <v>80</v>
      </c>
      <c r="R321" s="30" t="s">
        <v>311</v>
      </c>
    </row>
    <row r="322" customFormat="false" ht="23.85" hidden="false" customHeight="false" outlineLevel="0" collapsed="false">
      <c r="A322" s="12" t="s">
        <v>37</v>
      </c>
      <c r="B322" s="12" t="s">
        <v>116</v>
      </c>
      <c r="C322" s="10" t="s">
        <v>117</v>
      </c>
      <c r="D322" s="26" t="n">
        <v>35.03</v>
      </c>
      <c r="E322" s="11" t="n">
        <v>32830.2</v>
      </c>
      <c r="F322" s="10" t="s">
        <v>147</v>
      </c>
      <c r="G322" s="7" t="n">
        <v>1</v>
      </c>
      <c r="H322" s="12" t="s">
        <v>77</v>
      </c>
      <c r="I322" s="12" t="s">
        <v>84</v>
      </c>
      <c r="J322" s="10" t="s">
        <v>119</v>
      </c>
      <c r="K322" s="9" t="n">
        <f aca="false">IF(ISNUMBER(D322),COUNTIF($D$6:$D$338,"&lt;"&amp;D322)/(COUNT($D$6:$D$338)-1),"")</f>
        <v>0.550161812297735</v>
      </c>
      <c r="L322" s="9" t="n">
        <f aca="false">IF(ISNUMBER(E322),COUNTIF($E$6:$E$338,"&lt;"&amp;E322)/(COUNT($E$6:$E$338)-1),"")</f>
        <v>0.825301204819277</v>
      </c>
      <c r="M322" s="9" t="n">
        <f aca="false">IF(AND(K322="",L322=""),"",(IF(ISNUMBER(K322),$C$3*K322,0)+IF(ISNUMBER(L322),$E$3*L322,0))/(IF(ISNUMBER(K322),$C$3,0)+IF(ISNUMBER(L322),$E$3,0)))</f>
        <v>0.687731508558506</v>
      </c>
      <c r="N322" s="12"/>
      <c r="O322" s="7" t="n">
        <f aca="false">IF(N322&lt;&gt;"","",COUNTIFS($A$6:$A$338,A322,$N$6:$N$338,"",$M$6:$M$338,"&gt;"&amp;M322)+COUNTIFS($A$6:A322,A322,$N$6:N322,"",$M$6:M322,M322))</f>
        <v>2</v>
      </c>
      <c r="P322" s="12" t="str">
        <f aca="false">IF(O322="","Excluded",IF(O322&lt;=5,"Lead",IF(O322&lt;=10,"Next wave","Long list")))</f>
        <v>Lead</v>
      </c>
      <c r="Q322" s="10" t="s">
        <v>80</v>
      </c>
      <c r="R322" s="30" t="s">
        <v>426</v>
      </c>
    </row>
    <row r="323" customFormat="false" ht="23.85" hidden="false" customHeight="false" outlineLevel="0" collapsed="false">
      <c r="A323" s="12" t="s">
        <v>37</v>
      </c>
      <c r="B323" s="12" t="s">
        <v>112</v>
      </c>
      <c r="C323" s="10" t="s">
        <v>113</v>
      </c>
      <c r="D323" s="26" t="n">
        <v>29.97</v>
      </c>
      <c r="E323" s="11" t="n">
        <v>11366.1</v>
      </c>
      <c r="F323" s="10" t="s">
        <v>147</v>
      </c>
      <c r="G323" s="7" t="n">
        <v>1</v>
      </c>
      <c r="H323" s="12" t="s">
        <v>83</v>
      </c>
      <c r="I323" s="12" t="s">
        <v>84</v>
      </c>
      <c r="J323" s="10" t="s">
        <v>115</v>
      </c>
      <c r="K323" s="9" t="n">
        <f aca="false">IF(ISNUMBER(D323),COUNTIF($D$6:$D$338,"&lt;"&amp;D323)/(COUNT($D$6:$D$338)-1),"")</f>
        <v>0.495145631067961</v>
      </c>
      <c r="L323" s="9" t="n">
        <f aca="false">IF(ISNUMBER(E323),COUNTIF($E$6:$E$338,"&lt;"&amp;E323)/(COUNT($E$6:$E$338)-1),"")</f>
        <v>0.686746987951807</v>
      </c>
      <c r="M323" s="9" t="n">
        <f aca="false">IF(AND(K323="",L323=""),"",(IF(ISNUMBER(K323),$C$3*K323,0)+IF(ISNUMBER(L323),$E$3*L323,0))/(IF(ISNUMBER(K323),$C$3,0)+IF(ISNUMBER(L323),$E$3,0)))</f>
        <v>0.590946309509884</v>
      </c>
      <c r="N323" s="12"/>
      <c r="O323" s="7" t="n">
        <f aca="false">IF(N323&lt;&gt;"","",COUNTIFS($A$6:$A$338,A323,$N$6:$N$338,"",$M$6:$M$338,"&gt;"&amp;M323)+COUNTIFS($A$6:A323,A323,$N$6:N323,"",$M$6:M323,M323))</f>
        <v>3</v>
      </c>
      <c r="P323" s="12" t="str">
        <f aca="false">IF(O323="","Excluded",IF(O323&lt;=5,"Lead",IF(O323&lt;=10,"Next wave","Long list")))</f>
        <v>Lead</v>
      </c>
      <c r="Q323" s="10" t="s">
        <v>86</v>
      </c>
      <c r="R323" s="30" t="s">
        <v>299</v>
      </c>
    </row>
    <row r="324" customFormat="false" ht="23.85" hidden="false" customHeight="false" outlineLevel="0" collapsed="false">
      <c r="A324" s="12" t="s">
        <v>37</v>
      </c>
      <c r="B324" s="12" t="s">
        <v>205</v>
      </c>
      <c r="C324" s="10" t="s">
        <v>206</v>
      </c>
      <c r="D324" s="26" t="n">
        <v>7.82</v>
      </c>
      <c r="E324" s="11" t="n">
        <v>93119.2</v>
      </c>
      <c r="F324" s="10" t="s">
        <v>232</v>
      </c>
      <c r="G324" s="7" t="n">
        <v>1</v>
      </c>
      <c r="H324" s="12" t="s">
        <v>196</v>
      </c>
      <c r="I324" s="12" t="s">
        <v>84</v>
      </c>
      <c r="J324" s="10" t="s">
        <v>175</v>
      </c>
      <c r="K324" s="9" t="n">
        <f aca="false">IF(ISNUMBER(D324),COUNTIF($D$6:$D$338,"&lt;"&amp;D324)/(COUNT($D$6:$D$338)-1),"")</f>
        <v>0.155339805825243</v>
      </c>
      <c r="L324" s="9" t="n">
        <f aca="false">IF(ISNUMBER(E324),COUNTIF($E$6:$E$338,"&lt;"&amp;E324)/(COUNT($E$6:$E$338)-1),"")</f>
        <v>0.981927710843374</v>
      </c>
      <c r="M324" s="9" t="n">
        <f aca="false">IF(AND(K324="",L324=""),"",(IF(ISNUMBER(K324),$C$3*K324,0)+IF(ISNUMBER(L324),$E$3*L324,0))/(IF(ISNUMBER(K324),$C$3,0)+IF(ISNUMBER(L324),$E$3,0)))</f>
        <v>0.568633758334308</v>
      </c>
      <c r="N324" s="12"/>
      <c r="O324" s="7" t="n">
        <f aca="false">IF(N324&lt;&gt;"","",COUNTIFS($A$6:$A$338,A324,$N$6:$N$338,"",$M$6:$M$338,"&gt;"&amp;M324)+COUNTIFS($A$6:A324,A324,$N$6:N324,"",$M$6:M324,M324))</f>
        <v>4</v>
      </c>
      <c r="P324" s="12" t="str">
        <f aca="false">IF(O324="","Excluded",IF(O324&lt;=5,"Lead",IF(O324&lt;=10,"Next wave","Long list")))</f>
        <v>Lead</v>
      </c>
      <c r="Q324" s="10" t="s">
        <v>80</v>
      </c>
      <c r="R324" s="30" t="s">
        <v>344</v>
      </c>
    </row>
    <row r="325" customFormat="false" ht="23.85" hidden="false" customHeight="false" outlineLevel="0" collapsed="false">
      <c r="A325" s="12" t="s">
        <v>37</v>
      </c>
      <c r="B325" s="12" t="s">
        <v>233</v>
      </c>
      <c r="C325" s="10" t="s">
        <v>234</v>
      </c>
      <c r="D325" s="26" t="n">
        <v>5289.94</v>
      </c>
      <c r="E325" s="11" t="n">
        <v>147.2</v>
      </c>
      <c r="F325" s="10" t="s">
        <v>147</v>
      </c>
      <c r="G325" s="7" t="n">
        <v>1</v>
      </c>
      <c r="H325" s="12" t="s">
        <v>95</v>
      </c>
      <c r="I325" s="12" t="s">
        <v>95</v>
      </c>
      <c r="J325" s="10"/>
      <c r="K325" s="9" t="n">
        <f aca="false">IF(ISNUMBER(D325),COUNTIF($D$6:$D$338,"&lt;"&amp;D325)/(COUNT($D$6:$D$338)-1),"")</f>
        <v>0.990291262135922</v>
      </c>
      <c r="L325" s="9" t="n">
        <f aca="false">IF(ISNUMBER(E325),COUNTIF($E$6:$E$338,"&lt;"&amp;E325)/(COUNT($E$6:$E$338)-1),"")</f>
        <v>0.0451807228915663</v>
      </c>
      <c r="M325" s="9" t="n">
        <f aca="false">IF(AND(K325="",L325=""),"",(IF(ISNUMBER(K325),$C$3*K325,0)+IF(ISNUMBER(L325),$E$3*L325,0))/(IF(ISNUMBER(K325),$C$3,0)+IF(ISNUMBER(L325),$E$3,0)))</f>
        <v>0.517735992513744</v>
      </c>
      <c r="N325" s="12"/>
      <c r="O325" s="7" t="n">
        <f aca="false">IF(N325&lt;&gt;"","",COUNTIFS($A$6:$A$338,A325,$N$6:$N$338,"",$M$6:$M$338,"&gt;"&amp;M325)+COUNTIFS($A$6:A325,A325,$N$6:N325,"",$M$6:M325,M325))</f>
        <v>5</v>
      </c>
      <c r="P325" s="12" t="str">
        <f aca="false">IF(O325="","Excluded",IF(O325&lt;=5,"Lead",IF(O325&lt;=10,"Next wave","Long list")))</f>
        <v>Lead</v>
      </c>
      <c r="Q325" s="10" t="s">
        <v>97</v>
      </c>
      <c r="R325" s="30" t="s">
        <v>635</v>
      </c>
    </row>
    <row r="326" customFormat="false" ht="23.85" hidden="false" customHeight="false" outlineLevel="0" collapsed="false">
      <c r="A326" s="12" t="s">
        <v>37</v>
      </c>
      <c r="B326" s="12" t="s">
        <v>201</v>
      </c>
      <c r="C326" s="10" t="s">
        <v>202</v>
      </c>
      <c r="D326" s="26" t="n">
        <v>23.15</v>
      </c>
      <c r="E326" s="11" t="n">
        <v>4790.5</v>
      </c>
      <c r="F326" s="10" t="s">
        <v>147</v>
      </c>
      <c r="G326" s="7" t="n">
        <v>1</v>
      </c>
      <c r="H326" s="12" t="s">
        <v>77</v>
      </c>
      <c r="I326" s="12" t="s">
        <v>84</v>
      </c>
      <c r="J326" s="10" t="s">
        <v>163</v>
      </c>
      <c r="K326" s="9" t="n">
        <f aca="false">IF(ISNUMBER(D326),COUNTIF($D$6:$D$338,"&lt;"&amp;D326)/(COUNT($D$6:$D$338)-1),"")</f>
        <v>0.43042071197411</v>
      </c>
      <c r="L326" s="9" t="n">
        <f aca="false">IF(ISNUMBER(E326),COUNTIF($E$6:$E$338,"&lt;"&amp;E326)/(COUNT($E$6:$E$338)-1),"")</f>
        <v>0.533132530120482</v>
      </c>
      <c r="M326" s="9" t="n">
        <f aca="false">IF(AND(K326="",L326=""),"",(IF(ISNUMBER(K326),$C$3*K326,0)+IF(ISNUMBER(L326),$E$3*L326,0))/(IF(ISNUMBER(K326),$C$3,0)+IF(ISNUMBER(L326),$E$3,0)))</f>
        <v>0.481776621047296</v>
      </c>
      <c r="N326" s="12"/>
      <c r="O326" s="7" t="n">
        <f aca="false">IF(N326&lt;&gt;"","",COUNTIFS($A$6:$A$338,A326,$N$6:$N$338,"",$M$6:$M$338,"&gt;"&amp;M326)+COUNTIFS($A$6:A326,A326,$N$6:N326,"",$M$6:M326,M326))</f>
        <v>6</v>
      </c>
      <c r="P326" s="12" t="str">
        <f aca="false">IF(O326="","Excluded",IF(O326&lt;=5,"Lead",IF(O326&lt;=10,"Next wave","Long list")))</f>
        <v>Next wave</v>
      </c>
      <c r="Q326" s="10" t="s">
        <v>80</v>
      </c>
      <c r="R326" s="30" t="s">
        <v>428</v>
      </c>
    </row>
    <row r="327" customFormat="false" ht="23.85" hidden="false" customHeight="false" outlineLevel="0" collapsed="false">
      <c r="A327" s="12" t="s">
        <v>37</v>
      </c>
      <c r="B327" s="12" t="s">
        <v>235</v>
      </c>
      <c r="C327" s="10" t="s">
        <v>236</v>
      </c>
      <c r="D327" s="26" t="n">
        <v>179.58</v>
      </c>
      <c r="E327" s="11" t="n">
        <v>214.1</v>
      </c>
      <c r="F327" s="10" t="s">
        <v>147</v>
      </c>
      <c r="G327" s="7" t="n">
        <v>1</v>
      </c>
      <c r="H327" s="12" t="s">
        <v>95</v>
      </c>
      <c r="I327" s="12" t="s">
        <v>95</v>
      </c>
      <c r="J327" s="10"/>
      <c r="K327" s="9" t="n">
        <f aca="false">IF(ISNUMBER(D327),COUNTIF($D$6:$D$338,"&lt;"&amp;D327)/(COUNT($D$6:$D$338)-1),"")</f>
        <v>0.841423948220065</v>
      </c>
      <c r="L327" s="9" t="n">
        <f aca="false">IF(ISNUMBER(E327),COUNTIF($E$6:$E$338,"&lt;"&amp;E327)/(COUNT($E$6:$E$338)-1),"")</f>
        <v>0.0662650602409639</v>
      </c>
      <c r="M327" s="9" t="n">
        <f aca="false">IF(AND(K327="",L327=""),"",(IF(ISNUMBER(K327),$C$3*K327,0)+IF(ISNUMBER(L327),$E$3*L327,0))/(IF(ISNUMBER(K327),$C$3,0)+IF(ISNUMBER(L327),$E$3,0)))</f>
        <v>0.453844504230514</v>
      </c>
      <c r="N327" s="12"/>
      <c r="O327" s="7" t="n">
        <f aca="false">IF(N327&lt;&gt;"","",COUNTIFS($A$6:$A$338,A327,$N$6:$N$338,"",$M$6:$M$338,"&gt;"&amp;M327)+COUNTIFS($A$6:A327,A327,$N$6:N327,"",$M$6:M327,M327))</f>
        <v>7</v>
      </c>
      <c r="P327" s="12" t="str">
        <f aca="false">IF(O327="","Excluded",IF(O327&lt;=5,"Lead",IF(O327&lt;=10,"Next wave","Long list")))</f>
        <v>Next wave</v>
      </c>
      <c r="Q327" s="10" t="s">
        <v>97</v>
      </c>
      <c r="R327" s="30" t="s">
        <v>636</v>
      </c>
    </row>
    <row r="328" customFormat="false" ht="23.85" hidden="false" customHeight="false" outlineLevel="0" collapsed="false">
      <c r="A328" s="12" t="s">
        <v>37</v>
      </c>
      <c r="B328" s="12" t="s">
        <v>237</v>
      </c>
      <c r="C328" s="10" t="s">
        <v>238</v>
      </c>
      <c r="D328" s="26" t="n">
        <v>31.25</v>
      </c>
      <c r="E328" s="11" t="n">
        <v>2405.4</v>
      </c>
      <c r="F328" s="10" t="s">
        <v>147</v>
      </c>
      <c r="G328" s="7" t="n">
        <v>1</v>
      </c>
      <c r="H328" s="12" t="s">
        <v>77</v>
      </c>
      <c r="I328" s="12" t="s">
        <v>84</v>
      </c>
      <c r="J328" s="10"/>
      <c r="K328" s="9" t="n">
        <f aca="false">IF(ISNUMBER(D328),COUNTIF($D$6:$D$338,"&lt;"&amp;D328)/(COUNT($D$6:$D$338)-1),"")</f>
        <v>0.527508090614887</v>
      </c>
      <c r="L328" s="9" t="n">
        <f aca="false">IF(ISNUMBER(E328),COUNTIF($E$6:$E$338,"&lt;"&amp;E328)/(COUNT($E$6:$E$338)-1),"")</f>
        <v>0.283132530120482</v>
      </c>
      <c r="M328" s="9" t="n">
        <f aca="false">IF(AND(K328="",L328=""),"",(IF(ISNUMBER(K328),$C$3*K328,0)+IF(ISNUMBER(L328),$E$3*L328,0))/(IF(ISNUMBER(K328),$C$3,0)+IF(ISNUMBER(L328),$E$3,0)))</f>
        <v>0.405320310367684</v>
      </c>
      <c r="N328" s="12"/>
      <c r="O328" s="7" t="n">
        <f aca="false">IF(N328&lt;&gt;"","",COUNTIFS($A$6:$A$338,A328,$N$6:$N$338,"",$M$6:$M$338,"&gt;"&amp;M328)+COUNTIFS($A$6:A328,A328,$N$6:N328,"",$M$6:M328,M328))</f>
        <v>8</v>
      </c>
      <c r="P328" s="12" t="str">
        <f aca="false">IF(O328="","Excluded",IF(O328&lt;=5,"Lead",IF(O328&lt;=10,"Next wave","Long list")))</f>
        <v>Next wave</v>
      </c>
      <c r="Q328" s="10" t="s">
        <v>102</v>
      </c>
      <c r="R328" s="30" t="s">
        <v>500</v>
      </c>
    </row>
    <row r="329" customFormat="false" ht="15" hidden="false" customHeight="false" outlineLevel="0" collapsed="false">
      <c r="A329" s="12" t="s">
        <v>37</v>
      </c>
      <c r="B329" s="12" t="s">
        <v>239</v>
      </c>
      <c r="C329" s="10" t="s">
        <v>240</v>
      </c>
      <c r="D329" s="26" t="n">
        <v>61.13</v>
      </c>
      <c r="E329" s="11" t="n">
        <v>451.8</v>
      </c>
      <c r="F329" s="10" t="s">
        <v>147</v>
      </c>
      <c r="G329" s="7" t="n">
        <v>1</v>
      </c>
      <c r="H329" s="12" t="s">
        <v>77</v>
      </c>
      <c r="I329" s="12" t="s">
        <v>84</v>
      </c>
      <c r="J329" s="10"/>
      <c r="K329" s="9" t="n">
        <f aca="false">IF(ISNUMBER(D329),COUNTIF($D$6:$D$338,"&lt;"&amp;D329)/(COUNT($D$6:$D$338)-1),"")</f>
        <v>0.676375404530744</v>
      </c>
      <c r="L329" s="9" t="n">
        <f aca="false">IF(ISNUMBER(E329),COUNTIF($E$6:$E$338,"&lt;"&amp;E329)/(COUNT($E$6:$E$338)-1),"")</f>
        <v>0.0963855421686747</v>
      </c>
      <c r="M329" s="9" t="n">
        <f aca="false">IF(AND(K329="",L329=""),"",(IF(ISNUMBER(K329),$C$3*K329,0)+IF(ISNUMBER(L329),$E$3*L329,0))/(IF(ISNUMBER(K329),$C$3,0)+IF(ISNUMBER(L329),$E$3,0)))</f>
        <v>0.38638047334971</v>
      </c>
      <c r="N329" s="12"/>
      <c r="O329" s="7" t="n">
        <f aca="false">IF(N329&lt;&gt;"","",COUNTIFS($A$6:$A$338,A329,$N$6:$N$338,"",$M$6:$M$338,"&gt;"&amp;M329)+COUNTIFS($A$6:A329,A329,$N$6:N329,"",$M$6:M329,M329))</f>
        <v>9</v>
      </c>
      <c r="P329" s="12" t="str">
        <f aca="false">IF(O329="","Excluded",IF(O329&lt;=5,"Lead",IF(O329&lt;=10,"Next wave","Long list")))</f>
        <v>Next wave</v>
      </c>
      <c r="Q329" s="10" t="s">
        <v>102</v>
      </c>
      <c r="R329" s="30" t="s">
        <v>637</v>
      </c>
    </row>
    <row r="330" customFormat="false" ht="23.85" hidden="false" customHeight="false" outlineLevel="0" collapsed="false">
      <c r="A330" s="12" t="s">
        <v>37</v>
      </c>
      <c r="B330" s="12" t="s">
        <v>241</v>
      </c>
      <c r="C330" s="10" t="s">
        <v>242</v>
      </c>
      <c r="D330" s="26" t="n">
        <v>22.38</v>
      </c>
      <c r="E330" s="11" t="n">
        <v>2508.1</v>
      </c>
      <c r="F330" s="10" t="s">
        <v>147</v>
      </c>
      <c r="G330" s="7" t="n">
        <v>1</v>
      </c>
      <c r="H330" s="12" t="s">
        <v>77</v>
      </c>
      <c r="I330" s="12" t="s">
        <v>84</v>
      </c>
      <c r="J330" s="10" t="s">
        <v>178</v>
      </c>
      <c r="K330" s="9" t="n">
        <f aca="false">IF(ISNUMBER(D330),COUNTIF($D$6:$D$338,"&lt;"&amp;D330)/(COUNT($D$6:$D$338)-1),"")</f>
        <v>0.411003236245955</v>
      </c>
      <c r="L330" s="9" t="n">
        <f aca="false">IF(ISNUMBER(E330),COUNTIF($E$6:$E$338,"&lt;"&amp;E330)/(COUNT($E$6:$E$338)-1),"")</f>
        <v>0.313253012048193</v>
      </c>
      <c r="M330" s="9" t="n">
        <f aca="false">IF(AND(K330="",L330=""),"",(IF(ISNUMBER(K330),$C$3*K330,0)+IF(ISNUMBER(L330),$E$3*L330,0))/(IF(ISNUMBER(K330),$C$3,0)+IF(ISNUMBER(L330),$E$3,0)))</f>
        <v>0.362128124147074</v>
      </c>
      <c r="N330" s="12"/>
      <c r="O330" s="7" t="n">
        <f aca="false">IF(N330&lt;&gt;"","",COUNTIFS($A$6:$A$338,A330,$N$6:$N$338,"",$M$6:$M$338,"&gt;"&amp;M330)+COUNTIFS($A$6:A330,A330,$N$6:N330,"",$M$6:M330,M330))</f>
        <v>10</v>
      </c>
      <c r="P330" s="12" t="str">
        <f aca="false">IF(O330="","Excluded",IF(O330&lt;=5,"Lead",IF(O330&lt;=10,"Next wave","Long list")))</f>
        <v>Next wave</v>
      </c>
      <c r="Q330" s="10" t="s">
        <v>80</v>
      </c>
      <c r="R330" s="30" t="s">
        <v>539</v>
      </c>
    </row>
    <row r="331" customFormat="false" ht="23.85" hidden="false" customHeight="false" outlineLevel="0" collapsed="false">
      <c r="A331" s="12" t="s">
        <v>37</v>
      </c>
      <c r="B331" s="12" t="s">
        <v>484</v>
      </c>
      <c r="C331" s="10" t="s">
        <v>485</v>
      </c>
      <c r="D331" s="26" t="n">
        <v>24.95</v>
      </c>
      <c r="E331" s="11" t="n">
        <v>1405.2</v>
      </c>
      <c r="F331" s="10" t="s">
        <v>147</v>
      </c>
      <c r="G331" s="7" t="n">
        <v>1</v>
      </c>
      <c r="H331" s="12" t="s">
        <v>95</v>
      </c>
      <c r="I331" s="12" t="s">
        <v>95</v>
      </c>
      <c r="J331" s="10"/>
      <c r="K331" s="9" t="n">
        <f aca="false">IF(ISNUMBER(D331),COUNTIF($D$6:$D$338,"&lt;"&amp;D331)/(COUNT($D$6:$D$338)-1),"")</f>
        <v>0.466019417475728</v>
      </c>
      <c r="L331" s="9" t="n">
        <f aca="false">IF(ISNUMBER(E331),COUNTIF($E$6:$E$338,"&lt;"&amp;E331)/(COUNT($E$6:$E$338)-1),"")</f>
        <v>0.201807228915663</v>
      </c>
      <c r="M331" s="9" t="n">
        <f aca="false">IF(AND(K331="",L331=""),"",(IF(ISNUMBER(K331),$C$3*K331,0)+IF(ISNUMBER(L331),$E$3*L331,0))/(IF(ISNUMBER(K331),$C$3,0)+IF(ISNUMBER(L331),$E$3,0)))</f>
        <v>0.333913323195695</v>
      </c>
      <c r="N331" s="12"/>
      <c r="O331" s="7" t="n">
        <f aca="false">IF(N331&lt;&gt;"","",COUNTIFS($A$6:$A$338,A331,$N$6:$N$338,"",$M$6:$M$338,"&gt;"&amp;M331)+COUNTIFS($A$6:A331,A331,$N$6:N331,"",$M$6:M331,M331))</f>
        <v>11</v>
      </c>
      <c r="P331" s="12" t="str">
        <f aca="false">IF(O331="","Excluded",IF(O331&lt;=5,"Lead",IF(O331&lt;=10,"Next wave","Long list")))</f>
        <v>Long list</v>
      </c>
      <c r="Q331" s="10" t="s">
        <v>97</v>
      </c>
      <c r="R331" s="30" t="s">
        <v>486</v>
      </c>
    </row>
    <row r="332" customFormat="false" ht="23.85" hidden="false" customHeight="false" outlineLevel="0" collapsed="false">
      <c r="A332" s="12" t="s">
        <v>37</v>
      </c>
      <c r="B332" s="12" t="s">
        <v>638</v>
      </c>
      <c r="C332" s="10" t="s">
        <v>224</v>
      </c>
      <c r="D332" s="26" t="n">
        <v>14.99</v>
      </c>
      <c r="E332" s="11" t="n">
        <v>1618.6</v>
      </c>
      <c r="F332" s="10" t="s">
        <v>147</v>
      </c>
      <c r="G332" s="7" t="n">
        <v>1</v>
      </c>
      <c r="H332" s="12" t="s">
        <v>77</v>
      </c>
      <c r="I332" s="12" t="s">
        <v>84</v>
      </c>
      <c r="J332" s="10"/>
      <c r="K332" s="9" t="n">
        <f aca="false">IF(ISNUMBER(D332),COUNTIF($D$6:$D$338,"&lt;"&amp;D332)/(COUNT($D$6:$D$338)-1),"")</f>
        <v>0.336569579288026</v>
      </c>
      <c r="L332" s="9" t="n">
        <f aca="false">IF(ISNUMBER(E332),COUNTIF($E$6:$E$338,"&lt;"&amp;E332)/(COUNT($E$6:$E$338)-1),"")</f>
        <v>0.219879518072289</v>
      </c>
      <c r="M332" s="9" t="n">
        <f aca="false">IF(AND(K332="",L332=""),"",(IF(ISNUMBER(K332),$C$3*K332,0)+IF(ISNUMBER(L332),$E$3*L332,0))/(IF(ISNUMBER(K332),$C$3,0)+IF(ISNUMBER(L332),$E$3,0)))</f>
        <v>0.278224548680158</v>
      </c>
      <c r="N332" s="12"/>
      <c r="O332" s="7" t="n">
        <f aca="false">IF(N332&lt;&gt;"","",COUNTIFS($A$6:$A$338,A332,$N$6:$N$338,"",$M$6:$M$338,"&gt;"&amp;M332)+COUNTIFS($A$6:A332,A332,$N$6:N332,"",$M$6:M332,M332))</f>
        <v>12</v>
      </c>
      <c r="P332" s="12" t="str">
        <f aca="false">IF(O332="","Excluded",IF(O332&lt;=5,"Lead",IF(O332&lt;=10,"Next wave","Long list")))</f>
        <v>Long list</v>
      </c>
      <c r="Q332" s="10" t="s">
        <v>102</v>
      </c>
      <c r="R332" s="30" t="s">
        <v>639</v>
      </c>
    </row>
    <row r="333" customFormat="false" ht="23.85" hidden="false" customHeight="false" outlineLevel="0" collapsed="false">
      <c r="A333" s="12" t="s">
        <v>37</v>
      </c>
      <c r="B333" s="12" t="s">
        <v>229</v>
      </c>
      <c r="C333" s="10" t="s">
        <v>230</v>
      </c>
      <c r="D333" s="26" t="n">
        <v>14.96</v>
      </c>
      <c r="E333" s="11" t="n">
        <v>1352.6</v>
      </c>
      <c r="F333" s="10" t="s">
        <v>147</v>
      </c>
      <c r="G333" s="7" t="n">
        <v>1</v>
      </c>
      <c r="H333" s="12" t="s">
        <v>77</v>
      </c>
      <c r="I333" s="12" t="s">
        <v>84</v>
      </c>
      <c r="J333" s="10" t="s">
        <v>178</v>
      </c>
      <c r="K333" s="9" t="n">
        <f aca="false">IF(ISNUMBER(D333),COUNTIF($D$6:$D$338,"&lt;"&amp;D333)/(COUNT($D$6:$D$338)-1),"")</f>
        <v>0.323624595469256</v>
      </c>
      <c r="L333" s="9" t="n">
        <f aca="false">IF(ISNUMBER(E333),COUNTIF($E$6:$E$338,"&lt;"&amp;E333)/(COUNT($E$6:$E$338)-1),"")</f>
        <v>0.189759036144578</v>
      </c>
      <c r="M333" s="9" t="n">
        <f aca="false">IF(AND(K333="",L333=""),"",(IF(ISNUMBER(K333),$C$3*K333,0)+IF(ISNUMBER(L333),$E$3*L333,0))/(IF(ISNUMBER(K333),$C$3,0)+IF(ISNUMBER(L333),$E$3,0)))</f>
        <v>0.256691815806917</v>
      </c>
      <c r="N333" s="12"/>
      <c r="O333" s="7" t="n">
        <f aca="false">IF(N333&lt;&gt;"","",COUNTIFS($A$6:$A$338,A333,$N$6:$N$338,"",$M$6:$M$338,"&gt;"&amp;M333)+COUNTIFS($A$6:A333,A333,$N$6:N333,"",$M$6:M333,M333))</f>
        <v>13</v>
      </c>
      <c r="P333" s="12" t="str">
        <f aca="false">IF(O333="","Excluded",IF(O333&lt;=5,"Lead",IF(O333&lt;=10,"Next wave","Long list")))</f>
        <v>Long list</v>
      </c>
      <c r="Q333" s="10" t="s">
        <v>80</v>
      </c>
      <c r="R333" s="30" t="s">
        <v>401</v>
      </c>
    </row>
    <row r="334" customFormat="false" ht="23.85" hidden="false" customHeight="false" outlineLevel="0" collapsed="false">
      <c r="A334" s="12" t="s">
        <v>37</v>
      </c>
      <c r="B334" s="12" t="s">
        <v>260</v>
      </c>
      <c r="C334" s="10" t="s">
        <v>261</v>
      </c>
      <c r="D334" s="26" t="n">
        <v>5.56</v>
      </c>
      <c r="E334" s="11" t="n">
        <v>3067.4</v>
      </c>
      <c r="F334" s="10" t="s">
        <v>147</v>
      </c>
      <c r="G334" s="7" t="n">
        <v>1</v>
      </c>
      <c r="H334" s="12" t="s">
        <v>77</v>
      </c>
      <c r="I334" s="12" t="s">
        <v>84</v>
      </c>
      <c r="J334" s="10" t="s">
        <v>168</v>
      </c>
      <c r="K334" s="9" t="n">
        <f aca="false">IF(ISNUMBER(D334),COUNTIF($D$6:$D$338,"&lt;"&amp;D334)/(COUNT($D$6:$D$338)-1),"")</f>
        <v>0.0323624595469256</v>
      </c>
      <c r="L334" s="9" t="n">
        <f aca="false">IF(ISNUMBER(E334),COUNTIF($E$6:$E$338,"&lt;"&amp;E334)/(COUNT($E$6:$E$338)-1),"")</f>
        <v>0.418674698795181</v>
      </c>
      <c r="M334" s="9" t="n">
        <f aca="false">IF(AND(K334="",L334=""),"",(IF(ISNUMBER(K334),$C$3*K334,0)+IF(ISNUMBER(L334),$E$3*L334,0))/(IF(ISNUMBER(K334),$C$3,0)+IF(ISNUMBER(L334),$E$3,0)))</f>
        <v>0.225518579171053</v>
      </c>
      <c r="N334" s="12"/>
      <c r="O334" s="7" t="n">
        <f aca="false">IF(N334&lt;&gt;"","",COUNTIFS($A$6:$A$338,A334,$N$6:$N$338,"",$M$6:$M$338,"&gt;"&amp;M334)+COUNTIFS($A$6:A334,A334,$N$6:N334,"",$M$6:M334,M334))</f>
        <v>14</v>
      </c>
      <c r="P334" s="12" t="str">
        <f aca="false">IF(O334="","Excluded",IF(O334&lt;=5,"Lead",IF(O334&lt;=10,"Next wave","Long list")))</f>
        <v>Long list</v>
      </c>
      <c r="Q334" s="10" t="s">
        <v>80</v>
      </c>
      <c r="R334" s="30" t="s">
        <v>459</v>
      </c>
    </row>
    <row r="335" customFormat="false" ht="23.85" hidden="false" customHeight="false" outlineLevel="0" collapsed="false">
      <c r="A335" s="12" t="s">
        <v>37</v>
      </c>
      <c r="B335" s="12" t="s">
        <v>640</v>
      </c>
      <c r="C335" s="10" t="s">
        <v>641</v>
      </c>
      <c r="D335" s="26" t="n">
        <v>7.58</v>
      </c>
      <c r="E335" s="11" t="n">
        <v>11957.9</v>
      </c>
      <c r="F335" s="10" t="s">
        <v>302</v>
      </c>
      <c r="G335" s="7" t="n">
        <v>1</v>
      </c>
      <c r="H335" s="12" t="s">
        <v>196</v>
      </c>
      <c r="I335" s="12" t="s">
        <v>84</v>
      </c>
      <c r="J335" s="10"/>
      <c r="K335" s="9" t="n">
        <f aca="false">IF(ISNUMBER(D335),COUNTIF($D$6:$D$338,"&lt;"&amp;D335)/(COUNT($D$6:$D$338)-1),"")</f>
        <v>0.142394822006473</v>
      </c>
      <c r="L335" s="9" t="n">
        <f aca="false">IF(ISNUMBER(E335),COUNTIF($E$6:$E$338,"&lt;"&amp;E335)/(COUNT($E$6:$E$338)-1),"")</f>
        <v>0.716867469879518</v>
      </c>
      <c r="M335" s="9" t="n">
        <f aca="false">IF(AND(K335="",L335=""),"",(IF(ISNUMBER(K335),$C$3*K335,0)+IF(ISNUMBER(L335),$E$3*L335,0))/(IF(ISNUMBER(K335),$C$3,0)+IF(ISNUMBER(L335),$E$3,0)))</f>
        <v>0.429631145942995</v>
      </c>
      <c r="N335" s="12" t="s">
        <v>303</v>
      </c>
      <c r="O335" s="7" t="str">
        <f aca="false">IF(N335&lt;&gt;"","",COUNTIFS($A$6:$A$338,A335,$N$6:$N$338,"",$M$6:$M$338,"&gt;"&amp;M335)+COUNTIFS($A$6:A335,A335,$N$6:N335,"",$M$6:M335,M335))</f>
        <v/>
      </c>
      <c r="P335" s="12" t="str">
        <f aca="false">IF(O335="","Excluded",IF(O335&lt;=5,"Lead",IF(O335&lt;=10,"Next wave","Long list")))</f>
        <v>Excluded</v>
      </c>
      <c r="Q335" s="10" t="s">
        <v>102</v>
      </c>
      <c r="R335" s="30" t="s">
        <v>575</v>
      </c>
    </row>
    <row r="336" customFormat="false" ht="23.85" hidden="false" customHeight="false" outlineLevel="0" collapsed="false">
      <c r="A336" s="12" t="s">
        <v>37</v>
      </c>
      <c r="B336" s="12" t="s">
        <v>216</v>
      </c>
      <c r="C336" s="10" t="s">
        <v>217</v>
      </c>
      <c r="D336" s="26" t="n">
        <v>6.29</v>
      </c>
      <c r="E336" s="11" t="n">
        <v>17590.5</v>
      </c>
      <c r="F336" s="10" t="s">
        <v>302</v>
      </c>
      <c r="G336" s="7" t="n">
        <v>1</v>
      </c>
      <c r="H336" s="12" t="s">
        <v>196</v>
      </c>
      <c r="I336" s="12" t="s">
        <v>95</v>
      </c>
      <c r="J336" s="10" t="s">
        <v>168</v>
      </c>
      <c r="K336" s="9" t="n">
        <f aca="false">IF(ISNUMBER(D336),COUNTIF($D$6:$D$338,"&lt;"&amp;D336)/(COUNT($D$6:$D$338)-1),"")</f>
        <v>0.0679611650485437</v>
      </c>
      <c r="L336" s="9" t="n">
        <f aca="false">IF(ISNUMBER(E336),COUNTIF($E$6:$E$338,"&lt;"&amp;E336)/(COUNT($E$6:$E$338)-1),"")</f>
        <v>0.746987951807229</v>
      </c>
      <c r="M336" s="9" t="n">
        <f aca="false">IF(AND(K336="",L336=""),"",(IF(ISNUMBER(K336),$C$3*K336,0)+IF(ISNUMBER(L336),$E$3*L336,0))/(IF(ISNUMBER(K336),$C$3,0)+IF(ISNUMBER(L336),$E$3,0)))</f>
        <v>0.407474558427886</v>
      </c>
      <c r="N336" s="12" t="s">
        <v>303</v>
      </c>
      <c r="O336" s="7" t="str">
        <f aca="false">IF(N336&lt;&gt;"","",COUNTIFS($A$6:$A$338,A336,$N$6:$N$338,"",$M$6:$M$338,"&gt;"&amp;M336)+COUNTIFS($A$6:A336,A336,$N$6:N336,"",$M$6:M336,M336))</f>
        <v/>
      </c>
      <c r="P336" s="12" t="str">
        <f aca="false">IF(O336="","Excluded",IF(O336&lt;=5,"Lead",IF(O336&lt;=10,"Next wave","Long list")))</f>
        <v>Excluded</v>
      </c>
      <c r="Q336" s="10" t="s">
        <v>80</v>
      </c>
      <c r="R336" s="30" t="s">
        <v>357</v>
      </c>
    </row>
    <row r="337" customFormat="false" ht="23.85" hidden="false" customHeight="false" outlineLevel="0" collapsed="false">
      <c r="A337" s="12" t="s">
        <v>37</v>
      </c>
      <c r="B337" s="12" t="s">
        <v>256</v>
      </c>
      <c r="C337" s="10" t="s">
        <v>257</v>
      </c>
      <c r="D337" s="26"/>
      <c r="E337" s="11" t="n">
        <v>2476.9</v>
      </c>
      <c r="F337" s="10" t="s">
        <v>147</v>
      </c>
      <c r="G337" s="7" t="n">
        <v>1</v>
      </c>
      <c r="H337" s="12" t="s">
        <v>77</v>
      </c>
      <c r="I337" s="12" t="s">
        <v>95</v>
      </c>
      <c r="J337" s="10" t="s">
        <v>178</v>
      </c>
      <c r="K337" s="9" t="str">
        <f aca="false">IF(ISNUMBER(D337),COUNTIF($D$6:$D$338,"&lt;"&amp;D337)/(COUNT($D$6:$D$338)-1),"")</f>
        <v/>
      </c>
      <c r="L337" s="9" t="n">
        <f aca="false">IF(ISNUMBER(E337),COUNTIF($E$6:$E$338,"&lt;"&amp;E337)/(COUNT($E$6:$E$338)-1),"")</f>
        <v>0.295180722891566</v>
      </c>
      <c r="M337" s="9" t="n">
        <f aca="false">IF(AND(K337="",L337=""),"",(IF(ISNUMBER(K337),$C$3*K337,0)+IF(ISNUMBER(L337),$E$3*L337,0))/(IF(ISNUMBER(K337),$C$3,0)+IF(ISNUMBER(L337),$E$3,0)))</f>
        <v>0.295180722891566</v>
      </c>
      <c r="N337" s="12" t="s">
        <v>307</v>
      </c>
      <c r="O337" s="7" t="str">
        <f aca="false">IF(N337&lt;&gt;"","",COUNTIFS($A$6:$A$338,A337,$N$6:$N$338,"",$M$6:$M$338,"&gt;"&amp;M337)+COUNTIFS($A$6:A337,A337,$N$6:N337,"",$M$6:M337,M337))</f>
        <v/>
      </c>
      <c r="P337" s="12" t="str">
        <f aca="false">IF(O337="","Excluded",IF(O337&lt;=5,"Lead",IF(O337&lt;=10,"Next wave","Long list")))</f>
        <v>Excluded</v>
      </c>
      <c r="Q337" s="10" t="s">
        <v>80</v>
      </c>
      <c r="R337" s="30" t="s">
        <v>386</v>
      </c>
    </row>
    <row r="338" customFormat="false" ht="23.85" hidden="false" customHeight="false" outlineLevel="0" collapsed="false">
      <c r="A338" s="12" t="s">
        <v>37</v>
      </c>
      <c r="B338" s="12" t="s">
        <v>274</v>
      </c>
      <c r="C338" s="10" t="s">
        <v>275</v>
      </c>
      <c r="D338" s="26"/>
      <c r="E338" s="11" t="n">
        <v>1781.1</v>
      </c>
      <c r="F338" s="10" t="s">
        <v>147</v>
      </c>
      <c r="G338" s="7" t="n">
        <v>1</v>
      </c>
      <c r="H338" s="12" t="s">
        <v>95</v>
      </c>
      <c r="I338" s="12" t="s">
        <v>95</v>
      </c>
      <c r="J338" s="10"/>
      <c r="K338" s="9" t="str">
        <f aca="false">IF(ISNUMBER(D338),COUNTIF($D$6:$D$338,"&lt;"&amp;D338)/(COUNT($D$6:$D$338)-1),"")</f>
        <v/>
      </c>
      <c r="L338" s="9" t="n">
        <f aca="false">IF(ISNUMBER(E338),COUNTIF($E$6:$E$338,"&lt;"&amp;E338)/(COUNT($E$6:$E$338)-1),"")</f>
        <v>0.228915662650602</v>
      </c>
      <c r="M338" s="9" t="n">
        <f aca="false">IF(AND(K338="",L338=""),"",(IF(ISNUMBER(K338),$C$3*K338,0)+IF(ISNUMBER(L338),$E$3*L338,0))/(IF(ISNUMBER(K338),$C$3,0)+IF(ISNUMBER(L338),$E$3,0)))</f>
        <v>0.228915662650602</v>
      </c>
      <c r="N338" s="12" t="s">
        <v>307</v>
      </c>
      <c r="O338" s="7" t="str">
        <f aca="false">IF(N338&lt;&gt;"","",COUNTIFS($A$6:$A$338,A338,$N$6:$N$338,"",$M$6:$M$338,"&gt;"&amp;M338)+COUNTIFS($A$6:A338,A338,$N$6:N338,"",$M$6:M338,M338))</f>
        <v/>
      </c>
      <c r="P338" s="12" t="str">
        <f aca="false">IF(O338="","Excluded",IF(O338&lt;=5,"Lead",IF(O338&lt;=10,"Next wave","Long list")))</f>
        <v>Excluded</v>
      </c>
      <c r="Q338" s="10" t="s">
        <v>97</v>
      </c>
      <c r="R338" s="30" t="s">
        <v>598</v>
      </c>
    </row>
  </sheetData>
  <autoFilter ref="A5:R338"/>
  <conditionalFormatting sqref="A6:Q338">
    <cfRule type="expression" priority="2" aboveAverage="0" equalAverage="0" bottom="0" percent="0" rank="0" text="" dxfId="6">
      <formula>$P6="Lead"</formula>
    </cfRule>
    <cfRule type="expression" priority="3" aboveAverage="0" equalAverage="0" bottom="0" percent="0" rank="0" text="" dxfId="7">
      <formula>$P6="Excluded"</formula>
    </cfRule>
  </conditionalFormatting>
  <hyperlinks>
    <hyperlink ref="R6" r:id="rId1" display="https://dailymed.nlm.nih.gov/dailymed/search.cfm?labeltype=all&amp;query=fulvestrant"/>
    <hyperlink ref="R7" r:id="rId2" display="https://dailymed.nlm.nih.gov/dailymed/search.cfm?labeltype=all&amp;query=methotrexate+injection"/>
    <hyperlink ref="R8" r:id="rId3" display="https://dailymed.nlm.nih.gov/dailymed/search.cfm?labeltype=all&amp;query=diazepam+injection"/>
    <hyperlink ref="R9" r:id="rId4" display="https://dailymed.nlm.nih.gov/dailymed/search.cfm?labeltype=all&amp;query=carboprost"/>
    <hyperlink ref="R10" r:id="rId5" display="https://dailymed.nlm.nih.gov/dailymed/search.cfm?labeltype=all&amp;query=triamcinolone+acetonide+injectable+suspension"/>
    <hyperlink ref="R11" r:id="rId6" display="https://dailymed.nlm.nih.gov/dailymed/search.cfm?labeltype=all&amp;query=phytonadione"/>
    <hyperlink ref="R12" r:id="rId7" display="https://dailymed.nlm.nih.gov/dailymed/search.cfm?labeltype=all&amp;query=azacitidine"/>
    <hyperlink ref="R13" r:id="rId8" display="https://dailymed.nlm.nih.gov/dailymed/search.cfm?labeltype=all&amp;query=bortezomib"/>
    <hyperlink ref="R14" r:id="rId9" display="https://dailymed.nlm.nih.gov/dailymed/search.cfm?labeltype=all&amp;query=daptomycin"/>
    <hyperlink ref="R15" r:id="rId10" display="https://dailymed.nlm.nih.gov/dailymed/search.cfm?labeltype=all&amp;query=plerixafor"/>
    <hyperlink ref="R16" r:id="rId11" display="https://dailymed.nlm.nih.gov/dailymed/search.cfm?labeltype=all&amp;query=fulvestrant"/>
    <hyperlink ref="R17" r:id="rId12" display="https://dailymed.nlm.nih.gov/dailymed/search.cfm?labeltype=all&amp;query=eptifibatide"/>
    <hyperlink ref="R18" r:id="rId13" display="https://dailymed.nlm.nih.gov/dailymed/search.cfm?labeltype=all&amp;query=ertapenem"/>
    <hyperlink ref="R19" r:id="rId14" display="https://dailymed.nlm.nih.gov/dailymed/search.cfm?labeltype=all&amp;query=cyclophosphamide"/>
    <hyperlink ref="R20" r:id="rId15" display="https://dailymed.nlm.nih.gov/dailymed/search.cfm?labeltype=all&amp;query=meropenem"/>
    <hyperlink ref="R21" r:id="rId16" display="https://dailymed.nlm.nih.gov/dailymed/search.cfm?labeltype=all&amp;query=doxorubicin"/>
    <hyperlink ref="R22" r:id="rId17" display="https://dailymed.nlm.nih.gov/dailymed/search.cfm?labeltype=all&amp;query=esmolol"/>
    <hyperlink ref="R23" r:id="rId18" display="https://dailymed.nlm.nih.gov/dailymed/search.cfm?labeltype=all&amp;query=dactinomycin"/>
    <hyperlink ref="R24" r:id="rId19" display="https://dailymed.nlm.nih.gov/dailymed/search.cfm?labeltype=all&amp;query=tirofiban"/>
    <hyperlink ref="R25" r:id="rId20" display="https://dailymed.nlm.nih.gov/dailymed/search.cfm?labeltype=all&amp;query=melphalan+hydrochloride"/>
    <hyperlink ref="R26" r:id="rId21" display="https://dailymed.nlm.nih.gov/dailymed/search.cfm?labeltype=all&amp;query=leucovorin+calcium+injection"/>
    <hyperlink ref="R27" r:id="rId22" display="https://dailymed.nlm.nih.gov/dailymed/search.cfm?labeltype=all&amp;query=epirubicin"/>
    <hyperlink ref="R28" r:id="rId23" display="https://dailymed.nlm.nih.gov/dailymed/search.cfm?labeltype=all&amp;query=fluphenazine+decanoate"/>
    <hyperlink ref="R29" r:id="rId24" display="https://dailymed.nlm.nih.gov/dailymed/search.cfm?labeltype=all&amp;query=tranexamic+acid+injection"/>
    <hyperlink ref="R30" r:id="rId25" display="https://dailymed.nlm.nih.gov/dailymed/search.cfm?labeltype=all&amp;query=testosterone+cypionate"/>
    <hyperlink ref="R31" r:id="rId26" display="https://dailymed.nlm.nih.gov/dailymed/search.cfm?labeltype=all&amp;query=ceftriaxone"/>
    <hyperlink ref="R32" r:id="rId27" display="https://dailymed.nlm.nih.gov/dailymed/search.cfm?labeltype=all&amp;query=argatroban"/>
    <hyperlink ref="R33" r:id="rId28" display="https://dailymed.nlm.nih.gov/dailymed/search.cfm?labeltype=all&amp;query=ampicillin"/>
    <hyperlink ref="R34" r:id="rId29" display="https://dailymed.nlm.nih.gov/dailymed/search.cfm?labeltype=all&amp;query=pantoprazole+sodium+for+injection"/>
    <hyperlink ref="R35" r:id="rId30" display="https://dailymed.nlm.nih.gov/dailymed/search.cfm?labeltype=all&amp;query=sildenafil+injection"/>
    <hyperlink ref="R36" r:id="rId31" display="https://dailymed.nlm.nih.gov/dailymed/search.cfm?labeltype=all&amp;query=carboprost"/>
    <hyperlink ref="R37" r:id="rId32" display="https://dailymed.nlm.nih.gov/dailymed/search.cfm?labeltype=all&amp;query=ondansetron+injection"/>
    <hyperlink ref="R38" r:id="rId33" display="https://dailymed.nlm.nih.gov/dailymed/search.cfm?labeltype=all&amp;query=methotrexate+injection"/>
    <hyperlink ref="R39" r:id="rId34" display="https://dailymed.nlm.nih.gov/dailymed/search.cfm?labeltype=all&amp;query=ibandronate+injection"/>
    <hyperlink ref="R40" r:id="rId35" display="https://dailymed.nlm.nih.gov/dailymed/search.cfm?labeltype=all&amp;query=medroxyprogesterone+acetate+injectable"/>
    <hyperlink ref="R41" r:id="rId36" display="https://dailymed.nlm.nih.gov/dailymed/search.cfm?labeltype=all&amp;query=ropivacaine"/>
    <hyperlink ref="R42" r:id="rId37" display="https://dailymed.nlm.nih.gov/dailymed/search.cfm?labeltype=all&amp;query=naloxone+hydrochloride+injection"/>
    <hyperlink ref="R43" r:id="rId38" display="https://dailymed.nlm.nih.gov/dailymed/search.cfm?labeltype=all&amp;query=bupivacaine"/>
    <hyperlink ref="R44" r:id="rId39" display="https://dailymed.nlm.nih.gov/dailymed/search.cfm?labeltype=all&amp;query=methylprednisolone+acetate"/>
    <hyperlink ref="R45" r:id="rId40" display="https://dailymed.nlm.nih.gov/dailymed/search.cfm?labeltype=all&amp;query=ceftazidime"/>
    <hyperlink ref="R46" r:id="rId41" display="https://dailymed.nlm.nih.gov/dailymed/search.cfm?labeltype=all&amp;query=testosterone+enanthate"/>
    <hyperlink ref="R47" r:id="rId42" display="https://dailymed.nlm.nih.gov/dailymed/search.cfm?labeltype=all&amp;query=progesterone+injection"/>
    <hyperlink ref="R48" r:id="rId43" display="https://dailymed.nlm.nih.gov/dailymed/search.cfm?labeltype=all&amp;query=vecuronium"/>
    <hyperlink ref="R49" r:id="rId44" display="https://dailymed.nlm.nih.gov/dailymed/search.cfm?labeltype=all&amp;query=verapamil+hydrochloride+injection"/>
    <hyperlink ref="R50" r:id="rId45" display="https://dailymed.nlm.nih.gov/dailymed/search.cfm?labeltype=all&amp;query=fluorouracil+injection"/>
    <hyperlink ref="R51" r:id="rId46" display="https://dailymed.nlm.nih.gov/dailymed/search.cfm?labeltype=all&amp;query=hydralazine+injection"/>
    <hyperlink ref="R52" r:id="rId47" display="https://dailymed.nlm.nih.gov/dailymed/search.cfm?labeltype=all&amp;query=palonosetron"/>
    <hyperlink ref="R53" r:id="rId48" display="https://dailymed.nlm.nih.gov/dailymed/search.cfm?labeltype=all&amp;query=vinorelbine"/>
    <hyperlink ref="R54" r:id="rId49" display="https://dailymed.nlm.nih.gov/dailymed/search.cfm?labeltype=all&amp;query=chlorpromazine"/>
    <hyperlink ref="R55" r:id="rId50" display="https://dailymed.nlm.nih.gov/dailymed/search.cfm?labeltype=all&amp;query=mesna"/>
    <hyperlink ref="R56" r:id="rId51" display="https://dailymed.nlm.nih.gov/dailymed/search.cfm?labeltype=all&amp;query=ephedrine+sulfate+injection"/>
    <hyperlink ref="R57" r:id="rId52" display="https://dailymed.nlm.nih.gov/dailymed/search.cfm?labeltype=all&amp;query=regadenoson"/>
    <hyperlink ref="R58" r:id="rId53" display="https://dailymed.nlm.nih.gov/dailymed/search.cfm?labeltype=all&amp;query=oxacillin"/>
    <hyperlink ref="R59" r:id="rId54" display="https://dailymed.nlm.nih.gov/dailymed/search.cfm?labeltype=all&amp;query=nafcillin"/>
    <hyperlink ref="R60" r:id="rId55" display="https://dailymed.nlm.nih.gov/dailymed/search.cfm?labeltype=all&amp;query=remifentanil"/>
    <hyperlink ref="R61" r:id="rId56" display="https://dailymed.nlm.nih.gov/dailymed/search.cfm?labeltype=all&amp;query=mitomycin"/>
    <hyperlink ref="R62" r:id="rId57" display="https://www.medicines.org.uk/emc/search?q=flucloxacillin"/>
    <hyperlink ref="R63" r:id="rId58" display="https://dailymed.nlm.nih.gov/dailymed/search.cfm?labeltype=all&amp;query=triamcinolone+acetonide+injectable+suspension"/>
    <hyperlink ref="R64" r:id="rId59" display="https://dailymed.nlm.nih.gov/dailymed/search.cfm?labeltype=all&amp;query=cefepime"/>
    <hyperlink ref="R65" r:id="rId60" display="https://dailymed.nlm.nih.gov/dailymed/search.cfm?labeltype=all&amp;query=daptomycin"/>
    <hyperlink ref="R66" r:id="rId61" display="https://dailymed.nlm.nih.gov/dailymed/search.cfm?labeltype=all&amp;query=fulvestrant"/>
    <hyperlink ref="R67" r:id="rId62" display="https://dailymed.nlm.nih.gov/dailymed/search.cfm?labeltype=all&amp;query=sugammadex"/>
    <hyperlink ref="R68" r:id="rId63" display="https://dailymed.nlm.nih.gov/dailymed/search.cfm?labeltype=all&amp;query=testosterone+cypionate"/>
    <hyperlink ref="R69" r:id="rId64" display="https://dailymed.nlm.nih.gov/dailymed/search.cfm?labeltype=all&amp;query=lanreotide"/>
    <hyperlink ref="R70" r:id="rId65" display="https://dailymed.nlm.nih.gov/dailymed/search.cfm?labeltype=all&amp;query=hydrocortisone+sodium+succinate"/>
    <hyperlink ref="R71" r:id="rId66" display="https://dailymed.nlm.nih.gov/dailymed/search.cfm?labeltype=all&amp;query=phytonadione"/>
    <hyperlink ref="R72" r:id="rId67" display="https://dailymed.nlm.nih.gov/dailymed/search.cfm?labeltype=all&amp;query=trastuzumab"/>
    <hyperlink ref="R73" r:id="rId68" display="https://www.who.int/news-room/fact-sheets/detail/measles"/>
    <hyperlink ref="R74" r:id="rId69" display="https://dailymed.nlm.nih.gov/dailymed/search.cfm?labeltype=all&amp;query=bortezomib"/>
    <hyperlink ref="R75" r:id="rId70" display="https://dailymed.nlm.nih.gov/dailymed/search.cfm?labeltype=all&amp;query=doxorubicin"/>
    <hyperlink ref="R76" r:id="rId71" display="https://dailymed.nlm.nih.gov/dailymed/search.cfm?labeltype=all&amp;query=azacitidine"/>
    <hyperlink ref="R77" r:id="rId72" display="https://dailymed.nlm.nih.gov/dailymed/search.cfm?labeltype=all&amp;query=phenylephrine+hydrochloride+injection"/>
    <hyperlink ref="R78" r:id="rId73" display="https://dailymed.nlm.nih.gov/dailymed/search.cfm?labeltype=all&amp;query=isoproterenol"/>
    <hyperlink ref="R79" r:id="rId74" display="https://dailymed.nlm.nih.gov/dailymed/search.cfm?labeltype=all&amp;query=bleomycin"/>
    <hyperlink ref="R80" r:id="rId75" display="https://dailymed.nlm.nih.gov/dailymed/search.cfm?labeltype=all&amp;query=cefepime"/>
    <hyperlink ref="R81" r:id="rId76" display="https://list.essentialmeds.org/?query=streptokinase"/>
    <hyperlink ref="R82" r:id="rId77" display="https://www.medicines.org.uk/emc/search?q=teicoplanin"/>
    <hyperlink ref="R83" r:id="rId78" display="https://dailymed.nlm.nih.gov/dailymed/search.cfm?labeltype=all&amp;query=testosterone+undecanoate"/>
    <hyperlink ref="R84" r:id="rId79" display="https://dailymed.nlm.nih.gov/dailymed/search.cfm?labeltype=all&amp;query=vinorelbine"/>
    <hyperlink ref="R85" r:id="rId80" display="https://dailymed.nlm.nih.gov/dailymed/search.cfm?labeltype=all&amp;query=medroxyprogesterone+acetate+injectable"/>
    <hyperlink ref="R86" r:id="rId81" display="https://dailymed.nlm.nih.gov/dailymed/search.cfm?labeltype=all&amp;query=vinblastine"/>
    <hyperlink ref="R87" r:id="rId82" display="https://dailymed.nlm.nih.gov/dailymed/search.cfm?labeltype=all&amp;query=palonosetron"/>
    <hyperlink ref="R88" r:id="rId83" display="https://dailymed.nlm.nih.gov/dailymed/search.cfm?labeltype=all&amp;query=azacitidine"/>
    <hyperlink ref="R89" r:id="rId84" display="https://dailymed.nlm.nih.gov/dailymed/search.cfm?labeltype=all&amp;query=bortezomib"/>
    <hyperlink ref="R90" r:id="rId85" display="https://dailymed.nlm.nih.gov/dailymed/search.cfm?labeltype=all&amp;query=daptomycin"/>
    <hyperlink ref="R91" r:id="rId86" display="https://dailymed.nlm.nih.gov/dailymed/search.cfm?labeltype=all&amp;query=fulvestrant"/>
    <hyperlink ref="R92" r:id="rId87" display="https://dailymed.nlm.nih.gov/dailymed/search.cfm?labeltype=all&amp;query=plerixafor"/>
    <hyperlink ref="R93" r:id="rId88" display="https://dailymed.nlm.nih.gov/dailymed/search.cfm?labeltype=all&amp;query=thiotepa"/>
    <hyperlink ref="R94" r:id="rId89" display="https://dailymed.nlm.nih.gov/dailymed/search.cfm?labeltype=all&amp;query=ertapenem"/>
    <hyperlink ref="R95" r:id="rId90" display="https://dailymed.nlm.nih.gov/dailymed/search.cfm?labeltype=all&amp;query=sugammadex"/>
    <hyperlink ref="R96" r:id="rId91" display="https://dailymed.nlm.nih.gov/dailymed/search.cfm?labeltype=all&amp;query=cyclophosphamide"/>
    <hyperlink ref="R97" r:id="rId92" display="https://dailymed.nlm.nih.gov/dailymed/search.cfm?labeltype=all&amp;query=carboprost"/>
    <hyperlink ref="R98" r:id="rId93" display="https://dailymed.nlm.nih.gov/dailymed/search.cfm?labeltype=all&amp;query=eribulin"/>
    <hyperlink ref="R99" r:id="rId94" display="https://dailymed.nlm.nih.gov/dailymed/search.cfm?labeltype=all&amp;query=palonosetron"/>
    <hyperlink ref="R100" r:id="rId95" display="https://dailymed.nlm.nih.gov/dailymed/search.cfm?labeltype=all&amp;query=desmopressin"/>
    <hyperlink ref="R101" r:id="rId96" display="https://dailymed.nlm.nih.gov/dailymed/search.cfm?labeltype=all&amp;query=succinylcholine"/>
    <hyperlink ref="R102" r:id="rId97" display="https://dailymed.nlm.nih.gov/dailymed/search.cfm?labeltype=all&amp;query=ibandronate+injection"/>
    <hyperlink ref="R103" r:id="rId98" display="https://dailymed.nlm.nih.gov/dailymed/search.cfm?labeltype=all&amp;query=phytonadione"/>
    <hyperlink ref="R104" r:id="rId99" display="https://dailymed.nlm.nih.gov/dailymed/search.cfm?labeltype=all&amp;query=bivalirudin"/>
    <hyperlink ref="R105" r:id="rId100" display="https://dailymed.nlm.nih.gov/dailymed/search.cfm?labeltype=all&amp;query=neostigmine"/>
    <hyperlink ref="R106" r:id="rId101" display="https://dailymed.nlm.nih.gov/dailymed/search.cfm?labeltype=all&amp;query=naloxone+hydrochloride+injection"/>
    <hyperlink ref="R107" r:id="rId102" display="https://dailymed.nlm.nih.gov/dailymed/search.cfm?labeltype=all&amp;query=ephedrine+sulfate+injection"/>
    <hyperlink ref="R108" r:id="rId103" display="https://dailymed.nlm.nih.gov/dailymed/search.cfm?labeltype=all&amp;query=diazepam+injection"/>
    <hyperlink ref="R109" r:id="rId104" display="https://dailymed.nlm.nih.gov/dailymed/search.cfm?labeltype=all&amp;query=regadenoson"/>
    <hyperlink ref="R110" r:id="rId105" display="https://dailymed.nlm.nih.gov/dailymed/search.cfm?labeltype=all&amp;query=triamcinolone+acetonide+injectable+suspension"/>
    <hyperlink ref="R111" r:id="rId106" display="https://dailymed.nlm.nih.gov/dailymed/search.cfm?labeltype=all&amp;query=ferric+carboxymaltose"/>
    <hyperlink ref="R112" r:id="rId107" display="https://dailymed.nlm.nih.gov/dailymed/search.cfm?labeltype=all&amp;query=azacitidine"/>
    <hyperlink ref="R113" r:id="rId108" display="https://dailymed.nlm.nih.gov/dailymed/search.cfm?labeltype=all&amp;query=bortezomib"/>
    <hyperlink ref="R114" r:id="rId109" display="https://dailymed.nlm.nih.gov/dailymed/search.cfm?labeltype=all&amp;query=daptomycin"/>
    <hyperlink ref="R115" r:id="rId110" display="https://dailymed.nlm.nih.gov/dailymed/search.cfm?labeltype=all&amp;query=plerixafor"/>
    <hyperlink ref="R116" r:id="rId111" display="https://dailymed.nlm.nih.gov/dailymed/search.cfm?labeltype=all&amp;query=sugammadex"/>
    <hyperlink ref="R117" r:id="rId112" display="https://dailymed.nlm.nih.gov/dailymed/search.cfm?labeltype=all&amp;query=cyclophosphamide"/>
    <hyperlink ref="R118" r:id="rId113" display="https://dailymed.nlm.nih.gov/dailymed/search.cfm?labeltype=all&amp;query=melphalan+hydrochloride"/>
    <hyperlink ref="R119" r:id="rId114" display="https://dailymed.nlm.nih.gov/dailymed/search.cfm?labeltype=all&amp;query=eribulin"/>
    <hyperlink ref="R120" r:id="rId115" display="https://dailymed.nlm.nih.gov/dailymed/search.cfm?labeltype=all&amp;query=amikacin"/>
    <hyperlink ref="R121" r:id="rId116" display="https://dailymed.nlm.nih.gov/dailymed/search.cfm?labeltype=all&amp;query=pentamidine"/>
    <hyperlink ref="R122" r:id="rId117" display="https://dailymed.nlm.nih.gov/dailymed/search.cfm?labeltype=all&amp;query=propofol"/>
    <hyperlink ref="R123" r:id="rId118" display="https://dailymed.nlm.nih.gov/dailymed/search.cfm?labeltype=all&amp;query=pantoprazole+sodium+for+injection"/>
    <hyperlink ref="R124" r:id="rId119" display="https://dailymed.nlm.nih.gov/dailymed/search.cfm?labeltype=all&amp;query=milrinone"/>
    <hyperlink ref="R125" r:id="rId120" display="https://dailymed.nlm.nih.gov/dailymed/search.cfm?labeltype=all&amp;query=isoproterenol"/>
    <hyperlink ref="R126" r:id="rId121" display="https://dailymed.nlm.nih.gov/dailymed/search.cfm?labeltype=all&amp;query=esomeprazole+sodium"/>
    <hyperlink ref="R127" r:id="rId122" display="https://dailymed.nlm.nih.gov/dailymed/search.cfm?labeltype=all&amp;query=ondansetron+injection"/>
    <hyperlink ref="R128" r:id="rId123" display="https://dailymed.nlm.nih.gov/dailymed/search.cfm?labeltype=all&amp;query=colistimethate"/>
    <hyperlink ref="R129" r:id="rId124" display="https://dailymed.nlm.nih.gov/dailymed/search.cfm?labeltype=all&amp;query=acetazolamide"/>
    <hyperlink ref="R130" r:id="rId125" display="https://dailymed.nlm.nih.gov/dailymed/search.cfm?labeltype=all&amp;query=neostigmine"/>
    <hyperlink ref="R131" r:id="rId126" display="https://dailymed.nlm.nih.gov/dailymed/search.cfm?labeltype=all&amp;query=ampicillin"/>
    <hyperlink ref="R132" r:id="rId127" display="https://dailymed.nlm.nih.gov/dailymed/search.cfm?labeltype=all&amp;query=fulvestrant"/>
    <hyperlink ref="R133" r:id="rId128" display="https://dailymed.nlm.nih.gov/dailymed/search.cfm?labeltype=all&amp;query=sugammadex"/>
    <hyperlink ref="R134" r:id="rId129" display="https://dailymed.nlm.nih.gov/dailymed/search.cfm?labeltype=all&amp;query=bortezomib"/>
    <hyperlink ref="R135" r:id="rId130" display="https://dailymed.nlm.nih.gov/dailymed/search.cfm?labeltype=all&amp;query=eribulin"/>
    <hyperlink ref="R136" r:id="rId131" display="https://dailymed.nlm.nih.gov/dailymed/search.cfm?labeltype=all&amp;query=azacitidine"/>
    <hyperlink ref="R137" r:id="rId132" display="https://dailymed.nlm.nih.gov/dailymed/search.cfm?labeltype=all&amp;query=plerixafor"/>
    <hyperlink ref="R138" r:id="rId133" display="https://dailymed.nlm.nih.gov/dailymed/search.cfm?labeltype=all&amp;query=azacitidine"/>
    <hyperlink ref="R139" r:id="rId134" display="https://dailymed.nlm.nih.gov/dailymed/search.cfm?labeltype=all&amp;query=daptomycin"/>
    <hyperlink ref="R140" r:id="rId135" display="https://dailymed.nlm.nih.gov/dailymed/search.cfm?labeltype=all&amp;query=bortezomib"/>
    <hyperlink ref="R141" r:id="rId136" display="https://dailymed.nlm.nih.gov/dailymed/search.cfm?labeltype=all&amp;query=plerixafor"/>
    <hyperlink ref="R142" r:id="rId137" display="https://dailymed.nlm.nih.gov/dailymed/search.cfm?labeltype=all&amp;query=sugammadex"/>
    <hyperlink ref="R143" r:id="rId138" display="https://www.medicines.org.uk/emc/search?q=teicoplanin"/>
    <hyperlink ref="R144" r:id="rId139" display="https://dailymed.nlm.nih.gov/dailymed/search.cfm?labeltype=all&amp;query=melphalan+hydrochloride"/>
    <hyperlink ref="R145" r:id="rId140" display="https://dailymed.nlm.nih.gov/dailymed/search.cfm?labeltype=all&amp;query=isoproterenol"/>
    <hyperlink ref="R146" r:id="rId141" display="https://dailymed.nlm.nih.gov/dailymed/search.cfm?labeltype=all&amp;query=pantoprazole+sodium+for+injection"/>
    <hyperlink ref="R147" r:id="rId142" display="https://dailymed.nlm.nih.gov/dailymed/search.cfm?labeltype=all&amp;query=magnesium+sulfate+injection"/>
    <hyperlink ref="R148" r:id="rId143" display="https://dailymed.nlm.nih.gov/dailymed/search.cfm?labeltype=all&amp;query=methotrexate+injection"/>
    <hyperlink ref="R149" r:id="rId144" display="https://dailymed.nlm.nih.gov/dailymed/search.cfm?labeltype=all&amp;query=rocuronium"/>
    <hyperlink ref="R150" r:id="rId145" display="https://dailymed.nlm.nih.gov/dailymed/search.cfm?labeltype=all&amp;query=brivaracetam"/>
    <hyperlink ref="R151" r:id="rId146" display="https://dailymed.nlm.nih.gov/dailymed/search.cfm?labeltype=all&amp;query=sodium+bicarbonate+injection"/>
    <hyperlink ref="R152" r:id="rId147" display="https://dailymed.nlm.nih.gov/dailymed/search.cfm?labeltype=all&amp;query=chlorpromazine"/>
    <hyperlink ref="R153" r:id="rId148" display="https://dailymed.nlm.nih.gov/dailymed/search.cfm?labeltype=all&amp;query=succinylcholine"/>
    <hyperlink ref="R154" r:id="rId149" display="https://dailymed.nlm.nih.gov/dailymed/search.cfm?labeltype=all&amp;query=propofol"/>
    <hyperlink ref="R155" r:id="rId150" display="https://dailymed.nlm.nih.gov/dailymed/search.cfm?labeltype=all&amp;query=lidocaine+hydrochloride+injection"/>
    <hyperlink ref="R156" r:id="rId151" display="https://dailymed.nlm.nih.gov/dailymed/search.cfm?labeltype=all&amp;query=glycopyrrolate+injection"/>
    <hyperlink ref="R157" r:id="rId152" display="https://dailymed.nlm.nih.gov/dailymed/search.cfm?labeltype=all&amp;query=palonosetron"/>
    <hyperlink ref="R158" r:id="rId153" display="https://dailymed.nlm.nih.gov/dailymed/search.cfm?labeltype=all&amp;query=verapamil+hydrochloride+injection"/>
    <hyperlink ref="R159" r:id="rId154" display="https://dailymed.nlm.nih.gov/dailymed/search.cfm?labeltype=all&amp;query=cyanocobalamin+injection"/>
    <hyperlink ref="R160" r:id="rId155" display="https://dailymed.nlm.nih.gov/dailymed/search.cfm?labeltype=all&amp;query=azacitidine"/>
    <hyperlink ref="R161" r:id="rId156" display="https://dailymed.nlm.nih.gov/dailymed/search.cfm?labeltype=all&amp;query=pegfilgrastim"/>
    <hyperlink ref="R162" r:id="rId157" display="https://dailymed.nlm.nih.gov/dailymed/search.cfm?labeltype=all&amp;query=bortezomib"/>
    <hyperlink ref="R163" r:id="rId158" display="https://www.medicines.org.uk/emc/search?q=amoxicillin+injection"/>
    <hyperlink ref="R164" r:id="rId159" display="https://dailymed.nlm.nih.gov/dailymed/search.cfm?labeltype=all&amp;query=paclitaxel"/>
    <hyperlink ref="R165" r:id="rId160" display="https://dailymed.nlm.nih.gov/dailymed/search.cfm?labeltype=all&amp;query=daptomycin"/>
    <hyperlink ref="R166" r:id="rId161" display="https://dailymed.nlm.nih.gov/dailymed/search.cfm?labeltype=all&amp;query=plerixafor"/>
    <hyperlink ref="R167" r:id="rId162" display="https://dailymed.nlm.nih.gov/dailymed/search.cfm?labeltype=all&amp;query=fulvestrant"/>
    <hyperlink ref="R168" r:id="rId163" display="https://dailymed.nlm.nih.gov/dailymed/search.cfm?labeltype=all&amp;query=sugammadex"/>
    <hyperlink ref="R169" r:id="rId164" display="https://dailymed.nlm.nih.gov/dailymed/search.cfm?labeltype=all&amp;query=doxorubicin"/>
    <hyperlink ref="R170" r:id="rId165" display="https://dailymed.nlm.nih.gov/dailymed/search.cfm?labeltype=all&amp;query=mitomycin"/>
    <hyperlink ref="R171" r:id="rId166" display="https://dailymed.nlm.nih.gov/dailymed/search.cfm?labeltype=all&amp;query=fludarabine"/>
    <hyperlink ref="R172" r:id="rId167" display="https://dailymed.nlm.nih.gov/dailymed/search.cfm?labeltype=all&amp;query=methotrexate+injection"/>
    <hyperlink ref="R173" r:id="rId168" display="https://dailymed.nlm.nih.gov/dailymed/search.cfm?labeltype=all&amp;query=ustekinumab"/>
    <hyperlink ref="R174" r:id="rId169" display="https://dailymed.nlm.nih.gov/dailymed/search.cfm?labeltype=all&amp;query=denosumab"/>
    <hyperlink ref="R175" r:id="rId170" display="https://dailymed.nlm.nih.gov/dailymed/search.cfm?labeltype=all&amp;query=leuprolide"/>
    <hyperlink ref="R176" r:id="rId171" display="https://dailymed.nlm.nih.gov/dailymed/search.cfm?labeltype=all&amp;query=eptifibatide"/>
    <hyperlink ref="R177" r:id="rId172" display="https://dailymed.nlm.nih.gov/dailymed/search.cfm?labeltype=all&amp;query=fluorouracil+injection"/>
    <hyperlink ref="R178" r:id="rId173" display="https://dailymed.nlm.nih.gov/dailymed/search.cfm?labeltype=all&amp;query=ondansetron+injection"/>
    <hyperlink ref="R179" r:id="rId174" display="https://dailymed.nlm.nih.gov/dailymed/search.cfm?labeltype=all&amp;query=melphalan+hydrochloride"/>
    <hyperlink ref="R180" r:id="rId175" display="https://dailymed.nlm.nih.gov/dailymed/search.cfm?labeltype=all&amp;query=eribulin"/>
    <hyperlink ref="R181" r:id="rId176" display="https://dailymed.nlm.nih.gov/dailymed/search.cfm?labeltype=all&amp;query=cyclophosphamide"/>
    <hyperlink ref="R182" r:id="rId177" display="https://dailymed.nlm.nih.gov/dailymed/search.cfm?labeltype=all&amp;query=bleomycin"/>
    <hyperlink ref="R183" r:id="rId178" display="https://dailymed.nlm.nih.gov/dailymed/search.cfm?labeltype=all&amp;query=ranibizumab"/>
    <hyperlink ref="R184" r:id="rId179" display="https://dailymed.nlm.nih.gov/dailymed/search.cfm?labeltype=all&amp;query=idarubicin"/>
    <hyperlink ref="R185" r:id="rId180" display="https://dailymed.nlm.nih.gov/dailymed/search.cfm?labeltype=all&amp;query=tigecycline"/>
    <hyperlink ref="R186" r:id="rId181" display="https://dailymed.nlm.nih.gov/dailymed/search.cfm?labeltype=all&amp;query=palonosetron"/>
    <hyperlink ref="R187" r:id="rId182" display="https://dailymed.nlm.nih.gov/dailymed/search.cfm?labeltype=all&amp;query=argatroban"/>
    <hyperlink ref="R188" r:id="rId183" display="https://dailymed.nlm.nih.gov/dailymed/search.cfm?labeltype=all&amp;query=bivalirudin"/>
    <hyperlink ref="R189" r:id="rId184" display="https://dailymed.nlm.nih.gov/dailymed/search.cfm?labeltype=all&amp;query=epinephrine+injection"/>
    <hyperlink ref="R190" r:id="rId185" display="https://dailymed.nlm.nih.gov/dailymed/search.cfm?labeltype=all&amp;query=atropine"/>
    <hyperlink ref="R191" r:id="rId186" display="https://dailymed.nlm.nih.gov/dailymed/search.cfm?labeltype=all&amp;query=pantoprazole+sodium+for+injection"/>
    <hyperlink ref="R192" r:id="rId187" display="https://dailymed.nlm.nih.gov/dailymed/search.cfm?labeltype=all&amp;query=mitoxantrone"/>
    <hyperlink ref="R193" r:id="rId188" display="https://dailymed.nlm.nih.gov/dailymed/search.cfm?labeltype=all&amp;query=cisatracurium"/>
    <hyperlink ref="R194" r:id="rId189" display="https://dailymed.nlm.nih.gov/dailymed/search.cfm?labeltype=all&amp;query=ibandronate+injection"/>
    <hyperlink ref="R195" r:id="rId190" display="https://dailymed.nlm.nih.gov/dailymed/search.cfm?labeltype=all&amp;query=amiodarone"/>
    <hyperlink ref="R196" r:id="rId191" display="https://dailymed.nlm.nih.gov/dailymed/search.cfm?labeltype=all&amp;query=vinorelbine"/>
    <hyperlink ref="R197" r:id="rId192" display="https://dailymed.nlm.nih.gov/dailymed/search.cfm?labeltype=all&amp;query=epirubicin"/>
    <hyperlink ref="R198" r:id="rId193" display="https://dailymed.nlm.nih.gov/dailymed/search.cfm?labeltype=all&amp;query=esomeprazole+sodium"/>
    <hyperlink ref="R199" r:id="rId194" display="https://dailymed.nlm.nih.gov/dailymed/search.cfm?labeltype=all&amp;query=degarelix"/>
    <hyperlink ref="R200" r:id="rId195" display="https://dailymed.nlm.nih.gov/dailymed/search.cfm?labeltype=all&amp;query=midazolam+injection"/>
    <hyperlink ref="R201" r:id="rId196" display="https://dailymed.nlm.nih.gov/dailymed/search.cfm?labeltype=all&amp;query=cefepime"/>
    <hyperlink ref="R202" r:id="rId197" display="https://dailymed.nlm.nih.gov/dailymed/search.cfm?labeltype=all&amp;query=rocuronium"/>
    <hyperlink ref="R203" r:id="rId198" display="https://dailymed.nlm.nih.gov/dailymed/search.cfm?labeltype=all&amp;query=cytarabine"/>
    <hyperlink ref="R204" r:id="rId199" display="https://dailymed.nlm.nih.gov/dailymed/search.cfm?labeltype=all&amp;query=paricalcitol+injection"/>
    <hyperlink ref="R205" r:id="rId200" display="https://www.medicines.org.uk/emc/search?q=flucloxacillin"/>
    <hyperlink ref="R206" r:id="rId201" display="https://dailymed.nlm.nih.gov/dailymed/search.cfm?labeltype=all&amp;query=colistimethate"/>
    <hyperlink ref="R207" r:id="rId202" display="https://www.medicines.org.uk/emc/search?q=atracurium"/>
    <hyperlink ref="R208" r:id="rId203" display="https://dailymed.nlm.nih.gov/dailymed/search.cfm?labeltype=all&amp;query=regadenoson"/>
    <hyperlink ref="R209" r:id="rId204" display="https://dailymed.nlm.nih.gov/dailymed/search.cfm?labeltype=all&amp;query=progesterone+injection"/>
    <hyperlink ref="R210" r:id="rId205" display="https://www.medicines.org.uk/emc/search?q=hydroxocobalamin"/>
    <hyperlink ref="R211" r:id="rId206" display="https://dailymed.nlm.nih.gov/dailymed/search.cfm?labeltype=all&amp;query=naloxone+hydrochloride+injection"/>
    <hyperlink ref="R212" r:id="rId207" display="https://dailymed.nlm.nih.gov/dailymed/search.cfm?labeltype=all&amp;query=ceftriaxone"/>
    <hyperlink ref="R213" r:id="rId208" display="https://dailymed.nlm.nih.gov/dailymed/search.cfm?labeltype=all&amp;query=lidocaine+hydrochloride+injection"/>
    <hyperlink ref="R214" r:id="rId209" display="https://www.medicines.org.uk/emc/search?q=teicoplanin"/>
    <hyperlink ref="R215" r:id="rId210" display="https://dailymed.nlm.nih.gov/dailymed/search.cfm?labeltype=all&amp;query=phenylephrine+hydrochloride+injection"/>
    <hyperlink ref="R216" r:id="rId211" display="https://dailymed.nlm.nih.gov/dailymed/search.cfm?labeltype=all&amp;query=phenytoin+sodium+injection"/>
    <hyperlink ref="R217" r:id="rId212" display="https://dailymed.nlm.nih.gov/dailymed/search.cfm?labeltype=all&amp;query=succinylcholine"/>
    <hyperlink ref="R218" r:id="rId213" display="https://dailymed.nlm.nih.gov/dailymed/search.cfm?labeltype=all&amp;query=vincristine"/>
    <hyperlink ref="R219" r:id="rId214" display="https://dailymed.nlm.nih.gov/dailymed/search.cfm?labeltype=all&amp;query=glycopyrrolate+injection"/>
    <hyperlink ref="R220" r:id="rId215" display="https://dailymed.nlm.nih.gov/dailymed/search.cfm?labeltype=all&amp;query=sugammadex"/>
    <hyperlink ref="R221" r:id="rId216" display="https://dailymed.nlm.nih.gov/dailymed/search.cfm?labeltype=all&amp;query=diazepam+injection"/>
    <hyperlink ref="R222" r:id="rId217" display="https://dailymed.nlm.nih.gov/dailymed/search.cfm?labeltype=all&amp;query=ertapenem"/>
    <hyperlink ref="R223" r:id="rId218" display="https://dailymed.nlm.nih.gov/dailymed/search.cfm?labeltype=all&amp;query=daptomycin"/>
    <hyperlink ref="R224" r:id="rId219" display="https://dailymed.nlm.nih.gov/dailymed/search.cfm?labeltype=all&amp;query=meropenem"/>
    <hyperlink ref="R225" r:id="rId220" display="https://www.medicines.org.uk/emc/search?q=teicoplanin"/>
    <hyperlink ref="R226" r:id="rId221" display="https://dailymed.nlm.nih.gov/dailymed/search.cfm?labeltype=all&amp;query=milrinone"/>
    <hyperlink ref="R227" r:id="rId222" display="https://dailymed.nlm.nih.gov/dailymed/search.cfm?labeltype=all&amp;query=testosterone+undecanoate"/>
    <hyperlink ref="R228" r:id="rId223" display="https://dailymed.nlm.nih.gov/dailymed/search.cfm?labeltype=all&amp;query=cisatracurium"/>
    <hyperlink ref="R229" r:id="rId224" display="https://dailymed.nlm.nih.gov/dailymed/search.cfm?labeltype=all&amp;query=ephedrine+sulfate+injection"/>
    <hyperlink ref="R230" r:id="rId225" display="https://dailymed.nlm.nih.gov/dailymed/search.cfm?labeltype=all&amp;query=oxytocin"/>
    <hyperlink ref="R231" r:id="rId226" display="https://dailymed.nlm.nih.gov/dailymed/search.cfm?labeltype=all&amp;query=iron+sucrose"/>
    <hyperlink ref="R232" r:id="rId227" display="https://dailymed.nlm.nih.gov/dailymed/search.cfm?labeltype=all&amp;query=olanzapine+for+injection"/>
    <hyperlink ref="R233" r:id="rId228" display="https://dailymed.nlm.nih.gov/dailymed/search.cfm?labeltype=all&amp;query=cefazolin"/>
    <hyperlink ref="R234" r:id="rId229" display="https://dailymed.nlm.nih.gov/dailymed/search.cfm?labeltype=all&amp;query=alfentanil"/>
    <hyperlink ref="R235" r:id="rId230" display="https://dailymed.nlm.nih.gov/dailymed/search.cfm?labeltype=all&amp;query=famotidine+injection"/>
    <hyperlink ref="R236" r:id="rId231" display="https://dailymed.nlm.nih.gov/dailymed/search.cfm?labeltype=all&amp;query=remifentanil"/>
    <hyperlink ref="R237" r:id="rId232" display="https://dailymed.nlm.nih.gov/dailymed/search.cfm?labeltype=all&amp;query=fentanyl+citrate+injection"/>
    <hyperlink ref="R238" r:id="rId233" display="https://dailymed.nlm.nih.gov/dailymed/search.cfm?labeltype=all&amp;query=droperidol"/>
    <hyperlink ref="R239" r:id="rId234" display="https://dailymed.nlm.nih.gov/dailymed/search.cfm?labeltype=all&amp;query=bortezomib"/>
    <hyperlink ref="R240" r:id="rId235" display="https://dailymed.nlm.nih.gov/dailymed/search.cfm?labeltype=all&amp;query=plerixafor"/>
    <hyperlink ref="R241" r:id="rId236" display="https://dailymed.nlm.nih.gov/dailymed/search.cfm?labeltype=all&amp;query=sugammadex"/>
    <hyperlink ref="R242" r:id="rId237" display="https://dailymed.nlm.nih.gov/dailymed/search.cfm?labeltype=all&amp;query=fluphenazine+decanoate"/>
    <hyperlink ref="R243" r:id="rId238" display="https://dailymed.nlm.nih.gov/dailymed/search.cfm?labeltype=all&amp;query=gadobutrol"/>
    <hyperlink ref="R244" r:id="rId239" display="https://dailymed.nlm.nih.gov/dailymed/search.cfm?labeltype=all&amp;query=brivaracetam"/>
    <hyperlink ref="R245" r:id="rId240" display="https://dailymed.nlm.nih.gov/dailymed/search.cfm?labeltype=all&amp;query=chlorpromazine"/>
    <hyperlink ref="R246" r:id="rId241" display="https://dailymed.nlm.nih.gov/dailymed/search.cfm?labeltype=all&amp;query=levetiracetam+injection"/>
    <hyperlink ref="R247" r:id="rId242" display="https://dailymed.nlm.nih.gov/dailymed/search.cfm?labeltype=all&amp;query=caffeine+citrate"/>
    <hyperlink ref="R248" r:id="rId243" display="https://dailymed.nlm.nih.gov/dailymed/search.cfm?labeltype=all&amp;query=isoproterenol"/>
    <hyperlink ref="R249" r:id="rId244" display="https://dailymed.nlm.nih.gov/dailymed/search.cfm?labeltype=all&amp;query=carboprost"/>
    <hyperlink ref="R250" r:id="rId245" display="https://www.medicines.org.uk/emc/search?q=cyclizine"/>
    <hyperlink ref="R251" r:id="rId246" display="https://dailymed.nlm.nih.gov/dailymed/search.cfm?labeltype=all&amp;query=brivaracetam"/>
    <hyperlink ref="R252" r:id="rId247" display="https://dailymed.nlm.nih.gov/dailymed/search.cfm?labeltype=all&amp;query=lincomycin"/>
    <hyperlink ref="R253" r:id="rId248" display="https://dailymed.nlm.nih.gov/dailymed/search.cfm?labeltype=all&amp;query=verapamil+hydrochloride+injection"/>
    <hyperlink ref="R254" r:id="rId249" display="https://dailymed.nlm.nih.gov/dailymed/search.cfm?labeltype=all&amp;query=diphenhydramine+injection"/>
    <hyperlink ref="R255" r:id="rId250" display="https://dailymed.nlm.nih.gov/dailymed/search.cfm?labeltype=all&amp;query=succinylcholine"/>
    <hyperlink ref="R256" r:id="rId251" display="https://dailymed.nlm.nih.gov/dailymed/search.cfm?labeltype=all&amp;query=meropenem"/>
    <hyperlink ref="R257" r:id="rId252" display="https://dailymed.nlm.nih.gov/dailymed/search.cfm?labeltype=all&amp;query=carboprost"/>
    <hyperlink ref="R258" r:id="rId253" display="https://dailymed.nlm.nih.gov/dailymed/search.cfm?labeltype=all&amp;query=bupivacaine"/>
    <hyperlink ref="R259" r:id="rId254" display="https://dailymed.nlm.nih.gov/dailymed/search.cfm?labeltype=all&amp;query=methohexital"/>
    <hyperlink ref="R260" r:id="rId255" display="https://dailymed.nlm.nih.gov/dailymed/search.cfm?labeltype=all&amp;query=nafcillin"/>
    <hyperlink ref="R261" r:id="rId256" display="https://dailymed.nlm.nih.gov/dailymed/search.cfm?labeltype=all&amp;query=sugammadex"/>
    <hyperlink ref="R262" r:id="rId257" display="https://dailymed.nlm.nih.gov/dailymed/search.cfm?labeltype=all&amp;query=baclofen"/>
    <hyperlink ref="R263" r:id="rId258" display="https://dailymed.nlm.nih.gov/dailymed/search.cfm?labeltype=all&amp;query=alfentanil"/>
    <hyperlink ref="R264" r:id="rId259" display="https://dailymed.nlm.nih.gov/dailymed/search.cfm?labeltype=all&amp;query=cisatracurium"/>
    <hyperlink ref="R265" r:id="rId260" display="https://dailymed.nlm.nih.gov/dailymed/search.cfm?labeltype=all&amp;query=remifentanil"/>
    <hyperlink ref="R266" r:id="rId261" display="https://dailymed.nlm.nih.gov/dailymed/search.cfm?labeltype=all&amp;query=fentanyl+citrate+injection"/>
    <hyperlink ref="R267" r:id="rId262" display="https://dailymed.nlm.nih.gov/dailymed/search.cfm?labeltype=all&amp;query=etomidate"/>
    <hyperlink ref="R268" r:id="rId263" display="https://dailymed.nlm.nih.gov/dailymed/search.cfm?labeltype=all&amp;query=meropenem"/>
    <hyperlink ref="R269" r:id="rId264" display="https://dailymed.nlm.nih.gov/dailymed/search.cfm?labeltype=all&amp;query=piperacillin+and+tazobactam"/>
    <hyperlink ref="R270" r:id="rId265" display="https://dailymed.nlm.nih.gov/dailymed/search.cfm?labeltype=all&amp;query=ceftazidime"/>
    <hyperlink ref="R271" r:id="rId266" display="https://dailymed.nlm.nih.gov/dailymed/search.cfm?labeltype=all&amp;query=cefepime"/>
    <hyperlink ref="R272" r:id="rId267" display="https://dailymed.nlm.nih.gov/dailymed/search.cfm?labeltype=all&amp;query=hydrocortisone+sodium+succinate"/>
    <hyperlink ref="R273" r:id="rId268" display="https://dailymed.nlm.nih.gov/dailymed/search.cfm?labeltype=all&amp;query=bortezomib"/>
    <hyperlink ref="R274" r:id="rId269" display="https://dailymed.nlm.nih.gov/dailymed/search.cfm?labeltype=all&amp;query=fulvestrant"/>
    <hyperlink ref="R275" r:id="rId270" display="https://dailymed.nlm.nih.gov/dailymed/search.cfm?labeltype=all&amp;query=sugammadex"/>
    <hyperlink ref="R276" r:id="rId271" display="https://dailymed.nlm.nih.gov/dailymed/search.cfm?labeltype=all&amp;query=doxorubicin"/>
    <hyperlink ref="R277" r:id="rId272" display="https://dailymed.nlm.nih.gov/dailymed/search.cfm?labeltype=all&amp;query=melphalan+hydrochloride"/>
    <hyperlink ref="R278" r:id="rId273" display="https://dailymed.nlm.nih.gov/dailymed/search.cfm?labeltype=all&amp;query=meropenem"/>
    <hyperlink ref="R279" r:id="rId274" display="https://www.medicines.org.uk/emc/search?q=teicoplanin"/>
    <hyperlink ref="R280" r:id="rId275" display="https://dailymed.nlm.nih.gov/dailymed/search.cfm?labeltype=all&amp;query=aripiprazole"/>
    <hyperlink ref="R281" r:id="rId276" display="https://dailymed.nlm.nih.gov/dailymed/search.cfm?labeltype=all&amp;query=testosterone+cypionate"/>
    <hyperlink ref="R282" r:id="rId277" display="https://dailymed.nlm.nih.gov/dailymed/search.cfm?labeltype=all&amp;query=octreotide"/>
    <hyperlink ref="R283" r:id="rId278" display="https://dailymed.nlm.nih.gov/dailymed/search.cfm?labeltype=all&amp;query=pantoprazole+sodium+for+injection"/>
    <hyperlink ref="R284" r:id="rId279" display="https://dailymed.nlm.nih.gov/dailymed/search.cfm?labeltype=all&amp;query=chlorothiazide"/>
    <hyperlink ref="R285" r:id="rId280" display="https://dailymed.nlm.nih.gov/dailymed/search.cfm?labeltype=all&amp;query=esomeprazole+sodium"/>
    <hyperlink ref="R286" r:id="rId281" display="https://dailymed.nlm.nih.gov/dailymed/search.cfm?labeltype=all&amp;query=paricalcitol+injection"/>
    <hyperlink ref="R287" r:id="rId282" display="https://dailymed.nlm.nih.gov/dailymed/search.cfm?labeltype=all&amp;query=testosterone+undecanoate"/>
    <hyperlink ref="R288" r:id="rId283" display="https://dailymed.nlm.nih.gov/dailymed/search.cfm?labeltype=all&amp;query=vecuronium"/>
    <hyperlink ref="R289" r:id="rId284" display="https://dailymed.nlm.nih.gov/dailymed/search.cfm?labeltype=all&amp;query=terlipressin"/>
    <hyperlink ref="R290" r:id="rId285" display="https://dailymed.nlm.nih.gov/dailymed/search.cfm?labeltype=all&amp;query=fulvestrant"/>
    <hyperlink ref="R291" r:id="rId286" display="https://dailymed.nlm.nih.gov/dailymed/search.cfm?labeltype=all&amp;query=paliperidone+palmitate"/>
    <hyperlink ref="R292" r:id="rId287" display="https://dailymed.nlm.nih.gov/dailymed/search.cfm?labeltype=all&amp;query=meropenem"/>
    <hyperlink ref="R293" r:id="rId288" display="https://dailymed.nlm.nih.gov/dailymed/search.cfm?labeltype=all&amp;query=voriconazole"/>
    <hyperlink ref="R294" r:id="rId289" display="https://dailymed.nlm.nih.gov/dailymed/search.cfm?labeltype=all&amp;query=granisetron"/>
    <hyperlink ref="R295" r:id="rId290" display="https://dailymed.nlm.nih.gov/dailymed/search.cfm?labeltype=all&amp;query=levetiracetam+injection"/>
    <hyperlink ref="R296" r:id="rId291" display="https://dailymed.nlm.nih.gov/dailymed/search.cfm?labeltype=all&amp;query=rocuronium"/>
    <hyperlink ref="R297" r:id="rId292" display="https://dailymed.nlm.nih.gov/dailymed/search.cfm?labeltype=all&amp;query=ceftriaxone"/>
    <hyperlink ref="R298" r:id="rId293" display="https://dailymed.nlm.nih.gov/dailymed/search.cfm?labeltype=all&amp;query=bleomycin"/>
    <hyperlink ref="R299" r:id="rId294" display="https://dailymed.nlm.nih.gov/dailymed/search.cfm?labeltype=all&amp;query=meropenem"/>
    <hyperlink ref="R300" r:id="rId295" display="https://dailymed.nlm.nih.gov/dailymed/search.cfm?labeltype=all&amp;query=ceftazidime"/>
    <hyperlink ref="R301" r:id="rId296" display="https://dailymed.nlm.nih.gov/dailymed/search.cfm?labeltype=all&amp;query=daptomycin"/>
    <hyperlink ref="R302" r:id="rId297" display="https://dailymed.nlm.nih.gov/dailymed/search.cfm?labeltype=all&amp;query=sugammadex"/>
    <hyperlink ref="R303" r:id="rId298" display="https://dailymed.nlm.nih.gov/dailymed/search.cfm?labeltype=all&amp;query=ceftriaxone"/>
    <hyperlink ref="R304" r:id="rId299" display="https://dailymed.nlm.nih.gov/dailymed/search.cfm?labeltype=all&amp;query=vancomycin+injection"/>
    <hyperlink ref="R305" r:id="rId300" display="https://dailymed.nlm.nih.gov/dailymed/search.cfm?labeltype=all&amp;query=valproate+sodium+injection"/>
    <hyperlink ref="R306" r:id="rId301" display="https://dailymed.nlm.nih.gov/dailymed/search.cfm?labeltype=all&amp;query=ceftazidime"/>
    <hyperlink ref="R307" r:id="rId302" display="https://dailymed.nlm.nih.gov/dailymed/search.cfm?labeltype=all&amp;query=milrinone"/>
    <hyperlink ref="R308" r:id="rId303" display="https://dailymed.nlm.nih.gov/dailymed/search.cfm?labeltype=all&amp;query=ondansetron+injection"/>
    <hyperlink ref="R309" r:id="rId304" display="https://www.medicines.org.uk/emc/search?q=hyalase"/>
    <hyperlink ref="R310" r:id="rId305" display="https://dailymed.nlm.nih.gov/dailymed/search.cfm?labeltype=all&amp;query=haloperidol+lactate"/>
    <hyperlink ref="R311" r:id="rId306" display="https://dailymed.nlm.nih.gov/dailymed/search.cfm?labeltype=all&amp;query=remifentanil"/>
    <hyperlink ref="R312" r:id="rId307" display="https://www.medicines.org.uk/emc/search?q=metaraminol"/>
    <hyperlink ref="R313" r:id="rId308" display="https://dailymed.nlm.nih.gov/dailymed/search.cfm?labeltype=all&amp;query=protamine"/>
    <hyperlink ref="R314" r:id="rId309" display="https://www.medicines.org.uk/emc/search?q=hyoscine+hydrobromide+injection"/>
    <hyperlink ref="R315" r:id="rId310" display="https://dailymed.nlm.nih.gov/dailymed/search.cfm?labeltype=all&amp;query=adenosine"/>
    <hyperlink ref="R316" r:id="rId311" display="https://dailymed.nlm.nih.gov/dailymed/search.cfm?labeltype=all&amp;query=caffeine+citrate"/>
    <hyperlink ref="R317" r:id="rId312" display="https://dailymed.nlm.nih.gov/dailymed/search.cfm?labeltype=all&amp;query=oxacillin"/>
    <hyperlink ref="R318" r:id="rId313" display="https://dailymed.nlm.nih.gov/dailymed/search.cfm?labeltype=all&amp;query=morphine+sulfate+injection"/>
    <hyperlink ref="R319" r:id="rId314" display="https://www.medicines.org.uk/emc/search?q=chlorphenamine+injection"/>
    <hyperlink ref="R320" r:id="rId315" display="https://dailymed.nlm.nih.gov/dailymed/search.cfm?labeltype=all&amp;query=amikacin"/>
    <hyperlink ref="R321" r:id="rId316" display="https://dailymed.nlm.nih.gov/dailymed/search.cfm?labeltype=all&amp;query=bortezomib"/>
    <hyperlink ref="R322" r:id="rId317" display="https://dailymed.nlm.nih.gov/dailymed/search.cfm?labeltype=all&amp;query=sugammadex"/>
    <hyperlink ref="R323" r:id="rId318" display="https://dailymed.nlm.nih.gov/dailymed/search.cfm?labeltype=all&amp;query=fulvestrant"/>
    <hyperlink ref="R324" r:id="rId319" display="https://dailymed.nlm.nih.gov/dailymed/search.cfm?labeltype=all&amp;query=ceftriaxone"/>
    <hyperlink ref="R325" r:id="rId320" display="https://dailymed.nlm.nih.gov/dailymed/search.cfm?labeltype=all&amp;query=ethacrynate+sodium"/>
    <hyperlink ref="R326" r:id="rId321" display="https://dailymed.nlm.nih.gov/dailymed/search.cfm?labeltype=all&amp;query=hydrocortisone+sodium+succinate"/>
    <hyperlink ref="R327" r:id="rId322" display="https://dailymed.nlm.nih.gov/dailymed/search.cfm?labeltype=all&amp;query=indocyanine+green"/>
    <hyperlink ref="R328" r:id="rId323" display="https://dailymed.nlm.nih.gov/dailymed/search.cfm?labeltype=all&amp;query=cyanocobalamin+injection"/>
    <hyperlink ref="R329" r:id="rId324" display="https://dailymed.nlm.nih.gov/dailymed/search.cfm?labeltype=all&amp;query=fluorescein"/>
    <hyperlink ref="R330" r:id="rId325" display="https://dailymed.nlm.nih.gov/dailymed/search.cfm?labeltype=all&amp;query=cisatracurium"/>
    <hyperlink ref="R331" r:id="rId326" display="https://dailymed.nlm.nih.gov/dailymed/search.cfm?labeltype=all&amp;query=acetazolamide"/>
    <hyperlink ref="R332" r:id="rId327" display="https://dailymed.nlm.nih.gov/dailymed/search.cfm?labeltype=all&amp;query=haloperidol+decanoate"/>
    <hyperlink ref="R333" r:id="rId328" display="https://dailymed.nlm.nih.gov/dailymed/search.cfm?labeltype=all&amp;query=chlorpromazine"/>
    <hyperlink ref="R334" r:id="rId329" display="https://dailymed.nlm.nih.gov/dailymed/search.cfm?labeltype=all&amp;query=succinylcholine"/>
    <hyperlink ref="R335" r:id="rId330" display="https://dailymed.nlm.nih.gov/dailymed/search.cfm?labeltype=all&amp;query=iron+sucrose"/>
    <hyperlink ref="R336" r:id="rId331" display="https://dailymed.nlm.nih.gov/dailymed/search.cfm?labeltype=all&amp;query=ondansetron+injection"/>
    <hyperlink ref="R337" r:id="rId332" display="https://dailymed.nlm.nih.gov/dailymed/search.cfm?labeltype=all&amp;query=verapamil+hydrochloride+injection"/>
    <hyperlink ref="R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T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6"/>
    <col collapsed="false" customWidth="true" hidden="false" outlineLevel="0" max="5" min="4" style="0" width="7"/>
    <col collapsed="false" customWidth="true" hidden="false" outlineLevel="0" max="7" min="6" style="0" width="8"/>
    <col collapsed="false" customWidth="true" hidden="false" outlineLevel="0" max="8" min="8" style="0" width="6"/>
    <col collapsed="false" customWidth="true" hidden="false" outlineLevel="0" max="12" min="9" style="0" width="5"/>
    <col collapsed="false" customWidth="true" hidden="false" outlineLevel="0" max="13" min="13" style="0" width="12"/>
    <col collapsed="false" customWidth="true" hidden="false" outlineLevel="0" max="14" min="14" style="0" width="13"/>
    <col collapsed="false" customWidth="true" hidden="false" outlineLevel="0" max="15" min="15" style="0" width="10"/>
    <col collapsed="false" customWidth="true" hidden="false" outlineLevel="0" max="16" min="16" style="0" width="40"/>
    <col collapsed="false" customWidth="true" hidden="false" outlineLevel="0" max="17" min="17" style="0" width="30"/>
    <col collapsed="false" customWidth="true" hidden="false" outlineLevel="0" max="18" min="18" style="0" width="60"/>
    <col collapsed="false" customWidth="true" hidden="false" outlineLevel="0" max="20" min="19" style="0" width="40"/>
  </cols>
  <sheetData>
    <row r="1" customFormat="false" ht="17.35" hidden="false" customHeight="false" outlineLevel="0" collapsed="false">
      <c r="A1" s="1" t="s">
        <v>642</v>
      </c>
    </row>
    <row r="2" customFormat="false" ht="15" hidden="false" customHeight="false" outlineLevel="0" collapsed="false">
      <c r="A2" s="2" t="s">
        <v>643</v>
      </c>
    </row>
    <row r="4" customFormat="false" ht="42" hidden="false" customHeight="true" outlineLevel="0" collapsed="false">
      <c r="A4" s="6" t="s">
        <v>12</v>
      </c>
      <c r="B4" s="6" t="s">
        <v>62</v>
      </c>
      <c r="C4" s="6" t="s">
        <v>147</v>
      </c>
      <c r="D4" s="6" t="s">
        <v>644</v>
      </c>
      <c r="E4" s="6" t="s">
        <v>645</v>
      </c>
      <c r="F4" s="6" t="s">
        <v>646</v>
      </c>
      <c r="G4" s="6" t="s">
        <v>647</v>
      </c>
      <c r="H4" s="6" t="s">
        <v>94</v>
      </c>
      <c r="I4" s="6" t="s">
        <v>198</v>
      </c>
      <c r="J4" s="6" t="s">
        <v>232</v>
      </c>
      <c r="K4" s="6" t="s">
        <v>415</v>
      </c>
      <c r="L4" s="6" t="s">
        <v>337</v>
      </c>
      <c r="M4" s="6" t="s">
        <v>648</v>
      </c>
      <c r="N4" s="6" t="s">
        <v>649</v>
      </c>
      <c r="O4" s="6" t="s">
        <v>650</v>
      </c>
      <c r="P4" s="6" t="s">
        <v>651</v>
      </c>
      <c r="Q4" s="6" t="s">
        <v>652</v>
      </c>
      <c r="R4" s="6" t="s">
        <v>653</v>
      </c>
      <c r="S4" s="6" t="s">
        <v>654</v>
      </c>
      <c r="T4" s="6" t="s">
        <v>655</v>
      </c>
    </row>
    <row r="5" customFormat="false" ht="35.05" hidden="false" customHeight="false" outlineLevel="0" collapsed="false">
      <c r="A5" s="12" t="s">
        <v>51</v>
      </c>
      <c r="B5" s="12" t="s">
        <v>166</v>
      </c>
      <c r="C5" s="7"/>
      <c r="D5" s="7"/>
      <c r="E5" s="7"/>
      <c r="F5" s="7"/>
      <c r="G5" s="7"/>
      <c r="H5" s="7"/>
      <c r="I5" s="7"/>
      <c r="J5" s="7"/>
      <c r="K5" s="7"/>
      <c r="L5" s="7"/>
      <c r="M5" s="7" t="n">
        <v>2</v>
      </c>
      <c r="N5" s="7" t="n">
        <v>7</v>
      </c>
      <c r="O5" s="7"/>
      <c r="P5" s="10" t="s">
        <v>656</v>
      </c>
      <c r="Q5" s="30" t="s">
        <v>657</v>
      </c>
      <c r="R5" s="10" t="s">
        <v>658</v>
      </c>
      <c r="S5" s="12"/>
      <c r="T5" s="12"/>
    </row>
    <row r="6" customFormat="false" ht="23.85" hidden="false" customHeight="false" outlineLevel="0" collapsed="false">
      <c r="A6" s="12" t="s">
        <v>51</v>
      </c>
      <c r="B6" s="12" t="s">
        <v>285</v>
      </c>
      <c r="C6" s="7" t="s">
        <v>659</v>
      </c>
      <c r="D6" s="7"/>
      <c r="E6" s="7"/>
      <c r="F6" s="7"/>
      <c r="G6" s="7"/>
      <c r="H6" s="7"/>
      <c r="I6" s="7"/>
      <c r="J6" s="7"/>
      <c r="K6" s="7"/>
      <c r="L6" s="7"/>
      <c r="M6" s="7" t="n">
        <v>0</v>
      </c>
      <c r="N6" s="7" t="n">
        <v>0</v>
      </c>
      <c r="O6" s="7"/>
      <c r="P6" s="10"/>
      <c r="Q6" s="30" t="s">
        <v>657</v>
      </c>
      <c r="R6" s="10" t="s">
        <v>660</v>
      </c>
      <c r="S6" s="12"/>
      <c r="T6" s="12"/>
    </row>
    <row r="7" customFormat="false" ht="23.85" hidden="false" customHeight="false" outlineLevel="0" collapsed="false">
      <c r="A7" s="12" t="s">
        <v>51</v>
      </c>
      <c r="B7" s="12" t="s">
        <v>112</v>
      </c>
      <c r="C7" s="7" t="s">
        <v>659</v>
      </c>
      <c r="D7" s="7"/>
      <c r="E7" s="7"/>
      <c r="F7" s="7"/>
      <c r="G7" s="7"/>
      <c r="H7" s="7"/>
      <c r="I7" s="7"/>
      <c r="J7" s="7"/>
      <c r="K7" s="7"/>
      <c r="L7" s="7"/>
      <c r="M7" s="7" t="n">
        <v>0</v>
      </c>
      <c r="N7" s="7" t="n">
        <v>0</v>
      </c>
      <c r="O7" s="7"/>
      <c r="P7" s="10"/>
      <c r="Q7" s="30" t="s">
        <v>657</v>
      </c>
      <c r="R7" s="10" t="s">
        <v>661</v>
      </c>
      <c r="S7" s="12"/>
      <c r="T7" s="12"/>
    </row>
    <row r="8" customFormat="false" ht="23.85" hidden="false" customHeight="false" outlineLevel="0" collapsed="false">
      <c r="A8" s="12" t="s">
        <v>51</v>
      </c>
      <c r="B8" s="12" t="s">
        <v>283</v>
      </c>
      <c r="C8" s="7" t="s">
        <v>659</v>
      </c>
      <c r="D8" s="7"/>
      <c r="E8" s="7"/>
      <c r="F8" s="7"/>
      <c r="G8" s="7"/>
      <c r="H8" s="7"/>
      <c r="I8" s="7"/>
      <c r="J8" s="7"/>
      <c r="K8" s="7"/>
      <c r="L8" s="7"/>
      <c r="M8" s="7" t="n">
        <v>0</v>
      </c>
      <c r="N8" s="7" t="n">
        <v>0</v>
      </c>
      <c r="O8" s="7"/>
      <c r="P8" s="10"/>
      <c r="Q8" s="30" t="s">
        <v>657</v>
      </c>
      <c r="R8" s="10" t="s">
        <v>662</v>
      </c>
      <c r="S8" s="12"/>
      <c r="T8" s="12"/>
    </row>
    <row r="9" customFormat="false" ht="23.85" hidden="false" customHeight="false" outlineLevel="0" collapsed="false">
      <c r="A9" s="12" t="s">
        <v>51</v>
      </c>
      <c r="B9" s="12" t="s">
        <v>203</v>
      </c>
      <c r="C9" s="7" t="s">
        <v>659</v>
      </c>
      <c r="D9" s="7"/>
      <c r="E9" s="7"/>
      <c r="F9" s="7"/>
      <c r="G9" s="7"/>
      <c r="H9" s="7"/>
      <c r="I9" s="7"/>
      <c r="J9" s="7"/>
      <c r="K9" s="7"/>
      <c r="L9" s="7"/>
      <c r="M9" s="7" t="n">
        <v>0</v>
      </c>
      <c r="N9" s="7" t="n">
        <v>0</v>
      </c>
      <c r="O9" s="7"/>
      <c r="P9" s="10"/>
      <c r="Q9" s="30" t="s">
        <v>657</v>
      </c>
      <c r="R9" s="10" t="s">
        <v>663</v>
      </c>
      <c r="S9" s="12"/>
      <c r="T9" s="12"/>
    </row>
    <row r="10" customFormat="false" ht="23.85" hidden="false" customHeight="false" outlineLevel="0" collapsed="false">
      <c r="A10" s="12" t="s">
        <v>51</v>
      </c>
      <c r="B10" s="12" t="s">
        <v>305</v>
      </c>
      <c r="C10" s="7" t="s">
        <v>659</v>
      </c>
      <c r="D10" s="7"/>
      <c r="E10" s="7"/>
      <c r="F10" s="7"/>
      <c r="G10" s="7"/>
      <c r="H10" s="7"/>
      <c r="I10" s="7"/>
      <c r="J10" s="7"/>
      <c r="K10" s="7"/>
      <c r="L10" s="7"/>
      <c r="M10" s="7" t="n">
        <v>0</v>
      </c>
      <c r="N10" s="7" t="n">
        <v>0</v>
      </c>
      <c r="O10" s="7"/>
      <c r="P10" s="10"/>
      <c r="Q10" s="30" t="s">
        <v>657</v>
      </c>
      <c r="R10" s="10" t="s">
        <v>664</v>
      </c>
      <c r="S10" s="12"/>
      <c r="T10" s="12"/>
    </row>
    <row r="11" customFormat="false" ht="35.05" hidden="false" customHeight="false" outlineLevel="0" collapsed="false">
      <c r="A11" s="12" t="s">
        <v>23</v>
      </c>
      <c r="B11" s="12" t="s">
        <v>348</v>
      </c>
      <c r="C11" s="7"/>
      <c r="D11" s="7"/>
      <c r="E11" s="7" t="s">
        <v>659</v>
      </c>
      <c r="F11" s="7"/>
      <c r="G11" s="7"/>
      <c r="H11" s="7"/>
      <c r="I11" s="7" t="s">
        <v>659</v>
      </c>
      <c r="J11" s="7"/>
      <c r="K11" s="7"/>
      <c r="L11" s="7"/>
      <c r="M11" s="7" t="n">
        <v>1</v>
      </c>
      <c r="N11" s="7" t="n">
        <v>0</v>
      </c>
      <c r="O11" s="7"/>
      <c r="P11" s="10" t="s">
        <v>665</v>
      </c>
      <c r="Q11" s="30" t="s">
        <v>657</v>
      </c>
      <c r="R11" s="10" t="s">
        <v>666</v>
      </c>
      <c r="S11" s="12"/>
      <c r="T11" s="12"/>
    </row>
    <row r="12" customFormat="false" ht="23.85" hidden="false" customHeight="false" outlineLevel="0" collapsed="false">
      <c r="A12" s="12" t="s">
        <v>23</v>
      </c>
      <c r="B12" s="12" t="s">
        <v>345</v>
      </c>
      <c r="C12" s="7" t="s">
        <v>659</v>
      </c>
      <c r="D12" s="7"/>
      <c r="E12" s="7"/>
      <c r="F12" s="7"/>
      <c r="G12" s="7"/>
      <c r="H12" s="7"/>
      <c r="I12" s="7"/>
      <c r="J12" s="7"/>
      <c r="K12" s="7"/>
      <c r="L12" s="7"/>
      <c r="M12" s="7" t="n">
        <v>0</v>
      </c>
      <c r="N12" s="7" t="n">
        <v>0</v>
      </c>
      <c r="O12" s="7"/>
      <c r="P12" s="10"/>
      <c r="Q12" s="30" t="s">
        <v>657</v>
      </c>
      <c r="R12" s="10" t="s">
        <v>667</v>
      </c>
      <c r="S12" s="12"/>
      <c r="T12" s="12"/>
    </row>
    <row r="13" customFormat="false" ht="35.05" hidden="false" customHeight="false" outlineLevel="0" collapsed="false">
      <c r="A13" s="12" t="s">
        <v>23</v>
      </c>
      <c r="B13" s="12" t="s">
        <v>74</v>
      </c>
      <c r="C13" s="7"/>
      <c r="D13" s="7" t="s">
        <v>659</v>
      </c>
      <c r="E13" s="7"/>
      <c r="F13" s="7" t="s">
        <v>659</v>
      </c>
      <c r="G13" s="7"/>
      <c r="H13" s="7" t="s">
        <v>659</v>
      </c>
      <c r="I13" s="7" t="s">
        <v>659</v>
      </c>
      <c r="J13" s="7" t="s">
        <v>659</v>
      </c>
      <c r="K13" s="7" t="s">
        <v>659</v>
      </c>
      <c r="L13" s="7" t="s">
        <v>659</v>
      </c>
      <c r="M13" s="7" t="n">
        <v>8</v>
      </c>
      <c r="N13" s="7" t="n">
        <v>29</v>
      </c>
      <c r="O13" s="7"/>
      <c r="P13" s="10" t="s">
        <v>668</v>
      </c>
      <c r="Q13" s="30" t="s">
        <v>657</v>
      </c>
      <c r="R13" s="10" t="s">
        <v>669</v>
      </c>
      <c r="S13" s="12"/>
      <c r="T13" s="30" t="s">
        <v>670</v>
      </c>
    </row>
    <row r="14" customFormat="false" ht="35.05" hidden="false" customHeight="false" outlineLevel="0" collapsed="false">
      <c r="A14" s="12" t="s">
        <v>23</v>
      </c>
      <c r="B14" s="12" t="s">
        <v>87</v>
      </c>
      <c r="C14" s="7" t="s">
        <v>659</v>
      </c>
      <c r="D14" s="7" t="s">
        <v>659</v>
      </c>
      <c r="E14" s="7"/>
      <c r="F14" s="7" t="s">
        <v>659</v>
      </c>
      <c r="G14" s="7"/>
      <c r="H14" s="7" t="s">
        <v>659</v>
      </c>
      <c r="I14" s="7" t="s">
        <v>659</v>
      </c>
      <c r="J14" s="7" t="s">
        <v>659</v>
      </c>
      <c r="K14" s="7" t="s">
        <v>659</v>
      </c>
      <c r="L14" s="7" t="s">
        <v>659</v>
      </c>
      <c r="M14" s="7" t="n">
        <v>8</v>
      </c>
      <c r="N14" s="7" t="n">
        <v>28</v>
      </c>
      <c r="O14" s="7"/>
      <c r="P14" s="10" t="s">
        <v>671</v>
      </c>
      <c r="Q14" s="30" t="s">
        <v>657</v>
      </c>
      <c r="R14" s="10" t="s">
        <v>672</v>
      </c>
      <c r="S14" s="12"/>
      <c r="T14" s="30" t="s">
        <v>673</v>
      </c>
    </row>
    <row r="15" customFormat="false" ht="35.05" hidden="false" customHeight="false" outlineLevel="0" collapsed="false">
      <c r="A15" s="12" t="s">
        <v>23</v>
      </c>
      <c r="B15" s="12" t="s">
        <v>277</v>
      </c>
      <c r="C15" s="7"/>
      <c r="D15" s="7"/>
      <c r="E15" s="7"/>
      <c r="F15" s="7"/>
      <c r="G15" s="7"/>
      <c r="H15" s="7" t="s">
        <v>659</v>
      </c>
      <c r="I15" s="7" t="s">
        <v>659</v>
      </c>
      <c r="J15" s="7"/>
      <c r="K15" s="7" t="s">
        <v>659</v>
      </c>
      <c r="L15" s="7"/>
      <c r="M15" s="7" t="n">
        <v>5</v>
      </c>
      <c r="N15" s="7" t="n">
        <v>19</v>
      </c>
      <c r="O15" s="7"/>
      <c r="P15" s="10" t="s">
        <v>668</v>
      </c>
      <c r="Q15" s="30" t="s">
        <v>657</v>
      </c>
      <c r="R15" s="10" t="s">
        <v>674</v>
      </c>
      <c r="S15" s="12"/>
      <c r="T15" s="12"/>
    </row>
    <row r="16" customFormat="false" ht="23.85" hidden="false" customHeight="false" outlineLevel="0" collapsed="false">
      <c r="A16" s="12" t="s">
        <v>23</v>
      </c>
      <c r="B16" s="12" t="s">
        <v>166</v>
      </c>
      <c r="C16" s="7" t="s">
        <v>659</v>
      </c>
      <c r="D16" s="7"/>
      <c r="E16" s="7"/>
      <c r="F16" s="7"/>
      <c r="G16" s="7"/>
      <c r="H16" s="7"/>
      <c r="I16" s="7"/>
      <c r="J16" s="7"/>
      <c r="K16" s="7"/>
      <c r="L16" s="7"/>
      <c r="M16" s="7" t="n">
        <v>0</v>
      </c>
      <c r="N16" s="7" t="n">
        <v>0</v>
      </c>
      <c r="O16" s="7"/>
      <c r="P16" s="10"/>
      <c r="Q16" s="30" t="s">
        <v>657</v>
      </c>
      <c r="R16" s="10" t="s">
        <v>675</v>
      </c>
      <c r="S16" s="12"/>
      <c r="T16" s="12"/>
    </row>
    <row r="17" customFormat="false" ht="23.85" hidden="false" customHeight="false" outlineLevel="0" collapsed="false">
      <c r="A17" s="12" t="s">
        <v>23</v>
      </c>
      <c r="B17" s="12" t="s">
        <v>423</v>
      </c>
      <c r="C17" s="7"/>
      <c r="D17" s="7"/>
      <c r="E17" s="7"/>
      <c r="F17" s="7"/>
      <c r="G17" s="7" t="s">
        <v>659</v>
      </c>
      <c r="H17" s="7"/>
      <c r="I17" s="7"/>
      <c r="J17" s="7"/>
      <c r="K17" s="7"/>
      <c r="L17" s="7"/>
      <c r="M17" s="7" t="n">
        <v>0</v>
      </c>
      <c r="N17" s="7" t="n">
        <v>0</v>
      </c>
      <c r="O17" s="7"/>
      <c r="P17" s="10"/>
      <c r="Q17" s="30" t="s">
        <v>657</v>
      </c>
      <c r="R17" s="10" t="s">
        <v>676</v>
      </c>
      <c r="S17" s="12"/>
      <c r="T17" s="12"/>
    </row>
    <row r="18" customFormat="false" ht="35.05" hidden="false" customHeight="false" outlineLevel="0" collapsed="false">
      <c r="A18" s="12" t="s">
        <v>23</v>
      </c>
      <c r="B18" s="12" t="s">
        <v>211</v>
      </c>
      <c r="C18" s="7"/>
      <c r="D18" s="7"/>
      <c r="E18" s="7"/>
      <c r="F18" s="7"/>
      <c r="G18" s="7"/>
      <c r="H18" s="7"/>
      <c r="I18" s="7"/>
      <c r="J18" s="7" t="s">
        <v>659</v>
      </c>
      <c r="K18" s="7"/>
      <c r="L18" s="7"/>
      <c r="M18" s="7" t="n">
        <v>1</v>
      </c>
      <c r="N18" s="7" t="n">
        <v>29</v>
      </c>
      <c r="O18" s="7"/>
      <c r="P18" s="10" t="s">
        <v>665</v>
      </c>
      <c r="Q18" s="30" t="s">
        <v>657</v>
      </c>
      <c r="R18" s="10" t="s">
        <v>677</v>
      </c>
      <c r="S18" s="12"/>
      <c r="T18" s="30" t="s">
        <v>678</v>
      </c>
    </row>
    <row r="19" customFormat="false" ht="35.05" hidden="false" customHeight="false" outlineLevel="0" collapsed="false">
      <c r="A19" s="12" t="s">
        <v>23</v>
      </c>
      <c r="B19" s="12" t="s">
        <v>205</v>
      </c>
      <c r="C19" s="7"/>
      <c r="D19" s="7"/>
      <c r="E19" s="7"/>
      <c r="F19" s="7"/>
      <c r="G19" s="7"/>
      <c r="H19" s="7"/>
      <c r="I19" s="7" t="s">
        <v>659</v>
      </c>
      <c r="J19" s="7" t="s">
        <v>659</v>
      </c>
      <c r="K19" s="7"/>
      <c r="L19" s="7"/>
      <c r="M19" s="7" t="n">
        <v>4</v>
      </c>
      <c r="N19" s="7" t="n">
        <v>29</v>
      </c>
      <c r="O19" s="7"/>
      <c r="P19" s="10" t="s">
        <v>679</v>
      </c>
      <c r="Q19" s="30" t="s">
        <v>657</v>
      </c>
      <c r="R19" s="10" t="s">
        <v>680</v>
      </c>
      <c r="S19" s="12"/>
      <c r="T19" s="30" t="s">
        <v>681</v>
      </c>
    </row>
    <row r="20" customFormat="false" ht="23.85" hidden="false" customHeight="false" outlineLevel="0" collapsed="false">
      <c r="A20" s="12" t="s">
        <v>23</v>
      </c>
      <c r="B20" s="12" t="s">
        <v>229</v>
      </c>
      <c r="C20" s="7" t="s">
        <v>659</v>
      </c>
      <c r="D20" s="7"/>
      <c r="E20" s="7"/>
      <c r="F20" s="7"/>
      <c r="G20" s="7"/>
      <c r="H20" s="7"/>
      <c r="I20" s="7"/>
      <c r="J20" s="7"/>
      <c r="K20" s="7"/>
      <c r="L20" s="7"/>
      <c r="M20" s="7" t="n">
        <v>0</v>
      </c>
      <c r="N20" s="7" t="n">
        <v>0</v>
      </c>
      <c r="O20" s="7"/>
      <c r="P20" s="10"/>
      <c r="Q20" s="30" t="s">
        <v>657</v>
      </c>
      <c r="R20" s="10" t="s">
        <v>682</v>
      </c>
      <c r="S20" s="12"/>
      <c r="T20" s="12"/>
    </row>
    <row r="21" customFormat="false" ht="23.85" hidden="false" customHeight="false" outlineLevel="0" collapsed="false">
      <c r="A21" s="12" t="s">
        <v>23</v>
      </c>
      <c r="B21" s="12" t="s">
        <v>125</v>
      </c>
      <c r="C21" s="7" t="s">
        <v>659</v>
      </c>
      <c r="D21" s="7"/>
      <c r="E21" s="7"/>
      <c r="F21" s="7"/>
      <c r="G21" s="7"/>
      <c r="H21" s="7"/>
      <c r="I21" s="7"/>
      <c r="J21" s="7"/>
      <c r="K21" s="7"/>
      <c r="L21" s="7"/>
      <c r="M21" s="7" t="n">
        <v>0</v>
      </c>
      <c r="N21" s="7" t="n">
        <v>0</v>
      </c>
      <c r="O21" s="7"/>
      <c r="P21" s="10"/>
      <c r="Q21" s="30" t="s">
        <v>657</v>
      </c>
      <c r="R21" s="10" t="s">
        <v>683</v>
      </c>
      <c r="S21" s="12"/>
      <c r="T21" s="12"/>
    </row>
    <row r="22" customFormat="false" ht="23.85" hidden="false" customHeight="false" outlineLevel="0" collapsed="false">
      <c r="A22" s="12" t="s">
        <v>23</v>
      </c>
      <c r="B22" s="12" t="s">
        <v>323</v>
      </c>
      <c r="C22" s="7" t="s">
        <v>659</v>
      </c>
      <c r="D22" s="7"/>
      <c r="E22" s="7"/>
      <c r="F22" s="7"/>
      <c r="G22" s="7"/>
      <c r="H22" s="7"/>
      <c r="I22" s="7"/>
      <c r="J22" s="7"/>
      <c r="K22" s="7"/>
      <c r="L22" s="7"/>
      <c r="M22" s="7" t="n">
        <v>0</v>
      </c>
      <c r="N22" s="7" t="n">
        <v>0</v>
      </c>
      <c r="O22" s="7"/>
      <c r="P22" s="10"/>
      <c r="Q22" s="30" t="s">
        <v>657</v>
      </c>
      <c r="R22" s="10" t="s">
        <v>684</v>
      </c>
      <c r="S22" s="12"/>
      <c r="T22" s="12"/>
    </row>
    <row r="23" customFormat="false" ht="35.05" hidden="false" customHeight="false" outlineLevel="0" collapsed="false">
      <c r="A23" s="12" t="s">
        <v>23</v>
      </c>
      <c r="B23" s="12" t="s">
        <v>104</v>
      </c>
      <c r="C23" s="7"/>
      <c r="D23" s="7"/>
      <c r="E23" s="7"/>
      <c r="F23" s="7"/>
      <c r="G23" s="7"/>
      <c r="H23" s="7"/>
      <c r="I23" s="7" t="s">
        <v>659</v>
      </c>
      <c r="J23" s="7" t="s">
        <v>659</v>
      </c>
      <c r="K23" s="7"/>
      <c r="L23" s="7"/>
      <c r="M23" s="7" t="n">
        <v>5</v>
      </c>
      <c r="N23" s="7" t="n">
        <v>27</v>
      </c>
      <c r="O23" s="7"/>
      <c r="P23" s="10" t="s">
        <v>665</v>
      </c>
      <c r="Q23" s="30" t="s">
        <v>657</v>
      </c>
      <c r="R23" s="10" t="s">
        <v>685</v>
      </c>
      <c r="S23" s="12"/>
      <c r="T23" s="12"/>
    </row>
    <row r="24" customFormat="false" ht="35.05" hidden="false" customHeight="false" outlineLevel="0" collapsed="false">
      <c r="A24" s="12" t="s">
        <v>23</v>
      </c>
      <c r="B24" s="12" t="s">
        <v>120</v>
      </c>
      <c r="C24" s="7"/>
      <c r="D24" s="7"/>
      <c r="E24" s="7"/>
      <c r="F24" s="7"/>
      <c r="G24" s="7"/>
      <c r="H24" s="7"/>
      <c r="I24" s="7" t="s">
        <v>659</v>
      </c>
      <c r="J24" s="7" t="s">
        <v>659</v>
      </c>
      <c r="K24" s="7" t="s">
        <v>659</v>
      </c>
      <c r="L24" s="7"/>
      <c r="M24" s="7" t="n">
        <v>6</v>
      </c>
      <c r="N24" s="7" t="n">
        <v>30</v>
      </c>
      <c r="O24" s="7"/>
      <c r="P24" s="10" t="s">
        <v>665</v>
      </c>
      <c r="Q24" s="30" t="s">
        <v>657</v>
      </c>
      <c r="R24" s="10" t="s">
        <v>686</v>
      </c>
      <c r="S24" s="12"/>
      <c r="T24" s="30" t="s">
        <v>687</v>
      </c>
    </row>
    <row r="25" customFormat="false" ht="35.05" hidden="false" customHeight="false" outlineLevel="0" collapsed="false">
      <c r="A25" s="12" t="s">
        <v>23</v>
      </c>
      <c r="B25" s="12" t="s">
        <v>405</v>
      </c>
      <c r="C25" s="7" t="s">
        <v>659</v>
      </c>
      <c r="D25" s="7"/>
      <c r="E25" s="7"/>
      <c r="F25" s="7"/>
      <c r="G25" s="7"/>
      <c r="H25" s="7"/>
      <c r="I25" s="7"/>
      <c r="J25" s="7" t="s">
        <v>659</v>
      </c>
      <c r="K25" s="7"/>
      <c r="L25" s="7"/>
      <c r="M25" s="7" t="n">
        <v>1</v>
      </c>
      <c r="N25" s="7" t="n">
        <v>0</v>
      </c>
      <c r="O25" s="7"/>
      <c r="P25" s="10" t="s">
        <v>665</v>
      </c>
      <c r="Q25" s="30" t="s">
        <v>657</v>
      </c>
      <c r="R25" s="10" t="s">
        <v>688</v>
      </c>
      <c r="S25" s="12"/>
      <c r="T25" s="30" t="s">
        <v>689</v>
      </c>
    </row>
    <row r="26" customFormat="false" ht="35.05" hidden="false" customHeight="false" outlineLevel="0" collapsed="false">
      <c r="A26" s="12" t="s">
        <v>23</v>
      </c>
      <c r="B26" s="12" t="s">
        <v>335</v>
      </c>
      <c r="C26" s="7"/>
      <c r="D26" s="7"/>
      <c r="E26" s="7"/>
      <c r="F26" s="7"/>
      <c r="G26" s="7"/>
      <c r="H26" s="7"/>
      <c r="I26" s="7"/>
      <c r="J26" s="7"/>
      <c r="K26" s="7"/>
      <c r="L26" s="7" t="s">
        <v>659</v>
      </c>
      <c r="M26" s="7" t="n">
        <v>4</v>
      </c>
      <c r="N26" s="7" t="n">
        <v>28</v>
      </c>
      <c r="O26" s="7"/>
      <c r="P26" s="10" t="s">
        <v>690</v>
      </c>
      <c r="Q26" s="30" t="s">
        <v>657</v>
      </c>
      <c r="R26" s="10" t="s">
        <v>691</v>
      </c>
      <c r="S26" s="12"/>
      <c r="T26" s="12"/>
    </row>
    <row r="27" customFormat="false" ht="23.85" hidden="false" customHeight="false" outlineLevel="0" collapsed="false">
      <c r="A27" s="12" t="s">
        <v>23</v>
      </c>
      <c r="B27" s="12" t="s">
        <v>145</v>
      </c>
      <c r="C27" s="7" t="s">
        <v>659</v>
      </c>
      <c r="D27" s="7"/>
      <c r="E27" s="7"/>
      <c r="F27" s="7"/>
      <c r="G27" s="7"/>
      <c r="H27" s="7"/>
      <c r="I27" s="7"/>
      <c r="J27" s="7"/>
      <c r="K27" s="7"/>
      <c r="L27" s="7"/>
      <c r="M27" s="7" t="n">
        <v>0</v>
      </c>
      <c r="N27" s="7" t="n">
        <v>0</v>
      </c>
      <c r="O27" s="7"/>
      <c r="P27" s="10"/>
      <c r="Q27" s="30" t="s">
        <v>657</v>
      </c>
      <c r="R27" s="10" t="s">
        <v>692</v>
      </c>
      <c r="S27" s="12"/>
      <c r="T27" s="12"/>
    </row>
    <row r="28" customFormat="false" ht="35.05" hidden="false" customHeight="false" outlineLevel="0" collapsed="false">
      <c r="A28" s="12" t="s">
        <v>23</v>
      </c>
      <c r="B28" s="12" t="s">
        <v>148</v>
      </c>
      <c r="C28" s="7" t="s">
        <v>659</v>
      </c>
      <c r="D28" s="7"/>
      <c r="E28" s="7" t="s">
        <v>659</v>
      </c>
      <c r="F28" s="7"/>
      <c r="G28" s="7" t="s">
        <v>659</v>
      </c>
      <c r="H28" s="7" t="s">
        <v>659</v>
      </c>
      <c r="I28" s="7"/>
      <c r="J28" s="7" t="s">
        <v>659</v>
      </c>
      <c r="K28" s="7"/>
      <c r="L28" s="7"/>
      <c r="M28" s="7" t="n">
        <v>6</v>
      </c>
      <c r="N28" s="7" t="n">
        <v>0</v>
      </c>
      <c r="O28" s="7"/>
      <c r="P28" s="10" t="s">
        <v>693</v>
      </c>
      <c r="Q28" s="30" t="s">
        <v>657</v>
      </c>
      <c r="R28" s="10" t="s">
        <v>694</v>
      </c>
      <c r="S28" s="12"/>
      <c r="T28" s="30" t="s">
        <v>695</v>
      </c>
    </row>
    <row r="29" customFormat="false" ht="35.05" hidden="false" customHeight="false" outlineLevel="0" collapsed="false">
      <c r="A29" s="12" t="s">
        <v>23</v>
      </c>
      <c r="B29" s="12" t="s">
        <v>319</v>
      </c>
      <c r="C29" s="7" t="s">
        <v>659</v>
      </c>
      <c r="D29" s="7"/>
      <c r="E29" s="7"/>
      <c r="F29" s="7"/>
      <c r="G29" s="7"/>
      <c r="H29" s="7"/>
      <c r="I29" s="7"/>
      <c r="J29" s="7"/>
      <c r="K29" s="7"/>
      <c r="L29" s="7"/>
      <c r="M29" s="7" t="n">
        <v>1</v>
      </c>
      <c r="N29" s="7" t="n">
        <v>0</v>
      </c>
      <c r="O29" s="7"/>
      <c r="P29" s="10" t="s">
        <v>665</v>
      </c>
      <c r="Q29" s="30" t="s">
        <v>657</v>
      </c>
      <c r="R29" s="10" t="s">
        <v>696</v>
      </c>
      <c r="S29" s="12"/>
      <c r="T29" s="12"/>
    </row>
    <row r="30" customFormat="false" ht="35.05" hidden="false" customHeight="false" outlineLevel="0" collapsed="false">
      <c r="A30" s="12" t="s">
        <v>23</v>
      </c>
      <c r="B30" s="12" t="s">
        <v>420</v>
      </c>
      <c r="C30" s="7"/>
      <c r="D30" s="7"/>
      <c r="E30" s="7"/>
      <c r="F30" s="7" t="s">
        <v>659</v>
      </c>
      <c r="G30" s="7"/>
      <c r="H30" s="7" t="s">
        <v>659</v>
      </c>
      <c r="I30" s="7" t="s">
        <v>659</v>
      </c>
      <c r="J30" s="7" t="s">
        <v>659</v>
      </c>
      <c r="K30" s="7" t="s">
        <v>659</v>
      </c>
      <c r="L30" s="7" t="s">
        <v>659</v>
      </c>
      <c r="M30" s="7" t="n">
        <v>6</v>
      </c>
      <c r="N30" s="7" t="n">
        <v>0</v>
      </c>
      <c r="O30" s="7"/>
      <c r="P30" s="10" t="s">
        <v>668</v>
      </c>
      <c r="Q30" s="30" t="s">
        <v>657</v>
      </c>
      <c r="R30" s="10" t="s">
        <v>697</v>
      </c>
      <c r="S30" s="12"/>
      <c r="T30" s="30" t="s">
        <v>698</v>
      </c>
    </row>
    <row r="31" customFormat="false" ht="23.85" hidden="false" customHeight="false" outlineLevel="0" collapsed="false">
      <c r="A31" s="12" t="s">
        <v>23</v>
      </c>
      <c r="B31" s="12" t="s">
        <v>387</v>
      </c>
      <c r="C31" s="7" t="s">
        <v>659</v>
      </c>
      <c r="D31" s="7"/>
      <c r="E31" s="7"/>
      <c r="F31" s="7"/>
      <c r="G31" s="7"/>
      <c r="H31" s="7"/>
      <c r="I31" s="7"/>
      <c r="J31" s="7"/>
      <c r="K31" s="7"/>
      <c r="L31" s="7"/>
      <c r="M31" s="7" t="n">
        <v>0</v>
      </c>
      <c r="N31" s="7" t="n">
        <v>0</v>
      </c>
      <c r="O31" s="7"/>
      <c r="P31" s="10"/>
      <c r="Q31" s="30" t="s">
        <v>657</v>
      </c>
      <c r="R31" s="10" t="s">
        <v>699</v>
      </c>
      <c r="S31" s="12"/>
      <c r="T31" s="12"/>
    </row>
    <row r="32" customFormat="false" ht="23.85" hidden="false" customHeight="false" outlineLevel="0" collapsed="false">
      <c r="A32" s="12" t="s">
        <v>23</v>
      </c>
      <c r="B32" s="12" t="s">
        <v>223</v>
      </c>
      <c r="C32" s="7" t="s">
        <v>659</v>
      </c>
      <c r="D32" s="7"/>
      <c r="E32" s="7"/>
      <c r="F32" s="7"/>
      <c r="G32" s="7"/>
      <c r="H32" s="7"/>
      <c r="I32" s="7"/>
      <c r="J32" s="7"/>
      <c r="K32" s="7"/>
      <c r="L32" s="7"/>
      <c r="M32" s="7" t="n">
        <v>0</v>
      </c>
      <c r="N32" s="7" t="n">
        <v>0</v>
      </c>
      <c r="O32" s="7"/>
      <c r="P32" s="10"/>
      <c r="Q32" s="30" t="s">
        <v>657</v>
      </c>
      <c r="R32" s="10" t="s">
        <v>700</v>
      </c>
      <c r="S32" s="12"/>
      <c r="T32" s="12"/>
    </row>
    <row r="33" customFormat="false" ht="35.05" hidden="false" customHeight="false" outlineLevel="0" collapsed="false">
      <c r="A33" s="12" t="s">
        <v>23</v>
      </c>
      <c r="B33" s="12" t="s">
        <v>332</v>
      </c>
      <c r="C33" s="7"/>
      <c r="D33" s="7"/>
      <c r="E33" s="7"/>
      <c r="F33" s="7"/>
      <c r="G33" s="7"/>
      <c r="H33" s="7"/>
      <c r="I33" s="7" t="s">
        <v>659</v>
      </c>
      <c r="J33" s="7"/>
      <c r="K33" s="7"/>
      <c r="L33" s="7"/>
      <c r="M33" s="7" t="n">
        <v>1</v>
      </c>
      <c r="N33" s="7" t="n">
        <v>22</v>
      </c>
      <c r="O33" s="7"/>
      <c r="P33" s="10" t="s">
        <v>665</v>
      </c>
      <c r="Q33" s="30" t="s">
        <v>657</v>
      </c>
      <c r="R33" s="10" t="s">
        <v>701</v>
      </c>
      <c r="S33" s="12"/>
      <c r="T33" s="12"/>
    </row>
    <row r="34" customFormat="false" ht="35.05" hidden="false" customHeight="false" outlineLevel="0" collapsed="false">
      <c r="A34" s="12" t="s">
        <v>23</v>
      </c>
      <c r="B34" s="12" t="s">
        <v>112</v>
      </c>
      <c r="C34" s="7"/>
      <c r="D34" s="7" t="s">
        <v>659</v>
      </c>
      <c r="E34" s="7"/>
      <c r="F34" s="7" t="s">
        <v>659</v>
      </c>
      <c r="G34" s="7"/>
      <c r="H34" s="7"/>
      <c r="I34" s="7" t="s">
        <v>659</v>
      </c>
      <c r="J34" s="7" t="s">
        <v>659</v>
      </c>
      <c r="K34" s="7" t="s">
        <v>659</v>
      </c>
      <c r="L34" s="7" t="s">
        <v>659</v>
      </c>
      <c r="M34" s="7" t="n">
        <v>8</v>
      </c>
      <c r="N34" s="7" t="n">
        <v>30</v>
      </c>
      <c r="O34" s="7"/>
      <c r="P34" s="10" t="s">
        <v>665</v>
      </c>
      <c r="Q34" s="30" t="s">
        <v>657</v>
      </c>
      <c r="R34" s="10" t="s">
        <v>702</v>
      </c>
      <c r="S34" s="12"/>
      <c r="T34" s="30" t="s">
        <v>703</v>
      </c>
    </row>
    <row r="35" customFormat="false" ht="23.85" hidden="false" customHeight="false" outlineLevel="0" collapsed="false">
      <c r="A35" s="12" t="s">
        <v>23</v>
      </c>
      <c r="B35" s="12" t="s">
        <v>390</v>
      </c>
      <c r="C35" s="7"/>
      <c r="D35" s="7"/>
      <c r="E35" s="7" t="s">
        <v>659</v>
      </c>
      <c r="F35" s="7"/>
      <c r="G35" s="7"/>
      <c r="H35" s="7"/>
      <c r="I35" s="7"/>
      <c r="J35" s="7"/>
      <c r="K35" s="7"/>
      <c r="L35" s="7"/>
      <c r="M35" s="7" t="n">
        <v>0</v>
      </c>
      <c r="N35" s="7" t="n">
        <v>0</v>
      </c>
      <c r="O35" s="7"/>
      <c r="P35" s="10"/>
      <c r="Q35" s="30" t="s">
        <v>657</v>
      </c>
      <c r="R35" s="10" t="s">
        <v>704</v>
      </c>
      <c r="S35" s="12"/>
      <c r="T35" s="12"/>
    </row>
    <row r="36" customFormat="false" ht="23.85" hidden="false" customHeight="false" outlineLevel="0" collapsed="false">
      <c r="A36" s="12" t="s">
        <v>23</v>
      </c>
      <c r="B36" s="12" t="s">
        <v>358</v>
      </c>
      <c r="C36" s="7" t="s">
        <v>659</v>
      </c>
      <c r="D36" s="7"/>
      <c r="E36" s="7"/>
      <c r="F36" s="7"/>
      <c r="G36" s="7"/>
      <c r="H36" s="7"/>
      <c r="I36" s="7"/>
      <c r="J36" s="7"/>
      <c r="K36" s="7"/>
      <c r="L36" s="7"/>
      <c r="M36" s="7" t="n">
        <v>0</v>
      </c>
      <c r="N36" s="7" t="n">
        <v>0</v>
      </c>
      <c r="O36" s="7"/>
      <c r="P36" s="10"/>
      <c r="Q36" s="30" t="s">
        <v>657</v>
      </c>
      <c r="R36" s="10" t="s">
        <v>705</v>
      </c>
      <c r="S36" s="12"/>
      <c r="T36" s="12"/>
    </row>
    <row r="37" customFormat="false" ht="23.85" hidden="false" customHeight="false" outlineLevel="0" collapsed="false">
      <c r="A37" s="12" t="s">
        <v>23</v>
      </c>
      <c r="B37" s="12" t="s">
        <v>361</v>
      </c>
      <c r="C37" s="7" t="s">
        <v>659</v>
      </c>
      <c r="D37" s="7"/>
      <c r="E37" s="7"/>
      <c r="F37" s="7"/>
      <c r="G37" s="7"/>
      <c r="H37" s="7"/>
      <c r="I37" s="7"/>
      <c r="J37" s="7"/>
      <c r="K37" s="7"/>
      <c r="L37" s="7"/>
      <c r="M37" s="7" t="n">
        <v>0</v>
      </c>
      <c r="N37" s="7" t="n">
        <v>0</v>
      </c>
      <c r="O37" s="7"/>
      <c r="P37" s="10"/>
      <c r="Q37" s="30" t="s">
        <v>657</v>
      </c>
      <c r="R37" s="10" t="s">
        <v>706</v>
      </c>
      <c r="S37" s="12"/>
      <c r="T37" s="12"/>
    </row>
    <row r="38" customFormat="false" ht="35.05" hidden="false" customHeight="false" outlineLevel="0" collapsed="false">
      <c r="A38" s="12" t="s">
        <v>23</v>
      </c>
      <c r="B38" s="12" t="s">
        <v>129</v>
      </c>
      <c r="C38" s="7"/>
      <c r="D38" s="7"/>
      <c r="E38" s="7"/>
      <c r="F38" s="7"/>
      <c r="G38" s="7"/>
      <c r="H38" s="7"/>
      <c r="I38" s="7" t="s">
        <v>659</v>
      </c>
      <c r="J38" s="7"/>
      <c r="K38" s="7" t="s">
        <v>659</v>
      </c>
      <c r="L38" s="7"/>
      <c r="M38" s="7" t="n">
        <v>3</v>
      </c>
      <c r="N38" s="7" t="n">
        <v>27</v>
      </c>
      <c r="O38" s="7"/>
      <c r="P38" s="10" t="s">
        <v>665</v>
      </c>
      <c r="Q38" s="30" t="s">
        <v>657</v>
      </c>
      <c r="R38" s="10" t="s">
        <v>707</v>
      </c>
      <c r="S38" s="12"/>
      <c r="T38" s="12"/>
    </row>
    <row r="39" customFormat="false" ht="35.05" hidden="false" customHeight="false" outlineLevel="0" collapsed="false">
      <c r="A39" s="12" t="s">
        <v>23</v>
      </c>
      <c r="B39" s="12" t="s">
        <v>56</v>
      </c>
      <c r="C39" s="7"/>
      <c r="D39" s="7"/>
      <c r="E39" s="7" t="s">
        <v>659</v>
      </c>
      <c r="F39" s="7"/>
      <c r="G39" s="7"/>
      <c r="H39" s="7" t="s">
        <v>659</v>
      </c>
      <c r="I39" s="7" t="s">
        <v>659</v>
      </c>
      <c r="J39" s="7" t="s">
        <v>659</v>
      </c>
      <c r="K39" s="7"/>
      <c r="L39" s="7" t="s">
        <v>659</v>
      </c>
      <c r="M39" s="7" t="n">
        <v>8</v>
      </c>
      <c r="N39" s="7" t="n">
        <v>29</v>
      </c>
      <c r="O39" s="7"/>
      <c r="P39" s="10" t="s">
        <v>693</v>
      </c>
      <c r="Q39" s="30" t="s">
        <v>657</v>
      </c>
      <c r="R39" s="10" t="s">
        <v>708</v>
      </c>
      <c r="S39" s="12"/>
      <c r="T39" s="30" t="s">
        <v>709</v>
      </c>
    </row>
    <row r="40" customFormat="false" ht="23.85" hidden="false" customHeight="false" outlineLevel="0" collapsed="false">
      <c r="A40" s="12" t="s">
        <v>23</v>
      </c>
      <c r="B40" s="12" t="s">
        <v>402</v>
      </c>
      <c r="C40" s="7" t="s">
        <v>659</v>
      </c>
      <c r="D40" s="7"/>
      <c r="E40" s="7"/>
      <c r="F40" s="7"/>
      <c r="G40" s="7"/>
      <c r="H40" s="7"/>
      <c r="I40" s="7"/>
      <c r="J40" s="7"/>
      <c r="K40" s="7"/>
      <c r="L40" s="7"/>
      <c r="M40" s="7" t="n">
        <v>0</v>
      </c>
      <c r="N40" s="7" t="n">
        <v>0</v>
      </c>
      <c r="O40" s="7"/>
      <c r="P40" s="10"/>
      <c r="Q40" s="30" t="s">
        <v>657</v>
      </c>
      <c r="R40" s="10" t="s">
        <v>710</v>
      </c>
      <c r="S40" s="12"/>
      <c r="T40" s="12"/>
    </row>
    <row r="41" customFormat="false" ht="23.85" hidden="false" customHeight="false" outlineLevel="0" collapsed="false">
      <c r="A41" s="12" t="s">
        <v>23</v>
      </c>
      <c r="B41" s="12" t="s">
        <v>283</v>
      </c>
      <c r="C41" s="7" t="s">
        <v>659</v>
      </c>
      <c r="D41" s="7"/>
      <c r="E41" s="7"/>
      <c r="F41" s="7"/>
      <c r="G41" s="7"/>
      <c r="H41" s="7"/>
      <c r="I41" s="7"/>
      <c r="J41" s="7"/>
      <c r="K41" s="7"/>
      <c r="L41" s="7"/>
      <c r="M41" s="7" t="n">
        <v>0</v>
      </c>
      <c r="N41" s="7" t="n">
        <v>0</v>
      </c>
      <c r="O41" s="7"/>
      <c r="P41" s="10"/>
      <c r="Q41" s="30" t="s">
        <v>657</v>
      </c>
      <c r="R41" s="10" t="s">
        <v>662</v>
      </c>
      <c r="S41" s="12"/>
      <c r="T41" s="12"/>
    </row>
    <row r="42" customFormat="false" ht="23.85" hidden="false" customHeight="false" outlineLevel="0" collapsed="false">
      <c r="A42" s="12" t="s">
        <v>23</v>
      </c>
      <c r="B42" s="12" t="s">
        <v>373</v>
      </c>
      <c r="C42" s="7" t="s">
        <v>659</v>
      </c>
      <c r="D42" s="7"/>
      <c r="E42" s="7"/>
      <c r="F42" s="7"/>
      <c r="G42" s="7"/>
      <c r="H42" s="7"/>
      <c r="I42" s="7"/>
      <c r="J42" s="7"/>
      <c r="K42" s="7"/>
      <c r="L42" s="7"/>
      <c r="M42" s="7" t="n">
        <v>0</v>
      </c>
      <c r="N42" s="7" t="n">
        <v>0</v>
      </c>
      <c r="O42" s="7"/>
      <c r="P42" s="10"/>
      <c r="Q42" s="30" t="s">
        <v>657</v>
      </c>
      <c r="R42" s="10" t="s">
        <v>711</v>
      </c>
      <c r="S42" s="12"/>
      <c r="T42" s="12"/>
    </row>
    <row r="43" customFormat="false" ht="35.05" hidden="false" customHeight="false" outlineLevel="0" collapsed="false">
      <c r="A43" s="12" t="s">
        <v>23</v>
      </c>
      <c r="B43" s="12" t="s">
        <v>417</v>
      </c>
      <c r="C43" s="7"/>
      <c r="D43" s="7"/>
      <c r="E43" s="7"/>
      <c r="F43" s="7"/>
      <c r="G43" s="7"/>
      <c r="H43" s="7"/>
      <c r="I43" s="7"/>
      <c r="J43" s="7"/>
      <c r="K43" s="7"/>
      <c r="L43" s="7"/>
      <c r="M43" s="7" t="n">
        <v>2</v>
      </c>
      <c r="N43" s="7" t="n">
        <v>25</v>
      </c>
      <c r="O43" s="7"/>
      <c r="P43" s="10" t="s">
        <v>665</v>
      </c>
      <c r="Q43" s="30" t="s">
        <v>657</v>
      </c>
      <c r="R43" s="10" t="s">
        <v>712</v>
      </c>
      <c r="S43" s="12"/>
      <c r="T43" s="12"/>
    </row>
    <row r="44" customFormat="false" ht="23.85" hidden="false" customHeight="false" outlineLevel="0" collapsed="false">
      <c r="A44" s="12" t="s">
        <v>23</v>
      </c>
      <c r="B44" s="12" t="s">
        <v>281</v>
      </c>
      <c r="C44" s="7" t="s">
        <v>659</v>
      </c>
      <c r="D44" s="7"/>
      <c r="E44" s="7"/>
      <c r="F44" s="7"/>
      <c r="G44" s="7"/>
      <c r="H44" s="7"/>
      <c r="I44" s="7"/>
      <c r="J44" s="7"/>
      <c r="K44" s="7"/>
      <c r="L44" s="7"/>
      <c r="M44" s="7" t="n">
        <v>0</v>
      </c>
      <c r="N44" s="7" t="n">
        <v>0</v>
      </c>
      <c r="O44" s="7"/>
      <c r="P44" s="10"/>
      <c r="Q44" s="30" t="s">
        <v>657</v>
      </c>
      <c r="R44" s="10" t="s">
        <v>713</v>
      </c>
      <c r="S44" s="12"/>
      <c r="T44" s="12"/>
    </row>
    <row r="45" customFormat="false" ht="23.85" hidden="false" customHeight="false" outlineLevel="0" collapsed="false">
      <c r="A45" s="12" t="s">
        <v>23</v>
      </c>
      <c r="B45" s="12" t="s">
        <v>367</v>
      </c>
      <c r="C45" s="7" t="s">
        <v>659</v>
      </c>
      <c r="D45" s="7"/>
      <c r="E45" s="7" t="s">
        <v>659</v>
      </c>
      <c r="F45" s="7"/>
      <c r="G45" s="7"/>
      <c r="H45" s="7"/>
      <c r="I45" s="7"/>
      <c r="J45" s="7"/>
      <c r="K45" s="7"/>
      <c r="L45" s="7"/>
      <c r="M45" s="7" t="n">
        <v>0</v>
      </c>
      <c r="N45" s="7" t="n">
        <v>0</v>
      </c>
      <c r="O45" s="7"/>
      <c r="P45" s="10"/>
      <c r="Q45" s="30" t="s">
        <v>657</v>
      </c>
      <c r="R45" s="10" t="s">
        <v>714</v>
      </c>
      <c r="S45" s="12"/>
      <c r="T45" s="12"/>
    </row>
    <row r="46" customFormat="false" ht="35.05" hidden="false" customHeight="false" outlineLevel="0" collapsed="false">
      <c r="A46" s="12" t="s">
        <v>23</v>
      </c>
      <c r="B46" s="12" t="s">
        <v>216</v>
      </c>
      <c r="C46" s="7"/>
      <c r="D46" s="7" t="s">
        <v>659</v>
      </c>
      <c r="E46" s="7" t="s">
        <v>659</v>
      </c>
      <c r="F46" s="7"/>
      <c r="G46" s="7"/>
      <c r="H46" s="7" t="s">
        <v>659</v>
      </c>
      <c r="I46" s="7" t="s">
        <v>659</v>
      </c>
      <c r="J46" s="7"/>
      <c r="K46" s="7"/>
      <c r="L46" s="7" t="s">
        <v>659</v>
      </c>
      <c r="M46" s="7" t="n">
        <v>7</v>
      </c>
      <c r="N46" s="7" t="n">
        <v>29</v>
      </c>
      <c r="O46" s="7"/>
      <c r="P46" s="10" t="s">
        <v>715</v>
      </c>
      <c r="Q46" s="30" t="s">
        <v>657</v>
      </c>
      <c r="R46" s="10" t="s">
        <v>716</v>
      </c>
      <c r="S46" s="12"/>
      <c r="T46" s="12"/>
    </row>
    <row r="47" customFormat="false" ht="23.85" hidden="false" customHeight="false" outlineLevel="0" collapsed="false">
      <c r="A47" s="12" t="s">
        <v>23</v>
      </c>
      <c r="B47" s="12" t="s">
        <v>412</v>
      </c>
      <c r="C47" s="7" t="s">
        <v>659</v>
      </c>
      <c r="D47" s="7"/>
      <c r="E47" s="7"/>
      <c r="F47" s="7"/>
      <c r="G47" s="7"/>
      <c r="H47" s="7"/>
      <c r="I47" s="7"/>
      <c r="J47" s="7"/>
      <c r="K47" s="7"/>
      <c r="L47" s="7"/>
      <c r="M47" s="7" t="n">
        <v>0</v>
      </c>
      <c r="N47" s="7" t="n">
        <v>0</v>
      </c>
      <c r="O47" s="7"/>
      <c r="P47" s="10"/>
      <c r="Q47" s="30" t="s">
        <v>657</v>
      </c>
      <c r="R47" s="10" t="s">
        <v>717</v>
      </c>
      <c r="S47" s="12"/>
      <c r="T47" s="12"/>
    </row>
    <row r="48" customFormat="false" ht="23.85" hidden="false" customHeight="false" outlineLevel="0" collapsed="false">
      <c r="A48" s="12" t="s">
        <v>23</v>
      </c>
      <c r="B48" s="12" t="s">
        <v>393</v>
      </c>
      <c r="C48" s="7" t="s">
        <v>659</v>
      </c>
      <c r="D48" s="7"/>
      <c r="E48" s="7"/>
      <c r="F48" s="7"/>
      <c r="G48" s="7"/>
      <c r="H48" s="7"/>
      <c r="I48" s="7"/>
      <c r="J48" s="7"/>
      <c r="K48" s="7"/>
      <c r="L48" s="7"/>
      <c r="M48" s="7" t="n">
        <v>0</v>
      </c>
      <c r="N48" s="7" t="n">
        <v>0</v>
      </c>
      <c r="O48" s="7"/>
      <c r="P48" s="10"/>
      <c r="Q48" s="30" t="s">
        <v>657</v>
      </c>
      <c r="R48" s="10" t="s">
        <v>718</v>
      </c>
      <c r="S48" s="12"/>
      <c r="T48" s="12"/>
    </row>
    <row r="49" customFormat="false" ht="35.05" hidden="false" customHeight="false" outlineLevel="0" collapsed="false">
      <c r="A49" s="12" t="s">
        <v>23</v>
      </c>
      <c r="B49" s="12" t="s">
        <v>179</v>
      </c>
      <c r="C49" s="7"/>
      <c r="D49" s="7" t="s">
        <v>659</v>
      </c>
      <c r="E49" s="7" t="s">
        <v>659</v>
      </c>
      <c r="F49" s="7"/>
      <c r="G49" s="7"/>
      <c r="H49" s="7" t="s">
        <v>659</v>
      </c>
      <c r="I49" s="7" t="s">
        <v>659</v>
      </c>
      <c r="J49" s="7" t="s">
        <v>659</v>
      </c>
      <c r="K49" s="7" t="s">
        <v>659</v>
      </c>
      <c r="L49" s="7" t="s">
        <v>659</v>
      </c>
      <c r="M49" s="7" t="n">
        <v>8</v>
      </c>
      <c r="N49" s="7" t="n">
        <v>0</v>
      </c>
      <c r="O49" s="7"/>
      <c r="P49" s="10" t="s">
        <v>668</v>
      </c>
      <c r="Q49" s="30" t="s">
        <v>657</v>
      </c>
      <c r="R49" s="10" t="s">
        <v>719</v>
      </c>
      <c r="S49" s="12"/>
      <c r="T49" s="30" t="s">
        <v>720</v>
      </c>
    </row>
    <row r="50" customFormat="false" ht="35.05" hidden="false" customHeight="false" outlineLevel="0" collapsed="false">
      <c r="A50" s="12" t="s">
        <v>23</v>
      </c>
      <c r="B50" s="12" t="s">
        <v>109</v>
      </c>
      <c r="C50" s="7" t="s">
        <v>659</v>
      </c>
      <c r="D50" s="7" t="s">
        <v>659</v>
      </c>
      <c r="E50" s="7" t="s">
        <v>659</v>
      </c>
      <c r="F50" s="7" t="s">
        <v>659</v>
      </c>
      <c r="G50" s="7"/>
      <c r="H50" s="7" t="s">
        <v>659</v>
      </c>
      <c r="I50" s="7" t="s">
        <v>659</v>
      </c>
      <c r="J50" s="7" t="s">
        <v>659</v>
      </c>
      <c r="K50" s="7"/>
      <c r="L50" s="7"/>
      <c r="M50" s="7" t="n">
        <v>5</v>
      </c>
      <c r="N50" s="7" t="n">
        <v>24</v>
      </c>
      <c r="O50" s="7"/>
      <c r="P50" s="10" t="s">
        <v>668</v>
      </c>
      <c r="Q50" s="30" t="s">
        <v>657</v>
      </c>
      <c r="R50" s="10" t="s">
        <v>721</v>
      </c>
      <c r="S50" s="12"/>
      <c r="T50" s="30" t="s">
        <v>722</v>
      </c>
    </row>
    <row r="51" customFormat="false" ht="23.85" hidden="false" customHeight="false" outlineLevel="0" collapsed="false">
      <c r="A51" s="12" t="s">
        <v>23</v>
      </c>
      <c r="B51" s="12" t="s">
        <v>380</v>
      </c>
      <c r="C51" s="7" t="s">
        <v>659</v>
      </c>
      <c r="D51" s="7"/>
      <c r="E51" s="7"/>
      <c r="F51" s="7"/>
      <c r="G51" s="7"/>
      <c r="H51" s="7"/>
      <c r="I51" s="7"/>
      <c r="J51" s="7"/>
      <c r="K51" s="7"/>
      <c r="L51" s="7"/>
      <c r="M51" s="7" t="n">
        <v>0</v>
      </c>
      <c r="N51" s="7" t="n">
        <v>0</v>
      </c>
      <c r="O51" s="7"/>
      <c r="P51" s="10"/>
      <c r="Q51" s="30" t="s">
        <v>657</v>
      </c>
      <c r="R51" s="10" t="s">
        <v>723</v>
      </c>
      <c r="S51" s="12"/>
      <c r="T51" s="12"/>
    </row>
    <row r="52" customFormat="false" ht="23.85" hidden="false" customHeight="false" outlineLevel="0" collapsed="false">
      <c r="A52" s="12" t="s">
        <v>23</v>
      </c>
      <c r="B52" s="12" t="s">
        <v>409</v>
      </c>
      <c r="C52" s="7" t="s">
        <v>659</v>
      </c>
      <c r="D52" s="7"/>
      <c r="E52" s="7"/>
      <c r="F52" s="7"/>
      <c r="G52" s="7"/>
      <c r="H52" s="7"/>
      <c r="I52" s="7"/>
      <c r="J52" s="7"/>
      <c r="K52" s="7"/>
      <c r="L52" s="7"/>
      <c r="M52" s="7" t="n">
        <v>0</v>
      </c>
      <c r="N52" s="7" t="n">
        <v>0</v>
      </c>
      <c r="O52" s="7"/>
      <c r="P52" s="10"/>
      <c r="Q52" s="30" t="s">
        <v>657</v>
      </c>
      <c r="R52" s="10" t="s">
        <v>724</v>
      </c>
      <c r="S52" s="12"/>
      <c r="T52" s="12"/>
    </row>
    <row r="53" customFormat="false" ht="35.05" hidden="false" customHeight="false" outlineLevel="0" collapsed="false">
      <c r="A53" s="12" t="s">
        <v>23</v>
      </c>
      <c r="B53" s="12" t="s">
        <v>269</v>
      </c>
      <c r="C53" s="7"/>
      <c r="D53" s="7"/>
      <c r="E53" s="7"/>
      <c r="F53" s="7"/>
      <c r="G53" s="7"/>
      <c r="H53" s="7"/>
      <c r="I53" s="7"/>
      <c r="J53" s="7"/>
      <c r="K53" s="7" t="s">
        <v>659</v>
      </c>
      <c r="L53" s="7"/>
      <c r="M53" s="7" t="n">
        <v>1</v>
      </c>
      <c r="N53" s="7" t="n">
        <v>21</v>
      </c>
      <c r="O53" s="7"/>
      <c r="P53" s="10" t="s">
        <v>725</v>
      </c>
      <c r="Q53" s="30" t="s">
        <v>657</v>
      </c>
      <c r="R53" s="10" t="s">
        <v>726</v>
      </c>
      <c r="S53" s="12"/>
      <c r="T53" s="12"/>
    </row>
    <row r="54" customFormat="false" ht="23.85" hidden="false" customHeight="false" outlineLevel="0" collapsed="false">
      <c r="A54" s="12" t="s">
        <v>23</v>
      </c>
      <c r="B54" s="12" t="s">
        <v>364</v>
      </c>
      <c r="C54" s="7" t="s">
        <v>659</v>
      </c>
      <c r="D54" s="7"/>
      <c r="E54" s="7"/>
      <c r="F54" s="7"/>
      <c r="G54" s="7"/>
      <c r="H54" s="7"/>
      <c r="I54" s="7"/>
      <c r="J54" s="7"/>
      <c r="K54" s="7"/>
      <c r="L54" s="7"/>
      <c r="M54" s="7" t="n">
        <v>0</v>
      </c>
      <c r="N54" s="7" t="n">
        <v>0</v>
      </c>
      <c r="O54" s="7"/>
      <c r="P54" s="10"/>
      <c r="Q54" s="30" t="s">
        <v>657</v>
      </c>
      <c r="R54" s="10" t="s">
        <v>727</v>
      </c>
      <c r="S54" s="12"/>
      <c r="T54" s="12"/>
    </row>
    <row r="55" customFormat="false" ht="23.85" hidden="false" customHeight="false" outlineLevel="0" collapsed="false">
      <c r="A55" s="12" t="s">
        <v>23</v>
      </c>
      <c r="B55" s="12" t="s">
        <v>353</v>
      </c>
      <c r="C55" s="7" t="s">
        <v>659</v>
      </c>
      <c r="D55" s="7"/>
      <c r="E55" s="7"/>
      <c r="F55" s="7"/>
      <c r="G55" s="7"/>
      <c r="H55" s="7"/>
      <c r="I55" s="7"/>
      <c r="J55" s="7"/>
      <c r="K55" s="7"/>
      <c r="L55" s="7"/>
      <c r="M55" s="7" t="n">
        <v>0</v>
      </c>
      <c r="N55" s="7" t="n">
        <v>0</v>
      </c>
      <c r="O55" s="7"/>
      <c r="P55" s="10"/>
      <c r="Q55" s="30" t="s">
        <v>657</v>
      </c>
      <c r="R55" s="10" t="s">
        <v>728</v>
      </c>
      <c r="S55" s="12"/>
      <c r="T55" s="12"/>
    </row>
    <row r="56" customFormat="false" ht="23.85" hidden="false" customHeight="false" outlineLevel="0" collapsed="false">
      <c r="A56" s="12" t="s">
        <v>23</v>
      </c>
      <c r="B56" s="12" t="s">
        <v>191</v>
      </c>
      <c r="C56" s="7" t="s">
        <v>659</v>
      </c>
      <c r="D56" s="7"/>
      <c r="E56" s="7"/>
      <c r="F56" s="7"/>
      <c r="G56" s="7"/>
      <c r="H56" s="7"/>
      <c r="I56" s="7"/>
      <c r="J56" s="7"/>
      <c r="K56" s="7"/>
      <c r="L56" s="7"/>
      <c r="M56" s="7" t="n">
        <v>0</v>
      </c>
      <c r="N56" s="7" t="n">
        <v>0</v>
      </c>
      <c r="O56" s="7"/>
      <c r="P56" s="10"/>
      <c r="Q56" s="30" t="s">
        <v>657</v>
      </c>
      <c r="R56" s="10" t="s">
        <v>729</v>
      </c>
      <c r="S56" s="12"/>
      <c r="T56" s="12"/>
    </row>
    <row r="57" customFormat="false" ht="23.85" hidden="false" customHeight="false" outlineLevel="0" collapsed="false">
      <c r="A57" s="12" t="s">
        <v>23</v>
      </c>
      <c r="B57" s="12" t="s">
        <v>377</v>
      </c>
      <c r="C57" s="7" t="s">
        <v>659</v>
      </c>
      <c r="D57" s="7"/>
      <c r="E57" s="7"/>
      <c r="F57" s="7"/>
      <c r="G57" s="7"/>
      <c r="H57" s="7"/>
      <c r="I57" s="7"/>
      <c r="J57" s="7"/>
      <c r="K57" s="7"/>
      <c r="L57" s="7"/>
      <c r="M57" s="7" t="n">
        <v>0</v>
      </c>
      <c r="N57" s="7" t="n">
        <v>0</v>
      </c>
      <c r="O57" s="7"/>
      <c r="P57" s="10"/>
      <c r="Q57" s="30" t="s">
        <v>657</v>
      </c>
      <c r="R57" s="10" t="s">
        <v>730</v>
      </c>
      <c r="S57" s="12"/>
      <c r="T57" s="12"/>
    </row>
    <row r="58" customFormat="false" ht="35.05" hidden="false" customHeight="false" outlineLevel="0" collapsed="false">
      <c r="A58" s="12" t="s">
        <v>23</v>
      </c>
      <c r="B58" s="12" t="s">
        <v>326</v>
      </c>
      <c r="C58" s="7" t="s">
        <v>659</v>
      </c>
      <c r="D58" s="7"/>
      <c r="E58" s="7"/>
      <c r="F58" s="7"/>
      <c r="G58" s="7"/>
      <c r="H58" s="7" t="s">
        <v>659</v>
      </c>
      <c r="I58" s="7"/>
      <c r="J58" s="7" t="s">
        <v>659</v>
      </c>
      <c r="K58" s="7" t="s">
        <v>659</v>
      </c>
      <c r="L58" s="7"/>
      <c r="M58" s="7" t="n">
        <v>4</v>
      </c>
      <c r="N58" s="7" t="n">
        <v>0</v>
      </c>
      <c r="O58" s="7"/>
      <c r="P58" s="10" t="s">
        <v>668</v>
      </c>
      <c r="Q58" s="30" t="s">
        <v>657</v>
      </c>
      <c r="R58" s="10" t="s">
        <v>731</v>
      </c>
      <c r="S58" s="12"/>
      <c r="T58" s="12"/>
    </row>
    <row r="59" customFormat="false" ht="35.05" hidden="false" customHeight="false" outlineLevel="0" collapsed="false">
      <c r="A59" s="12" t="s">
        <v>23</v>
      </c>
      <c r="B59" s="12" t="s">
        <v>340</v>
      </c>
      <c r="C59" s="7"/>
      <c r="D59" s="7"/>
      <c r="E59" s="7" t="s">
        <v>659</v>
      </c>
      <c r="F59" s="7"/>
      <c r="G59" s="7"/>
      <c r="H59" s="7" t="s">
        <v>659</v>
      </c>
      <c r="I59" s="7" t="s">
        <v>659</v>
      </c>
      <c r="J59" s="7" t="s">
        <v>659</v>
      </c>
      <c r="K59" s="7"/>
      <c r="L59" s="7"/>
      <c r="M59" s="7" t="n">
        <v>5</v>
      </c>
      <c r="N59" s="7" t="n">
        <v>0</v>
      </c>
      <c r="O59" s="7"/>
      <c r="P59" s="10" t="s">
        <v>668</v>
      </c>
      <c r="Q59" s="30" t="s">
        <v>657</v>
      </c>
      <c r="R59" s="10" t="s">
        <v>732</v>
      </c>
      <c r="S59" s="12"/>
      <c r="T59" s="30" t="s">
        <v>733</v>
      </c>
    </row>
    <row r="60" customFormat="false" ht="23.85" hidden="false" customHeight="false" outlineLevel="0" collapsed="false">
      <c r="A60" s="12" t="s">
        <v>23</v>
      </c>
      <c r="B60" s="12" t="s">
        <v>305</v>
      </c>
      <c r="C60" s="7" t="s">
        <v>659</v>
      </c>
      <c r="D60" s="7"/>
      <c r="E60" s="7"/>
      <c r="F60" s="7"/>
      <c r="G60" s="7"/>
      <c r="H60" s="7"/>
      <c r="I60" s="7"/>
      <c r="J60" s="7"/>
      <c r="K60" s="7"/>
      <c r="L60" s="7"/>
      <c r="M60" s="7" t="n">
        <v>0</v>
      </c>
      <c r="N60" s="7" t="n">
        <v>0</v>
      </c>
      <c r="O60" s="7"/>
      <c r="P60" s="10"/>
      <c r="Q60" s="30" t="s">
        <v>657</v>
      </c>
      <c r="R60" s="10" t="s">
        <v>664</v>
      </c>
      <c r="S60" s="12"/>
      <c r="T60" s="12"/>
    </row>
    <row r="61" customFormat="false" ht="23.85" hidden="false" customHeight="false" outlineLevel="0" collapsed="false">
      <c r="A61" s="12" t="s">
        <v>23</v>
      </c>
      <c r="B61" s="12" t="s">
        <v>383</v>
      </c>
      <c r="C61" s="7" t="s">
        <v>659</v>
      </c>
      <c r="D61" s="7"/>
      <c r="E61" s="7"/>
      <c r="F61" s="7"/>
      <c r="G61" s="7"/>
      <c r="H61" s="7"/>
      <c r="I61" s="7"/>
      <c r="J61" s="7"/>
      <c r="K61" s="7"/>
      <c r="L61" s="7"/>
      <c r="M61" s="7" t="n">
        <v>0</v>
      </c>
      <c r="N61" s="7" t="n">
        <v>0</v>
      </c>
      <c r="O61" s="7"/>
      <c r="P61" s="10"/>
      <c r="Q61" s="30" t="s">
        <v>657</v>
      </c>
      <c r="R61" s="10" t="s">
        <v>734</v>
      </c>
      <c r="S61" s="12"/>
      <c r="T61" s="12"/>
    </row>
    <row r="62" customFormat="false" ht="23.85" hidden="false" customHeight="false" outlineLevel="0" collapsed="false">
      <c r="A62" s="12" t="s">
        <v>23</v>
      </c>
      <c r="B62" s="12" t="s">
        <v>256</v>
      </c>
      <c r="C62" s="7" t="s">
        <v>659</v>
      </c>
      <c r="D62" s="7"/>
      <c r="E62" s="7"/>
      <c r="F62" s="7"/>
      <c r="G62" s="7"/>
      <c r="H62" s="7"/>
      <c r="I62" s="7"/>
      <c r="J62" s="7"/>
      <c r="K62" s="7"/>
      <c r="L62" s="7"/>
      <c r="M62" s="7" t="n">
        <v>0</v>
      </c>
      <c r="N62" s="7" t="n">
        <v>0</v>
      </c>
      <c r="O62" s="7"/>
      <c r="P62" s="10"/>
      <c r="Q62" s="30" t="s">
        <v>657</v>
      </c>
      <c r="R62" s="10" t="s">
        <v>735</v>
      </c>
      <c r="S62" s="12"/>
      <c r="T62" s="12"/>
    </row>
    <row r="63" customFormat="false" ht="35.05" hidden="false" customHeight="false" outlineLevel="0" collapsed="false">
      <c r="A63" s="12" t="s">
        <v>23</v>
      </c>
      <c r="B63" s="12" t="s">
        <v>396</v>
      </c>
      <c r="C63" s="7"/>
      <c r="D63" s="7"/>
      <c r="E63" s="7"/>
      <c r="F63" s="7"/>
      <c r="G63" s="7"/>
      <c r="H63" s="7"/>
      <c r="I63" s="7" t="s">
        <v>659</v>
      </c>
      <c r="J63" s="7" t="s">
        <v>659</v>
      </c>
      <c r="K63" s="7"/>
      <c r="L63" s="7" t="s">
        <v>659</v>
      </c>
      <c r="M63" s="7" t="n">
        <v>7</v>
      </c>
      <c r="N63" s="7" t="n">
        <v>29</v>
      </c>
      <c r="O63" s="7"/>
      <c r="P63" s="10" t="s">
        <v>736</v>
      </c>
      <c r="Q63" s="30" t="s">
        <v>657</v>
      </c>
      <c r="R63" s="10" t="s">
        <v>737</v>
      </c>
      <c r="S63" s="12"/>
      <c r="T63" s="30" t="s">
        <v>738</v>
      </c>
    </row>
    <row r="64" customFormat="false" ht="23.85" hidden="false" customHeight="false" outlineLevel="0" collapsed="false">
      <c r="A64" s="12" t="s">
        <v>31</v>
      </c>
      <c r="B64" s="12" t="s">
        <v>74</v>
      </c>
      <c r="C64" s="7"/>
      <c r="D64" s="7"/>
      <c r="E64" s="7"/>
      <c r="F64" s="7" t="s">
        <v>659</v>
      </c>
      <c r="G64" s="7"/>
      <c r="H64" s="7"/>
      <c r="I64" s="7"/>
      <c r="J64" s="7"/>
      <c r="K64" s="7"/>
      <c r="L64" s="7"/>
      <c r="M64" s="7" t="n">
        <v>0</v>
      </c>
      <c r="N64" s="7" t="n">
        <v>0</v>
      </c>
      <c r="O64" s="7"/>
      <c r="P64" s="10"/>
      <c r="Q64" s="30" t="s">
        <v>657</v>
      </c>
      <c r="R64" s="10" t="s">
        <v>739</v>
      </c>
      <c r="S64" s="12"/>
      <c r="T64" s="12"/>
    </row>
    <row r="65" customFormat="false" ht="23.85" hidden="false" customHeight="false" outlineLevel="0" collapsed="false">
      <c r="A65" s="12" t="s">
        <v>31</v>
      </c>
      <c r="B65" s="12" t="s">
        <v>262</v>
      </c>
      <c r="C65" s="7"/>
      <c r="D65" s="7"/>
      <c r="E65" s="7"/>
      <c r="F65" s="7" t="s">
        <v>659</v>
      </c>
      <c r="G65" s="7" t="s">
        <v>659</v>
      </c>
      <c r="H65" s="7"/>
      <c r="I65" s="7"/>
      <c r="J65" s="7"/>
      <c r="K65" s="7"/>
      <c r="L65" s="7"/>
      <c r="M65" s="7" t="n">
        <v>0</v>
      </c>
      <c r="N65" s="7" t="n">
        <v>0</v>
      </c>
      <c r="O65" s="7"/>
      <c r="P65" s="10"/>
      <c r="Q65" s="30" t="s">
        <v>657</v>
      </c>
      <c r="R65" s="10" t="s">
        <v>740</v>
      </c>
      <c r="S65" s="12"/>
      <c r="T65" s="12"/>
    </row>
    <row r="66" customFormat="false" ht="23.85" hidden="false" customHeight="false" outlineLevel="0" collapsed="false">
      <c r="A66" s="12" t="s">
        <v>31</v>
      </c>
      <c r="B66" s="12" t="s">
        <v>87</v>
      </c>
      <c r="C66" s="7"/>
      <c r="D66" s="7"/>
      <c r="E66" s="7"/>
      <c r="F66" s="7"/>
      <c r="G66" s="7" t="s">
        <v>659</v>
      </c>
      <c r="H66" s="7"/>
      <c r="I66" s="7"/>
      <c r="J66" s="7"/>
      <c r="K66" s="7"/>
      <c r="L66" s="7"/>
      <c r="M66" s="7" t="n">
        <v>0</v>
      </c>
      <c r="N66" s="7" t="n">
        <v>0</v>
      </c>
      <c r="O66" s="7"/>
      <c r="P66" s="10"/>
      <c r="Q66" s="30" t="s">
        <v>657</v>
      </c>
      <c r="R66" s="10" t="s">
        <v>741</v>
      </c>
      <c r="S66" s="12"/>
      <c r="T66" s="12"/>
    </row>
    <row r="67" customFormat="false" ht="23.85" hidden="false" customHeight="false" outlineLevel="0" collapsed="false">
      <c r="A67" s="12" t="s">
        <v>31</v>
      </c>
      <c r="B67" s="12" t="s">
        <v>423</v>
      </c>
      <c r="C67" s="7"/>
      <c r="D67" s="7"/>
      <c r="E67" s="7"/>
      <c r="F67" s="7"/>
      <c r="G67" s="7" t="s">
        <v>659</v>
      </c>
      <c r="H67" s="7"/>
      <c r="I67" s="7"/>
      <c r="J67" s="7"/>
      <c r="K67" s="7"/>
      <c r="L67" s="7"/>
      <c r="M67" s="7" t="n">
        <v>0</v>
      </c>
      <c r="N67" s="7" t="n">
        <v>0</v>
      </c>
      <c r="O67" s="7"/>
      <c r="P67" s="10"/>
      <c r="Q67" s="30" t="s">
        <v>657</v>
      </c>
      <c r="R67" s="10" t="s">
        <v>676</v>
      </c>
      <c r="S67" s="12"/>
      <c r="T67" s="12"/>
    </row>
    <row r="68" customFormat="false" ht="35.05" hidden="false" customHeight="false" outlineLevel="0" collapsed="false">
      <c r="A68" s="12" t="s">
        <v>31</v>
      </c>
      <c r="B68" s="12" t="s">
        <v>104</v>
      </c>
      <c r="C68" s="7"/>
      <c r="D68" s="7" t="s">
        <v>659</v>
      </c>
      <c r="E68" s="7"/>
      <c r="F68" s="7" t="s">
        <v>659</v>
      </c>
      <c r="G68" s="7"/>
      <c r="H68" s="7"/>
      <c r="I68" s="7" t="s">
        <v>659</v>
      </c>
      <c r="J68" s="7"/>
      <c r="K68" s="7"/>
      <c r="L68" s="7"/>
      <c r="M68" s="7" t="n">
        <v>3</v>
      </c>
      <c r="N68" s="7" t="n">
        <v>27</v>
      </c>
      <c r="O68" s="7"/>
      <c r="P68" s="10" t="s">
        <v>742</v>
      </c>
      <c r="Q68" s="30" t="s">
        <v>657</v>
      </c>
      <c r="R68" s="10" t="s">
        <v>743</v>
      </c>
      <c r="S68" s="12"/>
      <c r="T68" s="12"/>
    </row>
    <row r="69" customFormat="false" ht="23.85" hidden="false" customHeight="false" outlineLevel="0" collapsed="false">
      <c r="A69" s="12" t="s">
        <v>31</v>
      </c>
      <c r="B69" s="12" t="s">
        <v>120</v>
      </c>
      <c r="C69" s="7"/>
      <c r="D69" s="7"/>
      <c r="E69" s="7"/>
      <c r="F69" s="7"/>
      <c r="G69" s="7" t="s">
        <v>659</v>
      </c>
      <c r="H69" s="7"/>
      <c r="I69" s="7"/>
      <c r="J69" s="7"/>
      <c r="K69" s="7"/>
      <c r="L69" s="7"/>
      <c r="M69" s="7" t="n">
        <v>0</v>
      </c>
      <c r="N69" s="7" t="n">
        <v>0</v>
      </c>
      <c r="O69" s="7"/>
      <c r="P69" s="10"/>
      <c r="Q69" s="30" t="s">
        <v>657</v>
      </c>
      <c r="R69" s="10" t="s">
        <v>744</v>
      </c>
      <c r="S69" s="12"/>
      <c r="T69" s="12"/>
    </row>
    <row r="70" customFormat="false" ht="35.05" hidden="false" customHeight="false" outlineLevel="0" collapsed="false">
      <c r="A70" s="12" t="s">
        <v>31</v>
      </c>
      <c r="B70" s="12" t="s">
        <v>112</v>
      </c>
      <c r="C70" s="7"/>
      <c r="D70" s="7"/>
      <c r="E70" s="7"/>
      <c r="F70" s="7"/>
      <c r="G70" s="7"/>
      <c r="H70" s="7"/>
      <c r="I70" s="7" t="s">
        <v>659</v>
      </c>
      <c r="J70" s="7"/>
      <c r="K70" s="7"/>
      <c r="L70" s="7"/>
      <c r="M70" s="7" t="n">
        <v>1</v>
      </c>
      <c r="N70" s="7" t="n">
        <v>30</v>
      </c>
      <c r="O70" s="7"/>
      <c r="P70" s="10" t="s">
        <v>742</v>
      </c>
      <c r="Q70" s="30" t="s">
        <v>657</v>
      </c>
      <c r="R70" s="10" t="s">
        <v>745</v>
      </c>
      <c r="S70" s="12"/>
      <c r="T70" s="12"/>
    </row>
    <row r="71" customFormat="false" ht="23.85" hidden="false" customHeight="false" outlineLevel="0" collapsed="false">
      <c r="A71" s="12" t="s">
        <v>31</v>
      </c>
      <c r="B71" s="12" t="s">
        <v>201</v>
      </c>
      <c r="C71" s="7" t="s">
        <v>659</v>
      </c>
      <c r="D71" s="7"/>
      <c r="E71" s="7"/>
      <c r="F71" s="7" t="s">
        <v>659</v>
      </c>
      <c r="G71" s="7"/>
      <c r="H71" s="7"/>
      <c r="I71" s="7"/>
      <c r="J71" s="7"/>
      <c r="K71" s="7"/>
      <c r="L71" s="7"/>
      <c r="M71" s="7" t="n">
        <v>0</v>
      </c>
      <c r="N71" s="7" t="n">
        <v>0</v>
      </c>
      <c r="O71" s="7"/>
      <c r="P71" s="10"/>
      <c r="Q71" s="30" t="s">
        <v>657</v>
      </c>
      <c r="R71" s="10" t="s">
        <v>746</v>
      </c>
      <c r="S71" s="12"/>
      <c r="T71" s="12"/>
    </row>
    <row r="72" customFormat="false" ht="23.85" hidden="false" customHeight="false" outlineLevel="0" collapsed="false">
      <c r="A72" s="12" t="s">
        <v>31</v>
      </c>
      <c r="B72" s="12" t="s">
        <v>176</v>
      </c>
      <c r="C72" s="7"/>
      <c r="D72" s="7"/>
      <c r="E72" s="7"/>
      <c r="F72" s="7" t="s">
        <v>659</v>
      </c>
      <c r="G72" s="7"/>
      <c r="H72" s="7"/>
      <c r="I72" s="7"/>
      <c r="J72" s="7"/>
      <c r="K72" s="7"/>
      <c r="L72" s="7"/>
      <c r="M72" s="7" t="n">
        <v>0</v>
      </c>
      <c r="N72" s="7" t="n">
        <v>0</v>
      </c>
      <c r="O72" s="7"/>
      <c r="P72" s="10"/>
      <c r="Q72" s="30" t="s">
        <v>657</v>
      </c>
      <c r="R72" s="10" t="s">
        <v>747</v>
      </c>
      <c r="S72" s="12"/>
      <c r="T72" s="12"/>
    </row>
    <row r="73" customFormat="false" ht="23.85" hidden="false" customHeight="false" outlineLevel="0" collapsed="false">
      <c r="A73" s="12" t="s">
        <v>31</v>
      </c>
      <c r="B73" s="12" t="s">
        <v>199</v>
      </c>
      <c r="C73" s="7" t="s">
        <v>659</v>
      </c>
      <c r="D73" s="7"/>
      <c r="E73" s="7"/>
      <c r="F73" s="7"/>
      <c r="G73" s="7"/>
      <c r="H73" s="7"/>
      <c r="I73" s="7"/>
      <c r="J73" s="7"/>
      <c r="K73" s="7"/>
      <c r="L73" s="7"/>
      <c r="M73" s="7" t="n">
        <v>0</v>
      </c>
      <c r="N73" s="7" t="n">
        <v>0</v>
      </c>
      <c r="O73" s="7"/>
      <c r="P73" s="10"/>
      <c r="Q73" s="30" t="s">
        <v>657</v>
      </c>
      <c r="R73" s="10" t="s">
        <v>748</v>
      </c>
      <c r="S73" s="12"/>
      <c r="T73" s="12"/>
    </row>
    <row r="74" customFormat="false" ht="23.85" hidden="false" customHeight="false" outlineLevel="0" collapsed="false">
      <c r="A74" s="12" t="s">
        <v>31</v>
      </c>
      <c r="B74" s="12" t="s">
        <v>432</v>
      </c>
      <c r="C74" s="7"/>
      <c r="D74" s="7"/>
      <c r="E74" s="7"/>
      <c r="F74" s="7"/>
      <c r="G74" s="7" t="s">
        <v>659</v>
      </c>
      <c r="H74" s="7"/>
      <c r="I74" s="7"/>
      <c r="J74" s="7"/>
      <c r="K74" s="7"/>
      <c r="L74" s="7"/>
      <c r="M74" s="7" t="n">
        <v>0</v>
      </c>
      <c r="N74" s="7" t="n">
        <v>0</v>
      </c>
      <c r="O74" s="7"/>
      <c r="P74" s="10"/>
      <c r="Q74" s="30" t="s">
        <v>657</v>
      </c>
      <c r="R74" s="10" t="s">
        <v>749</v>
      </c>
      <c r="S74" s="12"/>
      <c r="T74" s="12"/>
    </row>
    <row r="75" customFormat="false" ht="23.85" hidden="false" customHeight="false" outlineLevel="0" collapsed="false">
      <c r="A75" s="12" t="s">
        <v>31</v>
      </c>
      <c r="B75" s="12" t="s">
        <v>361</v>
      </c>
      <c r="C75" s="7"/>
      <c r="D75" s="7"/>
      <c r="E75" s="7"/>
      <c r="F75" s="7" t="s">
        <v>659</v>
      </c>
      <c r="G75" s="7"/>
      <c r="H75" s="7"/>
      <c r="I75" s="7"/>
      <c r="J75" s="7"/>
      <c r="K75" s="7"/>
      <c r="L75" s="7"/>
      <c r="M75" s="7" t="n">
        <v>0</v>
      </c>
      <c r="N75" s="7" t="n">
        <v>0</v>
      </c>
      <c r="O75" s="7"/>
      <c r="P75" s="10"/>
      <c r="Q75" s="30" t="s">
        <v>657</v>
      </c>
      <c r="R75" s="10" t="s">
        <v>706</v>
      </c>
      <c r="S75" s="12"/>
      <c r="T75" s="12"/>
    </row>
    <row r="76" customFormat="false" ht="23.85" hidden="false" customHeight="false" outlineLevel="0" collapsed="false">
      <c r="A76" s="12" t="s">
        <v>31</v>
      </c>
      <c r="B76" s="12" t="s">
        <v>393</v>
      </c>
      <c r="C76" s="7"/>
      <c r="D76" s="7"/>
      <c r="E76" s="7"/>
      <c r="F76" s="7" t="s">
        <v>659</v>
      </c>
      <c r="G76" s="7"/>
      <c r="H76" s="7"/>
      <c r="I76" s="7"/>
      <c r="J76" s="7"/>
      <c r="K76" s="7"/>
      <c r="L76" s="7"/>
      <c r="M76" s="7" t="n">
        <v>0</v>
      </c>
      <c r="N76" s="7" t="n">
        <v>0</v>
      </c>
      <c r="O76" s="7"/>
      <c r="P76" s="10"/>
      <c r="Q76" s="30" t="s">
        <v>657</v>
      </c>
      <c r="R76" s="10" t="s">
        <v>718</v>
      </c>
      <c r="S76" s="12"/>
      <c r="T76" s="12"/>
    </row>
    <row r="77" customFormat="false" ht="23.85" hidden="false" customHeight="false" outlineLevel="0" collapsed="false">
      <c r="A77" s="12" t="s">
        <v>31</v>
      </c>
      <c r="B77" s="12" t="s">
        <v>437</v>
      </c>
      <c r="C77" s="7"/>
      <c r="D77" s="7"/>
      <c r="E77" s="7"/>
      <c r="F77" s="7" t="s">
        <v>659</v>
      </c>
      <c r="G77" s="7"/>
      <c r="H77" s="7"/>
      <c r="I77" s="7"/>
      <c r="J77" s="7"/>
      <c r="K77" s="7"/>
      <c r="L77" s="7"/>
      <c r="M77" s="7" t="n">
        <v>0</v>
      </c>
      <c r="N77" s="7" t="n">
        <v>0</v>
      </c>
      <c r="O77" s="7"/>
      <c r="P77" s="10"/>
      <c r="Q77" s="30" t="s">
        <v>657</v>
      </c>
      <c r="R77" s="10" t="s">
        <v>750</v>
      </c>
      <c r="S77" s="12"/>
      <c r="T77" s="12"/>
    </row>
    <row r="78" customFormat="false" ht="23.85" hidden="false" customHeight="false" outlineLevel="0" collapsed="false">
      <c r="A78" s="12" t="s">
        <v>31</v>
      </c>
      <c r="B78" s="12" t="s">
        <v>203</v>
      </c>
      <c r="C78" s="7" t="s">
        <v>659</v>
      </c>
      <c r="D78" s="7"/>
      <c r="E78" s="7"/>
      <c r="F78" s="7"/>
      <c r="G78" s="7"/>
      <c r="H78" s="7"/>
      <c r="I78" s="7"/>
      <c r="J78" s="7"/>
      <c r="K78" s="7"/>
      <c r="L78" s="7"/>
      <c r="M78" s="7" t="n">
        <v>0</v>
      </c>
      <c r="N78" s="7" t="n">
        <v>0</v>
      </c>
      <c r="O78" s="7"/>
      <c r="P78" s="10"/>
      <c r="Q78" s="30" t="s">
        <v>657</v>
      </c>
      <c r="R78" s="10" t="s">
        <v>663</v>
      </c>
      <c r="S78" s="12"/>
      <c r="T78" s="12"/>
    </row>
    <row r="79" customFormat="false" ht="23.85" hidden="false" customHeight="false" outlineLevel="0" collapsed="false">
      <c r="A79" s="12" t="s">
        <v>31</v>
      </c>
      <c r="B79" s="12" t="s">
        <v>442</v>
      </c>
      <c r="C79" s="7"/>
      <c r="D79" s="7"/>
      <c r="E79" s="7"/>
      <c r="F79" s="7"/>
      <c r="G79" s="7" t="s">
        <v>659</v>
      </c>
      <c r="H79" s="7"/>
      <c r="I79" s="7"/>
      <c r="J79" s="7"/>
      <c r="K79" s="7"/>
      <c r="L79" s="7"/>
      <c r="M79" s="7" t="n">
        <v>0</v>
      </c>
      <c r="N79" s="7" t="n">
        <v>0</v>
      </c>
      <c r="O79" s="7"/>
      <c r="P79" s="10"/>
      <c r="Q79" s="30" t="s">
        <v>657</v>
      </c>
      <c r="R79" s="10" t="s">
        <v>751</v>
      </c>
      <c r="S79" s="12"/>
      <c r="T79" s="12"/>
    </row>
    <row r="80" customFormat="false" ht="35.05" hidden="false" customHeight="false" outlineLevel="0" collapsed="false">
      <c r="A80" s="12" t="s">
        <v>31</v>
      </c>
      <c r="B80" s="12" t="s">
        <v>116</v>
      </c>
      <c r="C80" s="7"/>
      <c r="D80" s="7"/>
      <c r="E80" s="7"/>
      <c r="F80" s="7" t="s">
        <v>659</v>
      </c>
      <c r="G80" s="7" t="s">
        <v>659</v>
      </c>
      <c r="H80" s="7"/>
      <c r="I80" s="7" t="s">
        <v>659</v>
      </c>
      <c r="J80" s="7"/>
      <c r="K80" s="7"/>
      <c r="L80" s="7"/>
      <c r="M80" s="7" t="n">
        <v>2</v>
      </c>
      <c r="N80" s="7" t="n">
        <v>30</v>
      </c>
      <c r="O80" s="7"/>
      <c r="P80" s="10" t="s">
        <v>742</v>
      </c>
      <c r="Q80" s="30" t="s">
        <v>657</v>
      </c>
      <c r="R80" s="10" t="s">
        <v>752</v>
      </c>
      <c r="S80" s="12"/>
      <c r="T80" s="12"/>
    </row>
    <row r="81" customFormat="false" ht="23.85" hidden="false" customHeight="false" outlineLevel="0" collapsed="false">
      <c r="A81" s="12" t="s">
        <v>31</v>
      </c>
      <c r="B81" s="12" t="s">
        <v>173</v>
      </c>
      <c r="C81" s="7"/>
      <c r="D81" s="7"/>
      <c r="E81" s="7"/>
      <c r="F81" s="7"/>
      <c r="G81" s="7" t="s">
        <v>659</v>
      </c>
      <c r="H81" s="7"/>
      <c r="I81" s="7"/>
      <c r="J81" s="7"/>
      <c r="K81" s="7"/>
      <c r="L81" s="7"/>
      <c r="M81" s="7" t="n">
        <v>0</v>
      </c>
      <c r="N81" s="7" t="n">
        <v>0</v>
      </c>
      <c r="O81" s="7"/>
      <c r="P81" s="10"/>
      <c r="Q81" s="30" t="s">
        <v>657</v>
      </c>
      <c r="R81" s="10" t="s">
        <v>753</v>
      </c>
      <c r="S81" s="12"/>
      <c r="T81" s="12"/>
    </row>
    <row r="82" customFormat="false" ht="23.85" hidden="false" customHeight="false" outlineLevel="0" collapsed="false">
      <c r="A82" s="12" t="s">
        <v>31</v>
      </c>
      <c r="B82" s="12" t="s">
        <v>191</v>
      </c>
      <c r="C82" s="7" t="s">
        <v>659</v>
      </c>
      <c r="D82" s="7"/>
      <c r="E82" s="7"/>
      <c r="F82" s="7"/>
      <c r="G82" s="7"/>
      <c r="H82" s="7"/>
      <c r="I82" s="7"/>
      <c r="J82" s="7"/>
      <c r="K82" s="7"/>
      <c r="L82" s="7"/>
      <c r="M82" s="7" t="n">
        <v>0</v>
      </c>
      <c r="N82" s="7" t="n">
        <v>0</v>
      </c>
      <c r="O82" s="7"/>
      <c r="P82" s="10"/>
      <c r="Q82" s="30" t="s">
        <v>657</v>
      </c>
      <c r="R82" s="10" t="s">
        <v>729</v>
      </c>
      <c r="S82" s="12"/>
      <c r="T82" s="12"/>
    </row>
    <row r="83" customFormat="false" ht="23.85" hidden="false" customHeight="false" outlineLevel="0" collapsed="false">
      <c r="A83" s="12" t="s">
        <v>31</v>
      </c>
      <c r="B83" s="12" t="s">
        <v>446</v>
      </c>
      <c r="C83" s="7"/>
      <c r="D83" s="7"/>
      <c r="E83" s="7"/>
      <c r="F83" s="7"/>
      <c r="G83" s="7" t="s">
        <v>659</v>
      </c>
      <c r="H83" s="7"/>
      <c r="I83" s="7"/>
      <c r="J83" s="7"/>
      <c r="K83" s="7"/>
      <c r="L83" s="7"/>
      <c r="M83" s="7" t="n">
        <v>0</v>
      </c>
      <c r="N83" s="7" t="n">
        <v>0</v>
      </c>
      <c r="O83" s="7"/>
      <c r="P83" s="10"/>
      <c r="Q83" s="30" t="s">
        <v>657</v>
      </c>
      <c r="R83" s="10" t="s">
        <v>754</v>
      </c>
      <c r="S83" s="12"/>
      <c r="T83" s="12"/>
    </row>
    <row r="84" customFormat="false" ht="23.85" hidden="false" customHeight="false" outlineLevel="0" collapsed="false">
      <c r="A84" s="12" t="s">
        <v>31</v>
      </c>
      <c r="B84" s="12" t="s">
        <v>429</v>
      </c>
      <c r="C84" s="7"/>
      <c r="D84" s="7"/>
      <c r="E84" s="7"/>
      <c r="F84" s="7" t="s">
        <v>659</v>
      </c>
      <c r="G84" s="7"/>
      <c r="H84" s="7"/>
      <c r="I84" s="7"/>
      <c r="J84" s="7"/>
      <c r="K84" s="7"/>
      <c r="L84" s="7"/>
      <c r="M84" s="7" t="n">
        <v>0</v>
      </c>
      <c r="N84" s="7" t="n">
        <v>0</v>
      </c>
      <c r="O84" s="7"/>
      <c r="P84" s="10"/>
      <c r="Q84" s="30" t="s">
        <v>657</v>
      </c>
      <c r="R84" s="10" t="s">
        <v>755</v>
      </c>
      <c r="S84" s="12"/>
      <c r="T84" s="12"/>
    </row>
    <row r="85" customFormat="false" ht="23.85" hidden="false" customHeight="false" outlineLevel="0" collapsed="false">
      <c r="A85" s="12" t="s">
        <v>31</v>
      </c>
      <c r="B85" s="12" t="s">
        <v>449</v>
      </c>
      <c r="C85" s="7"/>
      <c r="D85" s="7"/>
      <c r="E85" s="7"/>
      <c r="F85" s="7"/>
      <c r="G85" s="7" t="s">
        <v>659</v>
      </c>
      <c r="H85" s="7"/>
      <c r="I85" s="7"/>
      <c r="J85" s="7"/>
      <c r="K85" s="7"/>
      <c r="L85" s="7"/>
      <c r="M85" s="7" t="n">
        <v>0</v>
      </c>
      <c r="N85" s="7" t="n">
        <v>0</v>
      </c>
      <c r="O85" s="7"/>
      <c r="P85" s="10"/>
      <c r="Q85" s="30" t="s">
        <v>657</v>
      </c>
      <c r="R85" s="10" t="s">
        <v>756</v>
      </c>
      <c r="S85" s="12"/>
      <c r="T85" s="12"/>
    </row>
    <row r="86" customFormat="false" ht="23.85" hidden="false" customHeight="false" outlineLevel="0" collapsed="false">
      <c r="A86" s="12" t="s">
        <v>31</v>
      </c>
      <c r="B86" s="12" t="s">
        <v>396</v>
      </c>
      <c r="C86" s="7"/>
      <c r="D86" s="7"/>
      <c r="E86" s="7"/>
      <c r="F86" s="7"/>
      <c r="G86" s="7" t="s">
        <v>659</v>
      </c>
      <c r="H86" s="7"/>
      <c r="I86" s="7"/>
      <c r="J86" s="7"/>
      <c r="K86" s="7"/>
      <c r="L86" s="7"/>
      <c r="M86" s="7" t="n">
        <v>0</v>
      </c>
      <c r="N86" s="7" t="n">
        <v>0</v>
      </c>
      <c r="O86" s="7"/>
      <c r="P86" s="10"/>
      <c r="Q86" s="30" t="s">
        <v>657</v>
      </c>
      <c r="R86" s="10" t="s">
        <v>757</v>
      </c>
      <c r="S86" s="12"/>
      <c r="T86" s="12"/>
    </row>
    <row r="87" customFormat="false" ht="35.05" hidden="false" customHeight="false" outlineLevel="0" collapsed="false">
      <c r="A87" s="12" t="s">
        <v>25</v>
      </c>
      <c r="B87" s="12" t="s">
        <v>74</v>
      </c>
      <c r="C87" s="7"/>
      <c r="D87" s="7" t="s">
        <v>659</v>
      </c>
      <c r="E87" s="7" t="s">
        <v>659</v>
      </c>
      <c r="F87" s="7" t="s">
        <v>659</v>
      </c>
      <c r="G87" s="7" t="s">
        <v>659</v>
      </c>
      <c r="H87" s="7"/>
      <c r="I87" s="7" t="s">
        <v>659</v>
      </c>
      <c r="J87" s="7" t="s">
        <v>659</v>
      </c>
      <c r="K87" s="7" t="s">
        <v>659</v>
      </c>
      <c r="L87" s="7" t="s">
        <v>659</v>
      </c>
      <c r="M87" s="7" t="n">
        <v>30</v>
      </c>
      <c r="N87" s="7" t="n">
        <v>29</v>
      </c>
      <c r="O87" s="7" t="s">
        <v>84</v>
      </c>
      <c r="P87" s="10" t="s">
        <v>758</v>
      </c>
      <c r="Q87" s="30" t="s">
        <v>657</v>
      </c>
      <c r="R87" s="10" t="s">
        <v>759</v>
      </c>
      <c r="S87" s="30" t="s">
        <v>760</v>
      </c>
      <c r="T87" s="30" t="s">
        <v>761</v>
      </c>
    </row>
    <row r="88" customFormat="false" ht="23.85" hidden="false" customHeight="false" outlineLevel="0" collapsed="false">
      <c r="A88" s="12" t="s">
        <v>25</v>
      </c>
      <c r="B88" s="12" t="s">
        <v>460</v>
      </c>
      <c r="C88" s="7" t="s">
        <v>659</v>
      </c>
      <c r="D88" s="7"/>
      <c r="E88" s="7"/>
      <c r="F88" s="7"/>
      <c r="G88" s="7"/>
      <c r="H88" s="7"/>
      <c r="I88" s="7"/>
      <c r="J88" s="7"/>
      <c r="K88" s="7"/>
      <c r="L88" s="7"/>
      <c r="M88" s="7" t="n">
        <v>0</v>
      </c>
      <c r="N88" s="7" t="n">
        <v>0</v>
      </c>
      <c r="O88" s="7"/>
      <c r="P88" s="10"/>
      <c r="Q88" s="30" t="s">
        <v>657</v>
      </c>
      <c r="R88" s="10" t="s">
        <v>762</v>
      </c>
      <c r="S88" s="12"/>
      <c r="T88" s="12"/>
    </row>
    <row r="89" customFormat="false" ht="57.45" hidden="false" customHeight="false" outlineLevel="0" collapsed="false">
      <c r="A89" s="12" t="s">
        <v>25</v>
      </c>
      <c r="B89" s="12" t="s">
        <v>87</v>
      </c>
      <c r="C89" s="7" t="s">
        <v>659</v>
      </c>
      <c r="D89" s="7" t="s">
        <v>659</v>
      </c>
      <c r="E89" s="7" t="s">
        <v>659</v>
      </c>
      <c r="F89" s="7"/>
      <c r="G89" s="7" t="s">
        <v>659</v>
      </c>
      <c r="H89" s="7" t="s">
        <v>659</v>
      </c>
      <c r="I89" s="7" t="s">
        <v>659</v>
      </c>
      <c r="J89" s="7" t="s">
        <v>659</v>
      </c>
      <c r="K89" s="7" t="s">
        <v>659</v>
      </c>
      <c r="L89" s="7"/>
      <c r="M89" s="7" t="n">
        <v>13</v>
      </c>
      <c r="N89" s="7" t="n">
        <v>28</v>
      </c>
      <c r="O89" s="7"/>
      <c r="P89" s="10" t="s">
        <v>763</v>
      </c>
      <c r="Q89" s="30" t="s">
        <v>657</v>
      </c>
      <c r="R89" s="10" t="s">
        <v>764</v>
      </c>
      <c r="S89" s="12"/>
      <c r="T89" s="30" t="s">
        <v>765</v>
      </c>
    </row>
    <row r="90" customFormat="false" ht="23.85" hidden="false" customHeight="false" outlineLevel="0" collapsed="false">
      <c r="A90" s="12" t="s">
        <v>25</v>
      </c>
      <c r="B90" s="12" t="s">
        <v>166</v>
      </c>
      <c r="C90" s="7" t="s">
        <v>659</v>
      </c>
      <c r="D90" s="7"/>
      <c r="E90" s="7"/>
      <c r="F90" s="7" t="s">
        <v>659</v>
      </c>
      <c r="G90" s="7"/>
      <c r="H90" s="7"/>
      <c r="I90" s="7"/>
      <c r="J90" s="7"/>
      <c r="K90" s="7"/>
      <c r="L90" s="7"/>
      <c r="M90" s="7" t="n">
        <v>0</v>
      </c>
      <c r="N90" s="7" t="n">
        <v>0</v>
      </c>
      <c r="O90" s="7"/>
      <c r="P90" s="10"/>
      <c r="Q90" s="30" t="s">
        <v>657</v>
      </c>
      <c r="R90" s="10" t="s">
        <v>675</v>
      </c>
      <c r="S90" s="12"/>
      <c r="T90" s="12"/>
    </row>
    <row r="91" customFormat="false" ht="35.05" hidden="false" customHeight="false" outlineLevel="0" collapsed="false">
      <c r="A91" s="12" t="s">
        <v>25</v>
      </c>
      <c r="B91" s="12" t="s">
        <v>125</v>
      </c>
      <c r="C91" s="7" t="s">
        <v>659</v>
      </c>
      <c r="D91" s="7"/>
      <c r="E91" s="7"/>
      <c r="F91" s="7"/>
      <c r="G91" s="7"/>
      <c r="H91" s="7"/>
      <c r="I91" s="7" t="s">
        <v>659</v>
      </c>
      <c r="J91" s="7" t="s">
        <v>659</v>
      </c>
      <c r="K91" s="7"/>
      <c r="L91" s="7"/>
      <c r="M91" s="7" t="n">
        <v>4</v>
      </c>
      <c r="N91" s="7" t="n">
        <v>26</v>
      </c>
      <c r="O91" s="7"/>
      <c r="P91" s="10" t="s">
        <v>766</v>
      </c>
      <c r="Q91" s="30" t="s">
        <v>657</v>
      </c>
      <c r="R91" s="10" t="s">
        <v>767</v>
      </c>
      <c r="S91" s="12"/>
      <c r="T91" s="30" t="s">
        <v>768</v>
      </c>
    </row>
    <row r="92" customFormat="false" ht="57.45" hidden="false" customHeight="false" outlineLevel="0" collapsed="false">
      <c r="A92" s="12" t="s">
        <v>25</v>
      </c>
      <c r="B92" s="12" t="s">
        <v>104</v>
      </c>
      <c r="C92" s="7"/>
      <c r="D92" s="7" t="s">
        <v>659</v>
      </c>
      <c r="E92" s="7" t="s">
        <v>659</v>
      </c>
      <c r="F92" s="7" t="s">
        <v>659</v>
      </c>
      <c r="G92" s="7"/>
      <c r="H92" s="7" t="s">
        <v>659</v>
      </c>
      <c r="I92" s="7" t="s">
        <v>659</v>
      </c>
      <c r="J92" s="7" t="s">
        <v>659</v>
      </c>
      <c r="K92" s="7"/>
      <c r="L92" s="7"/>
      <c r="M92" s="7" t="n">
        <v>11</v>
      </c>
      <c r="N92" s="7" t="n">
        <v>27</v>
      </c>
      <c r="O92" s="7"/>
      <c r="P92" s="10" t="s">
        <v>763</v>
      </c>
      <c r="Q92" s="30" t="s">
        <v>657</v>
      </c>
      <c r="R92" s="10" t="s">
        <v>769</v>
      </c>
      <c r="S92" s="12"/>
      <c r="T92" s="30" t="s">
        <v>770</v>
      </c>
    </row>
    <row r="93" customFormat="false" ht="23.85" hidden="false" customHeight="false" outlineLevel="0" collapsed="false">
      <c r="A93" s="12" t="s">
        <v>25</v>
      </c>
      <c r="B93" s="12" t="s">
        <v>456</v>
      </c>
      <c r="C93" s="7" t="s">
        <v>659</v>
      </c>
      <c r="D93" s="7"/>
      <c r="E93" s="7"/>
      <c r="F93" s="7"/>
      <c r="G93" s="7"/>
      <c r="H93" s="7"/>
      <c r="I93" s="7"/>
      <c r="J93" s="7"/>
      <c r="K93" s="7"/>
      <c r="L93" s="7"/>
      <c r="M93" s="7" t="n">
        <v>0</v>
      </c>
      <c r="N93" s="7" t="n">
        <v>0</v>
      </c>
      <c r="O93" s="7"/>
      <c r="P93" s="10"/>
      <c r="Q93" s="30" t="s">
        <v>657</v>
      </c>
      <c r="R93" s="10" t="s">
        <v>771</v>
      </c>
      <c r="S93" s="12"/>
      <c r="T93" s="12"/>
    </row>
    <row r="94" customFormat="false" ht="23.85" hidden="false" customHeight="false" outlineLevel="0" collapsed="false">
      <c r="A94" s="12" t="s">
        <v>25</v>
      </c>
      <c r="B94" s="12" t="s">
        <v>285</v>
      </c>
      <c r="C94" s="7" t="s">
        <v>659</v>
      </c>
      <c r="D94" s="7"/>
      <c r="E94" s="7"/>
      <c r="F94" s="7"/>
      <c r="G94" s="7"/>
      <c r="H94" s="7"/>
      <c r="I94" s="7"/>
      <c r="J94" s="7"/>
      <c r="K94" s="7"/>
      <c r="L94" s="7"/>
      <c r="M94" s="7" t="n">
        <v>0</v>
      </c>
      <c r="N94" s="7" t="n">
        <v>0</v>
      </c>
      <c r="O94" s="7"/>
      <c r="P94" s="10"/>
      <c r="Q94" s="30" t="s">
        <v>657</v>
      </c>
      <c r="R94" s="10" t="s">
        <v>660</v>
      </c>
      <c r="S94" s="12"/>
      <c r="T94" s="12"/>
    </row>
    <row r="95" customFormat="false" ht="23.85" hidden="false" customHeight="false" outlineLevel="0" collapsed="false">
      <c r="A95" s="12" t="s">
        <v>25</v>
      </c>
      <c r="B95" s="12" t="s">
        <v>405</v>
      </c>
      <c r="C95" s="7" t="s">
        <v>659</v>
      </c>
      <c r="D95" s="7"/>
      <c r="E95" s="7"/>
      <c r="F95" s="7"/>
      <c r="G95" s="7"/>
      <c r="H95" s="7"/>
      <c r="I95" s="7"/>
      <c r="J95" s="7"/>
      <c r="K95" s="7"/>
      <c r="L95" s="7"/>
      <c r="M95" s="7" t="n">
        <v>0</v>
      </c>
      <c r="N95" s="7" t="n">
        <v>0</v>
      </c>
      <c r="O95" s="7"/>
      <c r="P95" s="10"/>
      <c r="Q95" s="30" t="s">
        <v>657</v>
      </c>
      <c r="R95" s="10" t="s">
        <v>772</v>
      </c>
      <c r="S95" s="12"/>
      <c r="T95" s="12"/>
    </row>
    <row r="96" customFormat="false" ht="35.05" hidden="false" customHeight="false" outlineLevel="0" collapsed="false">
      <c r="A96" s="12" t="s">
        <v>25</v>
      </c>
      <c r="B96" s="12" t="s">
        <v>133</v>
      </c>
      <c r="C96" s="7" t="s">
        <v>659</v>
      </c>
      <c r="D96" s="7" t="s">
        <v>659</v>
      </c>
      <c r="E96" s="7" t="s">
        <v>659</v>
      </c>
      <c r="F96" s="7" t="s">
        <v>659</v>
      </c>
      <c r="G96" s="7" t="s">
        <v>659</v>
      </c>
      <c r="H96" s="7" t="s">
        <v>659</v>
      </c>
      <c r="I96" s="7" t="s">
        <v>659</v>
      </c>
      <c r="J96" s="7"/>
      <c r="K96" s="7"/>
      <c r="L96" s="7"/>
      <c r="M96" s="7" t="n">
        <v>2</v>
      </c>
      <c r="N96" s="7" t="n">
        <v>24</v>
      </c>
      <c r="O96" s="7"/>
      <c r="P96" s="10" t="s">
        <v>773</v>
      </c>
      <c r="Q96" s="30" t="s">
        <v>657</v>
      </c>
      <c r="R96" s="10" t="s">
        <v>774</v>
      </c>
      <c r="S96" s="12"/>
      <c r="T96" s="12"/>
    </row>
    <row r="97" customFormat="false" ht="23.85" hidden="false" customHeight="false" outlineLevel="0" collapsed="false">
      <c r="A97" s="12" t="s">
        <v>25</v>
      </c>
      <c r="B97" s="12" t="s">
        <v>148</v>
      </c>
      <c r="C97" s="7"/>
      <c r="D97" s="7"/>
      <c r="E97" s="7" t="s">
        <v>659</v>
      </c>
      <c r="F97" s="7"/>
      <c r="G97" s="7"/>
      <c r="H97" s="7"/>
      <c r="I97" s="7"/>
      <c r="J97" s="7"/>
      <c r="K97" s="7"/>
      <c r="L97" s="7"/>
      <c r="M97" s="7" t="n">
        <v>0</v>
      </c>
      <c r="N97" s="7" t="n">
        <v>0</v>
      </c>
      <c r="O97" s="7"/>
      <c r="P97" s="10"/>
      <c r="Q97" s="30" t="s">
        <v>657</v>
      </c>
      <c r="R97" s="10" t="s">
        <v>775</v>
      </c>
      <c r="S97" s="12"/>
      <c r="T97" s="12"/>
    </row>
    <row r="98" customFormat="false" ht="23.85" hidden="false" customHeight="false" outlineLevel="0" collapsed="false">
      <c r="A98" s="12" t="s">
        <v>25</v>
      </c>
      <c r="B98" s="12" t="s">
        <v>466</v>
      </c>
      <c r="C98" s="7"/>
      <c r="D98" s="7"/>
      <c r="E98" s="7"/>
      <c r="F98" s="7" t="s">
        <v>659</v>
      </c>
      <c r="G98" s="7"/>
      <c r="H98" s="7"/>
      <c r="I98" s="7"/>
      <c r="J98" s="7"/>
      <c r="K98" s="7"/>
      <c r="L98" s="7"/>
      <c r="M98" s="7" t="n">
        <v>0</v>
      </c>
      <c r="N98" s="7" t="n">
        <v>0</v>
      </c>
      <c r="O98" s="7"/>
      <c r="P98" s="10"/>
      <c r="Q98" s="30" t="s">
        <v>657</v>
      </c>
      <c r="R98" s="10" t="s">
        <v>776</v>
      </c>
      <c r="S98" s="12"/>
      <c r="T98" s="12"/>
    </row>
    <row r="99" customFormat="false" ht="46.25" hidden="false" customHeight="false" outlineLevel="0" collapsed="false">
      <c r="A99" s="12" t="s">
        <v>25</v>
      </c>
      <c r="B99" s="12" t="s">
        <v>112</v>
      </c>
      <c r="C99" s="7" t="s">
        <v>659</v>
      </c>
      <c r="D99" s="7" t="s">
        <v>659</v>
      </c>
      <c r="E99" s="7"/>
      <c r="F99" s="7"/>
      <c r="G99" s="7" t="s">
        <v>659</v>
      </c>
      <c r="H99" s="7" t="s">
        <v>659</v>
      </c>
      <c r="I99" s="7" t="s">
        <v>659</v>
      </c>
      <c r="J99" s="7"/>
      <c r="K99" s="7"/>
      <c r="L99" s="7"/>
      <c r="M99" s="7" t="n">
        <v>10</v>
      </c>
      <c r="N99" s="7" t="n">
        <v>30</v>
      </c>
      <c r="O99" s="7"/>
      <c r="P99" s="10" t="s">
        <v>777</v>
      </c>
      <c r="Q99" s="30" t="s">
        <v>657</v>
      </c>
      <c r="R99" s="10" t="s">
        <v>778</v>
      </c>
      <c r="S99" s="12"/>
      <c r="T99" s="12"/>
    </row>
    <row r="100" customFormat="false" ht="35.05" hidden="false" customHeight="false" outlineLevel="0" collapsed="false">
      <c r="A100" s="12" t="s">
        <v>25</v>
      </c>
      <c r="B100" s="12" t="s">
        <v>358</v>
      </c>
      <c r="C100" s="7"/>
      <c r="D100" s="7"/>
      <c r="E100" s="7"/>
      <c r="F100" s="7"/>
      <c r="G100" s="7"/>
      <c r="H100" s="7"/>
      <c r="I100" s="7" t="s">
        <v>659</v>
      </c>
      <c r="J100" s="7"/>
      <c r="K100" s="7"/>
      <c r="L100" s="7"/>
      <c r="M100" s="7" t="n">
        <v>1</v>
      </c>
      <c r="N100" s="7" t="n">
        <v>28</v>
      </c>
      <c r="O100" s="7"/>
      <c r="P100" s="10" t="s">
        <v>779</v>
      </c>
      <c r="Q100" s="30" t="s">
        <v>657</v>
      </c>
      <c r="R100" s="10" t="s">
        <v>780</v>
      </c>
      <c r="S100" s="12"/>
      <c r="T100" s="12"/>
    </row>
    <row r="101" customFormat="false" ht="23.85" hidden="false" customHeight="false" outlineLevel="0" collapsed="false">
      <c r="A101" s="12" t="s">
        <v>25</v>
      </c>
      <c r="B101" s="12" t="s">
        <v>367</v>
      </c>
      <c r="C101" s="7" t="s">
        <v>659</v>
      </c>
      <c r="D101" s="7"/>
      <c r="E101" s="7"/>
      <c r="F101" s="7"/>
      <c r="G101" s="7"/>
      <c r="H101" s="7"/>
      <c r="I101" s="7"/>
      <c r="J101" s="7"/>
      <c r="K101" s="7"/>
      <c r="L101" s="7"/>
      <c r="M101" s="7" t="n">
        <v>0</v>
      </c>
      <c r="N101" s="7" t="n">
        <v>0</v>
      </c>
      <c r="O101" s="7"/>
      <c r="P101" s="10"/>
      <c r="Q101" s="30" t="s">
        <v>657</v>
      </c>
      <c r="R101" s="10" t="s">
        <v>714</v>
      </c>
      <c r="S101" s="12"/>
      <c r="T101" s="12"/>
    </row>
    <row r="102" customFormat="false" ht="23.85" hidden="false" customHeight="false" outlineLevel="0" collapsed="false">
      <c r="A102" s="12" t="s">
        <v>25</v>
      </c>
      <c r="B102" s="12" t="s">
        <v>463</v>
      </c>
      <c r="C102" s="7" t="s">
        <v>659</v>
      </c>
      <c r="D102" s="7"/>
      <c r="E102" s="7"/>
      <c r="F102" s="7"/>
      <c r="G102" s="7"/>
      <c r="H102" s="7"/>
      <c r="I102" s="7"/>
      <c r="J102" s="7"/>
      <c r="K102" s="7"/>
      <c r="L102" s="7"/>
      <c r="M102" s="7" t="n">
        <v>0</v>
      </c>
      <c r="N102" s="7" t="n">
        <v>0</v>
      </c>
      <c r="O102" s="7"/>
      <c r="P102" s="10"/>
      <c r="Q102" s="30" t="s">
        <v>657</v>
      </c>
      <c r="R102" s="10" t="s">
        <v>781</v>
      </c>
      <c r="S102" s="12"/>
      <c r="T102" s="12"/>
    </row>
    <row r="103" customFormat="false" ht="35.05" hidden="false" customHeight="false" outlineLevel="0" collapsed="false">
      <c r="A103" s="12" t="s">
        <v>25</v>
      </c>
      <c r="B103" s="12" t="s">
        <v>393</v>
      </c>
      <c r="C103" s="7" t="s">
        <v>659</v>
      </c>
      <c r="D103" s="7"/>
      <c r="E103" s="7"/>
      <c r="F103" s="7" t="s">
        <v>659</v>
      </c>
      <c r="G103" s="7"/>
      <c r="H103" s="7"/>
      <c r="I103" s="7" t="s">
        <v>659</v>
      </c>
      <c r="J103" s="7"/>
      <c r="K103" s="7"/>
      <c r="L103" s="7"/>
      <c r="M103" s="7" t="n">
        <v>3</v>
      </c>
      <c r="N103" s="7" t="n">
        <v>26</v>
      </c>
      <c r="O103" s="7"/>
      <c r="P103" s="10" t="s">
        <v>782</v>
      </c>
      <c r="Q103" s="30" t="s">
        <v>657</v>
      </c>
      <c r="R103" s="10" t="s">
        <v>783</v>
      </c>
      <c r="S103" s="12"/>
      <c r="T103" s="12"/>
    </row>
    <row r="104" customFormat="false" ht="23.85" hidden="false" customHeight="false" outlineLevel="0" collapsed="false">
      <c r="A104" s="12" t="s">
        <v>25</v>
      </c>
      <c r="B104" s="12" t="s">
        <v>203</v>
      </c>
      <c r="C104" s="7" t="s">
        <v>659</v>
      </c>
      <c r="D104" s="7"/>
      <c r="E104" s="7"/>
      <c r="F104" s="7"/>
      <c r="G104" s="7"/>
      <c r="H104" s="7"/>
      <c r="I104" s="7"/>
      <c r="J104" s="7"/>
      <c r="K104" s="7"/>
      <c r="L104" s="7"/>
      <c r="M104" s="7" t="n">
        <v>0</v>
      </c>
      <c r="N104" s="7" t="n">
        <v>0</v>
      </c>
      <c r="O104" s="7"/>
      <c r="P104" s="10"/>
      <c r="Q104" s="30" t="s">
        <v>657</v>
      </c>
      <c r="R104" s="10" t="s">
        <v>663</v>
      </c>
      <c r="S104" s="12"/>
      <c r="T104" s="12"/>
    </row>
    <row r="105" customFormat="false" ht="23.85" hidden="false" customHeight="false" outlineLevel="0" collapsed="false">
      <c r="A105" s="12" t="s">
        <v>25</v>
      </c>
      <c r="B105" s="12" t="s">
        <v>109</v>
      </c>
      <c r="C105" s="7" t="s">
        <v>659</v>
      </c>
      <c r="D105" s="7"/>
      <c r="E105" s="7"/>
      <c r="F105" s="7"/>
      <c r="G105" s="7"/>
      <c r="H105" s="7"/>
      <c r="I105" s="7"/>
      <c r="J105" s="7"/>
      <c r="K105" s="7"/>
      <c r="L105" s="7"/>
      <c r="M105" s="7" t="n">
        <v>0</v>
      </c>
      <c r="N105" s="7" t="n">
        <v>0</v>
      </c>
      <c r="O105" s="7"/>
      <c r="P105" s="10"/>
      <c r="Q105" s="30" t="s">
        <v>657</v>
      </c>
      <c r="R105" s="10" t="s">
        <v>784</v>
      </c>
      <c r="S105" s="12"/>
      <c r="T105" s="12"/>
    </row>
    <row r="106" customFormat="false" ht="23.85" hidden="false" customHeight="false" outlineLevel="0" collapsed="false">
      <c r="A106" s="12" t="s">
        <v>25</v>
      </c>
      <c r="B106" s="12" t="s">
        <v>409</v>
      </c>
      <c r="C106" s="7" t="s">
        <v>659</v>
      </c>
      <c r="D106" s="7"/>
      <c r="E106" s="7"/>
      <c r="F106" s="7"/>
      <c r="G106" s="7"/>
      <c r="H106" s="7"/>
      <c r="I106" s="7"/>
      <c r="J106" s="7"/>
      <c r="K106" s="7"/>
      <c r="L106" s="7"/>
      <c r="M106" s="7" t="n">
        <v>0</v>
      </c>
      <c r="N106" s="7" t="n">
        <v>0</v>
      </c>
      <c r="O106" s="7"/>
      <c r="P106" s="10"/>
      <c r="Q106" s="30" t="s">
        <v>657</v>
      </c>
      <c r="R106" s="10" t="s">
        <v>724</v>
      </c>
      <c r="S106" s="12"/>
      <c r="T106" s="12"/>
    </row>
    <row r="107" customFormat="false" ht="23.85" hidden="false" customHeight="false" outlineLevel="0" collapsed="false">
      <c r="A107" s="12" t="s">
        <v>25</v>
      </c>
      <c r="B107" s="12" t="s">
        <v>260</v>
      </c>
      <c r="C107" s="7" t="s">
        <v>659</v>
      </c>
      <c r="D107" s="7"/>
      <c r="E107" s="7" t="s">
        <v>659</v>
      </c>
      <c r="F107" s="7"/>
      <c r="G107" s="7"/>
      <c r="H107" s="7"/>
      <c r="I107" s="7"/>
      <c r="J107" s="7"/>
      <c r="K107" s="7"/>
      <c r="L107" s="7"/>
      <c r="M107" s="7" t="n">
        <v>0</v>
      </c>
      <c r="N107" s="7" t="n">
        <v>0</v>
      </c>
      <c r="O107" s="7"/>
      <c r="P107" s="10"/>
      <c r="Q107" s="30" t="s">
        <v>657</v>
      </c>
      <c r="R107" s="10" t="s">
        <v>785</v>
      </c>
      <c r="S107" s="12"/>
      <c r="T107" s="12"/>
    </row>
    <row r="108" customFormat="false" ht="57.45" hidden="false" customHeight="false" outlineLevel="0" collapsed="false">
      <c r="A108" s="12" t="s">
        <v>25</v>
      </c>
      <c r="B108" s="12" t="s">
        <v>116</v>
      </c>
      <c r="C108" s="7" t="s">
        <v>659</v>
      </c>
      <c r="D108" s="7" t="s">
        <v>659</v>
      </c>
      <c r="E108" s="7"/>
      <c r="F108" s="7" t="s">
        <v>659</v>
      </c>
      <c r="G108" s="7" t="s">
        <v>659</v>
      </c>
      <c r="H108" s="7" t="s">
        <v>659</v>
      </c>
      <c r="I108" s="7" t="s">
        <v>659</v>
      </c>
      <c r="J108" s="7" t="s">
        <v>659</v>
      </c>
      <c r="K108" s="7" t="s">
        <v>659</v>
      </c>
      <c r="L108" s="7"/>
      <c r="M108" s="7" t="n">
        <v>16</v>
      </c>
      <c r="N108" s="7" t="n">
        <v>30</v>
      </c>
      <c r="O108" s="7"/>
      <c r="P108" s="10" t="s">
        <v>786</v>
      </c>
      <c r="Q108" s="30" t="s">
        <v>657</v>
      </c>
      <c r="R108" s="10" t="s">
        <v>787</v>
      </c>
      <c r="S108" s="12"/>
      <c r="T108" s="30" t="s">
        <v>788</v>
      </c>
    </row>
    <row r="109" customFormat="false" ht="23.85" hidden="false" customHeight="false" outlineLevel="0" collapsed="false">
      <c r="A109" s="12" t="s">
        <v>25</v>
      </c>
      <c r="B109" s="12" t="s">
        <v>160</v>
      </c>
      <c r="C109" s="7" t="s">
        <v>659</v>
      </c>
      <c r="D109" s="7"/>
      <c r="E109" s="7"/>
      <c r="F109" s="7"/>
      <c r="G109" s="7"/>
      <c r="H109" s="7"/>
      <c r="I109" s="7"/>
      <c r="J109" s="7"/>
      <c r="K109" s="7"/>
      <c r="L109" s="7"/>
      <c r="M109" s="7" t="n">
        <v>0</v>
      </c>
      <c r="N109" s="7" t="n">
        <v>0</v>
      </c>
      <c r="O109" s="7"/>
      <c r="P109" s="10"/>
      <c r="Q109" s="30" t="s">
        <v>657</v>
      </c>
      <c r="R109" s="10" t="s">
        <v>789</v>
      </c>
      <c r="S109" s="12"/>
      <c r="T109" s="12"/>
    </row>
    <row r="110" customFormat="false" ht="23.85" hidden="false" customHeight="false" outlineLevel="0" collapsed="false">
      <c r="A110" s="12" t="s">
        <v>25</v>
      </c>
      <c r="B110" s="12" t="s">
        <v>305</v>
      </c>
      <c r="C110" s="7" t="s">
        <v>659</v>
      </c>
      <c r="D110" s="7"/>
      <c r="E110" s="7"/>
      <c r="F110" s="7"/>
      <c r="G110" s="7"/>
      <c r="H110" s="7"/>
      <c r="I110" s="7"/>
      <c r="J110" s="7"/>
      <c r="K110" s="7"/>
      <c r="L110" s="7"/>
      <c r="M110" s="7" t="n">
        <v>0</v>
      </c>
      <c r="N110" s="7" t="n">
        <v>0</v>
      </c>
      <c r="O110" s="7"/>
      <c r="P110" s="10"/>
      <c r="Q110" s="30" t="s">
        <v>657</v>
      </c>
      <c r="R110" s="10" t="s">
        <v>664</v>
      </c>
      <c r="S110" s="12"/>
      <c r="T110" s="12"/>
    </row>
    <row r="111" customFormat="false" ht="35.05" hidden="false" customHeight="false" outlineLevel="0" collapsed="false">
      <c r="A111" s="12" t="s">
        <v>21</v>
      </c>
      <c r="B111" s="12" t="s">
        <v>484</v>
      </c>
      <c r="C111" s="7"/>
      <c r="D111" s="7" t="s">
        <v>659</v>
      </c>
      <c r="E111" s="7"/>
      <c r="F111" s="7"/>
      <c r="G111" s="7"/>
      <c r="H111" s="7" t="s">
        <v>659</v>
      </c>
      <c r="I111" s="7"/>
      <c r="J111" s="7"/>
      <c r="K111" s="7"/>
      <c r="L111" s="7"/>
      <c r="M111" s="7" t="n">
        <v>0</v>
      </c>
      <c r="N111" s="7" t="n">
        <v>25</v>
      </c>
      <c r="O111" s="7"/>
      <c r="P111" s="10" t="s">
        <v>790</v>
      </c>
      <c r="Q111" s="30" t="s">
        <v>657</v>
      </c>
      <c r="R111" s="10" t="s">
        <v>791</v>
      </c>
      <c r="S111" s="12"/>
      <c r="T111" s="12"/>
    </row>
    <row r="112" customFormat="false" ht="35.05" hidden="false" customHeight="false" outlineLevel="0" collapsed="false">
      <c r="A112" s="12" t="s">
        <v>21</v>
      </c>
      <c r="B112" s="12" t="s">
        <v>136</v>
      </c>
      <c r="C112" s="7"/>
      <c r="D112" s="7" t="s">
        <v>659</v>
      </c>
      <c r="E112" s="7" t="s">
        <v>659</v>
      </c>
      <c r="F112" s="7" t="s">
        <v>659</v>
      </c>
      <c r="G112" s="7"/>
      <c r="H112" s="7" t="s">
        <v>659</v>
      </c>
      <c r="I112" s="7"/>
      <c r="J112" s="7"/>
      <c r="K112" s="7"/>
      <c r="L112" s="7"/>
      <c r="M112" s="7" t="n">
        <v>1</v>
      </c>
      <c r="N112" s="7" t="n">
        <v>28</v>
      </c>
      <c r="O112" s="7"/>
      <c r="P112" s="10" t="s">
        <v>792</v>
      </c>
      <c r="Q112" s="30" t="s">
        <v>657</v>
      </c>
      <c r="R112" s="10" t="s">
        <v>793</v>
      </c>
      <c r="S112" s="12"/>
      <c r="T112" s="12"/>
    </row>
    <row r="113" customFormat="false" ht="35.05" hidden="false" customHeight="false" outlineLevel="0" collapsed="false">
      <c r="A113" s="12" t="s">
        <v>21</v>
      </c>
      <c r="B113" s="12" t="s">
        <v>348</v>
      </c>
      <c r="C113" s="7"/>
      <c r="D113" s="7"/>
      <c r="E113" s="7"/>
      <c r="F113" s="7"/>
      <c r="G113" s="7"/>
      <c r="H113" s="7"/>
      <c r="I113" s="7"/>
      <c r="J113" s="7"/>
      <c r="K113" s="7"/>
      <c r="L113" s="7"/>
      <c r="M113" s="7" t="n">
        <v>1</v>
      </c>
      <c r="N113" s="7" t="n">
        <v>23</v>
      </c>
      <c r="O113" s="7"/>
      <c r="P113" s="10" t="s">
        <v>794</v>
      </c>
      <c r="Q113" s="30" t="s">
        <v>657</v>
      </c>
      <c r="R113" s="10" t="s">
        <v>795</v>
      </c>
      <c r="S113" s="12"/>
      <c r="T113" s="12"/>
    </row>
    <row r="114" customFormat="false" ht="35.05" hidden="false" customHeight="false" outlineLevel="0" collapsed="false">
      <c r="A114" s="12" t="s">
        <v>21</v>
      </c>
      <c r="B114" s="12" t="s">
        <v>74</v>
      </c>
      <c r="C114" s="7"/>
      <c r="D114" s="7" t="s">
        <v>659</v>
      </c>
      <c r="E114" s="7"/>
      <c r="F114" s="7"/>
      <c r="G114" s="7"/>
      <c r="H114" s="7" t="s">
        <v>659</v>
      </c>
      <c r="I114" s="7" t="s">
        <v>659</v>
      </c>
      <c r="J114" s="7" t="s">
        <v>659</v>
      </c>
      <c r="K114" s="7" t="s">
        <v>659</v>
      </c>
      <c r="L114" s="7"/>
      <c r="M114" s="7" t="n">
        <v>9</v>
      </c>
      <c r="N114" s="7" t="n">
        <v>29</v>
      </c>
      <c r="O114" s="7"/>
      <c r="P114" s="10" t="s">
        <v>796</v>
      </c>
      <c r="Q114" s="30" t="s">
        <v>657</v>
      </c>
      <c r="R114" s="10" t="s">
        <v>797</v>
      </c>
      <c r="S114" s="12"/>
      <c r="T114" s="30" t="s">
        <v>798</v>
      </c>
    </row>
    <row r="115" customFormat="false" ht="35.05" hidden="false" customHeight="false" outlineLevel="0" collapsed="false">
      <c r="A115" s="12" t="s">
        <v>21</v>
      </c>
      <c r="B115" s="12" t="s">
        <v>87</v>
      </c>
      <c r="C115" s="7"/>
      <c r="D115" s="7"/>
      <c r="E115" s="7" t="s">
        <v>659</v>
      </c>
      <c r="F115" s="7"/>
      <c r="G115" s="7"/>
      <c r="H115" s="7" t="s">
        <v>659</v>
      </c>
      <c r="I115" s="7" t="s">
        <v>659</v>
      </c>
      <c r="J115" s="7" t="s">
        <v>659</v>
      </c>
      <c r="K115" s="7"/>
      <c r="L115" s="7"/>
      <c r="M115" s="7" t="n">
        <v>2</v>
      </c>
      <c r="N115" s="7" t="n">
        <v>28</v>
      </c>
      <c r="O115" s="7"/>
      <c r="P115" s="10" t="s">
        <v>799</v>
      </c>
      <c r="Q115" s="30" t="s">
        <v>657</v>
      </c>
      <c r="R115" s="10" t="s">
        <v>800</v>
      </c>
      <c r="S115" s="12"/>
      <c r="T115" s="30" t="s">
        <v>801</v>
      </c>
    </row>
    <row r="116" customFormat="false" ht="23.85" hidden="false" customHeight="false" outlineLevel="0" collapsed="false">
      <c r="A116" s="12" t="s">
        <v>21</v>
      </c>
      <c r="B116" s="12" t="s">
        <v>481</v>
      </c>
      <c r="C116" s="7"/>
      <c r="D116" s="7"/>
      <c r="E116" s="7" t="s">
        <v>659</v>
      </c>
      <c r="F116" s="7"/>
      <c r="G116" s="7"/>
      <c r="H116" s="7"/>
      <c r="I116" s="7"/>
      <c r="J116" s="7"/>
      <c r="K116" s="7"/>
      <c r="L116" s="7"/>
      <c r="M116" s="7" t="n">
        <v>0</v>
      </c>
      <c r="N116" s="7" t="n">
        <v>0</v>
      </c>
      <c r="O116" s="7"/>
      <c r="P116" s="10"/>
      <c r="Q116" s="30" t="s">
        <v>657</v>
      </c>
      <c r="R116" s="10" t="s">
        <v>802</v>
      </c>
      <c r="S116" s="12"/>
      <c r="T116" s="12"/>
    </row>
    <row r="117" customFormat="false" ht="23.85" hidden="false" customHeight="false" outlineLevel="0" collapsed="false">
      <c r="A117" s="12" t="s">
        <v>21</v>
      </c>
      <c r="B117" s="12" t="s">
        <v>125</v>
      </c>
      <c r="C117" s="7"/>
      <c r="D117" s="7"/>
      <c r="E117" s="7" t="s">
        <v>659</v>
      </c>
      <c r="F117" s="7"/>
      <c r="G117" s="7"/>
      <c r="H117" s="7"/>
      <c r="I117" s="7"/>
      <c r="J117" s="7"/>
      <c r="K117" s="7"/>
      <c r="L117" s="7"/>
      <c r="M117" s="7" t="n">
        <v>0</v>
      </c>
      <c r="N117" s="7" t="n">
        <v>0</v>
      </c>
      <c r="O117" s="7"/>
      <c r="P117" s="10"/>
      <c r="Q117" s="30" t="s">
        <v>657</v>
      </c>
      <c r="R117" s="10" t="s">
        <v>683</v>
      </c>
      <c r="S117" s="12"/>
      <c r="T117" s="12"/>
    </row>
    <row r="118" customFormat="false" ht="35.05" hidden="false" customHeight="false" outlineLevel="0" collapsed="false">
      <c r="A118" s="12" t="s">
        <v>21</v>
      </c>
      <c r="B118" s="12" t="s">
        <v>104</v>
      </c>
      <c r="C118" s="7"/>
      <c r="D118" s="7" t="s">
        <v>659</v>
      </c>
      <c r="E118" s="7"/>
      <c r="F118" s="7"/>
      <c r="G118" s="7"/>
      <c r="H118" s="7"/>
      <c r="I118" s="7" t="s">
        <v>659</v>
      </c>
      <c r="J118" s="7" t="s">
        <v>659</v>
      </c>
      <c r="K118" s="7"/>
      <c r="L118" s="7"/>
      <c r="M118" s="7" t="n">
        <v>4</v>
      </c>
      <c r="N118" s="7" t="n">
        <v>27</v>
      </c>
      <c r="O118" s="7"/>
      <c r="P118" s="10" t="s">
        <v>803</v>
      </c>
      <c r="Q118" s="30" t="s">
        <v>657</v>
      </c>
      <c r="R118" s="10" t="s">
        <v>804</v>
      </c>
      <c r="S118" s="12"/>
      <c r="T118" s="30" t="s">
        <v>805</v>
      </c>
    </row>
    <row r="119" customFormat="false" ht="35.05" hidden="false" customHeight="false" outlineLevel="0" collapsed="false">
      <c r="A119" s="12" t="s">
        <v>21</v>
      </c>
      <c r="B119" s="12" t="s">
        <v>133</v>
      </c>
      <c r="C119" s="7"/>
      <c r="D119" s="7"/>
      <c r="E119" s="7"/>
      <c r="F119" s="7"/>
      <c r="G119" s="7"/>
      <c r="H119" s="7"/>
      <c r="I119" s="7"/>
      <c r="J119" s="7" t="s">
        <v>659</v>
      </c>
      <c r="K119" s="7" t="s">
        <v>659</v>
      </c>
      <c r="L119" s="7"/>
      <c r="M119" s="7" t="n">
        <v>7</v>
      </c>
      <c r="N119" s="7" t="n">
        <v>24</v>
      </c>
      <c r="O119" s="7"/>
      <c r="P119" s="10" t="s">
        <v>806</v>
      </c>
      <c r="Q119" s="30" t="s">
        <v>657</v>
      </c>
      <c r="R119" s="10" t="s">
        <v>807</v>
      </c>
      <c r="S119" s="12"/>
      <c r="T119" s="30" t="s">
        <v>808</v>
      </c>
    </row>
    <row r="120" customFormat="false" ht="35.05" hidden="false" customHeight="false" outlineLevel="0" collapsed="false">
      <c r="A120" s="12" t="s">
        <v>21</v>
      </c>
      <c r="B120" s="12" t="s">
        <v>477</v>
      </c>
      <c r="C120" s="7"/>
      <c r="D120" s="7"/>
      <c r="E120" s="7"/>
      <c r="F120" s="7"/>
      <c r="G120" s="7"/>
      <c r="H120" s="7" t="s">
        <v>659</v>
      </c>
      <c r="I120" s="7" t="s">
        <v>659</v>
      </c>
      <c r="J120" s="7" t="s">
        <v>659</v>
      </c>
      <c r="K120" s="7" t="s">
        <v>659</v>
      </c>
      <c r="L120" s="7"/>
      <c r="M120" s="7" t="n">
        <v>7</v>
      </c>
      <c r="N120" s="7" t="n">
        <v>30</v>
      </c>
      <c r="O120" s="7"/>
      <c r="P120" s="10" t="s">
        <v>809</v>
      </c>
      <c r="Q120" s="30" t="s">
        <v>657</v>
      </c>
      <c r="R120" s="10" t="s">
        <v>810</v>
      </c>
      <c r="S120" s="12"/>
      <c r="T120" s="30" t="s">
        <v>811</v>
      </c>
    </row>
    <row r="121" customFormat="false" ht="35.05" hidden="false" customHeight="false" outlineLevel="0" collapsed="false">
      <c r="A121" s="12" t="s">
        <v>21</v>
      </c>
      <c r="B121" s="12" t="s">
        <v>176</v>
      </c>
      <c r="C121" s="7"/>
      <c r="D121" s="7"/>
      <c r="E121" s="7" t="s">
        <v>659</v>
      </c>
      <c r="F121" s="7"/>
      <c r="G121" s="7"/>
      <c r="H121" s="7"/>
      <c r="I121" s="7"/>
      <c r="J121" s="7" t="s">
        <v>659</v>
      </c>
      <c r="K121" s="7"/>
      <c r="L121" s="7"/>
      <c r="M121" s="7" t="n">
        <v>2</v>
      </c>
      <c r="N121" s="7" t="n">
        <v>0</v>
      </c>
      <c r="O121" s="7"/>
      <c r="P121" s="10" t="s">
        <v>812</v>
      </c>
      <c r="Q121" s="30" t="s">
        <v>657</v>
      </c>
      <c r="R121" s="10" t="s">
        <v>813</v>
      </c>
      <c r="S121" s="12"/>
      <c r="T121" s="30" t="s">
        <v>814</v>
      </c>
    </row>
    <row r="122" customFormat="false" ht="35.05" hidden="false" customHeight="false" outlineLevel="0" collapsed="false">
      <c r="A122" s="12" t="s">
        <v>21</v>
      </c>
      <c r="B122" s="12" t="s">
        <v>129</v>
      </c>
      <c r="C122" s="7"/>
      <c r="D122" s="7" t="s">
        <v>659</v>
      </c>
      <c r="E122" s="7" t="s">
        <v>659</v>
      </c>
      <c r="F122" s="7" t="s">
        <v>659</v>
      </c>
      <c r="G122" s="7"/>
      <c r="H122" s="7" t="s">
        <v>659</v>
      </c>
      <c r="I122" s="7" t="s">
        <v>659</v>
      </c>
      <c r="J122" s="7" t="s">
        <v>659</v>
      </c>
      <c r="K122" s="7" t="s">
        <v>659</v>
      </c>
      <c r="L122" s="7" t="s">
        <v>659</v>
      </c>
      <c r="M122" s="7" t="n">
        <v>14</v>
      </c>
      <c r="N122" s="7" t="n">
        <v>28</v>
      </c>
      <c r="O122" s="7"/>
      <c r="P122" s="10" t="s">
        <v>815</v>
      </c>
      <c r="Q122" s="30" t="s">
        <v>657</v>
      </c>
      <c r="R122" s="10" t="s">
        <v>816</v>
      </c>
      <c r="S122" s="12"/>
      <c r="T122" s="30" t="s">
        <v>817</v>
      </c>
    </row>
    <row r="123" customFormat="false" ht="35.05" hidden="false" customHeight="false" outlineLevel="0" collapsed="false">
      <c r="A123" s="12" t="s">
        <v>21</v>
      </c>
      <c r="B123" s="12" t="s">
        <v>214</v>
      </c>
      <c r="C123" s="7"/>
      <c r="D123" s="7" t="s">
        <v>659</v>
      </c>
      <c r="E123" s="7"/>
      <c r="F123" s="7"/>
      <c r="G123" s="7"/>
      <c r="H123" s="7" t="s">
        <v>659</v>
      </c>
      <c r="I123" s="7" t="s">
        <v>659</v>
      </c>
      <c r="J123" s="7" t="s">
        <v>659</v>
      </c>
      <c r="K123" s="7" t="s">
        <v>659</v>
      </c>
      <c r="L123" s="7"/>
      <c r="M123" s="7" t="n">
        <v>5</v>
      </c>
      <c r="N123" s="7" t="n">
        <v>23</v>
      </c>
      <c r="O123" s="7"/>
      <c r="P123" s="10" t="s">
        <v>799</v>
      </c>
      <c r="Q123" s="30" t="s">
        <v>657</v>
      </c>
      <c r="R123" s="10" t="s">
        <v>818</v>
      </c>
      <c r="S123" s="12"/>
      <c r="T123" s="30" t="s">
        <v>819</v>
      </c>
    </row>
    <row r="124" customFormat="false" ht="23.85" hidden="false" customHeight="false" outlineLevel="0" collapsed="false">
      <c r="A124" s="12" t="s">
        <v>21</v>
      </c>
      <c r="B124" s="12" t="s">
        <v>463</v>
      </c>
      <c r="C124" s="7"/>
      <c r="D124" s="7"/>
      <c r="E124" s="7" t="s">
        <v>659</v>
      </c>
      <c r="F124" s="7"/>
      <c r="G124" s="7"/>
      <c r="H124" s="7"/>
      <c r="I124" s="7"/>
      <c r="J124" s="7"/>
      <c r="K124" s="7"/>
      <c r="L124" s="7"/>
      <c r="M124" s="7" t="n">
        <v>0</v>
      </c>
      <c r="N124" s="7" t="n">
        <v>0</v>
      </c>
      <c r="O124" s="7"/>
      <c r="P124" s="10"/>
      <c r="Q124" s="30" t="s">
        <v>657</v>
      </c>
      <c r="R124" s="10" t="s">
        <v>781</v>
      </c>
      <c r="S124" s="12"/>
      <c r="T124" s="12"/>
    </row>
    <row r="125" customFormat="false" ht="35.05" hidden="false" customHeight="false" outlineLevel="0" collapsed="false">
      <c r="A125" s="12" t="s">
        <v>21</v>
      </c>
      <c r="B125" s="12" t="s">
        <v>216</v>
      </c>
      <c r="C125" s="7"/>
      <c r="D125" s="7"/>
      <c r="E125" s="7"/>
      <c r="F125" s="7"/>
      <c r="G125" s="7"/>
      <c r="H125" s="7"/>
      <c r="I125" s="7" t="s">
        <v>659</v>
      </c>
      <c r="J125" s="7"/>
      <c r="K125" s="7"/>
      <c r="L125" s="7"/>
      <c r="M125" s="7" t="n">
        <v>1</v>
      </c>
      <c r="N125" s="7" t="n">
        <v>27</v>
      </c>
      <c r="O125" s="7"/>
      <c r="P125" s="10" t="s">
        <v>820</v>
      </c>
      <c r="Q125" s="30" t="s">
        <v>657</v>
      </c>
      <c r="R125" s="10" t="s">
        <v>821</v>
      </c>
      <c r="S125" s="12"/>
      <c r="T125" s="12"/>
    </row>
    <row r="126" customFormat="false" ht="35.05" hidden="false" customHeight="false" outlineLevel="0" collapsed="false">
      <c r="A126" s="12" t="s">
        <v>21</v>
      </c>
      <c r="B126" s="12" t="s">
        <v>179</v>
      </c>
      <c r="C126" s="7"/>
      <c r="D126" s="7" t="s">
        <v>659</v>
      </c>
      <c r="E126" s="7"/>
      <c r="F126" s="7"/>
      <c r="G126" s="7"/>
      <c r="H126" s="7" t="s">
        <v>659</v>
      </c>
      <c r="I126" s="7" t="s">
        <v>659</v>
      </c>
      <c r="J126" s="7" t="s">
        <v>659</v>
      </c>
      <c r="K126" s="7"/>
      <c r="L126" s="7"/>
      <c r="M126" s="7" t="n">
        <v>3</v>
      </c>
      <c r="N126" s="7" t="n">
        <v>0</v>
      </c>
      <c r="O126" s="7"/>
      <c r="P126" s="10" t="s">
        <v>796</v>
      </c>
      <c r="Q126" s="30" t="s">
        <v>657</v>
      </c>
      <c r="R126" s="10" t="s">
        <v>822</v>
      </c>
      <c r="S126" s="12"/>
      <c r="T126" s="30" t="s">
        <v>823</v>
      </c>
    </row>
    <row r="127" customFormat="false" ht="35.05" hidden="false" customHeight="false" outlineLevel="0" collapsed="false">
      <c r="A127" s="12" t="s">
        <v>21</v>
      </c>
      <c r="B127" s="12" t="s">
        <v>139</v>
      </c>
      <c r="C127" s="7"/>
      <c r="D127" s="7" t="s">
        <v>659</v>
      </c>
      <c r="E127" s="7" t="s">
        <v>659</v>
      </c>
      <c r="F127" s="7" t="s">
        <v>659</v>
      </c>
      <c r="G127" s="7"/>
      <c r="H127" s="7" t="s">
        <v>659</v>
      </c>
      <c r="I127" s="7" t="s">
        <v>659</v>
      </c>
      <c r="J127" s="7" t="s">
        <v>659</v>
      </c>
      <c r="K127" s="7" t="s">
        <v>659</v>
      </c>
      <c r="L127" s="7"/>
      <c r="M127" s="7" t="n">
        <v>8</v>
      </c>
      <c r="N127" s="7" t="n">
        <v>12</v>
      </c>
      <c r="O127" s="7"/>
      <c r="P127" s="10" t="s">
        <v>799</v>
      </c>
      <c r="Q127" s="30" t="s">
        <v>657</v>
      </c>
      <c r="R127" s="10" t="s">
        <v>824</v>
      </c>
      <c r="S127" s="12"/>
      <c r="T127" s="30" t="s">
        <v>825</v>
      </c>
    </row>
    <row r="128" customFormat="false" ht="35.05" hidden="false" customHeight="false" outlineLevel="0" collapsed="false">
      <c r="A128" s="12" t="s">
        <v>21</v>
      </c>
      <c r="B128" s="12" t="s">
        <v>109</v>
      </c>
      <c r="C128" s="7"/>
      <c r="D128" s="7" t="s">
        <v>659</v>
      </c>
      <c r="E128" s="7"/>
      <c r="F128" s="7"/>
      <c r="G128" s="7"/>
      <c r="H128" s="7"/>
      <c r="I128" s="7" t="s">
        <v>659</v>
      </c>
      <c r="J128" s="7" t="s">
        <v>659</v>
      </c>
      <c r="K128" s="7"/>
      <c r="L128" s="7"/>
      <c r="M128" s="7" t="n">
        <v>3</v>
      </c>
      <c r="N128" s="7" t="n">
        <v>24</v>
      </c>
      <c r="O128" s="7"/>
      <c r="P128" s="10" t="s">
        <v>826</v>
      </c>
      <c r="Q128" s="30" t="s">
        <v>657</v>
      </c>
      <c r="R128" s="10" t="s">
        <v>827</v>
      </c>
      <c r="S128" s="12"/>
      <c r="T128" s="30" t="s">
        <v>828</v>
      </c>
    </row>
    <row r="129" customFormat="false" ht="23.85" hidden="false" customHeight="false" outlineLevel="0" collapsed="false">
      <c r="A129" s="12" t="s">
        <v>21</v>
      </c>
      <c r="B129" s="12" t="s">
        <v>471</v>
      </c>
      <c r="C129" s="7"/>
      <c r="D129" s="7"/>
      <c r="E129" s="7" t="s">
        <v>659</v>
      </c>
      <c r="F129" s="7"/>
      <c r="G129" s="7"/>
      <c r="H129" s="7"/>
      <c r="I129" s="7"/>
      <c r="J129" s="7"/>
      <c r="K129" s="7"/>
      <c r="L129" s="7"/>
      <c r="M129" s="7" t="n">
        <v>0</v>
      </c>
      <c r="N129" s="7" t="n">
        <v>0</v>
      </c>
      <c r="O129" s="7"/>
      <c r="P129" s="10"/>
      <c r="Q129" s="30" t="s">
        <v>657</v>
      </c>
      <c r="R129" s="10" t="s">
        <v>829</v>
      </c>
      <c r="S129" s="12"/>
      <c r="T129" s="12"/>
    </row>
    <row r="130" customFormat="false" ht="35.05" hidden="false" customHeight="false" outlineLevel="0" collapsed="false">
      <c r="A130" s="12" t="s">
        <v>21</v>
      </c>
      <c r="B130" s="12" t="s">
        <v>116</v>
      </c>
      <c r="C130" s="7"/>
      <c r="D130" s="7" t="s">
        <v>659</v>
      </c>
      <c r="E130" s="7"/>
      <c r="F130" s="7"/>
      <c r="G130" s="7"/>
      <c r="H130" s="7" t="s">
        <v>659</v>
      </c>
      <c r="I130" s="7" t="s">
        <v>659</v>
      </c>
      <c r="J130" s="7" t="s">
        <v>659</v>
      </c>
      <c r="K130" s="7" t="s">
        <v>659</v>
      </c>
      <c r="L130" s="7"/>
      <c r="M130" s="7" t="n">
        <v>5</v>
      </c>
      <c r="N130" s="7" t="n">
        <v>30</v>
      </c>
      <c r="O130" s="7"/>
      <c r="P130" s="10" t="s">
        <v>830</v>
      </c>
      <c r="Q130" s="30" t="s">
        <v>657</v>
      </c>
      <c r="R130" s="10" t="s">
        <v>831</v>
      </c>
      <c r="S130" s="12"/>
      <c r="T130" s="12"/>
    </row>
    <row r="131" customFormat="false" ht="35.05" hidden="false" customHeight="false" outlineLevel="0" collapsed="false">
      <c r="A131" s="12" t="s">
        <v>39</v>
      </c>
      <c r="B131" s="12" t="s">
        <v>74</v>
      </c>
      <c r="C131" s="7"/>
      <c r="D131" s="7"/>
      <c r="E131" s="7"/>
      <c r="F131" s="7"/>
      <c r="G131" s="7"/>
      <c r="H131" s="7"/>
      <c r="I131" s="7"/>
      <c r="J131" s="7"/>
      <c r="K131" s="7"/>
      <c r="L131" s="7"/>
      <c r="M131" s="7" t="n">
        <v>3</v>
      </c>
      <c r="N131" s="7" t="n">
        <v>29</v>
      </c>
      <c r="O131" s="7"/>
      <c r="P131" s="10" t="s">
        <v>832</v>
      </c>
      <c r="Q131" s="30" t="s">
        <v>657</v>
      </c>
      <c r="R131" s="10" t="s">
        <v>833</v>
      </c>
      <c r="S131" s="12"/>
      <c r="T131" s="12"/>
    </row>
    <row r="132" customFormat="false" ht="35.05" hidden="false" customHeight="false" outlineLevel="0" collapsed="false">
      <c r="A132" s="12" t="s">
        <v>39</v>
      </c>
      <c r="B132" s="12" t="s">
        <v>87</v>
      </c>
      <c r="C132" s="7"/>
      <c r="D132" s="7"/>
      <c r="E132" s="7"/>
      <c r="F132" s="7" t="s">
        <v>659</v>
      </c>
      <c r="G132" s="7"/>
      <c r="H132" s="7"/>
      <c r="I132" s="7" t="s">
        <v>659</v>
      </c>
      <c r="J132" s="7" t="s">
        <v>659</v>
      </c>
      <c r="K132" s="7" t="s">
        <v>659</v>
      </c>
      <c r="L132" s="7"/>
      <c r="M132" s="7" t="n">
        <v>11</v>
      </c>
      <c r="N132" s="7" t="n">
        <v>28</v>
      </c>
      <c r="O132" s="7"/>
      <c r="P132" s="10" t="s">
        <v>832</v>
      </c>
      <c r="Q132" s="30" t="s">
        <v>657</v>
      </c>
      <c r="R132" s="10" t="s">
        <v>834</v>
      </c>
      <c r="S132" s="12"/>
      <c r="T132" s="12"/>
    </row>
    <row r="133" customFormat="false" ht="35.05" hidden="false" customHeight="false" outlineLevel="0" collapsed="false">
      <c r="A133" s="12" t="s">
        <v>39</v>
      </c>
      <c r="B133" s="12" t="s">
        <v>133</v>
      </c>
      <c r="C133" s="7" t="s">
        <v>659</v>
      </c>
      <c r="D133" s="7" t="s">
        <v>659</v>
      </c>
      <c r="E133" s="7"/>
      <c r="F133" s="7"/>
      <c r="G133" s="7"/>
      <c r="H133" s="7" t="s">
        <v>659</v>
      </c>
      <c r="I133" s="7"/>
      <c r="J133" s="7"/>
      <c r="K133" s="7"/>
      <c r="L133" s="7"/>
      <c r="M133" s="7" t="n">
        <v>6</v>
      </c>
      <c r="N133" s="7" t="n">
        <v>24</v>
      </c>
      <c r="O133" s="7"/>
      <c r="P133" s="10" t="s">
        <v>835</v>
      </c>
      <c r="Q133" s="30" t="s">
        <v>657</v>
      </c>
      <c r="R133" s="10" t="s">
        <v>836</v>
      </c>
      <c r="S133" s="12"/>
      <c r="T133" s="12"/>
    </row>
    <row r="134" customFormat="false" ht="35.05" hidden="false" customHeight="false" outlineLevel="0" collapsed="false">
      <c r="A134" s="12" t="s">
        <v>39</v>
      </c>
      <c r="B134" s="12" t="s">
        <v>112</v>
      </c>
      <c r="C134" s="7" t="s">
        <v>659</v>
      </c>
      <c r="D134" s="7" t="s">
        <v>659</v>
      </c>
      <c r="E134" s="7"/>
      <c r="F134" s="7"/>
      <c r="G134" s="7"/>
      <c r="H134" s="7" t="s">
        <v>659</v>
      </c>
      <c r="I134" s="7" t="s">
        <v>659</v>
      </c>
      <c r="J134" s="7"/>
      <c r="K134" s="7" t="s">
        <v>659</v>
      </c>
      <c r="L134" s="7"/>
      <c r="M134" s="7" t="n">
        <v>5</v>
      </c>
      <c r="N134" s="7" t="n">
        <v>30</v>
      </c>
      <c r="O134" s="7"/>
      <c r="P134" s="10" t="s">
        <v>837</v>
      </c>
      <c r="Q134" s="30" t="s">
        <v>657</v>
      </c>
      <c r="R134" s="10" t="s">
        <v>838</v>
      </c>
      <c r="S134" s="12"/>
      <c r="T134" s="12"/>
    </row>
    <row r="135" customFormat="false" ht="35.05" hidden="false" customHeight="false" outlineLevel="0" collapsed="false">
      <c r="A135" s="12" t="s">
        <v>39</v>
      </c>
      <c r="B135" s="12" t="s">
        <v>109</v>
      </c>
      <c r="C135" s="7"/>
      <c r="D135" s="7"/>
      <c r="E135" s="7"/>
      <c r="F135" s="7"/>
      <c r="G135" s="7"/>
      <c r="H135" s="7"/>
      <c r="I135" s="7"/>
      <c r="J135" s="7"/>
      <c r="K135" s="7"/>
      <c r="L135" s="7"/>
      <c r="M135" s="7" t="n">
        <v>1</v>
      </c>
      <c r="N135" s="7" t="n">
        <v>24</v>
      </c>
      <c r="O135" s="7"/>
      <c r="P135" s="10" t="s">
        <v>839</v>
      </c>
      <c r="Q135" s="30" t="s">
        <v>657</v>
      </c>
      <c r="R135" s="10" t="s">
        <v>840</v>
      </c>
      <c r="S135" s="12"/>
      <c r="T135" s="12"/>
    </row>
    <row r="136" customFormat="false" ht="35.05" hidden="false" customHeight="false" outlineLevel="0" collapsed="false">
      <c r="A136" s="12" t="s">
        <v>39</v>
      </c>
      <c r="B136" s="12" t="s">
        <v>116</v>
      </c>
      <c r="C136" s="7"/>
      <c r="D136" s="7" t="s">
        <v>659</v>
      </c>
      <c r="E136" s="7"/>
      <c r="F136" s="7"/>
      <c r="G136" s="7"/>
      <c r="H136" s="7" t="s">
        <v>659</v>
      </c>
      <c r="I136" s="7" t="s">
        <v>659</v>
      </c>
      <c r="J136" s="7"/>
      <c r="K136" s="7"/>
      <c r="L136" s="7"/>
      <c r="M136" s="7" t="n">
        <v>7</v>
      </c>
      <c r="N136" s="7" t="n">
        <v>30</v>
      </c>
      <c r="O136" s="7"/>
      <c r="P136" s="10" t="s">
        <v>837</v>
      </c>
      <c r="Q136" s="30" t="s">
        <v>657</v>
      </c>
      <c r="R136" s="10" t="s">
        <v>841</v>
      </c>
      <c r="S136" s="12"/>
      <c r="T136" s="12"/>
    </row>
    <row r="137" customFormat="false" ht="35.05" hidden="false" customHeight="false" outlineLevel="0" collapsed="false">
      <c r="A137" s="12" t="s">
        <v>27</v>
      </c>
      <c r="B137" s="12" t="s">
        <v>74</v>
      </c>
      <c r="C137" s="7"/>
      <c r="D137" s="7" t="s">
        <v>659</v>
      </c>
      <c r="E137" s="7"/>
      <c r="F137" s="7"/>
      <c r="G137" s="7"/>
      <c r="H137" s="7" t="s">
        <v>659</v>
      </c>
      <c r="I137" s="7"/>
      <c r="J137" s="7"/>
      <c r="K137" s="7"/>
      <c r="L137" s="7"/>
      <c r="M137" s="7" t="n">
        <v>0</v>
      </c>
      <c r="N137" s="7" t="n">
        <v>29</v>
      </c>
      <c r="O137" s="7"/>
      <c r="P137" s="10" t="s">
        <v>842</v>
      </c>
      <c r="Q137" s="30" t="s">
        <v>657</v>
      </c>
      <c r="R137" s="10" t="s">
        <v>843</v>
      </c>
      <c r="S137" s="12"/>
      <c r="T137" s="12"/>
    </row>
    <row r="138" customFormat="false" ht="35.05" hidden="false" customHeight="false" outlineLevel="0" collapsed="false">
      <c r="A138" s="12" t="s">
        <v>27</v>
      </c>
      <c r="B138" s="12" t="s">
        <v>87</v>
      </c>
      <c r="C138" s="7" t="s">
        <v>659</v>
      </c>
      <c r="D138" s="7" t="s">
        <v>659</v>
      </c>
      <c r="E138" s="7"/>
      <c r="F138" s="7" t="s">
        <v>659</v>
      </c>
      <c r="G138" s="7" t="s">
        <v>659</v>
      </c>
      <c r="H138" s="7" t="s">
        <v>659</v>
      </c>
      <c r="I138" s="7" t="s">
        <v>659</v>
      </c>
      <c r="J138" s="7"/>
      <c r="K138" s="7" t="s">
        <v>659</v>
      </c>
      <c r="L138" s="7"/>
      <c r="M138" s="7" t="n">
        <v>3</v>
      </c>
      <c r="N138" s="7" t="n">
        <v>28</v>
      </c>
      <c r="O138" s="7"/>
      <c r="P138" s="10" t="s">
        <v>844</v>
      </c>
      <c r="Q138" s="30" t="s">
        <v>657</v>
      </c>
      <c r="R138" s="10" t="s">
        <v>845</v>
      </c>
      <c r="S138" s="12"/>
      <c r="T138" s="12"/>
    </row>
    <row r="139" customFormat="false" ht="35.05" hidden="false" customHeight="false" outlineLevel="0" collapsed="false">
      <c r="A139" s="12" t="s">
        <v>27</v>
      </c>
      <c r="B139" s="12" t="s">
        <v>227</v>
      </c>
      <c r="C139" s="7"/>
      <c r="D139" s="7" t="s">
        <v>659</v>
      </c>
      <c r="E139" s="7"/>
      <c r="F139" s="7"/>
      <c r="G139" s="7"/>
      <c r="H139" s="7" t="s">
        <v>659</v>
      </c>
      <c r="I139" s="7" t="s">
        <v>659</v>
      </c>
      <c r="J139" s="7"/>
      <c r="K139" s="7"/>
      <c r="L139" s="7"/>
      <c r="M139" s="7" t="n">
        <v>3</v>
      </c>
      <c r="N139" s="7" t="n">
        <v>25</v>
      </c>
      <c r="O139" s="7"/>
      <c r="P139" s="10" t="s">
        <v>846</v>
      </c>
      <c r="Q139" s="30" t="s">
        <v>657</v>
      </c>
      <c r="R139" s="10" t="s">
        <v>847</v>
      </c>
      <c r="S139" s="12"/>
      <c r="T139" s="12"/>
    </row>
    <row r="140" customFormat="false" ht="23.85" hidden="false" customHeight="false" outlineLevel="0" collapsed="false">
      <c r="A140" s="12" t="s">
        <v>27</v>
      </c>
      <c r="B140" s="12" t="s">
        <v>229</v>
      </c>
      <c r="C140" s="7" t="s">
        <v>659</v>
      </c>
      <c r="D140" s="7"/>
      <c r="E140" s="7"/>
      <c r="F140" s="7"/>
      <c r="G140" s="7"/>
      <c r="H140" s="7"/>
      <c r="I140" s="7"/>
      <c r="J140" s="7"/>
      <c r="K140" s="7"/>
      <c r="L140" s="7"/>
      <c r="M140" s="7" t="n">
        <v>0</v>
      </c>
      <c r="N140" s="7" t="n">
        <v>0</v>
      </c>
      <c r="O140" s="7"/>
      <c r="P140" s="10"/>
      <c r="Q140" s="30" t="s">
        <v>657</v>
      </c>
      <c r="R140" s="10" t="s">
        <v>682</v>
      </c>
      <c r="S140" s="12"/>
      <c r="T140" s="12"/>
    </row>
    <row r="141" customFormat="false" ht="23.85" hidden="false" customHeight="false" outlineLevel="0" collapsed="false">
      <c r="A141" s="12" t="s">
        <v>27</v>
      </c>
      <c r="B141" s="12" t="s">
        <v>237</v>
      </c>
      <c r="C141" s="7" t="s">
        <v>659</v>
      </c>
      <c r="D141" s="7"/>
      <c r="E141" s="7"/>
      <c r="F141" s="7"/>
      <c r="G141" s="7"/>
      <c r="H141" s="7"/>
      <c r="I141" s="7"/>
      <c r="J141" s="7"/>
      <c r="K141" s="7"/>
      <c r="L141" s="7"/>
      <c r="M141" s="7" t="n">
        <v>0</v>
      </c>
      <c r="N141" s="7" t="n">
        <v>0</v>
      </c>
      <c r="O141" s="7"/>
      <c r="P141" s="10"/>
      <c r="Q141" s="30" t="s">
        <v>657</v>
      </c>
      <c r="R141" s="10" t="s">
        <v>848</v>
      </c>
      <c r="S141" s="12"/>
      <c r="T141" s="12"/>
    </row>
    <row r="142" customFormat="false" ht="35.05" hidden="false" customHeight="false" outlineLevel="0" collapsed="false">
      <c r="A142" s="12" t="s">
        <v>27</v>
      </c>
      <c r="B142" s="12" t="s">
        <v>104</v>
      </c>
      <c r="C142" s="7"/>
      <c r="D142" s="7" t="s">
        <v>659</v>
      </c>
      <c r="E142" s="7"/>
      <c r="F142" s="7"/>
      <c r="G142" s="7"/>
      <c r="H142" s="7" t="s">
        <v>659</v>
      </c>
      <c r="I142" s="7" t="s">
        <v>659</v>
      </c>
      <c r="J142" s="7"/>
      <c r="K142" s="7" t="s">
        <v>659</v>
      </c>
      <c r="L142" s="7"/>
      <c r="M142" s="7" t="n">
        <v>3</v>
      </c>
      <c r="N142" s="7" t="n">
        <v>27</v>
      </c>
      <c r="O142" s="7"/>
      <c r="P142" s="10" t="s">
        <v>844</v>
      </c>
      <c r="Q142" s="30" t="s">
        <v>657</v>
      </c>
      <c r="R142" s="10" t="s">
        <v>849</v>
      </c>
      <c r="S142" s="12"/>
      <c r="T142" s="12"/>
    </row>
    <row r="143" customFormat="false" ht="23.85" hidden="false" customHeight="false" outlineLevel="0" collapsed="false">
      <c r="A143" s="12" t="s">
        <v>27</v>
      </c>
      <c r="B143" s="12" t="s">
        <v>497</v>
      </c>
      <c r="C143" s="7"/>
      <c r="D143" s="7"/>
      <c r="E143" s="7"/>
      <c r="F143" s="7"/>
      <c r="G143" s="7" t="s">
        <v>659</v>
      </c>
      <c r="H143" s="7"/>
      <c r="I143" s="7"/>
      <c r="J143" s="7"/>
      <c r="K143" s="7"/>
      <c r="L143" s="7"/>
      <c r="M143" s="7" t="n">
        <v>0</v>
      </c>
      <c r="N143" s="7" t="n">
        <v>0</v>
      </c>
      <c r="O143" s="7"/>
      <c r="P143" s="10"/>
      <c r="Q143" s="30" t="s">
        <v>657</v>
      </c>
      <c r="R143" s="10" t="s">
        <v>850</v>
      </c>
      <c r="S143" s="12"/>
      <c r="T143" s="12"/>
    </row>
    <row r="144" customFormat="false" ht="23.85" hidden="false" customHeight="false" outlineLevel="0" collapsed="false">
      <c r="A144" s="12" t="s">
        <v>27</v>
      </c>
      <c r="B144" s="12" t="s">
        <v>176</v>
      </c>
      <c r="C144" s="7" t="s">
        <v>659</v>
      </c>
      <c r="D144" s="7"/>
      <c r="E144" s="7"/>
      <c r="F144" s="7"/>
      <c r="G144" s="7"/>
      <c r="H144" s="7"/>
      <c r="I144" s="7"/>
      <c r="J144" s="7"/>
      <c r="K144" s="7"/>
      <c r="L144" s="7"/>
      <c r="M144" s="7" t="n">
        <v>0</v>
      </c>
      <c r="N144" s="7" t="n">
        <v>0</v>
      </c>
      <c r="O144" s="7"/>
      <c r="P144" s="10"/>
      <c r="Q144" s="30" t="s">
        <v>657</v>
      </c>
      <c r="R144" s="10" t="s">
        <v>747</v>
      </c>
      <c r="S144" s="12"/>
      <c r="T144" s="12"/>
    </row>
    <row r="145" customFormat="false" ht="23.85" hidden="false" customHeight="false" outlineLevel="0" collapsed="false">
      <c r="A145" s="12" t="s">
        <v>27</v>
      </c>
      <c r="B145" s="12" t="s">
        <v>494</v>
      </c>
      <c r="C145" s="7" t="s">
        <v>659</v>
      </c>
      <c r="D145" s="7"/>
      <c r="E145" s="7"/>
      <c r="F145" s="7"/>
      <c r="G145" s="7"/>
      <c r="H145" s="7"/>
      <c r="I145" s="7"/>
      <c r="J145" s="7"/>
      <c r="K145" s="7"/>
      <c r="L145" s="7"/>
      <c r="M145" s="7" t="n">
        <v>0</v>
      </c>
      <c r="N145" s="7" t="n">
        <v>0</v>
      </c>
      <c r="O145" s="7"/>
      <c r="P145" s="10"/>
      <c r="Q145" s="30" t="s">
        <v>657</v>
      </c>
      <c r="R145" s="10" t="s">
        <v>851</v>
      </c>
      <c r="S145" s="12"/>
      <c r="T145" s="12"/>
    </row>
    <row r="146" customFormat="false" ht="23.85" hidden="false" customHeight="false" outlineLevel="0" collapsed="false">
      <c r="A146" s="12" t="s">
        <v>27</v>
      </c>
      <c r="B146" s="12" t="s">
        <v>181</v>
      </c>
      <c r="C146" s="7" t="s">
        <v>659</v>
      </c>
      <c r="D146" s="7"/>
      <c r="E146" s="7"/>
      <c r="F146" s="7"/>
      <c r="G146" s="7"/>
      <c r="H146" s="7"/>
      <c r="I146" s="7"/>
      <c r="J146" s="7"/>
      <c r="K146" s="7"/>
      <c r="L146" s="7"/>
      <c r="M146" s="7" t="n">
        <v>0</v>
      </c>
      <c r="N146" s="7" t="n">
        <v>0</v>
      </c>
      <c r="O146" s="7"/>
      <c r="P146" s="10"/>
      <c r="Q146" s="30" t="s">
        <v>657</v>
      </c>
      <c r="R146" s="10" t="s">
        <v>852</v>
      </c>
      <c r="S146" s="12"/>
      <c r="T146" s="12"/>
    </row>
    <row r="147" customFormat="false" ht="35.05" hidden="false" customHeight="false" outlineLevel="0" collapsed="false">
      <c r="A147" s="12" t="s">
        <v>27</v>
      </c>
      <c r="B147" s="12" t="s">
        <v>129</v>
      </c>
      <c r="C147" s="7"/>
      <c r="D147" s="7" t="s">
        <v>659</v>
      </c>
      <c r="E147" s="7"/>
      <c r="F147" s="7"/>
      <c r="G147" s="7"/>
      <c r="H147" s="7" t="s">
        <v>659</v>
      </c>
      <c r="I147" s="7" t="s">
        <v>659</v>
      </c>
      <c r="J147" s="7"/>
      <c r="K147" s="7" t="s">
        <v>659</v>
      </c>
      <c r="L147" s="7"/>
      <c r="M147" s="7" t="n">
        <v>3</v>
      </c>
      <c r="N147" s="7" t="n">
        <v>28</v>
      </c>
      <c r="O147" s="7"/>
      <c r="P147" s="10" t="s">
        <v>844</v>
      </c>
      <c r="Q147" s="30" t="s">
        <v>657</v>
      </c>
      <c r="R147" s="10" t="s">
        <v>853</v>
      </c>
      <c r="S147" s="12"/>
      <c r="T147" s="12"/>
    </row>
    <row r="148" customFormat="false" ht="23.85" hidden="false" customHeight="false" outlineLevel="0" collapsed="false">
      <c r="A148" s="12" t="s">
        <v>27</v>
      </c>
      <c r="B148" s="12" t="s">
        <v>283</v>
      </c>
      <c r="C148" s="7" t="s">
        <v>659</v>
      </c>
      <c r="D148" s="7"/>
      <c r="E148" s="7"/>
      <c r="F148" s="7"/>
      <c r="G148" s="7"/>
      <c r="H148" s="7"/>
      <c r="I148" s="7"/>
      <c r="J148" s="7"/>
      <c r="K148" s="7"/>
      <c r="L148" s="7"/>
      <c r="M148" s="7" t="n">
        <v>0</v>
      </c>
      <c r="N148" s="7" t="n">
        <v>0</v>
      </c>
      <c r="O148" s="7"/>
      <c r="P148" s="10"/>
      <c r="Q148" s="30" t="s">
        <v>657</v>
      </c>
      <c r="R148" s="10" t="s">
        <v>662</v>
      </c>
      <c r="S148" s="12"/>
      <c r="T148" s="12"/>
    </row>
    <row r="149" customFormat="false" ht="23.85" hidden="false" customHeight="false" outlineLevel="0" collapsed="false">
      <c r="A149" s="12" t="s">
        <v>27</v>
      </c>
      <c r="B149" s="12" t="s">
        <v>393</v>
      </c>
      <c r="C149" s="7"/>
      <c r="D149" s="7"/>
      <c r="E149" s="7"/>
      <c r="F149" s="7"/>
      <c r="G149" s="7" t="s">
        <v>659</v>
      </c>
      <c r="H149" s="7"/>
      <c r="I149" s="7"/>
      <c r="J149" s="7"/>
      <c r="K149" s="7"/>
      <c r="L149" s="7"/>
      <c r="M149" s="7" t="n">
        <v>0</v>
      </c>
      <c r="N149" s="7" t="n">
        <v>0</v>
      </c>
      <c r="O149" s="7"/>
      <c r="P149" s="10"/>
      <c r="Q149" s="30" t="s">
        <v>657</v>
      </c>
      <c r="R149" s="10" t="s">
        <v>718</v>
      </c>
      <c r="S149" s="12"/>
      <c r="T149" s="12"/>
    </row>
    <row r="150" customFormat="false" ht="35.05" hidden="false" customHeight="false" outlineLevel="0" collapsed="false">
      <c r="A150" s="12" t="s">
        <v>27</v>
      </c>
      <c r="B150" s="12" t="s">
        <v>179</v>
      </c>
      <c r="C150" s="7"/>
      <c r="D150" s="7" t="s">
        <v>659</v>
      </c>
      <c r="E150" s="7"/>
      <c r="F150" s="7"/>
      <c r="G150" s="7"/>
      <c r="H150" s="7" t="s">
        <v>659</v>
      </c>
      <c r="I150" s="7" t="s">
        <v>659</v>
      </c>
      <c r="J150" s="7"/>
      <c r="K150" s="7" t="s">
        <v>659</v>
      </c>
      <c r="L150" s="7"/>
      <c r="M150" s="7" t="n">
        <v>3</v>
      </c>
      <c r="N150" s="7" t="n">
        <v>30</v>
      </c>
      <c r="O150" s="7"/>
      <c r="P150" s="10" t="s">
        <v>844</v>
      </c>
      <c r="Q150" s="30" t="s">
        <v>657</v>
      </c>
      <c r="R150" s="10" t="s">
        <v>854</v>
      </c>
      <c r="S150" s="12"/>
      <c r="T150" s="12"/>
    </row>
    <row r="151" customFormat="false" ht="35.05" hidden="false" customHeight="false" outlineLevel="0" collapsed="false">
      <c r="A151" s="12" t="s">
        <v>27</v>
      </c>
      <c r="B151" s="12" t="s">
        <v>109</v>
      </c>
      <c r="C151" s="7" t="s">
        <v>659</v>
      </c>
      <c r="D151" s="7" t="s">
        <v>659</v>
      </c>
      <c r="E151" s="7"/>
      <c r="F151" s="7"/>
      <c r="G151" s="7" t="s">
        <v>659</v>
      </c>
      <c r="H151" s="7" t="s">
        <v>659</v>
      </c>
      <c r="I151" s="7" t="s">
        <v>659</v>
      </c>
      <c r="J151" s="7"/>
      <c r="K151" s="7" t="s">
        <v>659</v>
      </c>
      <c r="L151" s="7"/>
      <c r="M151" s="7" t="n">
        <v>3</v>
      </c>
      <c r="N151" s="7" t="n">
        <v>24</v>
      </c>
      <c r="O151" s="7"/>
      <c r="P151" s="10" t="s">
        <v>844</v>
      </c>
      <c r="Q151" s="30" t="s">
        <v>657</v>
      </c>
      <c r="R151" s="10" t="s">
        <v>855</v>
      </c>
      <c r="S151" s="12"/>
      <c r="T151" s="12"/>
    </row>
    <row r="152" customFormat="false" ht="23.85" hidden="false" customHeight="false" outlineLevel="0" collapsed="false">
      <c r="A152" s="12" t="s">
        <v>27</v>
      </c>
      <c r="B152" s="12" t="s">
        <v>471</v>
      </c>
      <c r="C152" s="7" t="s">
        <v>659</v>
      </c>
      <c r="D152" s="7"/>
      <c r="E152" s="7"/>
      <c r="F152" s="7"/>
      <c r="G152" s="7"/>
      <c r="H152" s="7"/>
      <c r="I152" s="7"/>
      <c r="J152" s="7"/>
      <c r="K152" s="7"/>
      <c r="L152" s="7"/>
      <c r="M152" s="7" t="n">
        <v>0</v>
      </c>
      <c r="N152" s="7" t="n">
        <v>0</v>
      </c>
      <c r="O152" s="7"/>
      <c r="P152" s="10"/>
      <c r="Q152" s="30" t="s">
        <v>657</v>
      </c>
      <c r="R152" s="10" t="s">
        <v>829</v>
      </c>
      <c r="S152" s="12"/>
      <c r="T152" s="12"/>
    </row>
    <row r="153" customFormat="false" ht="35.05" hidden="false" customHeight="false" outlineLevel="0" collapsed="false">
      <c r="A153" s="12" t="s">
        <v>27</v>
      </c>
      <c r="B153" s="12" t="s">
        <v>488</v>
      </c>
      <c r="C153" s="7"/>
      <c r="D153" s="7"/>
      <c r="E153" s="7"/>
      <c r="F153" s="7"/>
      <c r="G153" s="7"/>
      <c r="H153" s="7" t="s">
        <v>659</v>
      </c>
      <c r="I153" s="7"/>
      <c r="J153" s="7"/>
      <c r="K153" s="7"/>
      <c r="L153" s="7"/>
      <c r="M153" s="7" t="n">
        <v>0</v>
      </c>
      <c r="N153" s="7" t="n">
        <v>29</v>
      </c>
      <c r="O153" s="7"/>
      <c r="P153" s="10" t="s">
        <v>842</v>
      </c>
      <c r="Q153" s="30" t="s">
        <v>657</v>
      </c>
      <c r="R153" s="10" t="s">
        <v>856</v>
      </c>
      <c r="S153" s="12"/>
      <c r="T153" s="12"/>
    </row>
    <row r="154" customFormat="false" ht="23.85" hidden="false" customHeight="false" outlineLevel="0" collapsed="false">
      <c r="A154" s="12" t="s">
        <v>27</v>
      </c>
      <c r="B154" s="12" t="s">
        <v>491</v>
      </c>
      <c r="C154" s="7" t="s">
        <v>659</v>
      </c>
      <c r="D154" s="7"/>
      <c r="E154" s="7"/>
      <c r="F154" s="7"/>
      <c r="G154" s="7"/>
      <c r="H154" s="7"/>
      <c r="I154" s="7"/>
      <c r="J154" s="7"/>
      <c r="K154" s="7"/>
      <c r="L154" s="7"/>
      <c r="M154" s="7" t="n">
        <v>0</v>
      </c>
      <c r="N154" s="7" t="n">
        <v>0</v>
      </c>
      <c r="O154" s="7"/>
      <c r="P154" s="10"/>
      <c r="Q154" s="30" t="s">
        <v>657</v>
      </c>
      <c r="R154" s="10" t="s">
        <v>857</v>
      </c>
      <c r="S154" s="12"/>
      <c r="T154" s="12"/>
    </row>
    <row r="155" customFormat="false" ht="23.85" hidden="false" customHeight="false" outlineLevel="0" collapsed="false">
      <c r="A155" s="12" t="s">
        <v>27</v>
      </c>
      <c r="B155" s="12" t="s">
        <v>260</v>
      </c>
      <c r="C155" s="7" t="s">
        <v>659</v>
      </c>
      <c r="D155" s="7"/>
      <c r="E155" s="7"/>
      <c r="F155" s="7"/>
      <c r="G155" s="7"/>
      <c r="H155" s="7"/>
      <c r="I155" s="7"/>
      <c r="J155" s="7"/>
      <c r="K155" s="7"/>
      <c r="L155" s="7"/>
      <c r="M155" s="7" t="n">
        <v>0</v>
      </c>
      <c r="N155" s="7" t="n">
        <v>0</v>
      </c>
      <c r="O155" s="7"/>
      <c r="P155" s="10"/>
      <c r="Q155" s="30" t="s">
        <v>657</v>
      </c>
      <c r="R155" s="10" t="s">
        <v>785</v>
      </c>
      <c r="S155" s="12"/>
      <c r="T155" s="12"/>
    </row>
    <row r="156" customFormat="false" ht="35.05" hidden="false" customHeight="false" outlineLevel="0" collapsed="false">
      <c r="A156" s="12" t="s">
        <v>27</v>
      </c>
      <c r="B156" s="12" t="s">
        <v>116</v>
      </c>
      <c r="C156" s="7" t="s">
        <v>659</v>
      </c>
      <c r="D156" s="7" t="s">
        <v>659</v>
      </c>
      <c r="E156" s="7"/>
      <c r="F156" s="7"/>
      <c r="G156" s="7" t="s">
        <v>659</v>
      </c>
      <c r="H156" s="7" t="s">
        <v>659</v>
      </c>
      <c r="I156" s="7" t="s">
        <v>659</v>
      </c>
      <c r="J156" s="7"/>
      <c r="K156" s="7" t="s">
        <v>659</v>
      </c>
      <c r="L156" s="7"/>
      <c r="M156" s="7" t="n">
        <v>3</v>
      </c>
      <c r="N156" s="7" t="n">
        <v>30</v>
      </c>
      <c r="O156" s="7"/>
      <c r="P156" s="10" t="s">
        <v>844</v>
      </c>
      <c r="Q156" s="30" t="s">
        <v>657</v>
      </c>
      <c r="R156" s="10" t="s">
        <v>858</v>
      </c>
      <c r="S156" s="12"/>
      <c r="T156" s="12"/>
    </row>
    <row r="157" customFormat="false" ht="35.05" hidden="false" customHeight="false" outlineLevel="0" collapsed="false">
      <c r="A157" s="12" t="s">
        <v>27</v>
      </c>
      <c r="B157" s="12" t="s">
        <v>173</v>
      </c>
      <c r="C157" s="7"/>
      <c r="D157" s="7" t="s">
        <v>659</v>
      </c>
      <c r="E157" s="7"/>
      <c r="F157" s="7"/>
      <c r="G157" s="7"/>
      <c r="H157" s="7" t="s">
        <v>659</v>
      </c>
      <c r="I157" s="7"/>
      <c r="J157" s="7"/>
      <c r="K157" s="7"/>
      <c r="L157" s="7"/>
      <c r="M157" s="7" t="n">
        <v>0</v>
      </c>
      <c r="N157" s="7" t="n">
        <v>25</v>
      </c>
      <c r="O157" s="7"/>
      <c r="P157" s="10" t="s">
        <v>842</v>
      </c>
      <c r="Q157" s="30" t="s">
        <v>657</v>
      </c>
      <c r="R157" s="10" t="s">
        <v>859</v>
      </c>
      <c r="S157" s="12"/>
      <c r="T157" s="12"/>
    </row>
    <row r="158" customFormat="false" ht="23.85" hidden="false" customHeight="false" outlineLevel="0" collapsed="false">
      <c r="A158" s="12" t="s">
        <v>27</v>
      </c>
      <c r="B158" s="12" t="s">
        <v>256</v>
      </c>
      <c r="C158" s="7" t="s">
        <v>659</v>
      </c>
      <c r="D158" s="7"/>
      <c r="E158" s="7"/>
      <c r="F158" s="7"/>
      <c r="G158" s="7"/>
      <c r="H158" s="7"/>
      <c r="I158" s="7"/>
      <c r="J158" s="7"/>
      <c r="K158" s="7"/>
      <c r="L158" s="7"/>
      <c r="M158" s="7" t="n">
        <v>0</v>
      </c>
      <c r="N158" s="7" t="n">
        <v>0</v>
      </c>
      <c r="O158" s="7"/>
      <c r="P158" s="10"/>
      <c r="Q158" s="30" t="s">
        <v>657</v>
      </c>
      <c r="R158" s="10" t="s">
        <v>735</v>
      </c>
      <c r="S158" s="12"/>
      <c r="T158" s="12"/>
    </row>
    <row r="159" customFormat="false" ht="35.05" hidden="false" customHeight="false" outlineLevel="0" collapsed="false">
      <c r="A159" s="12" t="s">
        <v>19</v>
      </c>
      <c r="B159" s="12" t="s">
        <v>541</v>
      </c>
      <c r="C159" s="7"/>
      <c r="D159" s="7"/>
      <c r="E159" s="7"/>
      <c r="F159" s="7"/>
      <c r="G159" s="7" t="s">
        <v>659</v>
      </c>
      <c r="H159" s="7" t="s">
        <v>659</v>
      </c>
      <c r="I159" s="7"/>
      <c r="J159" s="7"/>
      <c r="K159" s="7"/>
      <c r="L159" s="7"/>
      <c r="M159" s="7" t="n">
        <v>0</v>
      </c>
      <c r="N159" s="7" t="n">
        <v>29</v>
      </c>
      <c r="O159" s="7"/>
      <c r="P159" s="10" t="s">
        <v>860</v>
      </c>
      <c r="Q159" s="30" t="s">
        <v>657</v>
      </c>
      <c r="R159" s="10" t="s">
        <v>861</v>
      </c>
      <c r="S159" s="12"/>
      <c r="T159" s="12"/>
    </row>
    <row r="160" customFormat="false" ht="35.05" hidden="false" customHeight="false" outlineLevel="0" collapsed="false">
      <c r="A160" s="12" t="s">
        <v>19</v>
      </c>
      <c r="B160" s="12" t="s">
        <v>92</v>
      </c>
      <c r="C160" s="7"/>
      <c r="D160" s="7"/>
      <c r="E160" s="7"/>
      <c r="F160" s="7"/>
      <c r="G160" s="7"/>
      <c r="H160" s="7" t="s">
        <v>659</v>
      </c>
      <c r="I160" s="7"/>
      <c r="J160" s="7"/>
      <c r="K160" s="7"/>
      <c r="L160" s="7"/>
      <c r="M160" s="7" t="n">
        <v>1</v>
      </c>
      <c r="N160" s="7" t="n">
        <v>28</v>
      </c>
      <c r="O160" s="7"/>
      <c r="P160" s="10" t="s">
        <v>862</v>
      </c>
      <c r="Q160" s="30" t="s">
        <v>657</v>
      </c>
      <c r="R160" s="10" t="s">
        <v>863</v>
      </c>
      <c r="S160" s="12"/>
      <c r="T160" s="12"/>
    </row>
    <row r="161" customFormat="false" ht="35.05" hidden="false" customHeight="false" outlineLevel="0" collapsed="false">
      <c r="A161" s="12" t="s">
        <v>19</v>
      </c>
      <c r="B161" s="12" t="s">
        <v>345</v>
      </c>
      <c r="C161" s="7" t="s">
        <v>659</v>
      </c>
      <c r="D161" s="7"/>
      <c r="E161" s="7"/>
      <c r="F161" s="7"/>
      <c r="G161" s="7"/>
      <c r="H161" s="7" t="s">
        <v>659</v>
      </c>
      <c r="I161" s="7" t="s">
        <v>659</v>
      </c>
      <c r="J161" s="7" t="s">
        <v>659</v>
      </c>
      <c r="K161" s="7"/>
      <c r="L161" s="7"/>
      <c r="M161" s="7" t="n">
        <v>3</v>
      </c>
      <c r="N161" s="7" t="n">
        <v>0</v>
      </c>
      <c r="O161" s="7"/>
      <c r="P161" s="10" t="s">
        <v>864</v>
      </c>
      <c r="Q161" s="30" t="s">
        <v>657</v>
      </c>
      <c r="R161" s="10" t="s">
        <v>865</v>
      </c>
      <c r="S161" s="12"/>
      <c r="T161" s="30" t="s">
        <v>866</v>
      </c>
    </row>
    <row r="162" customFormat="false" ht="35.05" hidden="false" customHeight="false" outlineLevel="0" collapsed="false">
      <c r="A162" s="12" t="s">
        <v>19</v>
      </c>
      <c r="B162" s="12" t="s">
        <v>558</v>
      </c>
      <c r="C162" s="7"/>
      <c r="D162" s="7"/>
      <c r="E162" s="7"/>
      <c r="F162" s="7"/>
      <c r="G162" s="7"/>
      <c r="H162" s="7" t="s">
        <v>659</v>
      </c>
      <c r="I162" s="7"/>
      <c r="J162" s="7"/>
      <c r="K162" s="7"/>
      <c r="L162" s="7"/>
      <c r="M162" s="7" t="n">
        <v>0</v>
      </c>
      <c r="N162" s="7" t="n">
        <v>20</v>
      </c>
      <c r="O162" s="7"/>
      <c r="P162" s="10" t="s">
        <v>867</v>
      </c>
      <c r="Q162" s="30" t="s">
        <v>657</v>
      </c>
      <c r="R162" s="10" t="s">
        <v>868</v>
      </c>
      <c r="S162" s="12"/>
      <c r="T162" s="12"/>
    </row>
    <row r="163" customFormat="false" ht="46.25" hidden="false" customHeight="false" outlineLevel="0" collapsed="false">
      <c r="A163" s="12" t="s">
        <v>19</v>
      </c>
      <c r="B163" s="12" t="s">
        <v>531</v>
      </c>
      <c r="C163" s="7" t="s">
        <v>659</v>
      </c>
      <c r="D163" s="7" t="s">
        <v>659</v>
      </c>
      <c r="E163" s="7"/>
      <c r="F163" s="7"/>
      <c r="G163" s="7"/>
      <c r="H163" s="7" t="s">
        <v>659</v>
      </c>
      <c r="I163" s="7" t="s">
        <v>659</v>
      </c>
      <c r="J163" s="7" t="s">
        <v>659</v>
      </c>
      <c r="K163" s="7" t="s">
        <v>659</v>
      </c>
      <c r="L163" s="7"/>
      <c r="M163" s="7" t="n">
        <v>13</v>
      </c>
      <c r="N163" s="7" t="n">
        <v>18</v>
      </c>
      <c r="O163" s="7"/>
      <c r="P163" s="10" t="s">
        <v>869</v>
      </c>
      <c r="Q163" s="30" t="s">
        <v>657</v>
      </c>
      <c r="R163" s="10" t="s">
        <v>870</v>
      </c>
      <c r="S163" s="12"/>
      <c r="T163" s="30" t="s">
        <v>871</v>
      </c>
    </row>
    <row r="164" customFormat="false" ht="35.05" hidden="false" customHeight="false" outlineLevel="0" collapsed="false">
      <c r="A164" s="12" t="s">
        <v>19</v>
      </c>
      <c r="B164" s="12" t="s">
        <v>74</v>
      </c>
      <c r="C164" s="7"/>
      <c r="D164" s="7" t="s">
        <v>659</v>
      </c>
      <c r="E164" s="7"/>
      <c r="F164" s="7" t="s">
        <v>659</v>
      </c>
      <c r="G164" s="7"/>
      <c r="H164" s="7"/>
      <c r="I164" s="7" t="s">
        <v>659</v>
      </c>
      <c r="J164" s="7" t="s">
        <v>659</v>
      </c>
      <c r="K164" s="7" t="s">
        <v>659</v>
      </c>
      <c r="L164" s="7" t="s">
        <v>659</v>
      </c>
      <c r="M164" s="7" t="n">
        <v>30</v>
      </c>
      <c r="N164" s="7" t="n">
        <v>29</v>
      </c>
      <c r="O164" s="7" t="s">
        <v>84</v>
      </c>
      <c r="P164" s="10" t="s">
        <v>872</v>
      </c>
      <c r="Q164" s="30" t="s">
        <v>657</v>
      </c>
      <c r="R164" s="10" t="s">
        <v>873</v>
      </c>
      <c r="S164" s="30" t="s">
        <v>874</v>
      </c>
      <c r="T164" s="12"/>
    </row>
    <row r="165" customFormat="false" ht="46.25" hidden="false" customHeight="false" outlineLevel="0" collapsed="false">
      <c r="A165" s="12" t="s">
        <v>19</v>
      </c>
      <c r="B165" s="12" t="s">
        <v>460</v>
      </c>
      <c r="C165" s="7" t="s">
        <v>659</v>
      </c>
      <c r="D165" s="7" t="s">
        <v>659</v>
      </c>
      <c r="E165" s="7"/>
      <c r="F165" s="7"/>
      <c r="G165" s="7"/>
      <c r="H165" s="7" t="s">
        <v>659</v>
      </c>
      <c r="I165" s="7" t="s">
        <v>659</v>
      </c>
      <c r="J165" s="7" t="s">
        <v>659</v>
      </c>
      <c r="K165" s="7" t="s">
        <v>659</v>
      </c>
      <c r="L165" s="7" t="s">
        <v>659</v>
      </c>
      <c r="M165" s="7" t="n">
        <v>9</v>
      </c>
      <c r="N165" s="7" t="n">
        <v>13</v>
      </c>
      <c r="O165" s="7"/>
      <c r="P165" s="10" t="s">
        <v>875</v>
      </c>
      <c r="Q165" s="30" t="s">
        <v>657</v>
      </c>
      <c r="R165" s="10" t="s">
        <v>876</v>
      </c>
      <c r="S165" s="12"/>
      <c r="T165" s="30" t="s">
        <v>877</v>
      </c>
    </row>
    <row r="166" customFormat="false" ht="46.25" hidden="false" customHeight="false" outlineLevel="0" collapsed="false">
      <c r="A166" s="12" t="s">
        <v>19</v>
      </c>
      <c r="B166" s="12" t="s">
        <v>262</v>
      </c>
      <c r="C166" s="7"/>
      <c r="D166" s="7" t="s">
        <v>659</v>
      </c>
      <c r="E166" s="7"/>
      <c r="F166" s="7" t="s">
        <v>659</v>
      </c>
      <c r="G166" s="7"/>
      <c r="H166" s="7" t="s">
        <v>659</v>
      </c>
      <c r="I166" s="7" t="s">
        <v>659</v>
      </c>
      <c r="J166" s="7" t="s">
        <v>659</v>
      </c>
      <c r="K166" s="7" t="s">
        <v>659</v>
      </c>
      <c r="L166" s="7" t="s">
        <v>659</v>
      </c>
      <c r="M166" s="7" t="n">
        <v>14</v>
      </c>
      <c r="N166" s="7" t="n">
        <v>15</v>
      </c>
      <c r="O166" s="7"/>
      <c r="P166" s="10" t="s">
        <v>875</v>
      </c>
      <c r="Q166" s="30" t="s">
        <v>657</v>
      </c>
      <c r="R166" s="10" t="s">
        <v>878</v>
      </c>
      <c r="S166" s="12"/>
      <c r="T166" s="30" t="s">
        <v>879</v>
      </c>
    </row>
    <row r="167" customFormat="false" ht="35.05" hidden="false" customHeight="false" outlineLevel="0" collapsed="false">
      <c r="A167" s="12" t="s">
        <v>19</v>
      </c>
      <c r="B167" s="12" t="s">
        <v>87</v>
      </c>
      <c r="C167" s="7"/>
      <c r="D167" s="7" t="s">
        <v>659</v>
      </c>
      <c r="E167" s="7"/>
      <c r="F167" s="7" t="s">
        <v>659</v>
      </c>
      <c r="G167" s="7" t="s">
        <v>659</v>
      </c>
      <c r="H167" s="7" t="s">
        <v>659</v>
      </c>
      <c r="I167" s="7" t="s">
        <v>659</v>
      </c>
      <c r="J167" s="7" t="s">
        <v>659</v>
      </c>
      <c r="K167" s="7" t="s">
        <v>659</v>
      </c>
      <c r="L167" s="7" t="s">
        <v>659</v>
      </c>
      <c r="M167" s="7" t="n">
        <v>30</v>
      </c>
      <c r="N167" s="7" t="n">
        <v>28</v>
      </c>
      <c r="O167" s="7" t="s">
        <v>84</v>
      </c>
      <c r="P167" s="10" t="s">
        <v>862</v>
      </c>
      <c r="Q167" s="30" t="s">
        <v>657</v>
      </c>
      <c r="R167" s="10" t="s">
        <v>880</v>
      </c>
      <c r="S167" s="30" t="s">
        <v>881</v>
      </c>
      <c r="T167" s="12"/>
    </row>
    <row r="168" customFormat="false" ht="35.05" hidden="false" customHeight="false" outlineLevel="0" collapsed="false">
      <c r="A168" s="12" t="s">
        <v>19</v>
      </c>
      <c r="B168" s="12" t="s">
        <v>423</v>
      </c>
      <c r="C168" s="7"/>
      <c r="D168" s="7"/>
      <c r="E168" s="7"/>
      <c r="F168" s="7"/>
      <c r="G168" s="7"/>
      <c r="H168" s="7"/>
      <c r="I168" s="7" t="s">
        <v>659</v>
      </c>
      <c r="J168" s="7" t="s">
        <v>659</v>
      </c>
      <c r="K168" s="7"/>
      <c r="L168" s="7"/>
      <c r="M168" s="7" t="n">
        <v>4</v>
      </c>
      <c r="N168" s="7" t="n">
        <v>27</v>
      </c>
      <c r="O168" s="7"/>
      <c r="P168" s="10" t="s">
        <v>882</v>
      </c>
      <c r="Q168" s="30" t="s">
        <v>657</v>
      </c>
      <c r="R168" s="10" t="s">
        <v>883</v>
      </c>
      <c r="S168" s="12"/>
      <c r="T168" s="30" t="s">
        <v>884</v>
      </c>
    </row>
    <row r="169" customFormat="false" ht="35.05" hidden="false" customHeight="false" outlineLevel="0" collapsed="false">
      <c r="A169" s="12" t="s">
        <v>19</v>
      </c>
      <c r="B169" s="12" t="s">
        <v>205</v>
      </c>
      <c r="C169" s="7"/>
      <c r="D169" s="7"/>
      <c r="E169" s="7"/>
      <c r="F169" s="7"/>
      <c r="G169" s="7"/>
      <c r="H169" s="7"/>
      <c r="I169" s="7"/>
      <c r="J169" s="7"/>
      <c r="K169" s="7"/>
      <c r="L169" s="7"/>
      <c r="M169" s="7" t="n">
        <v>1</v>
      </c>
      <c r="N169" s="7" t="n">
        <v>27</v>
      </c>
      <c r="O169" s="7"/>
      <c r="P169" s="10" t="s">
        <v>872</v>
      </c>
      <c r="Q169" s="30" t="s">
        <v>657</v>
      </c>
      <c r="R169" s="10" t="s">
        <v>885</v>
      </c>
      <c r="S169" s="12"/>
      <c r="T169" s="12"/>
    </row>
    <row r="170" customFormat="false" ht="46.25" hidden="false" customHeight="false" outlineLevel="0" collapsed="false">
      <c r="A170" s="12" t="s">
        <v>19</v>
      </c>
      <c r="B170" s="12" t="s">
        <v>241</v>
      </c>
      <c r="C170" s="7"/>
      <c r="D170" s="7" t="s">
        <v>659</v>
      </c>
      <c r="E170" s="7"/>
      <c r="F170" s="7" t="s">
        <v>659</v>
      </c>
      <c r="G170" s="7"/>
      <c r="H170" s="7" t="s">
        <v>659</v>
      </c>
      <c r="I170" s="7"/>
      <c r="J170" s="7" t="s">
        <v>659</v>
      </c>
      <c r="K170" s="7" t="s">
        <v>659</v>
      </c>
      <c r="L170" s="7"/>
      <c r="M170" s="7" t="n">
        <v>12</v>
      </c>
      <c r="N170" s="7" t="n">
        <v>0</v>
      </c>
      <c r="O170" s="7"/>
      <c r="P170" s="10" t="s">
        <v>875</v>
      </c>
      <c r="Q170" s="30" t="s">
        <v>657</v>
      </c>
      <c r="R170" s="10" t="s">
        <v>886</v>
      </c>
      <c r="S170" s="12"/>
      <c r="T170" s="30" t="s">
        <v>887</v>
      </c>
    </row>
    <row r="171" customFormat="false" ht="46.25" hidden="false" customHeight="false" outlineLevel="0" collapsed="false">
      <c r="A171" s="12" t="s">
        <v>19</v>
      </c>
      <c r="B171" s="12" t="s">
        <v>481</v>
      </c>
      <c r="C171" s="7"/>
      <c r="D171" s="7" t="s">
        <v>659</v>
      </c>
      <c r="E171" s="7"/>
      <c r="F171" s="7"/>
      <c r="G171" s="7"/>
      <c r="H171" s="7" t="s">
        <v>659</v>
      </c>
      <c r="I171" s="7"/>
      <c r="J171" s="7" t="s">
        <v>659</v>
      </c>
      <c r="K171" s="7" t="s">
        <v>659</v>
      </c>
      <c r="L171" s="7" t="s">
        <v>659</v>
      </c>
      <c r="M171" s="7" t="n">
        <v>20</v>
      </c>
      <c r="N171" s="7" t="n">
        <v>29</v>
      </c>
      <c r="O171" s="7"/>
      <c r="P171" s="10" t="s">
        <v>888</v>
      </c>
      <c r="Q171" s="30" t="s">
        <v>657</v>
      </c>
      <c r="R171" s="10" t="s">
        <v>889</v>
      </c>
      <c r="S171" s="12"/>
      <c r="T171" s="30" t="s">
        <v>890</v>
      </c>
    </row>
    <row r="172" customFormat="false" ht="46.25" hidden="false" customHeight="false" outlineLevel="0" collapsed="false">
      <c r="A172" s="12" t="s">
        <v>19</v>
      </c>
      <c r="B172" s="12" t="s">
        <v>125</v>
      </c>
      <c r="C172" s="7"/>
      <c r="D172" s="7" t="s">
        <v>659</v>
      </c>
      <c r="E172" s="7"/>
      <c r="F172" s="7" t="s">
        <v>659</v>
      </c>
      <c r="G172" s="7"/>
      <c r="H172" s="7" t="s">
        <v>659</v>
      </c>
      <c r="I172" s="7" t="s">
        <v>659</v>
      </c>
      <c r="J172" s="7" t="s">
        <v>659</v>
      </c>
      <c r="K172" s="7" t="s">
        <v>659</v>
      </c>
      <c r="L172" s="7" t="s">
        <v>659</v>
      </c>
      <c r="M172" s="7" t="n">
        <v>20</v>
      </c>
      <c r="N172" s="7" t="n">
        <v>0</v>
      </c>
      <c r="O172" s="7"/>
      <c r="P172" s="10" t="s">
        <v>891</v>
      </c>
      <c r="Q172" s="30" t="s">
        <v>657</v>
      </c>
      <c r="R172" s="10" t="s">
        <v>892</v>
      </c>
      <c r="S172" s="12"/>
      <c r="T172" s="12"/>
    </row>
    <row r="173" customFormat="false" ht="46.25" hidden="false" customHeight="false" outlineLevel="0" collapsed="false">
      <c r="A173" s="12" t="s">
        <v>19</v>
      </c>
      <c r="B173" s="12" t="s">
        <v>551</v>
      </c>
      <c r="C173" s="7"/>
      <c r="D173" s="7" t="s">
        <v>659</v>
      </c>
      <c r="E173" s="7"/>
      <c r="F173" s="7" t="s">
        <v>659</v>
      </c>
      <c r="G173" s="7"/>
      <c r="H173" s="7" t="s">
        <v>659</v>
      </c>
      <c r="I173" s="7" t="s">
        <v>659</v>
      </c>
      <c r="J173" s="7" t="s">
        <v>659</v>
      </c>
      <c r="K173" s="7" t="s">
        <v>659</v>
      </c>
      <c r="L173" s="7" t="s">
        <v>659</v>
      </c>
      <c r="M173" s="7" t="n">
        <v>25</v>
      </c>
      <c r="N173" s="7" t="n">
        <v>0</v>
      </c>
      <c r="O173" s="7"/>
      <c r="P173" s="10" t="s">
        <v>893</v>
      </c>
      <c r="Q173" s="30" t="s">
        <v>657</v>
      </c>
      <c r="R173" s="10" t="s">
        <v>894</v>
      </c>
      <c r="S173" s="12"/>
      <c r="T173" s="30" t="s">
        <v>895</v>
      </c>
    </row>
    <row r="174" customFormat="false" ht="57.45" hidden="false" customHeight="false" outlineLevel="0" collapsed="false">
      <c r="A174" s="12" t="s">
        <v>19</v>
      </c>
      <c r="B174" s="12" t="s">
        <v>104</v>
      </c>
      <c r="C174" s="7"/>
      <c r="D174" s="7" t="s">
        <v>659</v>
      </c>
      <c r="E174" s="7"/>
      <c r="F174" s="7" t="s">
        <v>659</v>
      </c>
      <c r="G174" s="7" t="s">
        <v>659</v>
      </c>
      <c r="H174" s="7" t="s">
        <v>659</v>
      </c>
      <c r="I174" s="7" t="s">
        <v>659</v>
      </c>
      <c r="J174" s="7" t="s">
        <v>659</v>
      </c>
      <c r="K174" s="7" t="s">
        <v>659</v>
      </c>
      <c r="L174" s="7"/>
      <c r="M174" s="7" t="n">
        <v>17</v>
      </c>
      <c r="N174" s="7" t="n">
        <v>27</v>
      </c>
      <c r="O174" s="7"/>
      <c r="P174" s="10" t="s">
        <v>896</v>
      </c>
      <c r="Q174" s="30" t="s">
        <v>657</v>
      </c>
      <c r="R174" s="10" t="s">
        <v>897</v>
      </c>
      <c r="S174" s="12"/>
      <c r="T174" s="30" t="s">
        <v>898</v>
      </c>
    </row>
    <row r="175" customFormat="false" ht="35.05" hidden="false" customHeight="false" outlineLevel="0" collapsed="false">
      <c r="A175" s="12" t="s">
        <v>19</v>
      </c>
      <c r="B175" s="12" t="s">
        <v>545</v>
      </c>
      <c r="C175" s="7"/>
      <c r="D175" s="7" t="s">
        <v>659</v>
      </c>
      <c r="E175" s="7"/>
      <c r="F175" s="7"/>
      <c r="G175" s="7"/>
      <c r="H175" s="7"/>
      <c r="I175" s="7" t="s">
        <v>659</v>
      </c>
      <c r="J175" s="7" t="s">
        <v>659</v>
      </c>
      <c r="K175" s="7" t="s">
        <v>659</v>
      </c>
      <c r="L175" s="7" t="s">
        <v>659</v>
      </c>
      <c r="M175" s="7" t="n">
        <v>30</v>
      </c>
      <c r="N175" s="7" t="n">
        <v>3</v>
      </c>
      <c r="O175" s="7" t="s">
        <v>84</v>
      </c>
      <c r="P175" s="10" t="s">
        <v>872</v>
      </c>
      <c r="Q175" s="30" t="s">
        <v>657</v>
      </c>
      <c r="R175" s="10" t="s">
        <v>899</v>
      </c>
      <c r="S175" s="30" t="s">
        <v>900</v>
      </c>
      <c r="T175" s="12"/>
    </row>
    <row r="176" customFormat="false" ht="46.25" hidden="false" customHeight="false" outlineLevel="0" collapsed="false">
      <c r="A176" s="12" t="s">
        <v>19</v>
      </c>
      <c r="B176" s="12" t="s">
        <v>510</v>
      </c>
      <c r="C176" s="7"/>
      <c r="D176" s="7" t="s">
        <v>659</v>
      </c>
      <c r="E176" s="7"/>
      <c r="F176" s="7" t="s">
        <v>659</v>
      </c>
      <c r="G176" s="7"/>
      <c r="H176" s="7"/>
      <c r="I176" s="7" t="s">
        <v>659</v>
      </c>
      <c r="J176" s="7" t="s">
        <v>659</v>
      </c>
      <c r="K176" s="7" t="s">
        <v>659</v>
      </c>
      <c r="L176" s="7" t="s">
        <v>659</v>
      </c>
      <c r="M176" s="7" t="n">
        <v>30</v>
      </c>
      <c r="N176" s="7" t="n">
        <v>0</v>
      </c>
      <c r="O176" s="7" t="s">
        <v>84</v>
      </c>
      <c r="P176" s="10" t="s">
        <v>872</v>
      </c>
      <c r="Q176" s="30" t="s">
        <v>657</v>
      </c>
      <c r="R176" s="10" t="s">
        <v>901</v>
      </c>
      <c r="S176" s="30" t="s">
        <v>902</v>
      </c>
      <c r="T176" s="12"/>
    </row>
    <row r="177" customFormat="false" ht="46.25" hidden="false" customHeight="false" outlineLevel="0" collapsed="false">
      <c r="A177" s="12" t="s">
        <v>19</v>
      </c>
      <c r="B177" s="12" t="s">
        <v>120</v>
      </c>
      <c r="C177" s="7"/>
      <c r="D177" s="7"/>
      <c r="E177" s="7" t="s">
        <v>659</v>
      </c>
      <c r="F177" s="7" t="s">
        <v>659</v>
      </c>
      <c r="G177" s="7" t="s">
        <v>659</v>
      </c>
      <c r="H177" s="7" t="s">
        <v>659</v>
      </c>
      <c r="I177" s="7" t="s">
        <v>659</v>
      </c>
      <c r="J177" s="7" t="s">
        <v>659</v>
      </c>
      <c r="K177" s="7" t="s">
        <v>659</v>
      </c>
      <c r="L177" s="7" t="s">
        <v>659</v>
      </c>
      <c r="M177" s="7" t="n">
        <v>30</v>
      </c>
      <c r="N177" s="7" t="n">
        <v>30</v>
      </c>
      <c r="O177" s="7" t="s">
        <v>84</v>
      </c>
      <c r="P177" s="10" t="s">
        <v>893</v>
      </c>
      <c r="Q177" s="30" t="s">
        <v>657</v>
      </c>
      <c r="R177" s="10" t="s">
        <v>903</v>
      </c>
      <c r="S177" s="30" t="s">
        <v>904</v>
      </c>
      <c r="T177" s="30" t="s">
        <v>905</v>
      </c>
    </row>
    <row r="178" customFormat="false" ht="35.05" hidden="false" customHeight="false" outlineLevel="0" collapsed="false">
      <c r="A178" s="12" t="s">
        <v>19</v>
      </c>
      <c r="B178" s="12" t="s">
        <v>528</v>
      </c>
      <c r="C178" s="7"/>
      <c r="D178" s="7"/>
      <c r="E178" s="7"/>
      <c r="F178" s="7"/>
      <c r="G178" s="7"/>
      <c r="H178" s="7"/>
      <c r="I178" s="7"/>
      <c r="J178" s="7" t="s">
        <v>659</v>
      </c>
      <c r="K178" s="7" t="s">
        <v>659</v>
      </c>
      <c r="L178" s="7"/>
      <c r="M178" s="7" t="n">
        <v>3</v>
      </c>
      <c r="N178" s="7" t="n">
        <v>30</v>
      </c>
      <c r="O178" s="7"/>
      <c r="P178" s="10" t="s">
        <v>906</v>
      </c>
      <c r="Q178" s="30" t="s">
        <v>657</v>
      </c>
      <c r="R178" s="10" t="s">
        <v>907</v>
      </c>
      <c r="S178" s="12"/>
      <c r="T178" s="30" t="s">
        <v>908</v>
      </c>
    </row>
    <row r="179" customFormat="false" ht="46.25" hidden="false" customHeight="false" outlineLevel="0" collapsed="false">
      <c r="A179" s="12" t="s">
        <v>19</v>
      </c>
      <c r="B179" s="12" t="s">
        <v>335</v>
      </c>
      <c r="C179" s="7"/>
      <c r="D179" s="7" t="s">
        <v>659</v>
      </c>
      <c r="E179" s="7"/>
      <c r="F179" s="7" t="s">
        <v>659</v>
      </c>
      <c r="G179" s="7" t="s">
        <v>659</v>
      </c>
      <c r="H179" s="7" t="s">
        <v>659</v>
      </c>
      <c r="I179" s="7"/>
      <c r="J179" s="7" t="s">
        <v>659</v>
      </c>
      <c r="K179" s="7" t="s">
        <v>659</v>
      </c>
      <c r="L179" s="7" t="s">
        <v>659</v>
      </c>
      <c r="M179" s="7" t="n">
        <v>20</v>
      </c>
      <c r="N179" s="7" t="n">
        <v>28</v>
      </c>
      <c r="O179" s="7"/>
      <c r="P179" s="10" t="s">
        <v>893</v>
      </c>
      <c r="Q179" s="30" t="s">
        <v>657</v>
      </c>
      <c r="R179" s="10" t="s">
        <v>909</v>
      </c>
      <c r="S179" s="12"/>
      <c r="T179" s="30" t="s">
        <v>910</v>
      </c>
    </row>
    <row r="180" customFormat="false" ht="35.05" hidden="false" customHeight="false" outlineLevel="0" collapsed="false">
      <c r="A180" s="12" t="s">
        <v>19</v>
      </c>
      <c r="B180" s="12" t="s">
        <v>145</v>
      </c>
      <c r="C180" s="7"/>
      <c r="D180" s="7"/>
      <c r="E180" s="7"/>
      <c r="F180" s="7"/>
      <c r="G180" s="7"/>
      <c r="H180" s="7"/>
      <c r="I180" s="7" t="s">
        <v>659</v>
      </c>
      <c r="J180" s="7" t="s">
        <v>659</v>
      </c>
      <c r="K180" s="7" t="s">
        <v>659</v>
      </c>
      <c r="L180" s="7" t="s">
        <v>659</v>
      </c>
      <c r="M180" s="7" t="n">
        <v>30</v>
      </c>
      <c r="N180" s="7" t="n">
        <v>13</v>
      </c>
      <c r="O180" s="7" t="s">
        <v>84</v>
      </c>
      <c r="P180" s="10" t="s">
        <v>872</v>
      </c>
      <c r="Q180" s="30" t="s">
        <v>657</v>
      </c>
      <c r="R180" s="10" t="s">
        <v>911</v>
      </c>
      <c r="S180" s="30" t="s">
        <v>912</v>
      </c>
      <c r="T180" s="12"/>
    </row>
    <row r="181" customFormat="false" ht="35.05" hidden="false" customHeight="false" outlineLevel="0" collapsed="false">
      <c r="A181" s="12" t="s">
        <v>19</v>
      </c>
      <c r="B181" s="12" t="s">
        <v>133</v>
      </c>
      <c r="C181" s="7"/>
      <c r="D181" s="7"/>
      <c r="E181" s="7"/>
      <c r="F181" s="7"/>
      <c r="G181" s="7"/>
      <c r="H181" s="7"/>
      <c r="I181" s="7"/>
      <c r="J181" s="7" t="s">
        <v>659</v>
      </c>
      <c r="K181" s="7"/>
      <c r="L181" s="7"/>
      <c r="M181" s="7" t="n">
        <v>9</v>
      </c>
      <c r="N181" s="7" t="n">
        <v>24</v>
      </c>
      <c r="O181" s="7"/>
      <c r="P181" s="10" t="s">
        <v>913</v>
      </c>
      <c r="Q181" s="30" t="s">
        <v>657</v>
      </c>
      <c r="R181" s="10" t="s">
        <v>914</v>
      </c>
      <c r="S181" s="12"/>
      <c r="T181" s="12"/>
    </row>
    <row r="182" customFormat="false" ht="35.05" hidden="false" customHeight="false" outlineLevel="0" collapsed="false">
      <c r="A182" s="12" t="s">
        <v>19</v>
      </c>
      <c r="B182" s="12" t="s">
        <v>477</v>
      </c>
      <c r="C182" s="7"/>
      <c r="D182" s="7" t="s">
        <v>659</v>
      </c>
      <c r="E182" s="7"/>
      <c r="F182" s="7"/>
      <c r="G182" s="7"/>
      <c r="H182" s="7" t="s">
        <v>659</v>
      </c>
      <c r="I182" s="7"/>
      <c r="J182" s="7"/>
      <c r="K182" s="7" t="s">
        <v>659</v>
      </c>
      <c r="L182" s="7"/>
      <c r="M182" s="7" t="n">
        <v>4</v>
      </c>
      <c r="N182" s="7" t="n">
        <v>30</v>
      </c>
      <c r="O182" s="7"/>
      <c r="P182" s="10" t="s">
        <v>915</v>
      </c>
      <c r="Q182" s="30" t="s">
        <v>657</v>
      </c>
      <c r="R182" s="10" t="s">
        <v>916</v>
      </c>
      <c r="S182" s="12"/>
      <c r="T182" s="12"/>
    </row>
    <row r="183" customFormat="false" ht="35.05" hidden="false" customHeight="false" outlineLevel="0" collapsed="false">
      <c r="A183" s="12" t="s">
        <v>19</v>
      </c>
      <c r="B183" s="12" t="s">
        <v>420</v>
      </c>
      <c r="C183" s="7"/>
      <c r="D183" s="7"/>
      <c r="E183" s="7"/>
      <c r="F183" s="7"/>
      <c r="G183" s="7"/>
      <c r="H183" s="7" t="s">
        <v>659</v>
      </c>
      <c r="I183" s="7"/>
      <c r="J183" s="7"/>
      <c r="K183" s="7"/>
      <c r="L183" s="7"/>
      <c r="M183" s="7" t="n">
        <v>0</v>
      </c>
      <c r="N183" s="7" t="n">
        <v>19</v>
      </c>
      <c r="O183" s="7"/>
      <c r="P183" s="10" t="s">
        <v>867</v>
      </c>
      <c r="Q183" s="30" t="s">
        <v>657</v>
      </c>
      <c r="R183" s="10" t="s">
        <v>917</v>
      </c>
      <c r="S183" s="12"/>
      <c r="T183" s="12"/>
    </row>
    <row r="184" customFormat="false" ht="57.45" hidden="false" customHeight="false" outlineLevel="0" collapsed="false">
      <c r="A184" s="12" t="s">
        <v>19</v>
      </c>
      <c r="B184" s="12" t="s">
        <v>504</v>
      </c>
      <c r="C184" s="7"/>
      <c r="D184" s="7" t="s">
        <v>659</v>
      </c>
      <c r="E184" s="7"/>
      <c r="F184" s="7"/>
      <c r="G184" s="7"/>
      <c r="H184" s="7" t="s">
        <v>659</v>
      </c>
      <c r="I184" s="7" t="s">
        <v>659</v>
      </c>
      <c r="J184" s="7" t="s">
        <v>659</v>
      </c>
      <c r="K184" s="7" t="s">
        <v>659</v>
      </c>
      <c r="L184" s="7" t="s">
        <v>659</v>
      </c>
      <c r="M184" s="7" t="n">
        <v>21</v>
      </c>
      <c r="N184" s="7" t="n">
        <v>29</v>
      </c>
      <c r="O184" s="7"/>
      <c r="P184" s="10" t="s">
        <v>896</v>
      </c>
      <c r="Q184" s="30" t="s">
        <v>657</v>
      </c>
      <c r="R184" s="10" t="s">
        <v>918</v>
      </c>
      <c r="S184" s="12"/>
      <c r="T184" s="30" t="s">
        <v>919</v>
      </c>
    </row>
    <row r="185" customFormat="false" ht="46.25" hidden="false" customHeight="false" outlineLevel="0" collapsed="false">
      <c r="A185" s="12" t="s">
        <v>19</v>
      </c>
      <c r="B185" s="12" t="s">
        <v>387</v>
      </c>
      <c r="C185" s="7"/>
      <c r="D185" s="7" t="s">
        <v>659</v>
      </c>
      <c r="E185" s="7" t="s">
        <v>659</v>
      </c>
      <c r="F185" s="7"/>
      <c r="G185" s="7"/>
      <c r="H185" s="7" t="s">
        <v>659</v>
      </c>
      <c r="I185" s="7" t="s">
        <v>659</v>
      </c>
      <c r="J185" s="7" t="s">
        <v>659</v>
      </c>
      <c r="K185" s="7" t="s">
        <v>659</v>
      </c>
      <c r="L185" s="7" t="s">
        <v>659</v>
      </c>
      <c r="M185" s="7" t="n">
        <v>27</v>
      </c>
      <c r="N185" s="7" t="n">
        <v>0</v>
      </c>
      <c r="O185" s="7"/>
      <c r="P185" s="10" t="s">
        <v>893</v>
      </c>
      <c r="Q185" s="30" t="s">
        <v>657</v>
      </c>
      <c r="R185" s="10" t="s">
        <v>920</v>
      </c>
      <c r="S185" s="12"/>
      <c r="T185" s="30" t="s">
        <v>921</v>
      </c>
    </row>
    <row r="186" customFormat="false" ht="46.25" hidden="false" customHeight="false" outlineLevel="0" collapsed="false">
      <c r="A186" s="12" t="s">
        <v>19</v>
      </c>
      <c r="B186" s="12" t="s">
        <v>112</v>
      </c>
      <c r="C186" s="7" t="s">
        <v>659</v>
      </c>
      <c r="D186" s="7" t="s">
        <v>659</v>
      </c>
      <c r="E186" s="7"/>
      <c r="F186" s="7" t="s">
        <v>659</v>
      </c>
      <c r="G186" s="7" t="s">
        <v>659</v>
      </c>
      <c r="H186" s="7" t="s">
        <v>659</v>
      </c>
      <c r="I186" s="7" t="s">
        <v>659</v>
      </c>
      <c r="J186" s="7" t="s">
        <v>659</v>
      </c>
      <c r="K186" s="7" t="s">
        <v>659</v>
      </c>
      <c r="L186" s="7" t="s">
        <v>659</v>
      </c>
      <c r="M186" s="7" t="n">
        <v>25</v>
      </c>
      <c r="N186" s="7" t="n">
        <v>30</v>
      </c>
      <c r="O186" s="7"/>
      <c r="P186" s="10" t="s">
        <v>893</v>
      </c>
      <c r="Q186" s="30" t="s">
        <v>657</v>
      </c>
      <c r="R186" s="10" t="s">
        <v>922</v>
      </c>
      <c r="S186" s="12"/>
      <c r="T186" s="30" t="s">
        <v>923</v>
      </c>
    </row>
    <row r="187" customFormat="false" ht="35.05" hidden="false" customHeight="false" outlineLevel="0" collapsed="false">
      <c r="A187" s="12" t="s">
        <v>19</v>
      </c>
      <c r="B187" s="12" t="s">
        <v>497</v>
      </c>
      <c r="C187" s="7"/>
      <c r="D187" s="7"/>
      <c r="E187" s="7"/>
      <c r="F187" s="7" t="s">
        <v>659</v>
      </c>
      <c r="G187" s="7"/>
      <c r="H187" s="7" t="s">
        <v>659</v>
      </c>
      <c r="I187" s="7" t="s">
        <v>659</v>
      </c>
      <c r="J187" s="7"/>
      <c r="K187" s="7"/>
      <c r="L187" s="7"/>
      <c r="M187" s="7" t="n">
        <v>6</v>
      </c>
      <c r="N187" s="7" t="n">
        <v>0</v>
      </c>
      <c r="O187" s="7"/>
      <c r="P187" s="10" t="s">
        <v>924</v>
      </c>
      <c r="Q187" s="30" t="s">
        <v>657</v>
      </c>
      <c r="R187" s="10" t="s">
        <v>925</v>
      </c>
      <c r="S187" s="12"/>
      <c r="T187" s="12"/>
    </row>
    <row r="188" customFormat="false" ht="35.05" hidden="false" customHeight="false" outlineLevel="0" collapsed="false">
      <c r="A188" s="12" t="s">
        <v>19</v>
      </c>
      <c r="B188" s="12" t="s">
        <v>560</v>
      </c>
      <c r="C188" s="7"/>
      <c r="D188" s="7"/>
      <c r="E188" s="7"/>
      <c r="F188" s="7"/>
      <c r="G188" s="7"/>
      <c r="H188" s="7" t="s">
        <v>659</v>
      </c>
      <c r="I188" s="7"/>
      <c r="J188" s="7"/>
      <c r="K188" s="7"/>
      <c r="L188" s="7"/>
      <c r="M188" s="7" t="n">
        <v>0</v>
      </c>
      <c r="N188" s="7" t="n">
        <v>16</v>
      </c>
      <c r="O188" s="7"/>
      <c r="P188" s="10" t="s">
        <v>867</v>
      </c>
      <c r="Q188" s="30" t="s">
        <v>657</v>
      </c>
      <c r="R188" s="10" t="s">
        <v>926</v>
      </c>
      <c r="S188" s="12"/>
      <c r="T188" s="12"/>
    </row>
    <row r="189" customFormat="false" ht="35.05" hidden="false" customHeight="false" outlineLevel="0" collapsed="false">
      <c r="A189" s="12" t="s">
        <v>19</v>
      </c>
      <c r="B189" s="12" t="s">
        <v>358</v>
      </c>
      <c r="C189" s="7" t="s">
        <v>659</v>
      </c>
      <c r="D189" s="7" t="s">
        <v>659</v>
      </c>
      <c r="E189" s="7"/>
      <c r="F189" s="7"/>
      <c r="G189" s="7"/>
      <c r="H189" s="7"/>
      <c r="I189" s="7" t="s">
        <v>659</v>
      </c>
      <c r="J189" s="7" t="s">
        <v>659</v>
      </c>
      <c r="K189" s="7" t="s">
        <v>659</v>
      </c>
      <c r="L189" s="7" t="s">
        <v>659</v>
      </c>
      <c r="M189" s="7" t="n">
        <v>30</v>
      </c>
      <c r="N189" s="7" t="n">
        <v>28</v>
      </c>
      <c r="O189" s="7" t="s">
        <v>84</v>
      </c>
      <c r="P189" s="10" t="s">
        <v>872</v>
      </c>
      <c r="Q189" s="30" t="s">
        <v>657</v>
      </c>
      <c r="R189" s="10" t="s">
        <v>927</v>
      </c>
      <c r="S189" s="30" t="s">
        <v>928</v>
      </c>
      <c r="T189" s="12"/>
    </row>
    <row r="190" customFormat="false" ht="46.25" hidden="false" customHeight="false" outlineLevel="0" collapsed="false">
      <c r="A190" s="12" t="s">
        <v>19</v>
      </c>
      <c r="B190" s="12" t="s">
        <v>520</v>
      </c>
      <c r="C190" s="7"/>
      <c r="D190" s="7"/>
      <c r="E190" s="7"/>
      <c r="F190" s="7"/>
      <c r="G190" s="7"/>
      <c r="H190" s="7" t="s">
        <v>659</v>
      </c>
      <c r="I190" s="7"/>
      <c r="J190" s="7" t="s">
        <v>659</v>
      </c>
      <c r="K190" s="7"/>
      <c r="L190" s="7"/>
      <c r="M190" s="7" t="n">
        <v>4</v>
      </c>
      <c r="N190" s="7" t="n">
        <v>26</v>
      </c>
      <c r="O190" s="7"/>
      <c r="P190" s="10" t="s">
        <v>875</v>
      </c>
      <c r="Q190" s="30" t="s">
        <v>657</v>
      </c>
      <c r="R190" s="10" t="s">
        <v>929</v>
      </c>
      <c r="S190" s="12"/>
      <c r="T190" s="30" t="s">
        <v>930</v>
      </c>
    </row>
    <row r="191" customFormat="false" ht="35.05" hidden="false" customHeight="false" outlineLevel="0" collapsed="false">
      <c r="A191" s="12" t="s">
        <v>19</v>
      </c>
      <c r="B191" s="12" t="s">
        <v>513</v>
      </c>
      <c r="C191" s="7"/>
      <c r="D191" s="7" t="s">
        <v>659</v>
      </c>
      <c r="E191" s="7"/>
      <c r="F191" s="7"/>
      <c r="G191" s="7"/>
      <c r="H191" s="7"/>
      <c r="I191" s="7" t="s">
        <v>659</v>
      </c>
      <c r="J191" s="7" t="s">
        <v>659</v>
      </c>
      <c r="K191" s="7" t="s">
        <v>659</v>
      </c>
      <c r="L191" s="7" t="s">
        <v>659</v>
      </c>
      <c r="M191" s="7" t="n">
        <v>30</v>
      </c>
      <c r="N191" s="7" t="n">
        <v>23</v>
      </c>
      <c r="O191" s="7" t="s">
        <v>84</v>
      </c>
      <c r="P191" s="10" t="s">
        <v>872</v>
      </c>
      <c r="Q191" s="30" t="s">
        <v>657</v>
      </c>
      <c r="R191" s="10" t="s">
        <v>931</v>
      </c>
      <c r="S191" s="30" t="s">
        <v>932</v>
      </c>
      <c r="T191" s="12"/>
    </row>
    <row r="192" customFormat="false" ht="35.05" hidden="false" customHeight="false" outlineLevel="0" collapsed="false">
      <c r="A192" s="12" t="s">
        <v>19</v>
      </c>
      <c r="B192" s="12" t="s">
        <v>494</v>
      </c>
      <c r="C192" s="7"/>
      <c r="D192" s="7"/>
      <c r="E192" s="7"/>
      <c r="F192" s="7" t="s">
        <v>659</v>
      </c>
      <c r="G192" s="7"/>
      <c r="H192" s="7" t="s">
        <v>659</v>
      </c>
      <c r="I192" s="7"/>
      <c r="J192" s="7"/>
      <c r="K192" s="7"/>
      <c r="L192" s="7"/>
      <c r="M192" s="7" t="n">
        <v>7</v>
      </c>
      <c r="N192" s="7" t="n">
        <v>0</v>
      </c>
      <c r="O192" s="7"/>
      <c r="P192" s="10" t="s">
        <v>924</v>
      </c>
      <c r="Q192" s="30" t="s">
        <v>657</v>
      </c>
      <c r="R192" s="10" t="s">
        <v>933</v>
      </c>
      <c r="S192" s="12"/>
      <c r="T192" s="12"/>
    </row>
    <row r="193" customFormat="false" ht="35.05" hidden="false" customHeight="false" outlineLevel="0" collapsed="false">
      <c r="A193" s="12" t="s">
        <v>19</v>
      </c>
      <c r="B193" s="12" t="s">
        <v>129</v>
      </c>
      <c r="C193" s="7"/>
      <c r="D193" s="7" t="s">
        <v>659</v>
      </c>
      <c r="E193" s="7"/>
      <c r="F193" s="7"/>
      <c r="G193" s="7"/>
      <c r="H193" s="7" t="s">
        <v>659</v>
      </c>
      <c r="I193" s="7"/>
      <c r="J193" s="7"/>
      <c r="K193" s="7"/>
      <c r="L193" s="7"/>
      <c r="M193" s="7" t="n">
        <v>0</v>
      </c>
      <c r="N193" s="7" t="n">
        <v>27</v>
      </c>
      <c r="O193" s="7"/>
      <c r="P193" s="10" t="s">
        <v>860</v>
      </c>
      <c r="Q193" s="30" t="s">
        <v>657</v>
      </c>
      <c r="R193" s="10" t="s">
        <v>934</v>
      </c>
      <c r="S193" s="12"/>
      <c r="T193" s="12"/>
    </row>
    <row r="194" customFormat="false" ht="46.25" hidden="false" customHeight="false" outlineLevel="0" collapsed="false">
      <c r="A194" s="12" t="s">
        <v>19</v>
      </c>
      <c r="B194" s="12" t="s">
        <v>283</v>
      </c>
      <c r="C194" s="7"/>
      <c r="D194" s="7" t="s">
        <v>659</v>
      </c>
      <c r="E194" s="7" t="s">
        <v>659</v>
      </c>
      <c r="F194" s="7" t="s">
        <v>659</v>
      </c>
      <c r="G194" s="7"/>
      <c r="H194" s="7" t="s">
        <v>659</v>
      </c>
      <c r="I194" s="7" t="s">
        <v>659</v>
      </c>
      <c r="J194" s="7" t="s">
        <v>659</v>
      </c>
      <c r="K194" s="7" t="s">
        <v>659</v>
      </c>
      <c r="L194" s="7" t="s">
        <v>659</v>
      </c>
      <c r="M194" s="7" t="n">
        <v>25</v>
      </c>
      <c r="N194" s="7" t="n">
        <v>0</v>
      </c>
      <c r="O194" s="7"/>
      <c r="P194" s="10" t="s">
        <v>893</v>
      </c>
      <c r="Q194" s="30" t="s">
        <v>657</v>
      </c>
      <c r="R194" s="10" t="s">
        <v>935</v>
      </c>
      <c r="S194" s="12"/>
      <c r="T194" s="30" t="s">
        <v>936</v>
      </c>
    </row>
    <row r="195" customFormat="false" ht="57.45" hidden="false" customHeight="false" outlineLevel="0" collapsed="false">
      <c r="A195" s="12" t="s">
        <v>19</v>
      </c>
      <c r="B195" s="12" t="s">
        <v>547</v>
      </c>
      <c r="C195" s="7"/>
      <c r="D195" s="7"/>
      <c r="E195" s="7"/>
      <c r="F195" s="7" t="s">
        <v>659</v>
      </c>
      <c r="G195" s="7"/>
      <c r="H195" s="7" t="s">
        <v>659</v>
      </c>
      <c r="I195" s="7" t="s">
        <v>659</v>
      </c>
      <c r="J195" s="7" t="s">
        <v>659</v>
      </c>
      <c r="K195" s="7" t="s">
        <v>659</v>
      </c>
      <c r="L195" s="7" t="s">
        <v>659</v>
      </c>
      <c r="M195" s="7" t="n">
        <v>22</v>
      </c>
      <c r="N195" s="7" t="n">
        <v>0</v>
      </c>
      <c r="O195" s="7"/>
      <c r="P195" s="10" t="s">
        <v>896</v>
      </c>
      <c r="Q195" s="30" t="s">
        <v>657</v>
      </c>
      <c r="R195" s="10" t="s">
        <v>937</v>
      </c>
      <c r="S195" s="12"/>
      <c r="T195" s="30" t="s">
        <v>938</v>
      </c>
    </row>
    <row r="196" customFormat="false" ht="46.25" hidden="false" customHeight="false" outlineLevel="0" collapsed="false">
      <c r="A196" s="12" t="s">
        <v>19</v>
      </c>
      <c r="B196" s="12" t="s">
        <v>417</v>
      </c>
      <c r="C196" s="7"/>
      <c r="D196" s="7" t="s">
        <v>659</v>
      </c>
      <c r="E196" s="7" t="s">
        <v>659</v>
      </c>
      <c r="F196" s="7"/>
      <c r="G196" s="7"/>
      <c r="H196" s="7" t="s">
        <v>659</v>
      </c>
      <c r="I196" s="7" t="s">
        <v>659</v>
      </c>
      <c r="J196" s="7" t="s">
        <v>659</v>
      </c>
      <c r="K196" s="7" t="s">
        <v>659</v>
      </c>
      <c r="L196" s="7" t="s">
        <v>659</v>
      </c>
      <c r="M196" s="7" t="n">
        <v>16</v>
      </c>
      <c r="N196" s="7" t="n">
        <v>25</v>
      </c>
      <c r="O196" s="7"/>
      <c r="P196" s="10" t="s">
        <v>875</v>
      </c>
      <c r="Q196" s="30" t="s">
        <v>657</v>
      </c>
      <c r="R196" s="10" t="s">
        <v>939</v>
      </c>
      <c r="S196" s="12"/>
      <c r="T196" s="30" t="s">
        <v>940</v>
      </c>
    </row>
    <row r="197" customFormat="false" ht="35.05" hidden="false" customHeight="false" outlineLevel="0" collapsed="false">
      <c r="A197" s="12" t="s">
        <v>19</v>
      </c>
      <c r="B197" s="12" t="s">
        <v>535</v>
      </c>
      <c r="C197" s="7"/>
      <c r="D197" s="7"/>
      <c r="E197" s="7"/>
      <c r="F197" s="7"/>
      <c r="G197" s="7"/>
      <c r="H197" s="7" t="s">
        <v>659</v>
      </c>
      <c r="I197" s="7"/>
      <c r="J197" s="7" t="s">
        <v>659</v>
      </c>
      <c r="K197" s="7" t="s">
        <v>659</v>
      </c>
      <c r="L197" s="7"/>
      <c r="M197" s="7" t="n">
        <v>3</v>
      </c>
      <c r="N197" s="7" t="n">
        <v>15</v>
      </c>
      <c r="O197" s="7"/>
      <c r="P197" s="10" t="s">
        <v>941</v>
      </c>
      <c r="Q197" s="30" t="s">
        <v>657</v>
      </c>
      <c r="R197" s="10" t="s">
        <v>942</v>
      </c>
      <c r="S197" s="12"/>
      <c r="T197" s="30" t="s">
        <v>943</v>
      </c>
    </row>
    <row r="198" customFormat="false" ht="46.25" hidden="false" customHeight="false" outlineLevel="0" collapsed="false">
      <c r="A198" s="12" t="s">
        <v>19</v>
      </c>
      <c r="B198" s="12" t="s">
        <v>367</v>
      </c>
      <c r="C198" s="7" t="s">
        <v>659</v>
      </c>
      <c r="D198" s="7" t="s">
        <v>659</v>
      </c>
      <c r="E198" s="7"/>
      <c r="F198" s="7"/>
      <c r="G198" s="7"/>
      <c r="H198" s="7" t="s">
        <v>659</v>
      </c>
      <c r="I198" s="7" t="s">
        <v>659</v>
      </c>
      <c r="J198" s="7" t="s">
        <v>659</v>
      </c>
      <c r="K198" s="7" t="s">
        <v>659</v>
      </c>
      <c r="L198" s="7"/>
      <c r="M198" s="7" t="n">
        <v>12</v>
      </c>
      <c r="N198" s="7" t="n">
        <v>0</v>
      </c>
      <c r="O198" s="7"/>
      <c r="P198" s="10" t="s">
        <v>888</v>
      </c>
      <c r="Q198" s="30" t="s">
        <v>657</v>
      </c>
      <c r="R198" s="10" t="s">
        <v>944</v>
      </c>
      <c r="S198" s="12"/>
      <c r="T198" s="12"/>
    </row>
    <row r="199" customFormat="false" ht="57.45" hidden="false" customHeight="false" outlineLevel="0" collapsed="false">
      <c r="A199" s="12" t="s">
        <v>19</v>
      </c>
      <c r="B199" s="12" t="s">
        <v>216</v>
      </c>
      <c r="C199" s="7" t="s">
        <v>659</v>
      </c>
      <c r="D199" s="7" t="s">
        <v>659</v>
      </c>
      <c r="E199" s="7"/>
      <c r="F199" s="7" t="s">
        <v>659</v>
      </c>
      <c r="G199" s="7"/>
      <c r="H199" s="7" t="s">
        <v>659</v>
      </c>
      <c r="I199" s="7" t="s">
        <v>659</v>
      </c>
      <c r="J199" s="7" t="s">
        <v>659</v>
      </c>
      <c r="K199" s="7" t="s">
        <v>659</v>
      </c>
      <c r="L199" s="7" t="s">
        <v>659</v>
      </c>
      <c r="M199" s="7" t="n">
        <v>23</v>
      </c>
      <c r="N199" s="7" t="n">
        <v>29</v>
      </c>
      <c r="O199" s="7"/>
      <c r="P199" s="10" t="s">
        <v>896</v>
      </c>
      <c r="Q199" s="30" t="s">
        <v>657</v>
      </c>
      <c r="R199" s="10" t="s">
        <v>945</v>
      </c>
      <c r="S199" s="12"/>
      <c r="T199" s="30" t="s">
        <v>946</v>
      </c>
    </row>
    <row r="200" customFormat="false" ht="46.25" hidden="false" customHeight="false" outlineLevel="0" collapsed="false">
      <c r="A200" s="12" t="s">
        <v>19</v>
      </c>
      <c r="B200" s="12" t="s">
        <v>98</v>
      </c>
      <c r="C200" s="7"/>
      <c r="D200" s="7"/>
      <c r="E200" s="7" t="s">
        <v>659</v>
      </c>
      <c r="F200" s="7"/>
      <c r="G200" s="7"/>
      <c r="H200" s="7" t="s">
        <v>659</v>
      </c>
      <c r="I200" s="7" t="s">
        <v>659</v>
      </c>
      <c r="J200" s="7" t="s">
        <v>659</v>
      </c>
      <c r="K200" s="7" t="s">
        <v>659</v>
      </c>
      <c r="L200" s="7" t="s">
        <v>659</v>
      </c>
      <c r="M200" s="7" t="n">
        <v>30</v>
      </c>
      <c r="N200" s="7" t="n">
        <v>0</v>
      </c>
      <c r="O200" s="7" t="s">
        <v>84</v>
      </c>
      <c r="P200" s="10" t="s">
        <v>893</v>
      </c>
      <c r="Q200" s="30" t="s">
        <v>657</v>
      </c>
      <c r="R200" s="10" t="s">
        <v>947</v>
      </c>
      <c r="S200" s="30" t="s">
        <v>948</v>
      </c>
      <c r="T200" s="30" t="s">
        <v>949</v>
      </c>
    </row>
    <row r="201" customFormat="false" ht="35.05" hidden="false" customHeight="false" outlineLevel="0" collapsed="false">
      <c r="A201" s="12" t="s">
        <v>19</v>
      </c>
      <c r="B201" s="12" t="s">
        <v>393</v>
      </c>
      <c r="C201" s="7"/>
      <c r="D201" s="7" t="s">
        <v>659</v>
      </c>
      <c r="E201" s="7"/>
      <c r="F201" s="7"/>
      <c r="G201" s="7" t="s">
        <v>659</v>
      </c>
      <c r="H201" s="7"/>
      <c r="I201" s="7" t="s">
        <v>659</v>
      </c>
      <c r="J201" s="7" t="s">
        <v>659</v>
      </c>
      <c r="K201" s="7" t="s">
        <v>659</v>
      </c>
      <c r="L201" s="7" t="s">
        <v>659</v>
      </c>
      <c r="M201" s="7" t="n">
        <v>30</v>
      </c>
      <c r="N201" s="7" t="n">
        <v>26</v>
      </c>
      <c r="O201" s="7" t="s">
        <v>84</v>
      </c>
      <c r="P201" s="10" t="s">
        <v>872</v>
      </c>
      <c r="Q201" s="30" t="s">
        <v>657</v>
      </c>
      <c r="R201" s="10" t="s">
        <v>950</v>
      </c>
      <c r="S201" s="30" t="s">
        <v>951</v>
      </c>
      <c r="T201" s="12"/>
    </row>
    <row r="202" customFormat="false" ht="35.05" hidden="false" customHeight="false" outlineLevel="0" collapsed="false">
      <c r="A202" s="12" t="s">
        <v>19</v>
      </c>
      <c r="B202" s="12" t="s">
        <v>179</v>
      </c>
      <c r="C202" s="7"/>
      <c r="D202" s="7" t="s">
        <v>659</v>
      </c>
      <c r="E202" s="7"/>
      <c r="F202" s="7"/>
      <c r="G202" s="7"/>
      <c r="H202" s="7" t="s">
        <v>659</v>
      </c>
      <c r="I202" s="7"/>
      <c r="J202" s="7"/>
      <c r="K202" s="7" t="s">
        <v>659</v>
      </c>
      <c r="L202" s="7" t="s">
        <v>659</v>
      </c>
      <c r="M202" s="7" t="n">
        <v>12</v>
      </c>
      <c r="N202" s="7" t="n">
        <v>30</v>
      </c>
      <c r="O202" s="7"/>
      <c r="P202" s="10" t="s">
        <v>952</v>
      </c>
      <c r="Q202" s="30" t="s">
        <v>657</v>
      </c>
      <c r="R202" s="10" t="s">
        <v>953</v>
      </c>
      <c r="S202" s="12"/>
      <c r="T202" s="12"/>
    </row>
    <row r="203" customFormat="false" ht="35.05" hidden="false" customHeight="false" outlineLevel="0" collapsed="false">
      <c r="A203" s="12" t="s">
        <v>19</v>
      </c>
      <c r="B203" s="12" t="s">
        <v>554</v>
      </c>
      <c r="C203" s="7" t="s">
        <v>659</v>
      </c>
      <c r="D203" s="7"/>
      <c r="E203" s="7"/>
      <c r="F203" s="7"/>
      <c r="G203" s="7"/>
      <c r="H203" s="7"/>
      <c r="I203" s="7" t="s">
        <v>659</v>
      </c>
      <c r="J203" s="7"/>
      <c r="K203" s="7" t="s">
        <v>659</v>
      </c>
      <c r="L203" s="7"/>
      <c r="M203" s="7" t="n">
        <v>5</v>
      </c>
      <c r="N203" s="7" t="n">
        <v>0</v>
      </c>
      <c r="O203" s="7"/>
      <c r="P203" s="10" t="s">
        <v>954</v>
      </c>
      <c r="Q203" s="30" t="s">
        <v>657</v>
      </c>
      <c r="R203" s="10" t="s">
        <v>955</v>
      </c>
      <c r="S203" s="12"/>
      <c r="T203" s="12"/>
    </row>
    <row r="204" customFormat="false" ht="35.05" hidden="false" customHeight="false" outlineLevel="0" collapsed="false">
      <c r="A204" s="12" t="s">
        <v>19</v>
      </c>
      <c r="B204" s="12" t="s">
        <v>81</v>
      </c>
      <c r="C204" s="7"/>
      <c r="D204" s="7" t="s">
        <v>659</v>
      </c>
      <c r="E204" s="7"/>
      <c r="F204" s="7"/>
      <c r="G204" s="7"/>
      <c r="H204" s="7"/>
      <c r="I204" s="7" t="s">
        <v>659</v>
      </c>
      <c r="J204" s="7" t="s">
        <v>659</v>
      </c>
      <c r="K204" s="7" t="s">
        <v>659</v>
      </c>
      <c r="L204" s="7" t="s">
        <v>659</v>
      </c>
      <c r="M204" s="7" t="n">
        <v>30</v>
      </c>
      <c r="N204" s="7" t="n">
        <v>0</v>
      </c>
      <c r="O204" s="7" t="s">
        <v>84</v>
      </c>
      <c r="P204" s="10" t="s">
        <v>872</v>
      </c>
      <c r="Q204" s="30" t="s">
        <v>657</v>
      </c>
      <c r="R204" s="10" t="s">
        <v>956</v>
      </c>
      <c r="S204" s="30" t="s">
        <v>957</v>
      </c>
      <c r="T204" s="12"/>
    </row>
    <row r="205" customFormat="false" ht="23.85" hidden="false" customHeight="false" outlineLevel="0" collapsed="false">
      <c r="A205" s="12" t="s">
        <v>19</v>
      </c>
      <c r="B205" s="12" t="s">
        <v>437</v>
      </c>
      <c r="C205" s="7"/>
      <c r="D205" s="7"/>
      <c r="E205" s="7"/>
      <c r="F205" s="7" t="s">
        <v>659</v>
      </c>
      <c r="G205" s="7" t="s">
        <v>659</v>
      </c>
      <c r="H205" s="7"/>
      <c r="I205" s="7"/>
      <c r="J205" s="7"/>
      <c r="K205" s="7"/>
      <c r="L205" s="7"/>
      <c r="M205" s="7" t="n">
        <v>0</v>
      </c>
      <c r="N205" s="7" t="n">
        <v>0</v>
      </c>
      <c r="O205" s="7"/>
      <c r="P205" s="10"/>
      <c r="Q205" s="30" t="s">
        <v>657</v>
      </c>
      <c r="R205" s="10" t="s">
        <v>750</v>
      </c>
      <c r="S205" s="12"/>
      <c r="T205" s="12"/>
    </row>
    <row r="206" customFormat="false" ht="35.05" hidden="false" customHeight="false" outlineLevel="0" collapsed="false">
      <c r="A206" s="12" t="s">
        <v>19</v>
      </c>
      <c r="B206" s="12" t="s">
        <v>563</v>
      </c>
      <c r="C206" s="7"/>
      <c r="D206" s="7"/>
      <c r="E206" s="7"/>
      <c r="F206" s="7"/>
      <c r="G206" s="7"/>
      <c r="H206" s="7" t="s">
        <v>659</v>
      </c>
      <c r="I206" s="7"/>
      <c r="J206" s="7"/>
      <c r="K206" s="7"/>
      <c r="L206" s="7"/>
      <c r="M206" s="7" t="n">
        <v>1</v>
      </c>
      <c r="N206" s="7" t="n">
        <v>19</v>
      </c>
      <c r="O206" s="7"/>
      <c r="P206" s="10" t="s">
        <v>862</v>
      </c>
      <c r="Q206" s="30" t="s">
        <v>657</v>
      </c>
      <c r="R206" s="10" t="s">
        <v>958</v>
      </c>
      <c r="S206" s="12"/>
      <c r="T206" s="12"/>
    </row>
    <row r="207" customFormat="false" ht="35.05" hidden="false" customHeight="false" outlineLevel="0" collapsed="false">
      <c r="A207" s="12" t="s">
        <v>19</v>
      </c>
      <c r="B207" s="12" t="s">
        <v>109</v>
      </c>
      <c r="C207" s="7"/>
      <c r="D207" s="7" t="s">
        <v>659</v>
      </c>
      <c r="E207" s="7"/>
      <c r="F207" s="7" t="s">
        <v>659</v>
      </c>
      <c r="G207" s="7"/>
      <c r="H207" s="7"/>
      <c r="I207" s="7" t="s">
        <v>659</v>
      </c>
      <c r="J207" s="7" t="s">
        <v>659</v>
      </c>
      <c r="K207" s="7" t="s">
        <v>659</v>
      </c>
      <c r="L207" s="7" t="s">
        <v>659</v>
      </c>
      <c r="M207" s="7" t="n">
        <v>30</v>
      </c>
      <c r="N207" s="7" t="n">
        <v>24</v>
      </c>
      <c r="O207" s="7" t="s">
        <v>84</v>
      </c>
      <c r="P207" s="10" t="s">
        <v>872</v>
      </c>
      <c r="Q207" s="30" t="s">
        <v>657</v>
      </c>
      <c r="R207" s="10" t="s">
        <v>959</v>
      </c>
      <c r="S207" s="30" t="s">
        <v>960</v>
      </c>
      <c r="T207" s="12"/>
    </row>
    <row r="208" customFormat="false" ht="23.85" hidden="false" customHeight="false" outlineLevel="0" collapsed="false">
      <c r="A208" s="12" t="s">
        <v>19</v>
      </c>
      <c r="B208" s="12" t="s">
        <v>380</v>
      </c>
      <c r="C208" s="7" t="s">
        <v>659</v>
      </c>
      <c r="D208" s="7"/>
      <c r="E208" s="7"/>
      <c r="F208" s="7"/>
      <c r="G208" s="7"/>
      <c r="H208" s="7"/>
      <c r="I208" s="7"/>
      <c r="J208" s="7"/>
      <c r="K208" s="7"/>
      <c r="L208" s="7"/>
      <c r="M208" s="7" t="n">
        <v>0</v>
      </c>
      <c r="N208" s="7" t="n">
        <v>0</v>
      </c>
      <c r="O208" s="7"/>
      <c r="P208" s="10"/>
      <c r="Q208" s="30" t="s">
        <v>657</v>
      </c>
      <c r="R208" s="10" t="s">
        <v>723</v>
      </c>
      <c r="S208" s="12"/>
      <c r="T208" s="12"/>
    </row>
    <row r="209" customFormat="false" ht="23.85" hidden="false" customHeight="false" outlineLevel="0" collapsed="false">
      <c r="A209" s="12" t="s">
        <v>19</v>
      </c>
      <c r="B209" s="12" t="s">
        <v>517</v>
      </c>
      <c r="C209" s="7"/>
      <c r="D209" s="7" t="s">
        <v>659</v>
      </c>
      <c r="E209" s="7"/>
      <c r="F209" s="7"/>
      <c r="G209" s="7"/>
      <c r="H209" s="7"/>
      <c r="I209" s="7"/>
      <c r="J209" s="7"/>
      <c r="K209" s="7"/>
      <c r="L209" s="7"/>
      <c r="M209" s="7" t="n">
        <v>0</v>
      </c>
      <c r="N209" s="7" t="n">
        <v>0</v>
      </c>
      <c r="O209" s="7"/>
      <c r="P209" s="10"/>
      <c r="Q209" s="30" t="s">
        <v>657</v>
      </c>
      <c r="R209" s="10" t="s">
        <v>961</v>
      </c>
      <c r="S209" s="12"/>
      <c r="T209" s="12"/>
    </row>
    <row r="210" customFormat="false" ht="23.85" hidden="false" customHeight="false" outlineLevel="0" collapsed="false">
      <c r="A210" s="12" t="s">
        <v>19</v>
      </c>
      <c r="B210" s="12" t="s">
        <v>409</v>
      </c>
      <c r="C210" s="7" t="s">
        <v>659</v>
      </c>
      <c r="D210" s="7"/>
      <c r="E210" s="7"/>
      <c r="F210" s="7"/>
      <c r="G210" s="7"/>
      <c r="H210" s="7"/>
      <c r="I210" s="7"/>
      <c r="J210" s="7"/>
      <c r="K210" s="7"/>
      <c r="L210" s="7"/>
      <c r="M210" s="7" t="n">
        <v>0</v>
      </c>
      <c r="N210" s="7" t="n">
        <v>0</v>
      </c>
      <c r="O210" s="7"/>
      <c r="P210" s="10"/>
      <c r="Q210" s="30" t="s">
        <v>657</v>
      </c>
      <c r="R210" s="10" t="s">
        <v>724</v>
      </c>
      <c r="S210" s="12"/>
      <c r="T210" s="12"/>
    </row>
    <row r="211" customFormat="false" ht="46.25" hidden="false" customHeight="false" outlineLevel="0" collapsed="false">
      <c r="A211" s="12" t="s">
        <v>19</v>
      </c>
      <c r="B211" s="12" t="s">
        <v>488</v>
      </c>
      <c r="C211" s="7"/>
      <c r="D211" s="7"/>
      <c r="E211" s="7"/>
      <c r="F211" s="7"/>
      <c r="G211" s="7"/>
      <c r="H211" s="7" t="s">
        <v>659</v>
      </c>
      <c r="I211" s="7" t="s">
        <v>659</v>
      </c>
      <c r="J211" s="7"/>
      <c r="K211" s="7" t="s">
        <v>659</v>
      </c>
      <c r="L211" s="7"/>
      <c r="M211" s="7" t="n">
        <v>11</v>
      </c>
      <c r="N211" s="7" t="n">
        <v>29</v>
      </c>
      <c r="O211" s="7"/>
      <c r="P211" s="10" t="s">
        <v>962</v>
      </c>
      <c r="Q211" s="30" t="s">
        <v>657</v>
      </c>
      <c r="R211" s="10" t="s">
        <v>963</v>
      </c>
      <c r="S211" s="12"/>
      <c r="T211" s="12"/>
    </row>
    <row r="212" customFormat="false" ht="23.85" hidden="false" customHeight="false" outlineLevel="0" collapsed="false">
      <c r="A212" s="12" t="s">
        <v>19</v>
      </c>
      <c r="B212" s="12" t="s">
        <v>260</v>
      </c>
      <c r="C212" s="7"/>
      <c r="D212" s="7"/>
      <c r="E212" s="7"/>
      <c r="F212" s="7" t="s">
        <v>659</v>
      </c>
      <c r="G212" s="7"/>
      <c r="H212" s="7"/>
      <c r="I212" s="7"/>
      <c r="J212" s="7"/>
      <c r="K212" s="7"/>
      <c r="L212" s="7"/>
      <c r="M212" s="7" t="n">
        <v>0</v>
      </c>
      <c r="N212" s="7" t="n">
        <v>0</v>
      </c>
      <c r="O212" s="7"/>
      <c r="P212" s="10"/>
      <c r="Q212" s="30" t="s">
        <v>657</v>
      </c>
      <c r="R212" s="10" t="s">
        <v>785</v>
      </c>
      <c r="S212" s="12"/>
      <c r="T212" s="12"/>
    </row>
    <row r="213" customFormat="false" ht="46.25" hidden="false" customHeight="false" outlineLevel="0" collapsed="false">
      <c r="A213" s="12" t="s">
        <v>19</v>
      </c>
      <c r="B213" s="12" t="s">
        <v>116</v>
      </c>
      <c r="C213" s="7"/>
      <c r="D213" s="7" t="s">
        <v>659</v>
      </c>
      <c r="E213" s="7"/>
      <c r="F213" s="7" t="s">
        <v>659</v>
      </c>
      <c r="G213" s="7"/>
      <c r="H213" s="7" t="s">
        <v>659</v>
      </c>
      <c r="I213" s="7"/>
      <c r="J213" s="7" t="s">
        <v>659</v>
      </c>
      <c r="K213" s="7" t="s">
        <v>659</v>
      </c>
      <c r="L213" s="7"/>
      <c r="M213" s="7" t="n">
        <v>18</v>
      </c>
      <c r="N213" s="7" t="n">
        <v>30</v>
      </c>
      <c r="O213" s="7"/>
      <c r="P213" s="10" t="s">
        <v>893</v>
      </c>
      <c r="Q213" s="30" t="s">
        <v>657</v>
      </c>
      <c r="R213" s="10" t="s">
        <v>964</v>
      </c>
      <c r="S213" s="12"/>
      <c r="T213" s="30" t="s">
        <v>965</v>
      </c>
    </row>
    <row r="214" customFormat="false" ht="35.05" hidden="false" customHeight="false" outlineLevel="0" collapsed="false">
      <c r="A214" s="12" t="s">
        <v>19</v>
      </c>
      <c r="B214" s="12" t="s">
        <v>173</v>
      </c>
      <c r="C214" s="7"/>
      <c r="D214" s="7"/>
      <c r="E214" s="7"/>
      <c r="F214" s="7"/>
      <c r="G214" s="7"/>
      <c r="H214" s="7"/>
      <c r="I214" s="7"/>
      <c r="J214" s="7"/>
      <c r="K214" s="7"/>
      <c r="L214" s="7"/>
      <c r="M214" s="7" t="n">
        <v>3</v>
      </c>
      <c r="N214" s="7" t="n">
        <v>25</v>
      </c>
      <c r="O214" s="7"/>
      <c r="P214" s="10" t="s">
        <v>966</v>
      </c>
      <c r="Q214" s="30" t="s">
        <v>657</v>
      </c>
      <c r="R214" s="10" t="s">
        <v>967</v>
      </c>
      <c r="S214" s="12"/>
      <c r="T214" s="12"/>
    </row>
    <row r="215" customFormat="false" ht="35.05" hidden="false" customHeight="false" outlineLevel="0" collapsed="false">
      <c r="A215" s="12" t="s">
        <v>19</v>
      </c>
      <c r="B215" s="12" t="s">
        <v>524</v>
      </c>
      <c r="C215" s="7"/>
      <c r="D215" s="7"/>
      <c r="E215" s="7"/>
      <c r="F215" s="7" t="s">
        <v>659</v>
      </c>
      <c r="G215" s="7"/>
      <c r="H215" s="7"/>
      <c r="I215" s="7" t="s">
        <v>659</v>
      </c>
      <c r="J215" s="7" t="s">
        <v>659</v>
      </c>
      <c r="K215" s="7" t="s">
        <v>659</v>
      </c>
      <c r="L215" s="7" t="s">
        <v>659</v>
      </c>
      <c r="M215" s="7" t="n">
        <v>30</v>
      </c>
      <c r="N215" s="7" t="n">
        <v>0</v>
      </c>
      <c r="O215" s="7" t="s">
        <v>84</v>
      </c>
      <c r="P215" s="10" t="s">
        <v>872</v>
      </c>
      <c r="Q215" s="30" t="s">
        <v>657</v>
      </c>
      <c r="R215" s="10" t="s">
        <v>968</v>
      </c>
      <c r="S215" s="30" t="s">
        <v>969</v>
      </c>
      <c r="T215" s="12"/>
    </row>
    <row r="216" customFormat="false" ht="35.05" hidden="false" customHeight="false" outlineLevel="0" collapsed="false">
      <c r="A216" s="12" t="s">
        <v>19</v>
      </c>
      <c r="B216" s="12" t="s">
        <v>507</v>
      </c>
      <c r="C216" s="7"/>
      <c r="D216" s="7" t="s">
        <v>659</v>
      </c>
      <c r="E216" s="7"/>
      <c r="F216" s="7"/>
      <c r="G216" s="7"/>
      <c r="H216" s="7" t="s">
        <v>659</v>
      </c>
      <c r="I216" s="7" t="s">
        <v>659</v>
      </c>
      <c r="J216" s="7" t="s">
        <v>659</v>
      </c>
      <c r="K216" s="7" t="s">
        <v>659</v>
      </c>
      <c r="L216" s="7" t="s">
        <v>659</v>
      </c>
      <c r="M216" s="7" t="n">
        <v>30</v>
      </c>
      <c r="N216" s="7" t="n">
        <v>0</v>
      </c>
      <c r="O216" s="7" t="s">
        <v>84</v>
      </c>
      <c r="P216" s="10" t="s">
        <v>862</v>
      </c>
      <c r="Q216" s="30" t="s">
        <v>657</v>
      </c>
      <c r="R216" s="10" t="s">
        <v>970</v>
      </c>
      <c r="S216" s="30" t="s">
        <v>971</v>
      </c>
      <c r="T216" s="12"/>
    </row>
    <row r="217" customFormat="false" ht="23.85" hidden="false" customHeight="false" outlineLevel="0" collapsed="false">
      <c r="A217" s="12" t="s">
        <v>19</v>
      </c>
      <c r="B217" s="12" t="s">
        <v>567</v>
      </c>
      <c r="C217" s="7"/>
      <c r="D217" s="7"/>
      <c r="E217" s="7"/>
      <c r="F217" s="7"/>
      <c r="G217" s="7" t="s">
        <v>659</v>
      </c>
      <c r="H217" s="7"/>
      <c r="I217" s="7"/>
      <c r="J217" s="7"/>
      <c r="K217" s="7"/>
      <c r="L217" s="7"/>
      <c r="M217" s="7" t="n">
        <v>0</v>
      </c>
      <c r="N217" s="7" t="n">
        <v>0</v>
      </c>
      <c r="O217" s="7"/>
      <c r="P217" s="10"/>
      <c r="Q217" s="30" t="s">
        <v>657</v>
      </c>
      <c r="R217" s="10" t="s">
        <v>972</v>
      </c>
      <c r="S217" s="12"/>
      <c r="T217" s="12"/>
    </row>
    <row r="218" customFormat="false" ht="46.25" hidden="false" customHeight="false" outlineLevel="0" collapsed="false">
      <c r="A218" s="12" t="s">
        <v>19</v>
      </c>
      <c r="B218" s="12" t="s">
        <v>396</v>
      </c>
      <c r="C218" s="7"/>
      <c r="D218" s="7"/>
      <c r="E218" s="7"/>
      <c r="F218" s="7"/>
      <c r="G218" s="7"/>
      <c r="H218" s="7" t="s">
        <v>659</v>
      </c>
      <c r="I218" s="7" t="s">
        <v>659</v>
      </c>
      <c r="J218" s="7" t="s">
        <v>659</v>
      </c>
      <c r="K218" s="7" t="s">
        <v>659</v>
      </c>
      <c r="L218" s="7" t="s">
        <v>659</v>
      </c>
      <c r="M218" s="7" t="n">
        <v>21</v>
      </c>
      <c r="N218" s="7" t="n">
        <v>29</v>
      </c>
      <c r="O218" s="7"/>
      <c r="P218" s="10" t="s">
        <v>891</v>
      </c>
      <c r="Q218" s="30" t="s">
        <v>657</v>
      </c>
      <c r="R218" s="10" t="s">
        <v>973</v>
      </c>
      <c r="S218" s="12"/>
      <c r="T218" s="30" t="s">
        <v>974</v>
      </c>
    </row>
    <row r="219" customFormat="false" ht="23.85" hidden="false" customHeight="false" outlineLevel="0" collapsed="false">
      <c r="A219" s="12" t="s">
        <v>53</v>
      </c>
      <c r="B219" s="12" t="s">
        <v>267</v>
      </c>
      <c r="C219" s="7"/>
      <c r="D219" s="7"/>
      <c r="E219" s="7"/>
      <c r="F219" s="7" t="s">
        <v>659</v>
      </c>
      <c r="G219" s="7"/>
      <c r="H219" s="7"/>
      <c r="I219" s="7"/>
      <c r="J219" s="7"/>
      <c r="K219" s="7"/>
      <c r="L219" s="7"/>
      <c r="M219" s="7" t="n">
        <v>0</v>
      </c>
      <c r="N219" s="7" t="n">
        <v>0</v>
      </c>
      <c r="O219" s="7"/>
      <c r="P219" s="10"/>
      <c r="Q219" s="30" t="s">
        <v>657</v>
      </c>
      <c r="R219" s="10" t="s">
        <v>975</v>
      </c>
      <c r="S219" s="12"/>
      <c r="T219" s="12"/>
    </row>
    <row r="220" customFormat="false" ht="23.85" hidden="false" customHeight="false" outlineLevel="0" collapsed="false">
      <c r="A220" s="12" t="s">
        <v>53</v>
      </c>
      <c r="B220" s="12" t="s">
        <v>579</v>
      </c>
      <c r="C220" s="7"/>
      <c r="D220" s="7"/>
      <c r="E220" s="7"/>
      <c r="F220" s="7" t="s">
        <v>659</v>
      </c>
      <c r="G220" s="7"/>
      <c r="H220" s="7"/>
      <c r="I220" s="7"/>
      <c r="J220" s="7"/>
      <c r="K220" s="7"/>
      <c r="L220" s="7"/>
      <c r="M220" s="7" t="n">
        <v>0</v>
      </c>
      <c r="N220" s="7" t="n">
        <v>0</v>
      </c>
      <c r="O220" s="7"/>
      <c r="P220" s="10"/>
      <c r="Q220" s="30" t="s">
        <v>657</v>
      </c>
      <c r="R220" s="10" t="s">
        <v>976</v>
      </c>
      <c r="S220" s="12"/>
      <c r="T220" s="12"/>
    </row>
    <row r="221" customFormat="false" ht="23.85" hidden="false" customHeight="false" outlineLevel="0" collapsed="false">
      <c r="A221" s="12" t="s">
        <v>53</v>
      </c>
      <c r="B221" s="12" t="s">
        <v>241</v>
      </c>
      <c r="C221" s="7"/>
      <c r="D221" s="7"/>
      <c r="E221" s="7"/>
      <c r="F221" s="7" t="s">
        <v>659</v>
      </c>
      <c r="G221" s="7"/>
      <c r="H221" s="7"/>
      <c r="I221" s="7"/>
      <c r="J221" s="7"/>
      <c r="K221" s="7"/>
      <c r="L221" s="7"/>
      <c r="M221" s="7" t="n">
        <v>0</v>
      </c>
      <c r="N221" s="7" t="n">
        <v>0</v>
      </c>
      <c r="O221" s="7"/>
      <c r="P221" s="10"/>
      <c r="Q221" s="30" t="s">
        <v>657</v>
      </c>
      <c r="R221" s="10" t="s">
        <v>977</v>
      </c>
      <c r="S221" s="12"/>
      <c r="T221" s="12"/>
    </row>
    <row r="222" customFormat="false" ht="23.85" hidden="false" customHeight="false" outlineLevel="0" collapsed="false">
      <c r="A222" s="12" t="s">
        <v>53</v>
      </c>
      <c r="B222" s="12" t="s">
        <v>104</v>
      </c>
      <c r="C222" s="7"/>
      <c r="D222" s="7"/>
      <c r="E222" s="7"/>
      <c r="F222" s="7" t="s">
        <v>659</v>
      </c>
      <c r="G222" s="7"/>
      <c r="H222" s="7"/>
      <c r="I222" s="7"/>
      <c r="J222" s="7"/>
      <c r="K222" s="7"/>
      <c r="L222" s="7"/>
      <c r="M222" s="7" t="n">
        <v>0</v>
      </c>
      <c r="N222" s="7" t="n">
        <v>0</v>
      </c>
      <c r="O222" s="7"/>
      <c r="P222" s="10"/>
      <c r="Q222" s="30" t="s">
        <v>657</v>
      </c>
      <c r="R222" s="10" t="s">
        <v>978</v>
      </c>
      <c r="S222" s="12"/>
      <c r="T222" s="12"/>
    </row>
    <row r="223" customFormat="false" ht="23.85" hidden="false" customHeight="false" outlineLevel="0" collapsed="false">
      <c r="A223" s="12" t="s">
        <v>53</v>
      </c>
      <c r="B223" s="12" t="s">
        <v>285</v>
      </c>
      <c r="C223" s="7" t="s">
        <v>659</v>
      </c>
      <c r="D223" s="7"/>
      <c r="E223" s="7"/>
      <c r="F223" s="7"/>
      <c r="G223" s="7"/>
      <c r="H223" s="7"/>
      <c r="I223" s="7"/>
      <c r="J223" s="7"/>
      <c r="K223" s="7"/>
      <c r="L223" s="7"/>
      <c r="M223" s="7" t="n">
        <v>0</v>
      </c>
      <c r="N223" s="7" t="n">
        <v>0</v>
      </c>
      <c r="O223" s="7"/>
      <c r="P223" s="10"/>
      <c r="Q223" s="30" t="s">
        <v>657</v>
      </c>
      <c r="R223" s="10" t="s">
        <v>660</v>
      </c>
      <c r="S223" s="12"/>
      <c r="T223" s="12"/>
    </row>
    <row r="224" customFormat="false" ht="23.85" hidden="false" customHeight="false" outlineLevel="0" collapsed="false">
      <c r="A224" s="12" t="s">
        <v>53</v>
      </c>
      <c r="B224" s="12" t="s">
        <v>587</v>
      </c>
      <c r="C224" s="7"/>
      <c r="D224" s="7"/>
      <c r="E224" s="7"/>
      <c r="F224" s="7" t="s">
        <v>659</v>
      </c>
      <c r="G224" s="7"/>
      <c r="H224" s="7"/>
      <c r="I224" s="7"/>
      <c r="J224" s="7"/>
      <c r="K224" s="7"/>
      <c r="L224" s="7"/>
      <c r="M224" s="7" t="n">
        <v>0</v>
      </c>
      <c r="N224" s="7" t="n">
        <v>0</v>
      </c>
      <c r="O224" s="7"/>
      <c r="P224" s="10"/>
      <c r="Q224" s="30" t="s">
        <v>657</v>
      </c>
      <c r="R224" s="10" t="s">
        <v>979</v>
      </c>
      <c r="S224" s="12"/>
      <c r="T224" s="12"/>
    </row>
    <row r="225" customFormat="false" ht="23.85" hidden="false" customHeight="false" outlineLevel="0" collapsed="false">
      <c r="A225" s="12" t="s">
        <v>53</v>
      </c>
      <c r="B225" s="12" t="s">
        <v>573</v>
      </c>
      <c r="C225" s="7"/>
      <c r="D225" s="7"/>
      <c r="E225" s="7"/>
      <c r="F225" s="7"/>
      <c r="G225" s="7" t="s">
        <v>659</v>
      </c>
      <c r="H225" s="7"/>
      <c r="I225" s="7"/>
      <c r="J225" s="7"/>
      <c r="K225" s="7"/>
      <c r="L225" s="7"/>
      <c r="M225" s="7" t="n">
        <v>0</v>
      </c>
      <c r="N225" s="7" t="n">
        <v>0</v>
      </c>
      <c r="O225" s="7"/>
      <c r="P225" s="10"/>
      <c r="Q225" s="30" t="s">
        <v>657</v>
      </c>
      <c r="R225" s="10" t="s">
        <v>980</v>
      </c>
      <c r="S225" s="12"/>
      <c r="T225" s="12"/>
    </row>
    <row r="226" customFormat="false" ht="23.85" hidden="false" customHeight="false" outlineLevel="0" collapsed="false">
      <c r="A226" s="12" t="s">
        <v>53</v>
      </c>
      <c r="B226" s="12" t="s">
        <v>405</v>
      </c>
      <c r="C226" s="7"/>
      <c r="D226" s="7"/>
      <c r="E226" s="7"/>
      <c r="F226" s="7" t="s">
        <v>659</v>
      </c>
      <c r="G226" s="7"/>
      <c r="H226" s="7"/>
      <c r="I226" s="7"/>
      <c r="J226" s="7"/>
      <c r="K226" s="7"/>
      <c r="L226" s="7"/>
      <c r="M226" s="7" t="n">
        <v>0</v>
      </c>
      <c r="N226" s="7" t="n">
        <v>0</v>
      </c>
      <c r="O226" s="7"/>
      <c r="P226" s="10"/>
      <c r="Q226" s="30" t="s">
        <v>657</v>
      </c>
      <c r="R226" s="10" t="s">
        <v>772</v>
      </c>
      <c r="S226" s="12"/>
      <c r="T226" s="12"/>
    </row>
    <row r="227" customFormat="false" ht="23.85" hidden="false" customHeight="false" outlineLevel="0" collapsed="false">
      <c r="A227" s="12" t="s">
        <v>53</v>
      </c>
      <c r="B227" s="12" t="s">
        <v>148</v>
      </c>
      <c r="C227" s="7"/>
      <c r="D227" s="7"/>
      <c r="E227" s="7"/>
      <c r="F227" s="7"/>
      <c r="G227" s="7" t="s">
        <v>659</v>
      </c>
      <c r="H227" s="7"/>
      <c r="I227" s="7"/>
      <c r="J227" s="7"/>
      <c r="K227" s="7"/>
      <c r="L227" s="7"/>
      <c r="M227" s="7" t="n">
        <v>0</v>
      </c>
      <c r="N227" s="7" t="n">
        <v>0</v>
      </c>
      <c r="O227" s="7"/>
      <c r="P227" s="10"/>
      <c r="Q227" s="30" t="s">
        <v>657</v>
      </c>
      <c r="R227" s="10" t="s">
        <v>775</v>
      </c>
      <c r="S227" s="12"/>
      <c r="T227" s="12"/>
    </row>
    <row r="228" customFormat="false" ht="23.85" hidden="false" customHeight="false" outlineLevel="0" collapsed="false">
      <c r="A228" s="12" t="s">
        <v>53</v>
      </c>
      <c r="B228" s="12" t="s">
        <v>583</v>
      </c>
      <c r="C228" s="7" t="s">
        <v>659</v>
      </c>
      <c r="D228" s="7"/>
      <c r="E228" s="7"/>
      <c r="F228" s="7"/>
      <c r="G228" s="7"/>
      <c r="H228" s="7"/>
      <c r="I228" s="7"/>
      <c r="J228" s="7"/>
      <c r="K228" s="7"/>
      <c r="L228" s="7"/>
      <c r="M228" s="7" t="n">
        <v>0</v>
      </c>
      <c r="N228" s="7" t="n">
        <v>0</v>
      </c>
      <c r="O228" s="7"/>
      <c r="P228" s="10"/>
      <c r="Q228" s="30" t="s">
        <v>657</v>
      </c>
      <c r="R228" s="10" t="s">
        <v>981</v>
      </c>
      <c r="S228" s="12"/>
      <c r="T228" s="12"/>
    </row>
    <row r="229" customFormat="false" ht="23.85" hidden="false" customHeight="false" outlineLevel="0" collapsed="false">
      <c r="A229" s="12" t="s">
        <v>53</v>
      </c>
      <c r="B229" s="12" t="s">
        <v>271</v>
      </c>
      <c r="C229" s="7"/>
      <c r="D229" s="7"/>
      <c r="E229" s="7"/>
      <c r="F229" s="7" t="s">
        <v>659</v>
      </c>
      <c r="G229" s="7"/>
      <c r="H229" s="7"/>
      <c r="I229" s="7"/>
      <c r="J229" s="7"/>
      <c r="K229" s="7"/>
      <c r="L229" s="7"/>
      <c r="M229" s="7" t="n">
        <v>0</v>
      </c>
      <c r="N229" s="7" t="n">
        <v>0</v>
      </c>
      <c r="O229" s="7"/>
      <c r="P229" s="10"/>
      <c r="Q229" s="30" t="s">
        <v>657</v>
      </c>
      <c r="R229" s="10" t="s">
        <v>982</v>
      </c>
      <c r="S229" s="12"/>
      <c r="T229" s="12"/>
    </row>
    <row r="230" customFormat="false" ht="23.85" hidden="false" customHeight="false" outlineLevel="0" collapsed="false">
      <c r="A230" s="12" t="s">
        <v>53</v>
      </c>
      <c r="B230" s="12" t="s">
        <v>56</v>
      </c>
      <c r="C230" s="7"/>
      <c r="D230" s="7"/>
      <c r="E230" s="7"/>
      <c r="F230" s="7" t="s">
        <v>659</v>
      </c>
      <c r="G230" s="7" t="s">
        <v>659</v>
      </c>
      <c r="H230" s="7"/>
      <c r="I230" s="7"/>
      <c r="J230" s="7"/>
      <c r="K230" s="7"/>
      <c r="L230" s="7"/>
      <c r="M230" s="7" t="n">
        <v>0</v>
      </c>
      <c r="N230" s="7" t="n">
        <v>0</v>
      </c>
      <c r="O230" s="7"/>
      <c r="P230" s="10"/>
      <c r="Q230" s="30" t="s">
        <v>657</v>
      </c>
      <c r="R230" s="10" t="s">
        <v>983</v>
      </c>
      <c r="S230" s="12"/>
      <c r="T230" s="12"/>
    </row>
    <row r="231" customFormat="false" ht="23.85" hidden="false" customHeight="false" outlineLevel="0" collapsed="false">
      <c r="A231" s="12" t="s">
        <v>53</v>
      </c>
      <c r="B231" s="12" t="s">
        <v>214</v>
      </c>
      <c r="C231" s="7"/>
      <c r="D231" s="7"/>
      <c r="E231" s="7"/>
      <c r="F231" s="7" t="s">
        <v>659</v>
      </c>
      <c r="G231" s="7"/>
      <c r="H231" s="7"/>
      <c r="I231" s="7"/>
      <c r="J231" s="7"/>
      <c r="K231" s="7"/>
      <c r="L231" s="7"/>
      <c r="M231" s="7" t="n">
        <v>0</v>
      </c>
      <c r="N231" s="7" t="n">
        <v>0</v>
      </c>
      <c r="O231" s="7"/>
      <c r="P231" s="10"/>
      <c r="Q231" s="30" t="s">
        <v>657</v>
      </c>
      <c r="R231" s="10" t="s">
        <v>984</v>
      </c>
      <c r="S231" s="12"/>
      <c r="T231" s="12"/>
    </row>
    <row r="232" customFormat="false" ht="23.85" hidden="false" customHeight="false" outlineLevel="0" collapsed="false">
      <c r="A232" s="12" t="s">
        <v>53</v>
      </c>
      <c r="B232" s="12" t="s">
        <v>576</v>
      </c>
      <c r="C232" s="7"/>
      <c r="D232" s="7"/>
      <c r="E232" s="7"/>
      <c r="F232" s="7" t="s">
        <v>659</v>
      </c>
      <c r="G232" s="7"/>
      <c r="H232" s="7"/>
      <c r="I232" s="7"/>
      <c r="J232" s="7"/>
      <c r="K232" s="7"/>
      <c r="L232" s="7"/>
      <c r="M232" s="7" t="n">
        <v>0</v>
      </c>
      <c r="N232" s="7" t="n">
        <v>0</v>
      </c>
      <c r="O232" s="7"/>
      <c r="P232" s="10"/>
      <c r="Q232" s="30" t="s">
        <v>657</v>
      </c>
      <c r="R232" s="10" t="s">
        <v>985</v>
      </c>
      <c r="S232" s="12"/>
      <c r="T232" s="12"/>
    </row>
    <row r="233" customFormat="false" ht="23.85" hidden="false" customHeight="false" outlineLevel="0" collapsed="false">
      <c r="A233" s="12" t="s">
        <v>53</v>
      </c>
      <c r="B233" s="12" t="s">
        <v>570</v>
      </c>
      <c r="C233" s="7"/>
      <c r="D233" s="7"/>
      <c r="E233" s="7"/>
      <c r="F233" s="7" t="s">
        <v>659</v>
      </c>
      <c r="G233" s="7"/>
      <c r="H233" s="7"/>
      <c r="I233" s="7"/>
      <c r="J233" s="7"/>
      <c r="K233" s="7"/>
      <c r="L233" s="7"/>
      <c r="M233" s="7" t="n">
        <v>0</v>
      </c>
      <c r="N233" s="7" t="n">
        <v>0</v>
      </c>
      <c r="O233" s="7"/>
      <c r="P233" s="10"/>
      <c r="Q233" s="30" t="s">
        <v>657</v>
      </c>
      <c r="R233" s="10" t="s">
        <v>986</v>
      </c>
      <c r="S233" s="12"/>
      <c r="T233" s="12"/>
    </row>
    <row r="234" customFormat="false" ht="23.85" hidden="false" customHeight="false" outlineLevel="0" collapsed="false">
      <c r="A234" s="12" t="s">
        <v>53</v>
      </c>
      <c r="B234" s="12" t="s">
        <v>269</v>
      </c>
      <c r="C234" s="7"/>
      <c r="D234" s="7"/>
      <c r="E234" s="7"/>
      <c r="F234" s="7"/>
      <c r="G234" s="7" t="s">
        <v>659</v>
      </c>
      <c r="H234" s="7"/>
      <c r="I234" s="7"/>
      <c r="J234" s="7"/>
      <c r="K234" s="7"/>
      <c r="L234" s="7"/>
      <c r="M234" s="7" t="n">
        <v>0</v>
      </c>
      <c r="N234" s="7" t="n">
        <v>0</v>
      </c>
      <c r="O234" s="7"/>
      <c r="P234" s="10"/>
      <c r="Q234" s="30" t="s">
        <v>657</v>
      </c>
      <c r="R234" s="10" t="s">
        <v>987</v>
      </c>
      <c r="S234" s="12"/>
      <c r="T234" s="12"/>
    </row>
    <row r="235" customFormat="false" ht="23.85" hidden="false" customHeight="false" outlineLevel="0" collapsed="false">
      <c r="A235" s="12" t="s">
        <v>53</v>
      </c>
      <c r="B235" s="12" t="s">
        <v>116</v>
      </c>
      <c r="C235" s="7" t="s">
        <v>659</v>
      </c>
      <c r="D235" s="7"/>
      <c r="E235" s="7"/>
      <c r="F235" s="7" t="s">
        <v>659</v>
      </c>
      <c r="G235" s="7"/>
      <c r="H235" s="7"/>
      <c r="I235" s="7"/>
      <c r="J235" s="7"/>
      <c r="K235" s="7"/>
      <c r="L235" s="7"/>
      <c r="M235" s="7" t="n">
        <v>0</v>
      </c>
      <c r="N235" s="7" t="n">
        <v>0</v>
      </c>
      <c r="O235" s="7"/>
      <c r="P235" s="10"/>
      <c r="Q235" s="30" t="s">
        <v>657</v>
      </c>
      <c r="R235" s="10" t="s">
        <v>988</v>
      </c>
      <c r="S235" s="12"/>
      <c r="T235" s="12"/>
    </row>
    <row r="236" customFormat="false" ht="23.85" hidden="false" customHeight="false" outlineLevel="0" collapsed="false">
      <c r="A236" s="12" t="s">
        <v>53</v>
      </c>
      <c r="B236" s="12" t="s">
        <v>173</v>
      </c>
      <c r="C236" s="7"/>
      <c r="D236" s="7"/>
      <c r="E236" s="7"/>
      <c r="F236" s="7" t="s">
        <v>659</v>
      </c>
      <c r="G236" s="7" t="s">
        <v>659</v>
      </c>
      <c r="H236" s="7"/>
      <c r="I236" s="7"/>
      <c r="J236" s="7"/>
      <c r="K236" s="7"/>
      <c r="L236" s="7"/>
      <c r="M236" s="7" t="n">
        <v>0</v>
      </c>
      <c r="N236" s="7" t="n">
        <v>0</v>
      </c>
      <c r="O236" s="7"/>
      <c r="P236" s="10"/>
      <c r="Q236" s="30" t="s">
        <v>657</v>
      </c>
      <c r="R236" s="10" t="s">
        <v>753</v>
      </c>
      <c r="S236" s="12"/>
      <c r="T236" s="12"/>
    </row>
    <row r="237" customFormat="false" ht="23.85" hidden="false" customHeight="false" outlineLevel="0" collapsed="false">
      <c r="A237" s="12" t="s">
        <v>53</v>
      </c>
      <c r="B237" s="12" t="s">
        <v>446</v>
      </c>
      <c r="C237" s="7"/>
      <c r="D237" s="7"/>
      <c r="E237" s="7"/>
      <c r="F237" s="7"/>
      <c r="G237" s="7" t="s">
        <v>659</v>
      </c>
      <c r="H237" s="7"/>
      <c r="I237" s="7"/>
      <c r="J237" s="7"/>
      <c r="K237" s="7"/>
      <c r="L237" s="7"/>
      <c r="M237" s="7" t="n">
        <v>0</v>
      </c>
      <c r="N237" s="7" t="n">
        <v>0</v>
      </c>
      <c r="O237" s="7"/>
      <c r="P237" s="10"/>
      <c r="Q237" s="30" t="s">
        <v>657</v>
      </c>
      <c r="R237" s="10" t="s">
        <v>754</v>
      </c>
      <c r="S237" s="12"/>
      <c r="T237" s="12"/>
    </row>
    <row r="238" customFormat="false" ht="35.05" hidden="false" customHeight="false" outlineLevel="0" collapsed="false">
      <c r="A238" s="12" t="s">
        <v>35</v>
      </c>
      <c r="B238" s="12" t="s">
        <v>87</v>
      </c>
      <c r="C238" s="7" t="s">
        <v>659</v>
      </c>
      <c r="D238" s="7" t="s">
        <v>659</v>
      </c>
      <c r="E238" s="7"/>
      <c r="F238" s="7" t="s">
        <v>659</v>
      </c>
      <c r="G238" s="7"/>
      <c r="H238" s="7" t="s">
        <v>659</v>
      </c>
      <c r="I238" s="7"/>
      <c r="J238" s="7"/>
      <c r="K238" s="7"/>
      <c r="L238" s="7"/>
      <c r="M238" s="7" t="n">
        <v>1</v>
      </c>
      <c r="N238" s="7" t="n">
        <v>28</v>
      </c>
      <c r="O238" s="7"/>
      <c r="P238" s="10" t="s">
        <v>989</v>
      </c>
      <c r="Q238" s="30" t="s">
        <v>657</v>
      </c>
      <c r="R238" s="10" t="s">
        <v>990</v>
      </c>
      <c r="S238" s="12"/>
      <c r="T238" s="12"/>
    </row>
    <row r="239" customFormat="false" ht="23.85" hidden="false" customHeight="false" outlineLevel="0" collapsed="false">
      <c r="A239" s="12" t="s">
        <v>35</v>
      </c>
      <c r="B239" s="12" t="s">
        <v>227</v>
      </c>
      <c r="C239" s="7" t="s">
        <v>659</v>
      </c>
      <c r="D239" s="7"/>
      <c r="E239" s="7"/>
      <c r="F239" s="7"/>
      <c r="G239" s="7"/>
      <c r="H239" s="7"/>
      <c r="I239" s="7"/>
      <c r="J239" s="7"/>
      <c r="K239" s="7"/>
      <c r="L239" s="7"/>
      <c r="M239" s="7" t="n">
        <v>0</v>
      </c>
      <c r="N239" s="7" t="n">
        <v>0</v>
      </c>
      <c r="O239" s="7"/>
      <c r="P239" s="10"/>
      <c r="Q239" s="30" t="s">
        <v>657</v>
      </c>
      <c r="R239" s="10" t="s">
        <v>991</v>
      </c>
      <c r="S239" s="12"/>
      <c r="T239" s="12"/>
    </row>
    <row r="240" customFormat="false" ht="23.85" hidden="false" customHeight="false" outlineLevel="0" collapsed="false">
      <c r="A240" s="12" t="s">
        <v>35</v>
      </c>
      <c r="B240" s="12" t="s">
        <v>229</v>
      </c>
      <c r="C240" s="7" t="s">
        <v>659</v>
      </c>
      <c r="D240" s="7"/>
      <c r="E240" s="7"/>
      <c r="F240" s="7"/>
      <c r="G240" s="7"/>
      <c r="H240" s="7"/>
      <c r="I240" s="7"/>
      <c r="J240" s="7"/>
      <c r="K240" s="7"/>
      <c r="L240" s="7"/>
      <c r="M240" s="7" t="n">
        <v>0</v>
      </c>
      <c r="N240" s="7" t="n">
        <v>0</v>
      </c>
      <c r="O240" s="7"/>
      <c r="P240" s="10"/>
      <c r="Q240" s="30" t="s">
        <v>657</v>
      </c>
      <c r="R240" s="10" t="s">
        <v>682</v>
      </c>
      <c r="S240" s="12"/>
      <c r="T240" s="12"/>
    </row>
    <row r="241" customFormat="false" ht="23.85" hidden="false" customHeight="false" outlineLevel="0" collapsed="false">
      <c r="A241" s="12" t="s">
        <v>35</v>
      </c>
      <c r="B241" s="12" t="s">
        <v>223</v>
      </c>
      <c r="C241" s="7" t="s">
        <v>659</v>
      </c>
      <c r="D241" s="7"/>
      <c r="E241" s="7"/>
      <c r="F241" s="7"/>
      <c r="G241" s="7"/>
      <c r="H241" s="7"/>
      <c r="I241" s="7"/>
      <c r="J241" s="7"/>
      <c r="K241" s="7"/>
      <c r="L241" s="7"/>
      <c r="M241" s="7" t="n">
        <v>0</v>
      </c>
      <c r="N241" s="7" t="n">
        <v>0</v>
      </c>
      <c r="O241" s="7"/>
      <c r="P241" s="10"/>
      <c r="Q241" s="30" t="s">
        <v>657</v>
      </c>
      <c r="R241" s="10" t="s">
        <v>700</v>
      </c>
      <c r="S241" s="12"/>
      <c r="T241" s="12"/>
    </row>
    <row r="242" customFormat="false" ht="35.05" hidden="false" customHeight="false" outlineLevel="0" collapsed="false">
      <c r="A242" s="12" t="s">
        <v>35</v>
      </c>
      <c r="B242" s="12" t="s">
        <v>225</v>
      </c>
      <c r="C242" s="7"/>
      <c r="D242" s="7" t="s">
        <v>659</v>
      </c>
      <c r="E242" s="7"/>
      <c r="F242" s="7"/>
      <c r="G242" s="7"/>
      <c r="H242" s="7" t="s">
        <v>659</v>
      </c>
      <c r="I242" s="7"/>
      <c r="J242" s="7"/>
      <c r="K242" s="7"/>
      <c r="L242" s="7"/>
      <c r="M242" s="7" t="n">
        <v>0</v>
      </c>
      <c r="N242" s="7" t="n">
        <v>29</v>
      </c>
      <c r="O242" s="7"/>
      <c r="P242" s="10" t="s">
        <v>992</v>
      </c>
      <c r="Q242" s="30" t="s">
        <v>657</v>
      </c>
      <c r="R242" s="10" t="s">
        <v>993</v>
      </c>
      <c r="S242" s="12"/>
      <c r="T242" s="12"/>
    </row>
    <row r="243" customFormat="false" ht="35.05" hidden="false" customHeight="false" outlineLevel="0" collapsed="false">
      <c r="A243" s="12" t="s">
        <v>35</v>
      </c>
      <c r="B243" s="12" t="s">
        <v>109</v>
      </c>
      <c r="C243" s="7" t="s">
        <v>659</v>
      </c>
      <c r="D243" s="7"/>
      <c r="E243" s="7"/>
      <c r="F243" s="7"/>
      <c r="G243" s="7"/>
      <c r="H243" s="7"/>
      <c r="I243" s="7"/>
      <c r="J243" s="7"/>
      <c r="K243" s="7"/>
      <c r="L243" s="7"/>
      <c r="M243" s="7" t="n">
        <v>8</v>
      </c>
      <c r="N243" s="7" t="n">
        <v>0</v>
      </c>
      <c r="O243" s="7"/>
      <c r="P243" s="10" t="s">
        <v>994</v>
      </c>
      <c r="Q243" s="30" t="s">
        <v>657</v>
      </c>
      <c r="R243" s="10" t="s">
        <v>995</v>
      </c>
      <c r="S243" s="12"/>
      <c r="T243" s="12"/>
    </row>
    <row r="244" customFormat="false" ht="35.05" hidden="false" customHeight="false" outlineLevel="0" collapsed="false">
      <c r="A244" s="12" t="s">
        <v>35</v>
      </c>
      <c r="B244" s="12" t="s">
        <v>116</v>
      </c>
      <c r="C244" s="7" t="s">
        <v>659</v>
      </c>
      <c r="D244" s="7" t="s">
        <v>659</v>
      </c>
      <c r="E244" s="7"/>
      <c r="F244" s="7" t="s">
        <v>659</v>
      </c>
      <c r="G244" s="7"/>
      <c r="H244" s="7"/>
      <c r="I244" s="7"/>
      <c r="J244" s="7"/>
      <c r="K244" s="7"/>
      <c r="L244" s="7"/>
      <c r="M244" s="7" t="n">
        <v>8</v>
      </c>
      <c r="N244" s="7" t="n">
        <v>0</v>
      </c>
      <c r="O244" s="7"/>
      <c r="P244" s="10" t="s">
        <v>994</v>
      </c>
      <c r="Q244" s="30" t="s">
        <v>657</v>
      </c>
      <c r="R244" s="10" t="s">
        <v>996</v>
      </c>
      <c r="S244" s="12"/>
      <c r="T244" s="12"/>
    </row>
    <row r="245" customFormat="false" ht="23.85" hidden="false" customHeight="false" outlineLevel="0" collapsed="false">
      <c r="A245" s="12" t="s">
        <v>43</v>
      </c>
      <c r="B245" s="12" t="s">
        <v>227</v>
      </c>
      <c r="C245" s="7" t="s">
        <v>659</v>
      </c>
      <c r="D245" s="7"/>
      <c r="E245" s="7"/>
      <c r="F245" s="7"/>
      <c r="G245" s="7"/>
      <c r="H245" s="7"/>
      <c r="I245" s="7"/>
      <c r="J245" s="7"/>
      <c r="K245" s="7"/>
      <c r="L245" s="7"/>
      <c r="M245" s="7" t="n">
        <v>0</v>
      </c>
      <c r="N245" s="7" t="n">
        <v>0</v>
      </c>
      <c r="O245" s="7"/>
      <c r="P245" s="10"/>
      <c r="Q245" s="30" t="s">
        <v>657</v>
      </c>
      <c r="R245" s="10" t="s">
        <v>991</v>
      </c>
      <c r="S245" s="12"/>
      <c r="T245" s="12"/>
    </row>
    <row r="246" customFormat="false" ht="35.05" hidden="false" customHeight="false" outlineLevel="0" collapsed="false">
      <c r="A246" s="12" t="s">
        <v>43</v>
      </c>
      <c r="B246" s="12" t="s">
        <v>250</v>
      </c>
      <c r="C246" s="7"/>
      <c r="D246" s="7"/>
      <c r="E246" s="7"/>
      <c r="F246" s="7"/>
      <c r="G246" s="7"/>
      <c r="H246" s="7" t="s">
        <v>659</v>
      </c>
      <c r="I246" s="7"/>
      <c r="J246" s="7"/>
      <c r="K246" s="7"/>
      <c r="L246" s="7"/>
      <c r="M246" s="7" t="n">
        <v>0</v>
      </c>
      <c r="N246" s="7" t="n">
        <v>12</v>
      </c>
      <c r="O246" s="7"/>
      <c r="P246" s="10" t="s">
        <v>997</v>
      </c>
      <c r="Q246" s="30" t="s">
        <v>657</v>
      </c>
      <c r="R246" s="10" t="s">
        <v>998</v>
      </c>
      <c r="S246" s="12"/>
      <c r="T246" s="12"/>
    </row>
    <row r="247" customFormat="false" ht="23.85" hidden="false" customHeight="false" outlineLevel="0" collapsed="false">
      <c r="A247" s="12" t="s">
        <v>43</v>
      </c>
      <c r="B247" s="12" t="s">
        <v>166</v>
      </c>
      <c r="C247" s="7" t="s">
        <v>659</v>
      </c>
      <c r="D247" s="7"/>
      <c r="E247" s="7"/>
      <c r="F247" s="7"/>
      <c r="G247" s="7"/>
      <c r="H247" s="7"/>
      <c r="I247" s="7"/>
      <c r="J247" s="7"/>
      <c r="K247" s="7"/>
      <c r="L247" s="7"/>
      <c r="M247" s="7" t="n">
        <v>0</v>
      </c>
      <c r="N247" s="7" t="n">
        <v>0</v>
      </c>
      <c r="O247" s="7"/>
      <c r="P247" s="10"/>
      <c r="Q247" s="30" t="s">
        <v>657</v>
      </c>
      <c r="R247" s="10" t="s">
        <v>675</v>
      </c>
      <c r="S247" s="12"/>
      <c r="T247" s="12"/>
    </row>
    <row r="248" customFormat="false" ht="35.05" hidden="false" customHeight="false" outlineLevel="0" collapsed="false">
      <c r="A248" s="12" t="s">
        <v>43</v>
      </c>
      <c r="B248" s="12" t="s">
        <v>252</v>
      </c>
      <c r="C248" s="7"/>
      <c r="D248" s="7"/>
      <c r="E248" s="7"/>
      <c r="F248" s="7" t="s">
        <v>659</v>
      </c>
      <c r="G248" s="7"/>
      <c r="H248" s="7" t="s">
        <v>659</v>
      </c>
      <c r="I248" s="7"/>
      <c r="J248" s="7"/>
      <c r="K248" s="7"/>
      <c r="L248" s="7"/>
      <c r="M248" s="7" t="n">
        <v>0</v>
      </c>
      <c r="N248" s="7" t="n">
        <v>0</v>
      </c>
      <c r="O248" s="7"/>
      <c r="P248" s="10" t="s">
        <v>997</v>
      </c>
      <c r="Q248" s="30" t="s">
        <v>657</v>
      </c>
      <c r="R248" s="10" t="s">
        <v>999</v>
      </c>
      <c r="S248" s="12"/>
      <c r="T248" s="12"/>
    </row>
    <row r="249" customFormat="false" ht="23.85" hidden="false" customHeight="false" outlineLevel="0" collapsed="false">
      <c r="A249" s="12" t="s">
        <v>43</v>
      </c>
      <c r="B249" s="12" t="s">
        <v>258</v>
      </c>
      <c r="C249" s="7" t="s">
        <v>659</v>
      </c>
      <c r="D249" s="7"/>
      <c r="E249" s="7"/>
      <c r="F249" s="7"/>
      <c r="G249" s="7"/>
      <c r="H249" s="7"/>
      <c r="I249" s="7"/>
      <c r="J249" s="7"/>
      <c r="K249" s="7"/>
      <c r="L249" s="7"/>
      <c r="M249" s="7" t="n">
        <v>0</v>
      </c>
      <c r="N249" s="7" t="n">
        <v>0</v>
      </c>
      <c r="O249" s="7"/>
      <c r="P249" s="10"/>
      <c r="Q249" s="30" t="s">
        <v>657</v>
      </c>
      <c r="R249" s="10" t="s">
        <v>1000</v>
      </c>
      <c r="S249" s="12"/>
      <c r="T249" s="12"/>
    </row>
    <row r="250" customFormat="false" ht="23.85" hidden="false" customHeight="false" outlineLevel="0" collapsed="false">
      <c r="A250" s="12" t="s">
        <v>43</v>
      </c>
      <c r="B250" s="12" t="s">
        <v>176</v>
      </c>
      <c r="C250" s="7" t="s">
        <v>659</v>
      </c>
      <c r="D250" s="7"/>
      <c r="E250" s="7"/>
      <c r="F250" s="7" t="s">
        <v>659</v>
      </c>
      <c r="G250" s="7"/>
      <c r="H250" s="7"/>
      <c r="I250" s="7"/>
      <c r="J250" s="7"/>
      <c r="K250" s="7"/>
      <c r="L250" s="7"/>
      <c r="M250" s="7" t="n">
        <v>0</v>
      </c>
      <c r="N250" s="7" t="n">
        <v>0</v>
      </c>
      <c r="O250" s="7"/>
      <c r="P250" s="10"/>
      <c r="Q250" s="30" t="s">
        <v>657</v>
      </c>
      <c r="R250" s="10" t="s">
        <v>747</v>
      </c>
      <c r="S250" s="12"/>
      <c r="T250" s="12"/>
    </row>
    <row r="251" customFormat="false" ht="35.05" hidden="false" customHeight="false" outlineLevel="0" collapsed="false">
      <c r="A251" s="12" t="s">
        <v>43</v>
      </c>
      <c r="B251" s="12" t="s">
        <v>249</v>
      </c>
      <c r="C251" s="7"/>
      <c r="D251" s="7"/>
      <c r="E251" s="7"/>
      <c r="F251" s="7" t="s">
        <v>659</v>
      </c>
      <c r="G251" s="7"/>
      <c r="H251" s="7"/>
      <c r="I251" s="7" t="s">
        <v>659</v>
      </c>
      <c r="J251" s="7"/>
      <c r="K251" s="7"/>
      <c r="L251" s="7"/>
      <c r="M251" s="7" t="n">
        <v>2</v>
      </c>
      <c r="N251" s="7" t="n">
        <v>0</v>
      </c>
      <c r="O251" s="7"/>
      <c r="P251" s="10" t="s">
        <v>1001</v>
      </c>
      <c r="Q251" s="30" t="s">
        <v>657</v>
      </c>
      <c r="R251" s="10" t="s">
        <v>1002</v>
      </c>
      <c r="S251" s="12"/>
      <c r="T251" s="12"/>
    </row>
    <row r="252" customFormat="false" ht="23.85" hidden="false" customHeight="false" outlineLevel="0" collapsed="false">
      <c r="A252" s="12" t="s">
        <v>43</v>
      </c>
      <c r="B252" s="12" t="s">
        <v>254</v>
      </c>
      <c r="C252" s="7" t="s">
        <v>659</v>
      </c>
      <c r="D252" s="7"/>
      <c r="E252" s="7"/>
      <c r="F252" s="7"/>
      <c r="G252" s="7"/>
      <c r="H252" s="7"/>
      <c r="I252" s="7"/>
      <c r="J252" s="7"/>
      <c r="K252" s="7"/>
      <c r="L252" s="7"/>
      <c r="M252" s="7" t="n">
        <v>0</v>
      </c>
      <c r="N252" s="7" t="n">
        <v>0</v>
      </c>
      <c r="O252" s="7"/>
      <c r="P252" s="10"/>
      <c r="Q252" s="30" t="s">
        <v>657</v>
      </c>
      <c r="R252" s="10" t="s">
        <v>1003</v>
      </c>
      <c r="S252" s="12"/>
      <c r="T252" s="12"/>
    </row>
    <row r="253" customFormat="false" ht="23.85" hidden="false" customHeight="false" outlineLevel="0" collapsed="false">
      <c r="A253" s="12" t="s">
        <v>43</v>
      </c>
      <c r="B253" s="12" t="s">
        <v>260</v>
      </c>
      <c r="C253" s="7" t="s">
        <v>659</v>
      </c>
      <c r="D253" s="7"/>
      <c r="E253" s="7"/>
      <c r="F253" s="7"/>
      <c r="G253" s="7"/>
      <c r="H253" s="7"/>
      <c r="I253" s="7"/>
      <c r="J253" s="7"/>
      <c r="K253" s="7"/>
      <c r="L253" s="7"/>
      <c r="M253" s="7" t="n">
        <v>0</v>
      </c>
      <c r="N253" s="7" t="n">
        <v>0</v>
      </c>
      <c r="O253" s="7"/>
      <c r="P253" s="10"/>
      <c r="Q253" s="30" t="s">
        <v>657</v>
      </c>
      <c r="R253" s="10" t="s">
        <v>785</v>
      </c>
      <c r="S253" s="12"/>
      <c r="T253" s="12"/>
    </row>
    <row r="254" customFormat="false" ht="23.85" hidden="false" customHeight="false" outlineLevel="0" collapsed="false">
      <c r="A254" s="12" t="s">
        <v>43</v>
      </c>
      <c r="B254" s="12" t="s">
        <v>256</v>
      </c>
      <c r="C254" s="7" t="s">
        <v>659</v>
      </c>
      <c r="D254" s="7"/>
      <c r="E254" s="7"/>
      <c r="F254" s="7"/>
      <c r="G254" s="7"/>
      <c r="H254" s="7"/>
      <c r="I254" s="7"/>
      <c r="J254" s="7"/>
      <c r="K254" s="7"/>
      <c r="L254" s="7"/>
      <c r="M254" s="7" t="n">
        <v>0</v>
      </c>
      <c r="N254" s="7" t="n">
        <v>0</v>
      </c>
      <c r="O254" s="7"/>
      <c r="P254" s="10"/>
      <c r="Q254" s="30" t="s">
        <v>657</v>
      </c>
      <c r="R254" s="10" t="s">
        <v>735</v>
      </c>
      <c r="S254" s="12"/>
      <c r="T254" s="12"/>
    </row>
    <row r="255" customFormat="false" ht="23.85" hidden="false" customHeight="false" outlineLevel="0" collapsed="false">
      <c r="A255" s="12" t="s">
        <v>49</v>
      </c>
      <c r="B255" s="12" t="s">
        <v>277</v>
      </c>
      <c r="C255" s="7" t="s">
        <v>659</v>
      </c>
      <c r="D255" s="7"/>
      <c r="E255" s="7"/>
      <c r="F255" s="7"/>
      <c r="G255" s="7"/>
      <c r="H255" s="7"/>
      <c r="I255" s="7"/>
      <c r="J255" s="7"/>
      <c r="K255" s="7"/>
      <c r="L255" s="7"/>
      <c r="M255" s="7" t="n">
        <v>0</v>
      </c>
      <c r="N255" s="7" t="n">
        <v>0</v>
      </c>
      <c r="O255" s="7"/>
      <c r="P255" s="10"/>
      <c r="Q255" s="30" t="s">
        <v>657</v>
      </c>
      <c r="R255" s="10" t="s">
        <v>1004</v>
      </c>
      <c r="S255" s="12"/>
      <c r="T255" s="12"/>
    </row>
    <row r="256" customFormat="false" ht="23.85" hidden="false" customHeight="false" outlineLevel="0" collapsed="false">
      <c r="A256" s="12" t="s">
        <v>49</v>
      </c>
      <c r="B256" s="12" t="s">
        <v>166</v>
      </c>
      <c r="C256" s="7" t="s">
        <v>659</v>
      </c>
      <c r="D256" s="7"/>
      <c r="E256" s="7"/>
      <c r="F256" s="7"/>
      <c r="G256" s="7"/>
      <c r="H256" s="7"/>
      <c r="I256" s="7"/>
      <c r="J256" s="7"/>
      <c r="K256" s="7"/>
      <c r="L256" s="7"/>
      <c r="M256" s="7" t="n">
        <v>0</v>
      </c>
      <c r="N256" s="7" t="n">
        <v>0</v>
      </c>
      <c r="O256" s="7"/>
      <c r="P256" s="10"/>
      <c r="Q256" s="30" t="s">
        <v>657</v>
      </c>
      <c r="R256" s="10" t="s">
        <v>675</v>
      </c>
      <c r="S256" s="12"/>
      <c r="T256" s="12"/>
    </row>
    <row r="257" customFormat="false" ht="35.05" hidden="false" customHeight="false" outlineLevel="0" collapsed="false">
      <c r="A257" s="12" t="s">
        <v>49</v>
      </c>
      <c r="B257" s="12" t="s">
        <v>56</v>
      </c>
      <c r="C257" s="7"/>
      <c r="D257" s="7"/>
      <c r="E257" s="7"/>
      <c r="F257" s="7"/>
      <c r="G257" s="7"/>
      <c r="H257" s="7"/>
      <c r="I257" s="7" t="s">
        <v>659</v>
      </c>
      <c r="J257" s="7" t="s">
        <v>659</v>
      </c>
      <c r="K257" s="7" t="s">
        <v>659</v>
      </c>
      <c r="L257" s="7" t="s">
        <v>659</v>
      </c>
      <c r="M257" s="7" t="n">
        <v>23</v>
      </c>
      <c r="N257" s="7" t="n">
        <v>29</v>
      </c>
      <c r="O257" s="7"/>
      <c r="P257" s="10" t="s">
        <v>1005</v>
      </c>
      <c r="Q257" s="30" t="s">
        <v>657</v>
      </c>
      <c r="R257" s="10" t="s">
        <v>1006</v>
      </c>
      <c r="S257" s="12"/>
      <c r="T257" s="30" t="s">
        <v>1007</v>
      </c>
    </row>
    <row r="258" customFormat="false" ht="23.85" hidden="false" customHeight="false" outlineLevel="0" collapsed="false">
      <c r="A258" s="12" t="s">
        <v>49</v>
      </c>
      <c r="B258" s="12" t="s">
        <v>279</v>
      </c>
      <c r="C258" s="7" t="s">
        <v>659</v>
      </c>
      <c r="D258" s="7"/>
      <c r="E258" s="7"/>
      <c r="F258" s="7"/>
      <c r="G258" s="7"/>
      <c r="H258" s="7"/>
      <c r="I258" s="7"/>
      <c r="J258" s="7"/>
      <c r="K258" s="7"/>
      <c r="L258" s="7"/>
      <c r="M258" s="7" t="n">
        <v>0</v>
      </c>
      <c r="N258" s="7" t="n">
        <v>0</v>
      </c>
      <c r="O258" s="7"/>
      <c r="P258" s="10"/>
      <c r="Q258" s="30" t="s">
        <v>657</v>
      </c>
      <c r="R258" s="10" t="s">
        <v>1008</v>
      </c>
      <c r="S258" s="12"/>
      <c r="T258" s="12"/>
    </row>
    <row r="259" customFormat="false" ht="23.85" hidden="false" customHeight="false" outlineLevel="0" collapsed="false">
      <c r="A259" s="12" t="s">
        <v>49</v>
      </c>
      <c r="B259" s="12" t="s">
        <v>281</v>
      </c>
      <c r="C259" s="7" t="s">
        <v>659</v>
      </c>
      <c r="D259" s="7"/>
      <c r="E259" s="7"/>
      <c r="F259" s="7"/>
      <c r="G259" s="7"/>
      <c r="H259" s="7"/>
      <c r="I259" s="7"/>
      <c r="J259" s="7"/>
      <c r="K259" s="7"/>
      <c r="L259" s="7"/>
      <c r="M259" s="7" t="n">
        <v>0</v>
      </c>
      <c r="N259" s="7" t="n">
        <v>0</v>
      </c>
      <c r="O259" s="7"/>
      <c r="P259" s="10"/>
      <c r="Q259" s="30" t="s">
        <v>657</v>
      </c>
      <c r="R259" s="10" t="s">
        <v>713</v>
      </c>
      <c r="S259" s="12"/>
      <c r="T259" s="12"/>
    </row>
    <row r="260" customFormat="false" ht="35.05" hidden="false" customHeight="false" outlineLevel="0" collapsed="false">
      <c r="A260" s="12" t="s">
        <v>47</v>
      </c>
      <c r="B260" s="12" t="s">
        <v>267</v>
      </c>
      <c r="C260" s="7"/>
      <c r="D260" s="7" t="s">
        <v>659</v>
      </c>
      <c r="E260" s="7"/>
      <c r="F260" s="7" t="s">
        <v>659</v>
      </c>
      <c r="G260" s="7" t="s">
        <v>659</v>
      </c>
      <c r="H260" s="7" t="s">
        <v>659</v>
      </c>
      <c r="I260" s="7" t="s">
        <v>659</v>
      </c>
      <c r="J260" s="7" t="s">
        <v>659</v>
      </c>
      <c r="K260" s="7" t="s">
        <v>659</v>
      </c>
      <c r="L260" s="7" t="s">
        <v>659</v>
      </c>
      <c r="M260" s="7" t="n">
        <v>15</v>
      </c>
      <c r="N260" s="7" t="n">
        <v>12</v>
      </c>
      <c r="O260" s="7"/>
      <c r="P260" s="10" t="s">
        <v>1009</v>
      </c>
      <c r="Q260" s="30" t="s">
        <v>657</v>
      </c>
      <c r="R260" s="10" t="s">
        <v>1010</v>
      </c>
      <c r="S260" s="12"/>
      <c r="T260" s="30" t="s">
        <v>1011</v>
      </c>
    </row>
    <row r="261" customFormat="false" ht="35.05" hidden="false" customHeight="false" outlineLevel="0" collapsed="false">
      <c r="A261" s="12" t="s">
        <v>47</v>
      </c>
      <c r="B261" s="12" t="s">
        <v>265</v>
      </c>
      <c r="C261" s="7" t="s">
        <v>659</v>
      </c>
      <c r="D261" s="7" t="s">
        <v>659</v>
      </c>
      <c r="E261" s="7"/>
      <c r="F261" s="7"/>
      <c r="G261" s="7"/>
      <c r="H261" s="7" t="s">
        <v>659</v>
      </c>
      <c r="I261" s="7" t="s">
        <v>659</v>
      </c>
      <c r="J261" s="7" t="s">
        <v>659</v>
      </c>
      <c r="K261" s="7" t="s">
        <v>659</v>
      </c>
      <c r="L261" s="7" t="s">
        <v>659</v>
      </c>
      <c r="M261" s="7" t="n">
        <v>6</v>
      </c>
      <c r="N261" s="7" t="n">
        <v>0</v>
      </c>
      <c r="O261" s="7"/>
      <c r="P261" s="10" t="s">
        <v>1012</v>
      </c>
      <c r="Q261" s="30" t="s">
        <v>657</v>
      </c>
      <c r="R261" s="10" t="s">
        <v>1013</v>
      </c>
      <c r="S261" s="12"/>
      <c r="T261" s="30" t="s">
        <v>1014</v>
      </c>
    </row>
    <row r="262" customFormat="false" ht="23.85" hidden="false" customHeight="false" outlineLevel="0" collapsed="false">
      <c r="A262" s="12" t="s">
        <v>47</v>
      </c>
      <c r="B262" s="12" t="s">
        <v>241</v>
      </c>
      <c r="C262" s="7" t="s">
        <v>659</v>
      </c>
      <c r="D262" s="7"/>
      <c r="E262" s="7"/>
      <c r="F262" s="7"/>
      <c r="G262" s="7"/>
      <c r="H262" s="7"/>
      <c r="I262" s="7"/>
      <c r="J262" s="7"/>
      <c r="K262" s="7"/>
      <c r="L262" s="7"/>
      <c r="M262" s="7" t="n">
        <v>0</v>
      </c>
      <c r="N262" s="7" t="n">
        <v>0</v>
      </c>
      <c r="O262" s="7"/>
      <c r="P262" s="10"/>
      <c r="Q262" s="30" t="s">
        <v>657</v>
      </c>
      <c r="R262" s="10" t="s">
        <v>977</v>
      </c>
      <c r="S262" s="12"/>
      <c r="T262" s="12"/>
    </row>
    <row r="263" customFormat="false" ht="35.05" hidden="false" customHeight="false" outlineLevel="0" collapsed="false">
      <c r="A263" s="12" t="s">
        <v>47</v>
      </c>
      <c r="B263" s="12" t="s">
        <v>274</v>
      </c>
      <c r="C263" s="7"/>
      <c r="D263" s="7"/>
      <c r="E263" s="7"/>
      <c r="F263" s="7"/>
      <c r="G263" s="7" t="s">
        <v>659</v>
      </c>
      <c r="H263" s="7" t="s">
        <v>659</v>
      </c>
      <c r="I263" s="7" t="s">
        <v>659</v>
      </c>
      <c r="J263" s="7" t="s">
        <v>659</v>
      </c>
      <c r="K263" s="7" t="s">
        <v>659</v>
      </c>
      <c r="L263" s="7" t="s">
        <v>659</v>
      </c>
      <c r="M263" s="7" t="n">
        <v>10</v>
      </c>
      <c r="N263" s="7" t="n">
        <v>14</v>
      </c>
      <c r="O263" s="7"/>
      <c r="P263" s="10" t="s">
        <v>1012</v>
      </c>
      <c r="Q263" s="30" t="s">
        <v>657</v>
      </c>
      <c r="R263" s="10" t="s">
        <v>1015</v>
      </c>
      <c r="S263" s="12"/>
      <c r="T263" s="30" t="s">
        <v>1016</v>
      </c>
    </row>
    <row r="264" customFormat="false" ht="35.05" hidden="false" customHeight="false" outlineLevel="0" collapsed="false">
      <c r="A264" s="12" t="s">
        <v>47</v>
      </c>
      <c r="B264" s="12" t="s">
        <v>271</v>
      </c>
      <c r="C264" s="7"/>
      <c r="D264" s="7"/>
      <c r="E264" s="7"/>
      <c r="F264" s="7"/>
      <c r="G264" s="7" t="s">
        <v>659</v>
      </c>
      <c r="H264" s="7" t="s">
        <v>659</v>
      </c>
      <c r="I264" s="7" t="s">
        <v>659</v>
      </c>
      <c r="J264" s="7" t="s">
        <v>659</v>
      </c>
      <c r="K264" s="7" t="s">
        <v>659</v>
      </c>
      <c r="L264" s="7" t="s">
        <v>659</v>
      </c>
      <c r="M264" s="7" t="n">
        <v>16</v>
      </c>
      <c r="N264" s="7" t="n">
        <v>0</v>
      </c>
      <c r="O264" s="7"/>
      <c r="P264" s="10" t="s">
        <v>1009</v>
      </c>
      <c r="Q264" s="30" t="s">
        <v>657</v>
      </c>
      <c r="R264" s="10" t="s">
        <v>1017</v>
      </c>
      <c r="S264" s="12"/>
      <c r="T264" s="30" t="s">
        <v>1018</v>
      </c>
    </row>
    <row r="265" customFormat="false" ht="35.05" hidden="false" customHeight="false" outlineLevel="0" collapsed="false">
      <c r="A265" s="12" t="s">
        <v>47</v>
      </c>
      <c r="B265" s="12" t="s">
        <v>269</v>
      </c>
      <c r="C265" s="7"/>
      <c r="D265" s="7"/>
      <c r="E265" s="7"/>
      <c r="F265" s="7"/>
      <c r="G265" s="7"/>
      <c r="H265" s="7"/>
      <c r="I265" s="7"/>
      <c r="J265" s="7" t="s">
        <v>659</v>
      </c>
      <c r="K265" s="7"/>
      <c r="L265" s="7"/>
      <c r="M265" s="7" t="n">
        <v>1</v>
      </c>
      <c r="N265" s="7" t="n">
        <v>21</v>
      </c>
      <c r="O265" s="7"/>
      <c r="P265" s="10" t="s">
        <v>1019</v>
      </c>
      <c r="Q265" s="30" t="s">
        <v>657</v>
      </c>
      <c r="R265" s="10" t="s">
        <v>1020</v>
      </c>
      <c r="S265" s="12"/>
      <c r="T265" s="12"/>
    </row>
    <row r="266" customFormat="false" ht="35.05" hidden="false" customHeight="false" outlineLevel="0" collapsed="false">
      <c r="A266" s="12" t="s">
        <v>47</v>
      </c>
      <c r="B266" s="12" t="s">
        <v>116</v>
      </c>
      <c r="C266" s="7"/>
      <c r="D266" s="7" t="s">
        <v>659</v>
      </c>
      <c r="E266" s="7"/>
      <c r="F266" s="7"/>
      <c r="G266" s="7"/>
      <c r="H266" s="7" t="s">
        <v>659</v>
      </c>
      <c r="I266" s="7" t="s">
        <v>659</v>
      </c>
      <c r="J266" s="7" t="s">
        <v>659</v>
      </c>
      <c r="K266" s="7" t="s">
        <v>659</v>
      </c>
      <c r="L266" s="7" t="s">
        <v>659</v>
      </c>
      <c r="M266" s="7" t="n">
        <v>30</v>
      </c>
      <c r="N266" s="7" t="n">
        <v>30</v>
      </c>
      <c r="O266" s="7" t="s">
        <v>84</v>
      </c>
      <c r="P266" s="10" t="s">
        <v>1012</v>
      </c>
      <c r="Q266" s="30" t="s">
        <v>657</v>
      </c>
      <c r="R266" s="10" t="s">
        <v>1021</v>
      </c>
      <c r="S266" s="30" t="s">
        <v>1022</v>
      </c>
      <c r="T266" s="12"/>
    </row>
    <row r="267" customFormat="false" ht="23.85" hidden="false" customHeight="false" outlineLevel="0" collapsed="false">
      <c r="A267" s="12" t="s">
        <v>55</v>
      </c>
      <c r="B267" s="12" t="s">
        <v>423</v>
      </c>
      <c r="C267" s="7"/>
      <c r="D267" s="7"/>
      <c r="E267" s="7"/>
      <c r="F267" s="7" t="s">
        <v>659</v>
      </c>
      <c r="G267" s="7"/>
      <c r="H267" s="7"/>
      <c r="I267" s="7"/>
      <c r="J267" s="7"/>
      <c r="K267" s="7"/>
      <c r="L267" s="7"/>
      <c r="M267" s="7" t="n">
        <v>0</v>
      </c>
      <c r="N267" s="7" t="n">
        <v>0</v>
      </c>
      <c r="O267" s="7"/>
      <c r="P267" s="10"/>
      <c r="Q267" s="30" t="s">
        <v>657</v>
      </c>
      <c r="R267" s="10" t="s">
        <v>676</v>
      </c>
      <c r="S267" s="12"/>
      <c r="T267" s="12"/>
    </row>
    <row r="268" customFormat="false" ht="23.85" hidden="false" customHeight="false" outlineLevel="0" collapsed="false">
      <c r="A268" s="12" t="s">
        <v>55</v>
      </c>
      <c r="B268" s="12" t="s">
        <v>211</v>
      </c>
      <c r="C268" s="7"/>
      <c r="D268" s="7"/>
      <c r="E268" s="7"/>
      <c r="F268" s="7" t="s">
        <v>659</v>
      </c>
      <c r="G268" s="7"/>
      <c r="H268" s="7"/>
      <c r="I268" s="7"/>
      <c r="J268" s="7"/>
      <c r="K268" s="7"/>
      <c r="L268" s="7"/>
      <c r="M268" s="7" t="n">
        <v>0</v>
      </c>
      <c r="N268" s="7" t="n">
        <v>0</v>
      </c>
      <c r="O268" s="7"/>
      <c r="P268" s="10"/>
      <c r="Q268" s="30" t="s">
        <v>657</v>
      </c>
      <c r="R268" s="10" t="s">
        <v>1023</v>
      </c>
      <c r="S268" s="12"/>
      <c r="T268" s="12"/>
    </row>
    <row r="269" customFormat="false" ht="23.85" hidden="false" customHeight="false" outlineLevel="0" collapsed="false">
      <c r="A269" s="12" t="s">
        <v>55</v>
      </c>
      <c r="B269" s="12" t="s">
        <v>201</v>
      </c>
      <c r="C269" s="7"/>
      <c r="D269" s="7"/>
      <c r="E269" s="7"/>
      <c r="F269" s="7"/>
      <c r="G269" s="7" t="s">
        <v>659</v>
      </c>
      <c r="H269" s="7"/>
      <c r="I269" s="7"/>
      <c r="J269" s="7"/>
      <c r="K269" s="7"/>
      <c r="L269" s="7"/>
      <c r="M269" s="7" t="n">
        <v>0</v>
      </c>
      <c r="N269" s="7" t="n">
        <v>0</v>
      </c>
      <c r="O269" s="7"/>
      <c r="P269" s="10"/>
      <c r="Q269" s="30" t="s">
        <v>657</v>
      </c>
      <c r="R269" s="10" t="s">
        <v>746</v>
      </c>
      <c r="S269" s="12"/>
      <c r="T269" s="12"/>
    </row>
    <row r="270" customFormat="false" ht="35.05" hidden="false" customHeight="false" outlineLevel="0" collapsed="false">
      <c r="A270" s="12" t="s">
        <v>55</v>
      </c>
      <c r="B270" s="12" t="s">
        <v>56</v>
      </c>
      <c r="C270" s="7"/>
      <c r="D270" s="7" t="s">
        <v>659</v>
      </c>
      <c r="E270" s="7"/>
      <c r="F270" s="7"/>
      <c r="G270" s="7"/>
      <c r="H270" s="7" t="s">
        <v>659</v>
      </c>
      <c r="I270" s="7"/>
      <c r="J270" s="7"/>
      <c r="K270" s="7"/>
      <c r="L270" s="7"/>
      <c r="M270" s="7" t="n">
        <v>0</v>
      </c>
      <c r="N270" s="7" t="n">
        <v>29</v>
      </c>
      <c r="O270" s="7"/>
      <c r="P270" s="10" t="s">
        <v>1024</v>
      </c>
      <c r="Q270" s="30" t="s">
        <v>657</v>
      </c>
      <c r="R270" s="10" t="s">
        <v>1025</v>
      </c>
      <c r="S270" s="12"/>
      <c r="T270" s="12"/>
    </row>
    <row r="271" customFormat="false" ht="23.85" hidden="false" customHeight="false" outlineLevel="0" collapsed="false">
      <c r="A271" s="12" t="s">
        <v>55</v>
      </c>
      <c r="B271" s="12" t="s">
        <v>599</v>
      </c>
      <c r="C271" s="7"/>
      <c r="D271" s="7"/>
      <c r="E271" s="7"/>
      <c r="F271" s="7" t="s">
        <v>659</v>
      </c>
      <c r="G271" s="7"/>
      <c r="H271" s="7"/>
      <c r="I271" s="7"/>
      <c r="J271" s="7"/>
      <c r="K271" s="7"/>
      <c r="L271" s="7"/>
      <c r="M271" s="7" t="n">
        <v>0</v>
      </c>
      <c r="N271" s="7" t="n">
        <v>0</v>
      </c>
      <c r="O271" s="7"/>
      <c r="P271" s="10"/>
      <c r="Q271" s="30" t="s">
        <v>657</v>
      </c>
      <c r="R271" s="10" t="s">
        <v>1026</v>
      </c>
      <c r="S271" s="12"/>
      <c r="T271" s="12"/>
    </row>
    <row r="272" customFormat="false" ht="23.85" hidden="false" customHeight="false" outlineLevel="0" collapsed="false">
      <c r="A272" s="12" t="s">
        <v>29</v>
      </c>
      <c r="B272" s="12" t="s">
        <v>188</v>
      </c>
      <c r="C272" s="7"/>
      <c r="D272" s="7" t="s">
        <v>659</v>
      </c>
      <c r="E272" s="7"/>
      <c r="F272" s="7" t="s">
        <v>659</v>
      </c>
      <c r="G272" s="7"/>
      <c r="H272" s="7"/>
      <c r="I272" s="7"/>
      <c r="J272" s="7"/>
      <c r="K272" s="7"/>
      <c r="L272" s="7"/>
      <c r="M272" s="7" t="n">
        <v>0</v>
      </c>
      <c r="N272" s="7" t="n">
        <v>0</v>
      </c>
      <c r="O272" s="7"/>
      <c r="P272" s="10"/>
      <c r="Q272" s="30" t="s">
        <v>657</v>
      </c>
      <c r="R272" s="10" t="s">
        <v>1027</v>
      </c>
      <c r="S272" s="12"/>
      <c r="T272" s="12"/>
    </row>
    <row r="273" customFormat="false" ht="35.05" hidden="false" customHeight="false" outlineLevel="0" collapsed="false">
      <c r="A273" s="12" t="s">
        <v>29</v>
      </c>
      <c r="B273" s="12" t="s">
        <v>87</v>
      </c>
      <c r="C273" s="7"/>
      <c r="D273" s="7" t="s">
        <v>659</v>
      </c>
      <c r="E273" s="7" t="s">
        <v>659</v>
      </c>
      <c r="F273" s="7"/>
      <c r="G273" s="7" t="s">
        <v>659</v>
      </c>
      <c r="H273" s="7" t="s">
        <v>659</v>
      </c>
      <c r="I273" s="7" t="s">
        <v>659</v>
      </c>
      <c r="J273" s="7" t="s">
        <v>659</v>
      </c>
      <c r="K273" s="7" t="s">
        <v>659</v>
      </c>
      <c r="L273" s="7" t="s">
        <v>659</v>
      </c>
      <c r="M273" s="7" t="n">
        <v>30</v>
      </c>
      <c r="N273" s="7" t="n">
        <v>28</v>
      </c>
      <c r="O273" s="7" t="s">
        <v>84</v>
      </c>
      <c r="P273" s="10" t="s">
        <v>1028</v>
      </c>
      <c r="Q273" s="30" t="s">
        <v>657</v>
      </c>
      <c r="R273" s="10" t="s">
        <v>1029</v>
      </c>
      <c r="S273" s="30" t="s">
        <v>1030</v>
      </c>
      <c r="T273" s="12"/>
    </row>
    <row r="274" customFormat="false" ht="23.85" hidden="false" customHeight="false" outlineLevel="0" collapsed="false">
      <c r="A274" s="12" t="s">
        <v>29</v>
      </c>
      <c r="B274" s="12" t="s">
        <v>604</v>
      </c>
      <c r="C274" s="7" t="s">
        <v>659</v>
      </c>
      <c r="D274" s="7"/>
      <c r="E274" s="7"/>
      <c r="F274" s="7"/>
      <c r="G274" s="7"/>
      <c r="H274" s="7"/>
      <c r="I274" s="7"/>
      <c r="J274" s="7"/>
      <c r="K274" s="7"/>
      <c r="L274" s="7"/>
      <c r="M274" s="7" t="n">
        <v>0</v>
      </c>
      <c r="N274" s="7" t="n">
        <v>0</v>
      </c>
      <c r="O274" s="7"/>
      <c r="P274" s="10"/>
      <c r="Q274" s="30" t="s">
        <v>657</v>
      </c>
      <c r="R274" s="10" t="s">
        <v>1031</v>
      </c>
      <c r="S274" s="12"/>
      <c r="T274" s="12"/>
    </row>
    <row r="275" customFormat="false" ht="35.05" hidden="false" customHeight="false" outlineLevel="0" collapsed="false">
      <c r="A275" s="12" t="s">
        <v>29</v>
      </c>
      <c r="B275" s="12" t="s">
        <v>120</v>
      </c>
      <c r="C275" s="7" t="s">
        <v>659</v>
      </c>
      <c r="D275" s="7"/>
      <c r="E275" s="7"/>
      <c r="F275" s="7"/>
      <c r="G275" s="7"/>
      <c r="H275" s="7" t="s">
        <v>659</v>
      </c>
      <c r="I275" s="7"/>
      <c r="J275" s="7"/>
      <c r="K275" s="7"/>
      <c r="L275" s="7"/>
      <c r="M275" s="7" t="n">
        <v>0</v>
      </c>
      <c r="N275" s="7" t="n">
        <v>0</v>
      </c>
      <c r="O275" s="7"/>
      <c r="P275" s="10" t="s">
        <v>1028</v>
      </c>
      <c r="Q275" s="30" t="s">
        <v>657</v>
      </c>
      <c r="R275" s="10" t="s">
        <v>1032</v>
      </c>
      <c r="S275" s="12"/>
      <c r="T275" s="12"/>
    </row>
    <row r="276" customFormat="false" ht="35.05" hidden="false" customHeight="false" outlineLevel="0" collapsed="false">
      <c r="A276" s="12" t="s">
        <v>29</v>
      </c>
      <c r="B276" s="12" t="s">
        <v>477</v>
      </c>
      <c r="C276" s="7"/>
      <c r="D276" s="7"/>
      <c r="E276" s="7"/>
      <c r="F276" s="7" t="s">
        <v>659</v>
      </c>
      <c r="G276" s="7"/>
      <c r="H276" s="7" t="s">
        <v>659</v>
      </c>
      <c r="I276" s="7" t="s">
        <v>659</v>
      </c>
      <c r="J276" s="7" t="s">
        <v>659</v>
      </c>
      <c r="K276" s="7" t="s">
        <v>659</v>
      </c>
      <c r="L276" s="7"/>
      <c r="M276" s="7" t="n">
        <v>8</v>
      </c>
      <c r="N276" s="7" t="n">
        <v>30</v>
      </c>
      <c r="O276" s="7"/>
      <c r="P276" s="10" t="s">
        <v>1033</v>
      </c>
      <c r="Q276" s="30" t="s">
        <v>657</v>
      </c>
      <c r="R276" s="10" t="s">
        <v>1034</v>
      </c>
      <c r="S276" s="12"/>
      <c r="T276" s="30" t="s">
        <v>1035</v>
      </c>
    </row>
    <row r="277" customFormat="false" ht="35.05" hidden="false" customHeight="false" outlineLevel="0" collapsed="false">
      <c r="A277" s="12" t="s">
        <v>29</v>
      </c>
      <c r="B277" s="12" t="s">
        <v>112</v>
      </c>
      <c r="C277" s="7"/>
      <c r="D277" s="7" t="s">
        <v>659</v>
      </c>
      <c r="E277" s="7"/>
      <c r="F277" s="7"/>
      <c r="G277" s="7"/>
      <c r="H277" s="7" t="s">
        <v>659</v>
      </c>
      <c r="I277" s="7"/>
      <c r="J277" s="7"/>
      <c r="K277" s="7" t="s">
        <v>659</v>
      </c>
      <c r="L277" s="7"/>
      <c r="M277" s="7" t="n">
        <v>5</v>
      </c>
      <c r="N277" s="7" t="n">
        <v>30</v>
      </c>
      <c r="O277" s="7"/>
      <c r="P277" s="10" t="s">
        <v>1028</v>
      </c>
      <c r="Q277" s="30" t="s">
        <v>657</v>
      </c>
      <c r="R277" s="10" t="s">
        <v>1036</v>
      </c>
      <c r="S277" s="12"/>
      <c r="T277" s="12"/>
    </row>
    <row r="278" customFormat="false" ht="35.05" hidden="false" customHeight="false" outlineLevel="0" collapsed="false">
      <c r="A278" s="12" t="s">
        <v>29</v>
      </c>
      <c r="B278" s="12" t="s">
        <v>129</v>
      </c>
      <c r="C278" s="7"/>
      <c r="D278" s="7"/>
      <c r="E278" s="7" t="s">
        <v>659</v>
      </c>
      <c r="F278" s="7"/>
      <c r="G278" s="7"/>
      <c r="H278" s="7" t="s">
        <v>659</v>
      </c>
      <c r="I278" s="7"/>
      <c r="J278" s="7" t="s">
        <v>659</v>
      </c>
      <c r="K278" s="7" t="s">
        <v>659</v>
      </c>
      <c r="L278" s="7"/>
      <c r="M278" s="7" t="n">
        <v>7</v>
      </c>
      <c r="N278" s="7" t="n">
        <v>27</v>
      </c>
      <c r="O278" s="7"/>
      <c r="P278" s="10" t="s">
        <v>1028</v>
      </c>
      <c r="Q278" s="30" t="s">
        <v>657</v>
      </c>
      <c r="R278" s="10" t="s">
        <v>1037</v>
      </c>
      <c r="S278" s="12"/>
      <c r="T278" s="30" t="s">
        <v>1038</v>
      </c>
    </row>
    <row r="279" customFormat="false" ht="46.25" hidden="false" customHeight="false" outlineLevel="0" collapsed="false">
      <c r="A279" s="12" t="s">
        <v>29</v>
      </c>
      <c r="B279" s="12" t="s">
        <v>56</v>
      </c>
      <c r="C279" s="7"/>
      <c r="D279" s="7" t="s">
        <v>659</v>
      </c>
      <c r="E279" s="7" t="s">
        <v>659</v>
      </c>
      <c r="F279" s="7" t="s">
        <v>659</v>
      </c>
      <c r="G279" s="7" t="s">
        <v>659</v>
      </c>
      <c r="H279" s="7" t="s">
        <v>659</v>
      </c>
      <c r="I279" s="7" t="s">
        <v>659</v>
      </c>
      <c r="J279" s="7"/>
      <c r="K279" s="7" t="s">
        <v>659</v>
      </c>
      <c r="L279" s="7"/>
      <c r="M279" s="7" t="n">
        <v>13</v>
      </c>
      <c r="N279" s="7" t="n">
        <v>29</v>
      </c>
      <c r="O279" s="7"/>
      <c r="P279" s="10" t="s">
        <v>1039</v>
      </c>
      <c r="Q279" s="30" t="s">
        <v>657</v>
      </c>
      <c r="R279" s="10" t="s">
        <v>1040</v>
      </c>
      <c r="S279" s="12"/>
      <c r="T279" s="12"/>
    </row>
    <row r="280" customFormat="false" ht="35.05" hidden="false" customHeight="false" outlineLevel="0" collapsed="false">
      <c r="A280" s="12" t="s">
        <v>29</v>
      </c>
      <c r="B280" s="12" t="s">
        <v>193</v>
      </c>
      <c r="C280" s="7"/>
      <c r="D280" s="7"/>
      <c r="E280" s="7"/>
      <c r="F280" s="7" t="s">
        <v>659</v>
      </c>
      <c r="G280" s="7"/>
      <c r="H280" s="7" t="s">
        <v>659</v>
      </c>
      <c r="I280" s="7" t="s">
        <v>659</v>
      </c>
      <c r="J280" s="7"/>
      <c r="K280" s="7"/>
      <c r="L280" s="7"/>
      <c r="M280" s="7" t="n">
        <v>5</v>
      </c>
      <c r="N280" s="7" t="n">
        <v>0</v>
      </c>
      <c r="O280" s="7"/>
      <c r="P280" s="10" t="s">
        <v>1033</v>
      </c>
      <c r="Q280" s="30" t="s">
        <v>657</v>
      </c>
      <c r="R280" s="10" t="s">
        <v>1041</v>
      </c>
      <c r="S280" s="12"/>
      <c r="T280" s="12"/>
    </row>
    <row r="281" customFormat="false" ht="35.05" hidden="false" customHeight="false" outlineLevel="0" collapsed="false">
      <c r="A281" s="12" t="s">
        <v>29</v>
      </c>
      <c r="B281" s="12" t="s">
        <v>179</v>
      </c>
      <c r="C281" s="7"/>
      <c r="D281" s="7" t="s">
        <v>659</v>
      </c>
      <c r="E281" s="7"/>
      <c r="F281" s="7"/>
      <c r="G281" s="7"/>
      <c r="H281" s="7" t="s">
        <v>659</v>
      </c>
      <c r="I281" s="7" t="s">
        <v>659</v>
      </c>
      <c r="J281" s="7" t="s">
        <v>659</v>
      </c>
      <c r="K281" s="7" t="s">
        <v>659</v>
      </c>
      <c r="L281" s="7" t="s">
        <v>659</v>
      </c>
      <c r="M281" s="7" t="n">
        <v>12</v>
      </c>
      <c r="N281" s="7" t="n">
        <v>30</v>
      </c>
      <c r="O281" s="7"/>
      <c r="P281" s="10" t="s">
        <v>1042</v>
      </c>
      <c r="Q281" s="30" t="s">
        <v>657</v>
      </c>
      <c r="R281" s="10" t="s">
        <v>1043</v>
      </c>
      <c r="S281" s="12"/>
      <c r="T281" s="30" t="s">
        <v>1044</v>
      </c>
    </row>
    <row r="282" customFormat="false" ht="35.05" hidden="false" customHeight="false" outlineLevel="0" collapsed="false">
      <c r="A282" s="12" t="s">
        <v>29</v>
      </c>
      <c r="B282" s="12" t="s">
        <v>554</v>
      </c>
      <c r="C282" s="7"/>
      <c r="D282" s="7"/>
      <c r="E282" s="7"/>
      <c r="F282" s="7"/>
      <c r="G282" s="7"/>
      <c r="H282" s="7"/>
      <c r="I282" s="7" t="s">
        <v>659</v>
      </c>
      <c r="J282" s="7"/>
      <c r="K282" s="7"/>
      <c r="L282" s="7"/>
      <c r="M282" s="7" t="n">
        <v>2</v>
      </c>
      <c r="N282" s="7" t="n">
        <v>22</v>
      </c>
      <c r="O282" s="7"/>
      <c r="P282" s="10" t="s">
        <v>1033</v>
      </c>
      <c r="Q282" s="30" t="s">
        <v>657</v>
      </c>
      <c r="R282" s="10" t="s">
        <v>1045</v>
      </c>
      <c r="S282" s="12"/>
      <c r="T282" s="12"/>
    </row>
    <row r="283" customFormat="false" ht="35.05" hidden="false" customHeight="false" outlineLevel="0" collapsed="false">
      <c r="A283" s="12" t="s">
        <v>29</v>
      </c>
      <c r="B283" s="12" t="s">
        <v>116</v>
      </c>
      <c r="C283" s="7" t="s">
        <v>659</v>
      </c>
      <c r="D283" s="7" t="s">
        <v>659</v>
      </c>
      <c r="E283" s="7"/>
      <c r="F283" s="7"/>
      <c r="G283" s="7" t="s">
        <v>659</v>
      </c>
      <c r="H283" s="7" t="s">
        <v>659</v>
      </c>
      <c r="I283" s="7"/>
      <c r="J283" s="7"/>
      <c r="K283" s="7" t="s">
        <v>659</v>
      </c>
      <c r="L283" s="7"/>
      <c r="M283" s="7" t="n">
        <v>3</v>
      </c>
      <c r="N283" s="7" t="n">
        <v>0</v>
      </c>
      <c r="O283" s="7"/>
      <c r="P283" s="10" t="s">
        <v>1046</v>
      </c>
      <c r="Q283" s="30" t="s">
        <v>657</v>
      </c>
      <c r="R283" s="10" t="s">
        <v>1047</v>
      </c>
      <c r="S283" s="12"/>
      <c r="T283" s="12"/>
    </row>
    <row r="284" customFormat="false" ht="35.05" hidden="false" customHeight="false" outlineLevel="0" collapsed="false">
      <c r="A284" s="12" t="s">
        <v>29</v>
      </c>
      <c r="B284" s="12" t="s">
        <v>173</v>
      </c>
      <c r="C284" s="7"/>
      <c r="D284" s="7" t="s">
        <v>659</v>
      </c>
      <c r="E284" s="7"/>
      <c r="F284" s="7"/>
      <c r="G284" s="7"/>
      <c r="H284" s="7" t="s">
        <v>659</v>
      </c>
      <c r="I284" s="7"/>
      <c r="J284" s="7"/>
      <c r="K284" s="7" t="s">
        <v>659</v>
      </c>
      <c r="L284" s="7"/>
      <c r="M284" s="7" t="n">
        <v>2</v>
      </c>
      <c r="N284" s="7" t="n">
        <v>25</v>
      </c>
      <c r="O284" s="7"/>
      <c r="P284" s="10" t="s">
        <v>1048</v>
      </c>
      <c r="Q284" s="30" t="s">
        <v>657</v>
      </c>
      <c r="R284" s="10" t="s">
        <v>1049</v>
      </c>
      <c r="S284" s="12"/>
      <c r="T284" s="12"/>
    </row>
    <row r="285" customFormat="false" ht="35.05" hidden="false" customHeight="false" outlineLevel="0" collapsed="false">
      <c r="A285" s="12" t="s">
        <v>29</v>
      </c>
      <c r="B285" s="12" t="s">
        <v>608</v>
      </c>
      <c r="C285" s="7"/>
      <c r="D285" s="7" t="s">
        <v>659</v>
      </c>
      <c r="E285" s="7"/>
      <c r="F285" s="7"/>
      <c r="G285" s="7"/>
      <c r="H285" s="7" t="s">
        <v>659</v>
      </c>
      <c r="I285" s="7" t="s">
        <v>659</v>
      </c>
      <c r="J285" s="7" t="s">
        <v>659</v>
      </c>
      <c r="K285" s="7" t="s">
        <v>659</v>
      </c>
      <c r="L285" s="7"/>
      <c r="M285" s="7" t="n">
        <v>9</v>
      </c>
      <c r="N285" s="7" t="n">
        <v>25</v>
      </c>
      <c r="O285" s="7"/>
      <c r="P285" s="10" t="s">
        <v>1033</v>
      </c>
      <c r="Q285" s="30" t="s">
        <v>657</v>
      </c>
      <c r="R285" s="10" t="s">
        <v>1050</v>
      </c>
      <c r="S285" s="12"/>
      <c r="T285" s="30" t="s">
        <v>1051</v>
      </c>
    </row>
    <row r="286" customFormat="false" ht="23.85" hidden="false" customHeight="false" outlineLevel="0" collapsed="false">
      <c r="A286" s="12" t="s">
        <v>29</v>
      </c>
      <c r="B286" s="12" t="s">
        <v>191</v>
      </c>
      <c r="C286" s="7"/>
      <c r="D286" s="7"/>
      <c r="E286" s="7" t="s">
        <v>659</v>
      </c>
      <c r="F286" s="7"/>
      <c r="G286" s="7"/>
      <c r="H286" s="7"/>
      <c r="I286" s="7"/>
      <c r="J286" s="7"/>
      <c r="K286" s="7"/>
      <c r="L286" s="7"/>
      <c r="M286" s="7" t="n">
        <v>0</v>
      </c>
      <c r="N286" s="7" t="n">
        <v>0</v>
      </c>
      <c r="O286" s="7"/>
      <c r="P286" s="10"/>
      <c r="Q286" s="30" t="s">
        <v>657</v>
      </c>
      <c r="R286" s="10" t="s">
        <v>729</v>
      </c>
      <c r="S286" s="12"/>
      <c r="T286" s="12"/>
    </row>
    <row r="287" customFormat="false" ht="35.05" hidden="false" customHeight="false" outlineLevel="0" collapsed="false">
      <c r="A287" s="12" t="s">
        <v>29</v>
      </c>
      <c r="B287" s="12" t="s">
        <v>446</v>
      </c>
      <c r="C287" s="7"/>
      <c r="D287" s="7" t="s">
        <v>659</v>
      </c>
      <c r="E287" s="7"/>
      <c r="F287" s="7" t="s">
        <v>659</v>
      </c>
      <c r="G287" s="7"/>
      <c r="H287" s="7"/>
      <c r="I287" s="7" t="s">
        <v>659</v>
      </c>
      <c r="J287" s="7" t="s">
        <v>659</v>
      </c>
      <c r="K287" s="7" t="s">
        <v>659</v>
      </c>
      <c r="L287" s="7"/>
      <c r="M287" s="7" t="n">
        <v>10</v>
      </c>
      <c r="N287" s="7" t="n">
        <v>27</v>
      </c>
      <c r="O287" s="7"/>
      <c r="P287" s="10" t="s">
        <v>1052</v>
      </c>
      <c r="Q287" s="30" t="s">
        <v>657</v>
      </c>
      <c r="R287" s="10" t="s">
        <v>1053</v>
      </c>
      <c r="S287" s="12"/>
      <c r="T287" s="30" t="s">
        <v>1054</v>
      </c>
    </row>
    <row r="288" customFormat="false" ht="35.05" hidden="false" customHeight="false" outlineLevel="0" collapsed="false">
      <c r="A288" s="12" t="s">
        <v>29</v>
      </c>
      <c r="B288" s="12" t="s">
        <v>383</v>
      </c>
      <c r="C288" s="7"/>
      <c r="D288" s="7" t="s">
        <v>659</v>
      </c>
      <c r="E288" s="7"/>
      <c r="F288" s="7" t="s">
        <v>659</v>
      </c>
      <c r="G288" s="7" t="s">
        <v>659</v>
      </c>
      <c r="H288" s="7" t="s">
        <v>659</v>
      </c>
      <c r="I288" s="7"/>
      <c r="J288" s="7"/>
      <c r="K288" s="7" t="s">
        <v>659</v>
      </c>
      <c r="L288" s="7"/>
      <c r="M288" s="7" t="n">
        <v>1</v>
      </c>
      <c r="N288" s="7" t="n">
        <v>5</v>
      </c>
      <c r="O288" s="7"/>
      <c r="P288" s="10" t="s">
        <v>1028</v>
      </c>
      <c r="Q288" s="30" t="s">
        <v>657</v>
      </c>
      <c r="R288" s="10" t="s">
        <v>1055</v>
      </c>
      <c r="S288" s="12"/>
      <c r="T288" s="12"/>
    </row>
    <row r="289" customFormat="false" ht="35.05" hidden="false" customHeight="false" outlineLevel="0" collapsed="false">
      <c r="A289" s="12" t="s">
        <v>41</v>
      </c>
      <c r="B289" s="12" t="s">
        <v>112</v>
      </c>
      <c r="C289" s="7"/>
      <c r="D289" s="7"/>
      <c r="E289" s="7"/>
      <c r="F289" s="7"/>
      <c r="G289" s="7"/>
      <c r="H289" s="7"/>
      <c r="I289" s="7" t="s">
        <v>659</v>
      </c>
      <c r="J289" s="7"/>
      <c r="K289" s="7"/>
      <c r="L289" s="7"/>
      <c r="M289" s="7" t="n">
        <v>1</v>
      </c>
      <c r="N289" s="7" t="n">
        <v>30</v>
      </c>
      <c r="O289" s="7"/>
      <c r="P289" s="10" t="s">
        <v>1056</v>
      </c>
      <c r="Q289" s="30" t="s">
        <v>657</v>
      </c>
      <c r="R289" s="10" t="s">
        <v>1057</v>
      </c>
      <c r="S289" s="12"/>
      <c r="T289" s="12"/>
    </row>
    <row r="290" customFormat="false" ht="35.05" hidden="false" customHeight="false" outlineLevel="0" collapsed="false">
      <c r="A290" s="12" t="s">
        <v>41</v>
      </c>
      <c r="B290" s="12" t="s">
        <v>248</v>
      </c>
      <c r="C290" s="7"/>
      <c r="D290" s="7" t="s">
        <v>659</v>
      </c>
      <c r="E290" s="7"/>
      <c r="F290" s="7"/>
      <c r="G290" s="7"/>
      <c r="H290" s="7" t="s">
        <v>659</v>
      </c>
      <c r="I290" s="7"/>
      <c r="J290" s="7"/>
      <c r="K290" s="7"/>
      <c r="L290" s="7"/>
      <c r="M290" s="7" t="n">
        <v>0</v>
      </c>
      <c r="N290" s="7" t="n">
        <v>24</v>
      </c>
      <c r="O290" s="7"/>
      <c r="P290" s="10" t="s">
        <v>1058</v>
      </c>
      <c r="Q290" s="30" t="s">
        <v>657</v>
      </c>
      <c r="R290" s="10" t="s">
        <v>1059</v>
      </c>
      <c r="S290" s="12"/>
      <c r="T290" s="12"/>
    </row>
    <row r="291" customFormat="false" ht="35.05" hidden="false" customHeight="false" outlineLevel="0" collapsed="false">
      <c r="A291" s="12" t="s">
        <v>41</v>
      </c>
      <c r="B291" s="12" t="s">
        <v>249</v>
      </c>
      <c r="C291" s="7"/>
      <c r="D291" s="7"/>
      <c r="E291" s="7"/>
      <c r="F291" s="7"/>
      <c r="G291" s="7"/>
      <c r="H291" s="7"/>
      <c r="I291" s="7" t="s">
        <v>659</v>
      </c>
      <c r="J291" s="7"/>
      <c r="K291" s="7"/>
      <c r="L291" s="7"/>
      <c r="M291" s="7" t="n">
        <v>1</v>
      </c>
      <c r="N291" s="7" t="n">
        <v>30</v>
      </c>
      <c r="O291" s="7"/>
      <c r="P291" s="10" t="s">
        <v>1056</v>
      </c>
      <c r="Q291" s="30" t="s">
        <v>657</v>
      </c>
      <c r="R291" s="10" t="s">
        <v>1060</v>
      </c>
      <c r="S291" s="12"/>
      <c r="T291" s="12"/>
    </row>
    <row r="292" customFormat="false" ht="35.05" hidden="false" customHeight="false" outlineLevel="0" collapsed="false">
      <c r="A292" s="12" t="s">
        <v>41</v>
      </c>
      <c r="B292" s="12" t="s">
        <v>56</v>
      </c>
      <c r="C292" s="7"/>
      <c r="D292" s="7"/>
      <c r="E292" s="7"/>
      <c r="F292" s="7"/>
      <c r="G292" s="7"/>
      <c r="H292" s="7"/>
      <c r="I292" s="7" t="s">
        <v>659</v>
      </c>
      <c r="J292" s="7"/>
      <c r="K292" s="7"/>
      <c r="L292" s="7"/>
      <c r="M292" s="7" t="n">
        <v>1</v>
      </c>
      <c r="N292" s="7" t="n">
        <v>28</v>
      </c>
      <c r="O292" s="7"/>
      <c r="P292" s="10" t="s">
        <v>1056</v>
      </c>
      <c r="Q292" s="30" t="s">
        <v>657</v>
      </c>
      <c r="R292" s="10" t="s">
        <v>1061</v>
      </c>
      <c r="S292" s="12"/>
      <c r="T292" s="12"/>
    </row>
    <row r="293" customFormat="false" ht="35.05" hidden="false" customHeight="false" outlineLevel="0" collapsed="false">
      <c r="A293" s="12" t="s">
        <v>41</v>
      </c>
      <c r="B293" s="12" t="s">
        <v>244</v>
      </c>
      <c r="C293" s="7"/>
      <c r="D293" s="7"/>
      <c r="E293" s="7"/>
      <c r="F293" s="7"/>
      <c r="G293" s="7"/>
      <c r="H293" s="7"/>
      <c r="I293" s="7" t="s">
        <v>659</v>
      </c>
      <c r="J293" s="7"/>
      <c r="K293" s="7"/>
      <c r="L293" s="7"/>
      <c r="M293" s="7" t="n">
        <v>2</v>
      </c>
      <c r="N293" s="7" t="n">
        <v>30</v>
      </c>
      <c r="O293" s="7"/>
      <c r="P293" s="10" t="s">
        <v>1056</v>
      </c>
      <c r="Q293" s="30" t="s">
        <v>657</v>
      </c>
      <c r="R293" s="10" t="s">
        <v>1062</v>
      </c>
      <c r="S293" s="12"/>
      <c r="T293" s="12"/>
    </row>
    <row r="294" customFormat="false" ht="23.85" hidden="false" customHeight="false" outlineLevel="0" collapsed="false">
      <c r="A294" s="12" t="s">
        <v>41</v>
      </c>
      <c r="B294" s="12" t="s">
        <v>488</v>
      </c>
      <c r="C294" s="7"/>
      <c r="D294" s="7"/>
      <c r="E294" s="7"/>
      <c r="F294" s="7"/>
      <c r="G294" s="7" t="s">
        <v>659</v>
      </c>
      <c r="H294" s="7"/>
      <c r="I294" s="7"/>
      <c r="J294" s="7"/>
      <c r="K294" s="7"/>
      <c r="L294" s="7"/>
      <c r="M294" s="7" t="n">
        <v>0</v>
      </c>
      <c r="N294" s="7" t="n">
        <v>0</v>
      </c>
      <c r="O294" s="7"/>
      <c r="P294" s="10"/>
      <c r="Q294" s="30" t="s">
        <v>657</v>
      </c>
      <c r="R294" s="10" t="s">
        <v>1063</v>
      </c>
      <c r="S294" s="12"/>
      <c r="T294" s="12"/>
    </row>
    <row r="295" customFormat="false" ht="35.05" hidden="false" customHeight="false" outlineLevel="0" collapsed="false">
      <c r="A295" s="12" t="s">
        <v>41</v>
      </c>
      <c r="B295" s="12" t="s">
        <v>246</v>
      </c>
      <c r="C295" s="7"/>
      <c r="D295" s="7"/>
      <c r="E295" s="7"/>
      <c r="F295" s="7"/>
      <c r="G295" s="7"/>
      <c r="H295" s="7"/>
      <c r="I295" s="7" t="s">
        <v>659</v>
      </c>
      <c r="J295" s="7"/>
      <c r="K295" s="7"/>
      <c r="L295" s="7"/>
      <c r="M295" s="7" t="n">
        <v>1</v>
      </c>
      <c r="N295" s="7" t="n">
        <v>30</v>
      </c>
      <c r="O295" s="7"/>
      <c r="P295" s="10" t="s">
        <v>1056</v>
      </c>
      <c r="Q295" s="30" t="s">
        <v>657</v>
      </c>
      <c r="R295" s="10" t="s">
        <v>1064</v>
      </c>
      <c r="S295" s="12"/>
      <c r="T295" s="12"/>
    </row>
    <row r="296" customFormat="false" ht="23.85" hidden="false" customHeight="false" outlineLevel="0" collapsed="false">
      <c r="A296" s="12" t="s">
        <v>45</v>
      </c>
      <c r="B296" s="12" t="s">
        <v>262</v>
      </c>
      <c r="C296" s="7"/>
      <c r="D296" s="7" t="s">
        <v>659</v>
      </c>
      <c r="E296" s="7"/>
      <c r="F296" s="7"/>
      <c r="G296" s="7"/>
      <c r="H296" s="7"/>
      <c r="I296" s="7"/>
      <c r="J296" s="7"/>
      <c r="K296" s="7"/>
      <c r="L296" s="7"/>
      <c r="M296" s="7" t="n">
        <v>0</v>
      </c>
      <c r="N296" s="7" t="n">
        <v>0</v>
      </c>
      <c r="O296" s="7"/>
      <c r="P296" s="10"/>
      <c r="Q296" s="30" t="s">
        <v>657</v>
      </c>
      <c r="R296" s="10" t="s">
        <v>740</v>
      </c>
      <c r="S296" s="12"/>
      <c r="T296" s="12"/>
    </row>
    <row r="297" customFormat="false" ht="23.85" hidden="false" customHeight="false" outlineLevel="0" collapsed="false">
      <c r="A297" s="12" t="s">
        <v>45</v>
      </c>
      <c r="B297" s="12" t="s">
        <v>211</v>
      </c>
      <c r="C297" s="7"/>
      <c r="D297" s="7" t="s">
        <v>659</v>
      </c>
      <c r="E297" s="7"/>
      <c r="F297" s="7"/>
      <c r="G297" s="7"/>
      <c r="H297" s="7"/>
      <c r="I297" s="7"/>
      <c r="J297" s="7"/>
      <c r="K297" s="7"/>
      <c r="L297" s="7"/>
      <c r="M297" s="7" t="n">
        <v>0</v>
      </c>
      <c r="N297" s="7" t="n">
        <v>0</v>
      </c>
      <c r="O297" s="7"/>
      <c r="P297" s="10"/>
      <c r="Q297" s="30" t="s">
        <v>657</v>
      </c>
      <c r="R297" s="10" t="s">
        <v>1023</v>
      </c>
      <c r="S297" s="12"/>
      <c r="T297" s="12"/>
    </row>
    <row r="298" customFormat="false" ht="23.85" hidden="false" customHeight="false" outlineLevel="0" collapsed="false">
      <c r="A298" s="12" t="s">
        <v>45</v>
      </c>
      <c r="B298" s="12" t="s">
        <v>205</v>
      </c>
      <c r="C298" s="7"/>
      <c r="D298" s="7" t="s">
        <v>659</v>
      </c>
      <c r="E298" s="7"/>
      <c r="F298" s="7"/>
      <c r="G298" s="7"/>
      <c r="H298" s="7"/>
      <c r="I298" s="7"/>
      <c r="J298" s="7"/>
      <c r="K298" s="7"/>
      <c r="L298" s="7"/>
      <c r="M298" s="7" t="n">
        <v>0</v>
      </c>
      <c r="N298" s="7" t="n">
        <v>0</v>
      </c>
      <c r="O298" s="7"/>
      <c r="P298" s="10"/>
      <c r="Q298" s="30" t="s">
        <v>657</v>
      </c>
      <c r="R298" s="10" t="s">
        <v>1065</v>
      </c>
      <c r="S298" s="12"/>
      <c r="T298" s="12"/>
    </row>
    <row r="299" customFormat="false" ht="35.05" hidden="false" customHeight="false" outlineLevel="0" collapsed="false">
      <c r="A299" s="12" t="s">
        <v>45</v>
      </c>
      <c r="B299" s="12" t="s">
        <v>56</v>
      </c>
      <c r="C299" s="7"/>
      <c r="D299" s="7" t="s">
        <v>659</v>
      </c>
      <c r="E299" s="7"/>
      <c r="F299" s="7"/>
      <c r="G299" s="7"/>
      <c r="H299" s="7" t="s">
        <v>659</v>
      </c>
      <c r="I299" s="7" t="s">
        <v>659</v>
      </c>
      <c r="J299" s="7" t="s">
        <v>659</v>
      </c>
      <c r="K299" s="7" t="s">
        <v>659</v>
      </c>
      <c r="L299" s="7" t="s">
        <v>659</v>
      </c>
      <c r="M299" s="7" t="n">
        <v>8</v>
      </c>
      <c r="N299" s="7" t="n">
        <v>29</v>
      </c>
      <c r="O299" s="7"/>
      <c r="P299" s="10" t="s">
        <v>1066</v>
      </c>
      <c r="Q299" s="30" t="s">
        <v>657</v>
      </c>
      <c r="R299" s="10" t="s">
        <v>1067</v>
      </c>
      <c r="S299" s="12"/>
      <c r="T299" s="30" t="s">
        <v>1068</v>
      </c>
    </row>
    <row r="300" customFormat="false" ht="35.05" hidden="false" customHeight="false" outlineLevel="0" collapsed="false">
      <c r="A300" s="12" t="s">
        <v>33</v>
      </c>
      <c r="B300" s="12" t="s">
        <v>626</v>
      </c>
      <c r="C300" s="7"/>
      <c r="D300" s="7" t="s">
        <v>659</v>
      </c>
      <c r="E300" s="7"/>
      <c r="F300" s="7"/>
      <c r="G300" s="7"/>
      <c r="H300" s="7" t="s">
        <v>659</v>
      </c>
      <c r="I300" s="7"/>
      <c r="J300" s="7"/>
      <c r="K300" s="7"/>
      <c r="L300" s="7"/>
      <c r="M300" s="7" t="n">
        <v>0</v>
      </c>
      <c r="N300" s="7" t="n">
        <v>22</v>
      </c>
      <c r="O300" s="7"/>
      <c r="P300" s="10" t="s">
        <v>1069</v>
      </c>
      <c r="Q300" s="30" t="s">
        <v>657</v>
      </c>
      <c r="R300" s="10" t="s">
        <v>1070</v>
      </c>
      <c r="S300" s="12"/>
      <c r="T300" s="12"/>
    </row>
    <row r="301" customFormat="false" ht="23.85" hidden="false" customHeight="false" outlineLevel="0" collapsed="false">
      <c r="A301" s="12" t="s">
        <v>33</v>
      </c>
      <c r="B301" s="12" t="s">
        <v>136</v>
      </c>
      <c r="C301" s="7"/>
      <c r="D301" s="7"/>
      <c r="E301" s="7"/>
      <c r="F301" s="7" t="s">
        <v>659</v>
      </c>
      <c r="G301" s="7"/>
      <c r="H301" s="7"/>
      <c r="I301" s="7"/>
      <c r="J301" s="7"/>
      <c r="K301" s="7"/>
      <c r="L301" s="7"/>
      <c r="M301" s="7" t="n">
        <v>0</v>
      </c>
      <c r="N301" s="7" t="n">
        <v>0</v>
      </c>
      <c r="O301" s="7"/>
      <c r="P301" s="10"/>
      <c r="Q301" s="30" t="s">
        <v>657</v>
      </c>
      <c r="R301" s="10" t="s">
        <v>1071</v>
      </c>
      <c r="S301" s="12"/>
      <c r="T301" s="12"/>
    </row>
    <row r="302" customFormat="false" ht="35.05" hidden="false" customHeight="false" outlineLevel="0" collapsed="false">
      <c r="A302" s="12" t="s">
        <v>33</v>
      </c>
      <c r="B302" s="12" t="s">
        <v>250</v>
      </c>
      <c r="C302" s="7"/>
      <c r="D302" s="7" t="s">
        <v>659</v>
      </c>
      <c r="E302" s="7"/>
      <c r="F302" s="7"/>
      <c r="G302" s="7"/>
      <c r="H302" s="7" t="s">
        <v>659</v>
      </c>
      <c r="I302" s="7"/>
      <c r="J302" s="7"/>
      <c r="K302" s="7"/>
      <c r="L302" s="7"/>
      <c r="M302" s="7" t="n">
        <v>0</v>
      </c>
      <c r="N302" s="7" t="n">
        <v>1</v>
      </c>
      <c r="O302" s="7"/>
      <c r="P302" s="10" t="s">
        <v>1069</v>
      </c>
      <c r="Q302" s="30" t="s">
        <v>657</v>
      </c>
      <c r="R302" s="10" t="s">
        <v>1072</v>
      </c>
      <c r="S302" s="12"/>
      <c r="T302" s="12"/>
    </row>
    <row r="303" customFormat="false" ht="35.05" hidden="false" customHeight="false" outlineLevel="0" collapsed="false">
      <c r="A303" s="12" t="s">
        <v>33</v>
      </c>
      <c r="B303" s="12" t="s">
        <v>211</v>
      </c>
      <c r="C303" s="7"/>
      <c r="D303" s="7" t="s">
        <v>659</v>
      </c>
      <c r="E303" s="7"/>
      <c r="F303" s="7"/>
      <c r="G303" s="7"/>
      <c r="H303" s="7" t="s">
        <v>659</v>
      </c>
      <c r="I303" s="7"/>
      <c r="J303" s="7"/>
      <c r="K303" s="7"/>
      <c r="L303" s="7"/>
      <c r="M303" s="7" t="n">
        <v>2</v>
      </c>
      <c r="N303" s="7" t="n">
        <v>29</v>
      </c>
      <c r="O303" s="7"/>
      <c r="P303" s="10" t="s">
        <v>1073</v>
      </c>
      <c r="Q303" s="30" t="s">
        <v>657</v>
      </c>
      <c r="R303" s="10" t="s">
        <v>1074</v>
      </c>
      <c r="S303" s="12"/>
      <c r="T303" s="12"/>
    </row>
    <row r="304" customFormat="false" ht="35.05" hidden="false" customHeight="false" outlineLevel="0" collapsed="false">
      <c r="A304" s="12" t="s">
        <v>33</v>
      </c>
      <c r="B304" s="12" t="s">
        <v>205</v>
      </c>
      <c r="C304" s="7" t="s">
        <v>659</v>
      </c>
      <c r="D304" s="7" t="s">
        <v>659</v>
      </c>
      <c r="E304" s="7"/>
      <c r="F304" s="7"/>
      <c r="G304" s="7"/>
      <c r="H304" s="7" t="s">
        <v>659</v>
      </c>
      <c r="I304" s="7"/>
      <c r="J304" s="7"/>
      <c r="K304" s="7"/>
      <c r="L304" s="7"/>
      <c r="M304" s="7" t="n">
        <v>2</v>
      </c>
      <c r="N304" s="7" t="n">
        <v>0</v>
      </c>
      <c r="O304" s="7"/>
      <c r="P304" s="10" t="s">
        <v>1073</v>
      </c>
      <c r="Q304" s="30" t="s">
        <v>657</v>
      </c>
      <c r="R304" s="10" t="s">
        <v>1075</v>
      </c>
      <c r="S304" s="12"/>
      <c r="T304" s="12"/>
    </row>
    <row r="305" customFormat="false" ht="35.05" hidden="false" customHeight="false" outlineLevel="0" collapsed="false">
      <c r="A305" s="12" t="s">
        <v>33</v>
      </c>
      <c r="B305" s="12" t="s">
        <v>632</v>
      </c>
      <c r="C305" s="7"/>
      <c r="D305" s="7" t="s">
        <v>659</v>
      </c>
      <c r="E305" s="7"/>
      <c r="F305" s="7"/>
      <c r="G305" s="7"/>
      <c r="H305" s="7" t="s">
        <v>659</v>
      </c>
      <c r="I305" s="7"/>
      <c r="J305" s="7"/>
      <c r="K305" s="7"/>
      <c r="L305" s="7"/>
      <c r="M305" s="7" t="n">
        <v>0</v>
      </c>
      <c r="N305" s="7" t="n">
        <v>0</v>
      </c>
      <c r="O305" s="7"/>
      <c r="P305" s="10" t="s">
        <v>1069</v>
      </c>
      <c r="Q305" s="30" t="s">
        <v>657</v>
      </c>
      <c r="R305" s="10" t="s">
        <v>1076</v>
      </c>
      <c r="S305" s="12"/>
      <c r="T305" s="12"/>
    </row>
    <row r="306" customFormat="false" ht="35.05" hidden="false" customHeight="false" outlineLevel="0" collapsed="false">
      <c r="A306" s="12" t="s">
        <v>33</v>
      </c>
      <c r="B306" s="12" t="s">
        <v>104</v>
      </c>
      <c r="C306" s="7"/>
      <c r="D306" s="7" t="s">
        <v>659</v>
      </c>
      <c r="E306" s="7"/>
      <c r="F306" s="7" t="s">
        <v>659</v>
      </c>
      <c r="G306" s="7"/>
      <c r="H306" s="7" t="s">
        <v>659</v>
      </c>
      <c r="I306" s="7"/>
      <c r="J306" s="7"/>
      <c r="K306" s="7"/>
      <c r="L306" s="7"/>
      <c r="M306" s="7" t="n">
        <v>0</v>
      </c>
      <c r="N306" s="7" t="n">
        <v>27</v>
      </c>
      <c r="O306" s="7"/>
      <c r="P306" s="10" t="s">
        <v>1069</v>
      </c>
      <c r="Q306" s="30" t="s">
        <v>657</v>
      </c>
      <c r="R306" s="10" t="s">
        <v>1077</v>
      </c>
      <c r="S306" s="12"/>
      <c r="T306" s="12"/>
    </row>
    <row r="307" customFormat="false" ht="35.05" hidden="false" customHeight="false" outlineLevel="0" collapsed="false">
      <c r="A307" s="12" t="s">
        <v>33</v>
      </c>
      <c r="B307" s="12" t="s">
        <v>220</v>
      </c>
      <c r="C307" s="7"/>
      <c r="D307" s="7" t="s">
        <v>659</v>
      </c>
      <c r="E307" s="7"/>
      <c r="F307" s="7"/>
      <c r="G307" s="7"/>
      <c r="H307" s="7" t="s">
        <v>659</v>
      </c>
      <c r="I307" s="7"/>
      <c r="J307" s="7"/>
      <c r="K307" s="7"/>
      <c r="L307" s="7"/>
      <c r="M307" s="7" t="n">
        <v>0</v>
      </c>
      <c r="N307" s="7" t="n">
        <v>0</v>
      </c>
      <c r="O307" s="7"/>
      <c r="P307" s="10" t="s">
        <v>1069</v>
      </c>
      <c r="Q307" s="30" t="s">
        <v>657</v>
      </c>
      <c r="R307" s="10" t="s">
        <v>1078</v>
      </c>
      <c r="S307" s="12"/>
      <c r="T307" s="12"/>
    </row>
    <row r="308" customFormat="false" ht="35.05" hidden="false" customHeight="false" outlineLevel="0" collapsed="false">
      <c r="A308" s="12" t="s">
        <v>33</v>
      </c>
      <c r="B308" s="12" t="s">
        <v>218</v>
      </c>
      <c r="C308" s="7"/>
      <c r="D308" s="7"/>
      <c r="E308" s="7"/>
      <c r="F308" s="7"/>
      <c r="G308" s="7"/>
      <c r="H308" s="7" t="s">
        <v>659</v>
      </c>
      <c r="I308" s="7"/>
      <c r="J308" s="7"/>
      <c r="K308" s="7"/>
      <c r="L308" s="7"/>
      <c r="M308" s="7" t="n">
        <v>2</v>
      </c>
      <c r="N308" s="7" t="n">
        <v>5</v>
      </c>
      <c r="O308" s="7"/>
      <c r="P308" s="10" t="s">
        <v>1073</v>
      </c>
      <c r="Q308" s="30" t="s">
        <v>657</v>
      </c>
      <c r="R308" s="10" t="s">
        <v>1079</v>
      </c>
      <c r="S308" s="12"/>
      <c r="T308" s="12"/>
    </row>
    <row r="309" customFormat="false" ht="35.05" hidden="false" customHeight="false" outlineLevel="0" collapsed="false">
      <c r="A309" s="12" t="s">
        <v>33</v>
      </c>
      <c r="B309" s="12" t="s">
        <v>623</v>
      </c>
      <c r="C309" s="7"/>
      <c r="D309" s="7" t="s">
        <v>659</v>
      </c>
      <c r="E309" s="7"/>
      <c r="F309" s="7"/>
      <c r="G309" s="7"/>
      <c r="H309" s="7" t="s">
        <v>659</v>
      </c>
      <c r="I309" s="7"/>
      <c r="J309" s="7"/>
      <c r="K309" s="7"/>
      <c r="L309" s="7"/>
      <c r="M309" s="7" t="n">
        <v>0</v>
      </c>
      <c r="N309" s="7" t="n">
        <v>0</v>
      </c>
      <c r="O309" s="7"/>
      <c r="P309" s="10" t="s">
        <v>1069</v>
      </c>
      <c r="Q309" s="30" t="s">
        <v>657</v>
      </c>
      <c r="R309" s="10" t="s">
        <v>1080</v>
      </c>
      <c r="S309" s="12"/>
      <c r="T309" s="12"/>
    </row>
    <row r="310" customFormat="false" ht="35.05" hidden="false" customHeight="false" outlineLevel="0" collapsed="false">
      <c r="A310" s="12" t="s">
        <v>33</v>
      </c>
      <c r="B310" s="12" t="s">
        <v>618</v>
      </c>
      <c r="C310" s="7"/>
      <c r="D310" s="7"/>
      <c r="E310" s="7"/>
      <c r="F310" s="7" t="s">
        <v>659</v>
      </c>
      <c r="G310" s="7"/>
      <c r="H310" s="7" t="s">
        <v>659</v>
      </c>
      <c r="I310" s="7"/>
      <c r="J310" s="7"/>
      <c r="K310" s="7"/>
      <c r="L310" s="7"/>
      <c r="M310" s="7" t="n">
        <v>0</v>
      </c>
      <c r="N310" s="7" t="n">
        <v>0</v>
      </c>
      <c r="O310" s="7"/>
      <c r="P310" s="10" t="s">
        <v>1069</v>
      </c>
      <c r="Q310" s="30" t="s">
        <v>657</v>
      </c>
      <c r="R310" s="10" t="s">
        <v>1081</v>
      </c>
      <c r="S310" s="12"/>
      <c r="T310" s="12"/>
    </row>
    <row r="311" customFormat="false" ht="35.05" hidden="false" customHeight="false" outlineLevel="0" collapsed="false">
      <c r="A311" s="12" t="s">
        <v>33</v>
      </c>
      <c r="B311" s="12" t="s">
        <v>214</v>
      </c>
      <c r="C311" s="7"/>
      <c r="D311" s="7" t="s">
        <v>659</v>
      </c>
      <c r="E311" s="7"/>
      <c r="F311" s="7"/>
      <c r="G311" s="7"/>
      <c r="H311" s="7" t="s">
        <v>659</v>
      </c>
      <c r="I311" s="7"/>
      <c r="J311" s="7"/>
      <c r="K311" s="7"/>
      <c r="L311" s="7"/>
      <c r="M311" s="7" t="n">
        <v>1</v>
      </c>
      <c r="N311" s="7" t="n">
        <v>23</v>
      </c>
      <c r="O311" s="7"/>
      <c r="P311" s="10" t="s">
        <v>1073</v>
      </c>
      <c r="Q311" s="30" t="s">
        <v>657</v>
      </c>
      <c r="R311" s="10" t="s">
        <v>1082</v>
      </c>
      <c r="S311" s="12"/>
      <c r="T311" s="12"/>
    </row>
    <row r="312" customFormat="false" ht="35.05" hidden="false" customHeight="false" outlineLevel="0" collapsed="false">
      <c r="A312" s="12" t="s">
        <v>33</v>
      </c>
      <c r="B312" s="12" t="s">
        <v>629</v>
      </c>
      <c r="C312" s="7"/>
      <c r="D312" s="7" t="s">
        <v>659</v>
      </c>
      <c r="E312" s="7"/>
      <c r="F312" s="7"/>
      <c r="G312" s="7"/>
      <c r="H312" s="7" t="s">
        <v>659</v>
      </c>
      <c r="I312" s="7"/>
      <c r="J312" s="7"/>
      <c r="K312" s="7"/>
      <c r="L312" s="7"/>
      <c r="M312" s="7" t="n">
        <v>0</v>
      </c>
      <c r="N312" s="7" t="n">
        <v>0</v>
      </c>
      <c r="O312" s="7"/>
      <c r="P312" s="10" t="s">
        <v>1069</v>
      </c>
      <c r="Q312" s="30" t="s">
        <v>657</v>
      </c>
      <c r="R312" s="10" t="s">
        <v>1083</v>
      </c>
      <c r="S312" s="12"/>
      <c r="T312" s="12"/>
    </row>
    <row r="313" customFormat="false" ht="35.05" hidden="false" customHeight="false" outlineLevel="0" collapsed="false">
      <c r="A313" s="12" t="s">
        <v>33</v>
      </c>
      <c r="B313" s="12" t="s">
        <v>216</v>
      </c>
      <c r="C313" s="7"/>
      <c r="D313" s="7"/>
      <c r="E313" s="7"/>
      <c r="F313" s="7"/>
      <c r="G313" s="7"/>
      <c r="H313" s="7" t="s">
        <v>659</v>
      </c>
      <c r="I313" s="7"/>
      <c r="J313" s="7"/>
      <c r="K313" s="7"/>
      <c r="L313" s="7"/>
      <c r="M313" s="7" t="n">
        <v>0</v>
      </c>
      <c r="N313" s="7" t="n">
        <v>27</v>
      </c>
      <c r="O313" s="7"/>
      <c r="P313" s="10" t="s">
        <v>1069</v>
      </c>
      <c r="Q313" s="30" t="s">
        <v>657</v>
      </c>
      <c r="R313" s="10" t="s">
        <v>1084</v>
      </c>
      <c r="S313" s="12"/>
      <c r="T313" s="12"/>
    </row>
    <row r="314" customFormat="false" ht="23.85" hidden="false" customHeight="false" outlineLevel="0" collapsed="false">
      <c r="A314" s="12" t="s">
        <v>33</v>
      </c>
      <c r="B314" s="12" t="s">
        <v>412</v>
      </c>
      <c r="C314" s="7" t="s">
        <v>659</v>
      </c>
      <c r="D314" s="7"/>
      <c r="E314" s="7"/>
      <c r="F314" s="7"/>
      <c r="G314" s="7"/>
      <c r="H314" s="7"/>
      <c r="I314" s="7"/>
      <c r="J314" s="7"/>
      <c r="K314" s="7"/>
      <c r="L314" s="7"/>
      <c r="M314" s="7" t="n">
        <v>0</v>
      </c>
      <c r="N314" s="7" t="n">
        <v>0</v>
      </c>
      <c r="O314" s="7"/>
      <c r="P314" s="10"/>
      <c r="Q314" s="30" t="s">
        <v>657</v>
      </c>
      <c r="R314" s="10" t="s">
        <v>717</v>
      </c>
      <c r="S314" s="12"/>
      <c r="T314" s="12"/>
    </row>
    <row r="315" customFormat="false" ht="35.05" hidden="false" customHeight="false" outlineLevel="0" collapsed="false">
      <c r="A315" s="12" t="s">
        <v>33</v>
      </c>
      <c r="B315" s="12" t="s">
        <v>620</v>
      </c>
      <c r="C315" s="7"/>
      <c r="D315" s="7" t="s">
        <v>659</v>
      </c>
      <c r="E315" s="7"/>
      <c r="F315" s="7"/>
      <c r="G315" s="7"/>
      <c r="H315" s="7" t="s">
        <v>659</v>
      </c>
      <c r="I315" s="7"/>
      <c r="J315" s="7"/>
      <c r="K315" s="7"/>
      <c r="L315" s="7"/>
      <c r="M315" s="7" t="n">
        <v>0</v>
      </c>
      <c r="N315" s="7" t="n">
        <v>26</v>
      </c>
      <c r="O315" s="7"/>
      <c r="P315" s="10" t="s">
        <v>1069</v>
      </c>
      <c r="Q315" s="30" t="s">
        <v>657</v>
      </c>
      <c r="R315" s="10" t="s">
        <v>1085</v>
      </c>
      <c r="S315" s="12"/>
      <c r="T315" s="12"/>
    </row>
    <row r="316" customFormat="false" ht="35.05" hidden="false" customHeight="false" outlineLevel="0" collapsed="false">
      <c r="A316" s="12" t="s">
        <v>33</v>
      </c>
      <c r="B316" s="12" t="s">
        <v>269</v>
      </c>
      <c r="C316" s="7"/>
      <c r="D316" s="7" t="s">
        <v>659</v>
      </c>
      <c r="E316" s="7"/>
      <c r="F316" s="7"/>
      <c r="G316" s="7"/>
      <c r="H316" s="7" t="s">
        <v>659</v>
      </c>
      <c r="I316" s="7"/>
      <c r="J316" s="7"/>
      <c r="K316" s="7"/>
      <c r="L316" s="7"/>
      <c r="M316" s="7" t="n">
        <v>0</v>
      </c>
      <c r="N316" s="7" t="n">
        <v>21</v>
      </c>
      <c r="O316" s="7"/>
      <c r="P316" s="10" t="s">
        <v>1069</v>
      </c>
      <c r="Q316" s="30" t="s">
        <v>657</v>
      </c>
      <c r="R316" s="10" t="s">
        <v>1086</v>
      </c>
      <c r="S316" s="12"/>
      <c r="T316" s="12"/>
    </row>
    <row r="317" customFormat="false" ht="35.05" hidden="false" customHeight="false" outlineLevel="0" collapsed="false">
      <c r="A317" s="12" t="s">
        <v>33</v>
      </c>
      <c r="B317" s="12" t="s">
        <v>209</v>
      </c>
      <c r="C317" s="7"/>
      <c r="D317" s="7" t="s">
        <v>659</v>
      </c>
      <c r="E317" s="7"/>
      <c r="F317" s="7" t="s">
        <v>659</v>
      </c>
      <c r="G317" s="7"/>
      <c r="H317" s="7" t="s">
        <v>659</v>
      </c>
      <c r="I317" s="7"/>
      <c r="J317" s="7"/>
      <c r="K317" s="7"/>
      <c r="L317" s="7"/>
      <c r="M317" s="7" t="n">
        <v>0</v>
      </c>
      <c r="N317" s="7" t="n">
        <v>29</v>
      </c>
      <c r="O317" s="7"/>
      <c r="P317" s="10" t="s">
        <v>1069</v>
      </c>
      <c r="Q317" s="30" t="s">
        <v>657</v>
      </c>
      <c r="R317" s="10" t="s">
        <v>1087</v>
      </c>
      <c r="S317" s="12"/>
      <c r="T317" s="12"/>
    </row>
    <row r="318" customFormat="false" ht="35.05" hidden="false" customHeight="false" outlineLevel="0" collapsed="false">
      <c r="A318" s="12" t="s">
        <v>33</v>
      </c>
      <c r="B318" s="12" t="s">
        <v>116</v>
      </c>
      <c r="C318" s="7"/>
      <c r="D318" s="7" t="s">
        <v>659</v>
      </c>
      <c r="E318" s="7"/>
      <c r="F318" s="7"/>
      <c r="G318" s="7"/>
      <c r="H318" s="7" t="s">
        <v>659</v>
      </c>
      <c r="I318" s="7"/>
      <c r="J318" s="7"/>
      <c r="K318" s="7"/>
      <c r="L318" s="7"/>
      <c r="M318" s="7" t="n">
        <v>0</v>
      </c>
      <c r="N318" s="7" t="n">
        <v>25</v>
      </c>
      <c r="O318" s="7"/>
      <c r="P318" s="10" t="s">
        <v>1069</v>
      </c>
      <c r="Q318" s="30" t="s">
        <v>657</v>
      </c>
      <c r="R318" s="10" t="s">
        <v>1088</v>
      </c>
      <c r="S318" s="12"/>
      <c r="T318" s="12"/>
    </row>
    <row r="319" customFormat="false" ht="35.05" hidden="false" customHeight="false" outlineLevel="0" collapsed="false">
      <c r="A319" s="12" t="s">
        <v>33</v>
      </c>
      <c r="B319" s="12" t="s">
        <v>208</v>
      </c>
      <c r="C319" s="7"/>
      <c r="D319" s="7"/>
      <c r="E319" s="7"/>
      <c r="F319" s="7"/>
      <c r="G319" s="7"/>
      <c r="H319" s="7" t="s">
        <v>659</v>
      </c>
      <c r="I319" s="7"/>
      <c r="J319" s="7"/>
      <c r="K319" s="7"/>
      <c r="L319" s="7"/>
      <c r="M319" s="7" t="n">
        <v>0</v>
      </c>
      <c r="N319" s="7" t="n">
        <v>26</v>
      </c>
      <c r="O319" s="7"/>
      <c r="P319" s="10" t="s">
        <v>1069</v>
      </c>
      <c r="Q319" s="30" t="s">
        <v>657</v>
      </c>
      <c r="R319" s="10" t="s">
        <v>1089</v>
      </c>
      <c r="S319" s="12"/>
      <c r="T319" s="12"/>
    </row>
    <row r="320" customFormat="false" ht="23.85" hidden="false" customHeight="false" outlineLevel="0" collapsed="false">
      <c r="A320" s="12" t="s">
        <v>37</v>
      </c>
      <c r="B320" s="12" t="s">
        <v>484</v>
      </c>
      <c r="C320" s="7" t="s">
        <v>659</v>
      </c>
      <c r="D320" s="7"/>
      <c r="E320" s="7"/>
      <c r="F320" s="7"/>
      <c r="G320" s="7"/>
      <c r="H320" s="7"/>
      <c r="I320" s="7"/>
      <c r="J320" s="7"/>
      <c r="K320" s="7"/>
      <c r="L320" s="7"/>
      <c r="M320" s="7" t="n">
        <v>0</v>
      </c>
      <c r="N320" s="7" t="n">
        <v>0</v>
      </c>
      <c r="O320" s="7"/>
      <c r="P320" s="10"/>
      <c r="Q320" s="30" t="s">
        <v>657</v>
      </c>
      <c r="R320" s="10" t="s">
        <v>1090</v>
      </c>
      <c r="S320" s="12"/>
      <c r="T320" s="12"/>
    </row>
    <row r="321" customFormat="false" ht="35.05" hidden="false" customHeight="false" outlineLevel="0" collapsed="false">
      <c r="A321" s="12" t="s">
        <v>37</v>
      </c>
      <c r="B321" s="12" t="s">
        <v>87</v>
      </c>
      <c r="C321" s="7" t="s">
        <v>659</v>
      </c>
      <c r="D321" s="7" t="s">
        <v>659</v>
      </c>
      <c r="E321" s="7"/>
      <c r="F321" s="7"/>
      <c r="G321" s="7" t="s">
        <v>659</v>
      </c>
      <c r="H321" s="7" t="s">
        <v>659</v>
      </c>
      <c r="I321" s="7"/>
      <c r="J321" s="7" t="s">
        <v>659</v>
      </c>
      <c r="K321" s="7"/>
      <c r="L321" s="7"/>
      <c r="M321" s="7" t="n">
        <v>2</v>
      </c>
      <c r="N321" s="7" t="n">
        <v>28</v>
      </c>
      <c r="O321" s="7"/>
      <c r="P321" s="10" t="s">
        <v>1091</v>
      </c>
      <c r="Q321" s="30" t="s">
        <v>657</v>
      </c>
      <c r="R321" s="10" t="s">
        <v>1092</v>
      </c>
      <c r="S321" s="12"/>
      <c r="T321" s="12"/>
    </row>
    <row r="322" customFormat="false" ht="35.05" hidden="false" customHeight="false" outlineLevel="0" collapsed="false">
      <c r="A322" s="12" t="s">
        <v>37</v>
      </c>
      <c r="B322" s="12" t="s">
        <v>205</v>
      </c>
      <c r="C322" s="7"/>
      <c r="D322" s="7"/>
      <c r="E322" s="7"/>
      <c r="F322" s="7"/>
      <c r="G322" s="7"/>
      <c r="H322" s="7"/>
      <c r="I322" s="7"/>
      <c r="J322" s="7" t="s">
        <v>659</v>
      </c>
      <c r="K322" s="7"/>
      <c r="L322" s="7"/>
      <c r="M322" s="7" t="n">
        <v>1</v>
      </c>
      <c r="N322" s="7" t="n">
        <v>29</v>
      </c>
      <c r="O322" s="7"/>
      <c r="P322" s="10" t="s">
        <v>1093</v>
      </c>
      <c r="Q322" s="30" t="s">
        <v>657</v>
      </c>
      <c r="R322" s="10" t="s">
        <v>1094</v>
      </c>
      <c r="S322" s="12"/>
      <c r="T322" s="30" t="s">
        <v>1095</v>
      </c>
    </row>
    <row r="323" customFormat="false" ht="23.85" hidden="false" customHeight="false" outlineLevel="0" collapsed="false">
      <c r="A323" s="12" t="s">
        <v>37</v>
      </c>
      <c r="B323" s="12" t="s">
        <v>229</v>
      </c>
      <c r="C323" s="7" t="s">
        <v>659</v>
      </c>
      <c r="D323" s="7"/>
      <c r="E323" s="7"/>
      <c r="F323" s="7"/>
      <c r="G323" s="7"/>
      <c r="H323" s="7"/>
      <c r="I323" s="7"/>
      <c r="J323" s="7"/>
      <c r="K323" s="7"/>
      <c r="L323" s="7"/>
      <c r="M323" s="7" t="n">
        <v>0</v>
      </c>
      <c r="N323" s="7" t="n">
        <v>0</v>
      </c>
      <c r="O323" s="7"/>
      <c r="P323" s="10"/>
      <c r="Q323" s="30" t="s">
        <v>657</v>
      </c>
      <c r="R323" s="10" t="s">
        <v>682</v>
      </c>
      <c r="S323" s="12"/>
      <c r="T323" s="12"/>
    </row>
    <row r="324" customFormat="false" ht="23.85" hidden="false" customHeight="false" outlineLevel="0" collapsed="false">
      <c r="A324" s="12" t="s">
        <v>37</v>
      </c>
      <c r="B324" s="12" t="s">
        <v>241</v>
      </c>
      <c r="C324" s="7" t="s">
        <v>659</v>
      </c>
      <c r="D324" s="7"/>
      <c r="E324" s="7"/>
      <c r="F324" s="7"/>
      <c r="G324" s="7"/>
      <c r="H324" s="7"/>
      <c r="I324" s="7"/>
      <c r="J324" s="7"/>
      <c r="K324" s="7"/>
      <c r="L324" s="7"/>
      <c r="M324" s="7" t="n">
        <v>0</v>
      </c>
      <c r="N324" s="7" t="n">
        <v>0</v>
      </c>
      <c r="O324" s="7"/>
      <c r="P324" s="10"/>
      <c r="Q324" s="30" t="s">
        <v>657</v>
      </c>
      <c r="R324" s="10" t="s">
        <v>977</v>
      </c>
      <c r="S324" s="12"/>
      <c r="T324" s="12"/>
    </row>
    <row r="325" customFormat="false" ht="23.85" hidden="false" customHeight="false" outlineLevel="0" collapsed="false">
      <c r="A325" s="12" t="s">
        <v>37</v>
      </c>
      <c r="B325" s="12" t="s">
        <v>237</v>
      </c>
      <c r="C325" s="7" t="s">
        <v>659</v>
      </c>
      <c r="D325" s="7"/>
      <c r="E325" s="7"/>
      <c r="F325" s="7"/>
      <c r="G325" s="7"/>
      <c r="H325" s="7"/>
      <c r="I325" s="7"/>
      <c r="J325" s="7"/>
      <c r="K325" s="7"/>
      <c r="L325" s="7"/>
      <c r="M325" s="7" t="n">
        <v>0</v>
      </c>
      <c r="N325" s="7" t="n">
        <v>0</v>
      </c>
      <c r="O325" s="7"/>
      <c r="P325" s="10"/>
      <c r="Q325" s="30" t="s">
        <v>657</v>
      </c>
      <c r="R325" s="10" t="s">
        <v>848</v>
      </c>
      <c r="S325" s="12"/>
      <c r="T325" s="12"/>
    </row>
    <row r="326" customFormat="false" ht="23.85" hidden="false" customHeight="false" outlineLevel="0" collapsed="false">
      <c r="A326" s="12" t="s">
        <v>37</v>
      </c>
      <c r="B326" s="12" t="s">
        <v>233</v>
      </c>
      <c r="C326" s="7" t="s">
        <v>659</v>
      </c>
      <c r="D326" s="7"/>
      <c r="E326" s="7"/>
      <c r="F326" s="7"/>
      <c r="G326" s="7"/>
      <c r="H326" s="7"/>
      <c r="I326" s="7"/>
      <c r="J326" s="7"/>
      <c r="K326" s="7"/>
      <c r="L326" s="7"/>
      <c r="M326" s="7" t="n">
        <v>0</v>
      </c>
      <c r="N326" s="7" t="n">
        <v>0</v>
      </c>
      <c r="O326" s="7"/>
      <c r="P326" s="10"/>
      <c r="Q326" s="30" t="s">
        <v>657</v>
      </c>
      <c r="R326" s="10" t="s">
        <v>1096</v>
      </c>
      <c r="S326" s="12"/>
      <c r="T326" s="12"/>
    </row>
    <row r="327" customFormat="false" ht="23.85" hidden="false" customHeight="false" outlineLevel="0" collapsed="false">
      <c r="A327" s="12" t="s">
        <v>37</v>
      </c>
      <c r="B327" s="12" t="s">
        <v>274</v>
      </c>
      <c r="C327" s="7" t="s">
        <v>659</v>
      </c>
      <c r="D327" s="7"/>
      <c r="E327" s="7"/>
      <c r="F327" s="7"/>
      <c r="G327" s="7"/>
      <c r="H327" s="7"/>
      <c r="I327" s="7"/>
      <c r="J327" s="7"/>
      <c r="K327" s="7"/>
      <c r="L327" s="7"/>
      <c r="M327" s="7" t="n">
        <v>0</v>
      </c>
      <c r="N327" s="7" t="n">
        <v>0</v>
      </c>
      <c r="O327" s="7"/>
      <c r="P327" s="10"/>
      <c r="Q327" s="30" t="s">
        <v>657</v>
      </c>
      <c r="R327" s="10" t="s">
        <v>1097</v>
      </c>
      <c r="S327" s="12"/>
      <c r="T327" s="12"/>
    </row>
    <row r="328" customFormat="false" ht="23.85" hidden="false" customHeight="false" outlineLevel="0" collapsed="false">
      <c r="A328" s="12" t="s">
        <v>37</v>
      </c>
      <c r="B328" s="12" t="s">
        <v>239</v>
      </c>
      <c r="C328" s="7" t="s">
        <v>659</v>
      </c>
      <c r="D328" s="7"/>
      <c r="E328" s="7"/>
      <c r="F328" s="7"/>
      <c r="G328" s="7"/>
      <c r="H328" s="7"/>
      <c r="I328" s="7"/>
      <c r="J328" s="7"/>
      <c r="K328" s="7"/>
      <c r="L328" s="7"/>
      <c r="M328" s="7" t="n">
        <v>0</v>
      </c>
      <c r="N328" s="7" t="n">
        <v>0</v>
      </c>
      <c r="O328" s="7"/>
      <c r="P328" s="10"/>
      <c r="Q328" s="30" t="s">
        <v>657</v>
      </c>
      <c r="R328" s="10" t="s">
        <v>1098</v>
      </c>
      <c r="S328" s="12"/>
      <c r="T328" s="12"/>
    </row>
    <row r="329" customFormat="false" ht="23.85" hidden="false" customHeight="false" outlineLevel="0" collapsed="false">
      <c r="A329" s="12" t="s">
        <v>37</v>
      </c>
      <c r="B329" s="12" t="s">
        <v>112</v>
      </c>
      <c r="C329" s="7" t="s">
        <v>659</v>
      </c>
      <c r="D329" s="7"/>
      <c r="E329" s="7"/>
      <c r="F329" s="7"/>
      <c r="G329" s="7"/>
      <c r="H329" s="7"/>
      <c r="I329" s="7"/>
      <c r="J329" s="7"/>
      <c r="K329" s="7"/>
      <c r="L329" s="7"/>
      <c r="M329" s="7" t="n">
        <v>0</v>
      </c>
      <c r="N329" s="7" t="n">
        <v>0</v>
      </c>
      <c r="O329" s="7"/>
      <c r="P329" s="10"/>
      <c r="Q329" s="30" t="s">
        <v>657</v>
      </c>
      <c r="R329" s="10" t="s">
        <v>661</v>
      </c>
      <c r="S329" s="12"/>
      <c r="T329" s="12"/>
    </row>
    <row r="330" customFormat="false" ht="23.85" hidden="false" customHeight="false" outlineLevel="0" collapsed="false">
      <c r="A330" s="12" t="s">
        <v>37</v>
      </c>
      <c r="B330" s="12" t="s">
        <v>638</v>
      </c>
      <c r="C330" s="7" t="s">
        <v>659</v>
      </c>
      <c r="D330" s="7"/>
      <c r="E330" s="7"/>
      <c r="F330" s="7"/>
      <c r="G330" s="7"/>
      <c r="H330" s="7"/>
      <c r="I330" s="7"/>
      <c r="J330" s="7"/>
      <c r="K330" s="7"/>
      <c r="L330" s="7"/>
      <c r="M330" s="7" t="n">
        <v>0</v>
      </c>
      <c r="N330" s="7" t="n">
        <v>0</v>
      </c>
      <c r="O330" s="7"/>
      <c r="P330" s="10"/>
      <c r="Q330" s="30" t="s">
        <v>657</v>
      </c>
      <c r="R330" s="10" t="s">
        <v>1099</v>
      </c>
      <c r="S330" s="12"/>
      <c r="T330" s="12"/>
    </row>
    <row r="331" customFormat="false" ht="23.85" hidden="false" customHeight="false" outlineLevel="0" collapsed="false">
      <c r="A331" s="12" t="s">
        <v>37</v>
      </c>
      <c r="B331" s="12" t="s">
        <v>201</v>
      </c>
      <c r="C331" s="7" t="s">
        <v>659</v>
      </c>
      <c r="D331" s="7"/>
      <c r="E331" s="7"/>
      <c r="F331" s="7"/>
      <c r="G331" s="7"/>
      <c r="H331" s="7"/>
      <c r="I331" s="7"/>
      <c r="J331" s="7"/>
      <c r="K331" s="7"/>
      <c r="L331" s="7"/>
      <c r="M331" s="7" t="n">
        <v>0</v>
      </c>
      <c r="N331" s="7" t="n">
        <v>0</v>
      </c>
      <c r="O331" s="7"/>
      <c r="P331" s="10"/>
      <c r="Q331" s="30" t="s">
        <v>657</v>
      </c>
      <c r="R331" s="10" t="s">
        <v>746</v>
      </c>
      <c r="S331" s="12"/>
      <c r="T331" s="12"/>
    </row>
    <row r="332" customFormat="false" ht="23.85" hidden="false" customHeight="false" outlineLevel="0" collapsed="false">
      <c r="A332" s="12" t="s">
        <v>37</v>
      </c>
      <c r="B332" s="12" t="s">
        <v>235</v>
      </c>
      <c r="C332" s="7" t="s">
        <v>659</v>
      </c>
      <c r="D332" s="7"/>
      <c r="E332" s="7"/>
      <c r="F332" s="7"/>
      <c r="G332" s="7"/>
      <c r="H332" s="7"/>
      <c r="I332" s="7"/>
      <c r="J332" s="7"/>
      <c r="K332" s="7"/>
      <c r="L332" s="7"/>
      <c r="M332" s="7" t="n">
        <v>0</v>
      </c>
      <c r="N332" s="7" t="n">
        <v>0</v>
      </c>
      <c r="O332" s="7"/>
      <c r="P332" s="10"/>
      <c r="Q332" s="30" t="s">
        <v>657</v>
      </c>
      <c r="R332" s="10" t="s">
        <v>1100</v>
      </c>
      <c r="S332" s="12"/>
      <c r="T332" s="12"/>
    </row>
    <row r="333" customFormat="false" ht="23.85" hidden="false" customHeight="false" outlineLevel="0" collapsed="false">
      <c r="A333" s="12" t="s">
        <v>37</v>
      </c>
      <c r="B333" s="12" t="s">
        <v>640</v>
      </c>
      <c r="C333" s="7"/>
      <c r="D333" s="7"/>
      <c r="E333" s="7"/>
      <c r="F333" s="7"/>
      <c r="G333" s="7" t="s">
        <v>659</v>
      </c>
      <c r="H333" s="7"/>
      <c r="I333" s="7"/>
      <c r="J333" s="7"/>
      <c r="K333" s="7"/>
      <c r="L333" s="7"/>
      <c r="M333" s="7" t="n">
        <v>0</v>
      </c>
      <c r="N333" s="7" t="n">
        <v>0</v>
      </c>
      <c r="O333" s="7"/>
      <c r="P333" s="10"/>
      <c r="Q333" s="30" t="s">
        <v>657</v>
      </c>
      <c r="R333" s="10" t="s">
        <v>1101</v>
      </c>
      <c r="S333" s="12"/>
      <c r="T333" s="12"/>
    </row>
    <row r="334" customFormat="false" ht="23.85" hidden="false" customHeight="false" outlineLevel="0" collapsed="false">
      <c r="A334" s="12" t="s">
        <v>37</v>
      </c>
      <c r="B334" s="12" t="s">
        <v>216</v>
      </c>
      <c r="C334" s="7"/>
      <c r="D334" s="7"/>
      <c r="E334" s="7"/>
      <c r="F334" s="7"/>
      <c r="G334" s="7" t="s">
        <v>659</v>
      </c>
      <c r="H334" s="7"/>
      <c r="I334" s="7"/>
      <c r="J334" s="7"/>
      <c r="K334" s="7"/>
      <c r="L334" s="7"/>
      <c r="M334" s="7" t="n">
        <v>0</v>
      </c>
      <c r="N334" s="7" t="n">
        <v>0</v>
      </c>
      <c r="O334" s="7"/>
      <c r="P334" s="10"/>
      <c r="Q334" s="30" t="s">
        <v>657</v>
      </c>
      <c r="R334" s="10" t="s">
        <v>1102</v>
      </c>
      <c r="S334" s="12"/>
      <c r="T334" s="12"/>
    </row>
    <row r="335" customFormat="false" ht="23.85" hidden="false" customHeight="false" outlineLevel="0" collapsed="false">
      <c r="A335" s="12" t="s">
        <v>37</v>
      </c>
      <c r="B335" s="12" t="s">
        <v>260</v>
      </c>
      <c r="C335" s="7" t="s">
        <v>659</v>
      </c>
      <c r="D335" s="7"/>
      <c r="E335" s="7"/>
      <c r="F335" s="7"/>
      <c r="G335" s="7"/>
      <c r="H335" s="7"/>
      <c r="I335" s="7"/>
      <c r="J335" s="7"/>
      <c r="K335" s="7"/>
      <c r="L335" s="7"/>
      <c r="M335" s="7" t="n">
        <v>0</v>
      </c>
      <c r="N335" s="7" t="n">
        <v>0</v>
      </c>
      <c r="O335" s="7"/>
      <c r="P335" s="10"/>
      <c r="Q335" s="30" t="s">
        <v>657</v>
      </c>
      <c r="R335" s="10" t="s">
        <v>785</v>
      </c>
      <c r="S335" s="12"/>
      <c r="T335" s="12"/>
    </row>
    <row r="336" customFormat="false" ht="23.85" hidden="false" customHeight="false" outlineLevel="0" collapsed="false">
      <c r="A336" s="12" t="s">
        <v>37</v>
      </c>
      <c r="B336" s="12" t="s">
        <v>116</v>
      </c>
      <c r="C336" s="7" t="s">
        <v>659</v>
      </c>
      <c r="D336" s="7"/>
      <c r="E336" s="7"/>
      <c r="F336" s="7"/>
      <c r="G336" s="7"/>
      <c r="H336" s="7"/>
      <c r="I336" s="7"/>
      <c r="J336" s="7"/>
      <c r="K336" s="7"/>
      <c r="L336" s="7"/>
      <c r="M336" s="7" t="n">
        <v>0</v>
      </c>
      <c r="N336" s="7" t="n">
        <v>0</v>
      </c>
      <c r="O336" s="7"/>
      <c r="P336" s="10"/>
      <c r="Q336" s="30" t="s">
        <v>657</v>
      </c>
      <c r="R336" s="10" t="s">
        <v>988</v>
      </c>
      <c r="S336" s="12"/>
      <c r="T336" s="12"/>
    </row>
    <row r="337" customFormat="false" ht="23.85" hidden="false" customHeight="false" outlineLevel="0" collapsed="false">
      <c r="A337" s="12" t="s">
        <v>37</v>
      </c>
      <c r="B337" s="12" t="s">
        <v>256</v>
      </c>
      <c r="C337" s="7" t="s">
        <v>659</v>
      </c>
      <c r="D337" s="7"/>
      <c r="E337" s="7"/>
      <c r="F337" s="7"/>
      <c r="G337" s="7"/>
      <c r="H337" s="7"/>
      <c r="I337" s="7"/>
      <c r="J337" s="7"/>
      <c r="K337" s="7"/>
      <c r="L337" s="7"/>
      <c r="M337" s="7" t="n">
        <v>0</v>
      </c>
      <c r="N337" s="7" t="n">
        <v>0</v>
      </c>
      <c r="O337" s="7"/>
      <c r="P337" s="10"/>
      <c r="Q337" s="30" t="s">
        <v>657</v>
      </c>
      <c r="R337" s="10" t="s">
        <v>735</v>
      </c>
      <c r="S337" s="12"/>
      <c r="T337" s="12"/>
    </row>
  </sheetData>
  <autoFilter ref="A4:T337"/>
  <hyperlinks>
    <hyperlink ref="Q5" r:id="rId1" display="https://www.ema.europa.eu/en/documents/other/article-57-product-data_en.xlsx"/>
    <hyperlink ref="Q6" r:id="rId2" display="https://www.ema.europa.eu/en/documents/other/article-57-product-data_en.xlsx"/>
    <hyperlink ref="Q7" r:id="rId3" display="https://www.ema.europa.eu/en/documents/other/article-57-product-data_en.xlsx"/>
    <hyperlink ref="Q8" r:id="rId4" display="https://www.ema.europa.eu/en/documents/other/article-57-product-data_en.xlsx"/>
    <hyperlink ref="Q9" r:id="rId5" display="https://www.ema.europa.eu/en/documents/other/article-57-product-data_en.xlsx"/>
    <hyperlink ref="Q10" r:id="rId6" display="https://www.ema.europa.eu/en/documents/other/article-57-product-data_en.xlsx"/>
    <hyperlink ref="Q11" r:id="rId7" display="https://www.ema.europa.eu/en/documents/other/article-57-product-data_en.xlsx"/>
    <hyperlink ref="Q12" r:id="rId8" display="https://www.ema.europa.eu/en/documents/other/article-57-product-data_en.xlsx"/>
    <hyperlink ref="Q13" r:id="rId9" display="https://www.ema.europa.eu/en/documents/other/article-57-product-data_en.xlsx"/>
    <hyperlink ref="T13" r:id="rId10" display="https://base-donnees-publique.medicaments.gouv.fr/index.php?page=1&amp;choixRecherche=medicament&amp;txtCaracteres=Azacitidine%20Arrow&amp;action=show"/>
    <hyperlink ref="Q14" r:id="rId11" display="https://www.ema.europa.eu/en/documents/other/article-57-product-data_en.xlsx"/>
    <hyperlink ref="T14" r:id="rId12" display="https://base-donnees-publique.medicaments.gouv.fr/index.php?page=1&amp;choixRecherche=medicament&amp;txtCaracteres=Bortezomib%20Arrow&amp;action=show"/>
    <hyperlink ref="Q15" r:id="rId13" display="https://www.ema.europa.eu/en/documents/other/article-57-product-data_en.xlsx"/>
    <hyperlink ref="Q16" r:id="rId14" display="https://www.ema.europa.eu/en/documents/other/article-57-product-data_en.xlsx"/>
    <hyperlink ref="Q17" r:id="rId15" display="https://www.ema.europa.eu/en/documents/other/article-57-product-data_en.xlsx"/>
    <hyperlink ref="Q18" r:id="rId16" display="https://www.ema.europa.eu/en/documents/other/article-57-product-data_en.xlsx"/>
    <hyperlink ref="T18" r:id="rId17" display="https://base-donnees-publique.medicaments.gouv.fr/index.php?page=1&amp;choixRecherche=medicament&amp;txtCaracteres=Ceftazidime%20Arrow&amp;action=show"/>
    <hyperlink ref="Q19" r:id="rId18" display="https://www.ema.europa.eu/en/documents/other/article-57-product-data_en.xlsx"/>
    <hyperlink ref="T19" r:id="rId19" display="https://base-donnees-publique.medicaments.gouv.fr/index.php?page=1&amp;choixRecherche=medicament&amp;txtCaracteres=Ceftriaxone%20Almus&amp;action=show"/>
    <hyperlink ref="Q20" r:id="rId20" display="https://www.ema.europa.eu/en/documents/other/article-57-product-data_en.xlsx"/>
    <hyperlink ref="Q21" r:id="rId21" display="https://www.ema.europa.eu/en/documents/other/article-57-product-data_en.xlsx"/>
    <hyperlink ref="Q22" r:id="rId22" display="https://www.ema.europa.eu/en/documents/other/article-57-product-data_en.xlsx"/>
    <hyperlink ref="Q23" r:id="rId23" display="https://www.ema.europa.eu/en/documents/other/article-57-product-data_en.xlsx"/>
    <hyperlink ref="Q24" r:id="rId24" display="https://www.ema.europa.eu/en/documents/other/article-57-product-data_en.xlsx"/>
    <hyperlink ref="T24" r:id="rId25" display="https://base-donnees-publique.medicaments.gouv.fr/index.php?page=1&amp;choixRecherche=medicament&amp;txtCaracteres=Doxorubicine%20Arrow&amp;action=show"/>
    <hyperlink ref="Q25" r:id="rId26" display="https://www.ema.europa.eu/en/documents/other/article-57-product-data_en.xlsx"/>
    <hyperlink ref="T25" r:id="rId27" display="https://base-donnees-publique.medicaments.gouv.fr/index.php?page=1&amp;choixRecherche=medicament&amp;txtCaracteres=Ephedrine%20Arrow&amp;action=show"/>
    <hyperlink ref="Q26" r:id="rId28" display="https://www.ema.europa.eu/en/documents/other/article-57-product-data_en.xlsx"/>
    <hyperlink ref="Q27" r:id="rId29" display="https://www.ema.europa.eu/en/documents/other/article-57-product-data_en.xlsx"/>
    <hyperlink ref="Q28" r:id="rId30" display="https://www.ema.europa.eu/en/documents/other/article-57-product-data_en.xlsx"/>
    <hyperlink ref="T28" r:id="rId31" display="https://base-donnees-publique.medicaments.gouv.fr/index.php?page=1&amp;choixRecherche=medicament&amp;txtCaracteres=Ertapenem%20Arrow&amp;action=show"/>
    <hyperlink ref="Q29" r:id="rId32" display="https://www.ema.europa.eu/en/documents/other/article-57-product-data_en.xlsx"/>
    <hyperlink ref="Q30" r:id="rId33" display="https://www.ema.europa.eu/en/documents/other/article-57-product-data_en.xlsx"/>
    <hyperlink ref="T30" r:id="rId34" display="https://base-donnees-publique.medicaments.gouv.fr/index.php?page=1&amp;choixRecherche=medicament&amp;txtCaracteres=Flucloxacilline&amp;action=show"/>
    <hyperlink ref="Q31" r:id="rId35" display="https://www.ema.europa.eu/en/documents/other/article-57-product-data_en.xlsx"/>
    <hyperlink ref="Q32" r:id="rId36" display="https://www.ema.europa.eu/en/documents/other/article-57-product-data_en.xlsx"/>
    <hyperlink ref="Q33" r:id="rId37" display="https://www.ema.europa.eu/en/documents/other/article-57-product-data_en.xlsx"/>
    <hyperlink ref="Q34" r:id="rId38" display="https://www.ema.europa.eu/en/documents/other/article-57-product-data_en.xlsx"/>
    <hyperlink ref="T34" r:id="rId39" display="https://base-donnees-publique.medicaments.gouv.fr/index.php?page=1&amp;choixRecherche=medicament&amp;txtCaracteres=Fulvestrant%20Arrow&amp;action=show"/>
    <hyperlink ref="Q35" r:id="rId40" display="https://www.ema.europa.eu/en/documents/other/article-57-product-data_en.xlsx"/>
    <hyperlink ref="Q36" r:id="rId41" display="https://www.ema.europa.eu/en/documents/other/article-57-product-data_en.xlsx"/>
    <hyperlink ref="Q37" r:id="rId42" display="https://www.ema.europa.eu/en/documents/other/article-57-product-data_en.xlsx"/>
    <hyperlink ref="Q38" r:id="rId43" display="https://www.ema.europa.eu/en/documents/other/article-57-product-data_en.xlsx"/>
    <hyperlink ref="Q39" r:id="rId44" display="https://www.ema.europa.eu/en/documents/other/article-57-product-data_en.xlsx"/>
    <hyperlink ref="T39" r:id="rId45" display="https://base-donnees-publique.medicaments.gouv.fr/index.php?page=1&amp;choixRecherche=medicament&amp;txtCaracteres=Meropenem&amp;action=show"/>
    <hyperlink ref="Q40" r:id="rId46" display="https://www.ema.europa.eu/en/documents/other/article-57-product-data_en.xlsx"/>
    <hyperlink ref="Q41" r:id="rId47" display="https://www.ema.europa.eu/en/documents/other/article-57-product-data_en.xlsx"/>
    <hyperlink ref="Q42" r:id="rId48" display="https://www.ema.europa.eu/en/documents/other/article-57-product-data_en.xlsx"/>
    <hyperlink ref="Q43" r:id="rId49" display="https://www.ema.europa.eu/en/documents/other/article-57-product-data_en.xlsx"/>
    <hyperlink ref="Q44" r:id="rId50" display="https://www.ema.europa.eu/en/documents/other/article-57-product-data_en.xlsx"/>
    <hyperlink ref="Q45" r:id="rId51" display="https://www.ema.europa.eu/en/documents/other/article-57-product-data_en.xlsx"/>
    <hyperlink ref="Q46" r:id="rId52" display="https://www.ema.europa.eu/en/documents/other/article-57-product-data_en.xlsx"/>
    <hyperlink ref="Q47" r:id="rId53" display="https://www.ema.europa.eu/en/documents/other/article-57-product-data_en.xlsx"/>
    <hyperlink ref="Q48" r:id="rId54" display="https://www.ema.europa.eu/en/documents/other/article-57-product-data_en.xlsx"/>
    <hyperlink ref="Q49" r:id="rId55" display="https://www.ema.europa.eu/en/documents/other/article-57-product-data_en.xlsx"/>
    <hyperlink ref="T49" r:id="rId56" display="https://base-donnees-publique.medicaments.gouv.fr/index.php?page=1&amp;choixRecherche=medicament&amp;txtCaracteres=Pantoprazole%20Arrow&amp;action=show"/>
    <hyperlink ref="Q50" r:id="rId57" display="https://www.ema.europa.eu/en/documents/other/article-57-product-data_en.xlsx"/>
    <hyperlink ref="T50" r:id="rId58" display="https://base-donnees-publique.medicaments.gouv.fr/index.php?page=1&amp;choixRecherche=medicament&amp;txtCaracteres=Plerixafor%20Arrow&amp;action=show"/>
    <hyperlink ref="Q51" r:id="rId59" display="https://www.ema.europa.eu/en/documents/other/article-57-product-data_en.xlsx"/>
    <hyperlink ref="Q52" r:id="rId60" display="https://www.ema.europa.eu/en/documents/other/article-57-product-data_en.xlsx"/>
    <hyperlink ref="Q53" r:id="rId61" display="https://www.ema.europa.eu/en/documents/other/article-57-product-data_en.xlsx"/>
    <hyperlink ref="Q54" r:id="rId62" display="https://www.ema.europa.eu/en/documents/other/article-57-product-data_en.xlsx"/>
    <hyperlink ref="Q55" r:id="rId63" display="https://www.ema.europa.eu/en/documents/other/article-57-product-data_en.xlsx"/>
    <hyperlink ref="Q56" r:id="rId64" display="https://www.ema.europa.eu/en/documents/other/article-57-product-data_en.xlsx"/>
    <hyperlink ref="Q57" r:id="rId65" display="https://www.ema.europa.eu/en/documents/other/article-57-product-data_en.xlsx"/>
    <hyperlink ref="Q58" r:id="rId66" display="https://www.ema.europa.eu/en/documents/other/article-57-product-data_en.xlsx"/>
    <hyperlink ref="Q59" r:id="rId67" display="https://www.ema.europa.eu/en/documents/other/article-57-product-data_en.xlsx"/>
    <hyperlink ref="T59" r:id="rId68" display="https://base-donnees-publique.medicaments.gouv.fr/index.php?page=1&amp;choixRecherche=medicament&amp;txtCaracteres=Acide%20Tranexamique&amp;action=show"/>
    <hyperlink ref="Q60" r:id="rId69" display="https://www.ema.europa.eu/en/documents/other/article-57-product-data_en.xlsx"/>
    <hyperlink ref="Q61" r:id="rId70" display="https://www.ema.europa.eu/en/documents/other/article-57-product-data_en.xlsx"/>
    <hyperlink ref="Q62" r:id="rId71" display="https://www.ema.europa.eu/en/documents/other/article-57-product-data_en.xlsx"/>
    <hyperlink ref="Q63" r:id="rId72" display="https://www.ema.europa.eu/en/documents/other/article-57-product-data_en.xlsx"/>
    <hyperlink ref="T63" r:id="rId73" display="https://base-donnees-publique.medicaments.gouv.fr/index.php?page=1&amp;choixRecherche=medicament&amp;txtCaracteres=Vinorelbine&amp;action=show"/>
    <hyperlink ref="Q64" r:id="rId74" display="https://www.ema.europa.eu/en/documents/other/article-57-product-data_en.xlsx"/>
    <hyperlink ref="Q65" r:id="rId75" display="https://www.ema.europa.eu/en/documents/other/article-57-product-data_en.xlsx"/>
    <hyperlink ref="Q66" r:id="rId76" display="https://www.ema.europa.eu/en/documents/other/article-57-product-data_en.xlsx"/>
    <hyperlink ref="Q67" r:id="rId77" display="https://www.ema.europa.eu/en/documents/other/article-57-product-data_en.xlsx"/>
    <hyperlink ref="Q68" r:id="rId78" display="https://www.ema.europa.eu/en/documents/other/article-57-product-data_en.xlsx"/>
    <hyperlink ref="Q69" r:id="rId79" display="https://www.ema.europa.eu/en/documents/other/article-57-product-data_en.xlsx"/>
    <hyperlink ref="Q70" r:id="rId80" display="https://www.ema.europa.eu/en/documents/other/article-57-product-data_en.xlsx"/>
    <hyperlink ref="Q71" r:id="rId81" display="https://www.ema.europa.eu/en/documents/other/article-57-product-data_en.xlsx"/>
    <hyperlink ref="Q72" r:id="rId82" display="https://www.ema.europa.eu/en/documents/other/article-57-product-data_en.xlsx"/>
    <hyperlink ref="Q73" r:id="rId83" display="https://www.ema.europa.eu/en/documents/other/article-57-product-data_en.xlsx"/>
    <hyperlink ref="Q74" r:id="rId84" display="https://www.ema.europa.eu/en/documents/other/article-57-product-data_en.xlsx"/>
    <hyperlink ref="Q75" r:id="rId85" display="https://www.ema.europa.eu/en/documents/other/article-57-product-data_en.xlsx"/>
    <hyperlink ref="Q76" r:id="rId86" display="https://www.ema.europa.eu/en/documents/other/article-57-product-data_en.xlsx"/>
    <hyperlink ref="Q77" r:id="rId87" display="https://www.ema.europa.eu/en/documents/other/article-57-product-data_en.xlsx"/>
    <hyperlink ref="Q78" r:id="rId88" display="https://www.ema.europa.eu/en/documents/other/article-57-product-data_en.xlsx"/>
    <hyperlink ref="Q79" r:id="rId89" display="https://www.ema.europa.eu/en/documents/other/article-57-product-data_en.xlsx"/>
    <hyperlink ref="Q80" r:id="rId90" display="https://www.ema.europa.eu/en/documents/other/article-57-product-data_en.xlsx"/>
    <hyperlink ref="Q81" r:id="rId91" display="https://www.ema.europa.eu/en/documents/other/article-57-product-data_en.xlsx"/>
    <hyperlink ref="Q82" r:id="rId92" display="https://www.ema.europa.eu/en/documents/other/article-57-product-data_en.xlsx"/>
    <hyperlink ref="Q83" r:id="rId93" display="https://www.ema.europa.eu/en/documents/other/article-57-product-data_en.xlsx"/>
    <hyperlink ref="Q84" r:id="rId94" display="https://www.ema.europa.eu/en/documents/other/article-57-product-data_en.xlsx"/>
    <hyperlink ref="Q85" r:id="rId95" display="https://www.ema.europa.eu/en/documents/other/article-57-product-data_en.xlsx"/>
    <hyperlink ref="Q86" r:id="rId96" display="https://www.ema.europa.eu/en/documents/other/article-57-product-data_en.xlsx"/>
    <hyperlink ref="Q87" r:id="rId97" display="https://www.ema.europa.eu/en/documents/other/article-57-product-data_en.xlsx"/>
    <hyperlink ref="S87" r:id="rId98" display="https://www.ema.europa.eu/en/medicines/human/EPAR/azacitidine-betapharm"/>
    <hyperlink ref="T87" r:id="rId99" display="https://base-donnees-publique.medicaments.gouv.fr/index.php?page=1&amp;choixRecherche=medicament&amp;txtCaracteres=Azacitidine%20Reddy&amp;action=show"/>
    <hyperlink ref="Q88" r:id="rId100" display="https://www.ema.europa.eu/en/documents/other/article-57-product-data_en.xlsx"/>
    <hyperlink ref="Q89" r:id="rId101" display="https://www.ema.europa.eu/en/documents/other/article-57-product-data_en.xlsx"/>
    <hyperlink ref="T89" r:id="rId102" display="https://base-donnees-publique.medicaments.gouv.fr/index.php?page=1&amp;choixRecherche=medicament&amp;txtCaracteres=Bortezomib&amp;action=show"/>
    <hyperlink ref="Q90" r:id="rId103" display="https://www.ema.europa.eu/en/documents/other/article-57-product-data_en.xlsx"/>
    <hyperlink ref="Q91" r:id="rId104" display="https://www.ema.europa.eu/en/documents/other/article-57-product-data_en.xlsx"/>
    <hyperlink ref="T91" r:id="rId105" display="https://base-donnees-publique.medicaments.gouv.fr/index.php?page=1&amp;choixRecherche=medicament&amp;txtCaracteres=Cyclophosphamide%20Reddy&amp;action=show"/>
    <hyperlink ref="Q92" r:id="rId106" display="https://www.ema.europa.eu/en/documents/other/article-57-product-data_en.xlsx"/>
    <hyperlink ref="T92" r:id="rId107" display="https://base-donnees-publique.medicaments.gouv.fr/index.php?page=1&amp;choixRecherche=medicament&amp;txtCaracteres=Daptomycine%20Reddy&amp;action=show"/>
    <hyperlink ref="Q93" r:id="rId108" display="https://www.ema.europa.eu/en/documents/other/article-57-product-data_en.xlsx"/>
    <hyperlink ref="Q94" r:id="rId109" display="https://www.ema.europa.eu/en/documents/other/article-57-product-data_en.xlsx"/>
    <hyperlink ref="Q95" r:id="rId110" display="https://www.ema.europa.eu/en/documents/other/article-57-product-data_en.xlsx"/>
    <hyperlink ref="Q96" r:id="rId111" display="https://www.ema.europa.eu/en/documents/other/article-57-product-data_en.xlsx"/>
    <hyperlink ref="Q97" r:id="rId112" display="https://www.ema.europa.eu/en/documents/other/article-57-product-data_en.xlsx"/>
    <hyperlink ref="Q98" r:id="rId113" display="https://www.ema.europa.eu/en/documents/other/article-57-product-data_en.xlsx"/>
    <hyperlink ref="Q99" r:id="rId114" display="https://www.ema.europa.eu/en/documents/other/article-57-product-data_en.xlsx"/>
    <hyperlink ref="Q100" r:id="rId115" display="https://www.ema.europa.eu/en/documents/other/article-57-product-data_en.xlsx"/>
    <hyperlink ref="Q101" r:id="rId116" display="https://www.ema.europa.eu/en/documents/other/article-57-product-data_en.xlsx"/>
    <hyperlink ref="Q102" r:id="rId117" display="https://www.ema.europa.eu/en/documents/other/article-57-product-data_en.xlsx"/>
    <hyperlink ref="Q103" r:id="rId118" display="https://www.ema.europa.eu/en/documents/other/article-57-product-data_en.xlsx"/>
    <hyperlink ref="Q104" r:id="rId119" display="https://www.ema.europa.eu/en/documents/other/article-57-product-data_en.xlsx"/>
    <hyperlink ref="Q105" r:id="rId120" display="https://www.ema.europa.eu/en/documents/other/article-57-product-data_en.xlsx"/>
    <hyperlink ref="Q106" r:id="rId121" display="https://www.ema.europa.eu/en/documents/other/article-57-product-data_en.xlsx"/>
    <hyperlink ref="Q107" r:id="rId122" display="https://www.ema.europa.eu/en/documents/other/article-57-product-data_en.xlsx"/>
    <hyperlink ref="Q108" r:id="rId123" display="https://www.ema.europa.eu/en/documents/other/article-57-product-data_en.xlsx"/>
    <hyperlink ref="T108" r:id="rId124" display="https://base-donnees-publique.medicaments.gouv.fr/index.php?page=1&amp;choixRecherche=medicament&amp;txtCaracteres=Sugammadex&amp;action=show"/>
    <hyperlink ref="Q109" r:id="rId125" display="https://www.ema.europa.eu/en/documents/other/article-57-product-data_en.xlsx"/>
    <hyperlink ref="Q110" r:id="rId126" display="https://www.ema.europa.eu/en/documents/other/article-57-product-data_en.xlsx"/>
    <hyperlink ref="Q111" r:id="rId127" display="https://www.ema.europa.eu/en/documents/other/article-57-product-data_en.xlsx"/>
    <hyperlink ref="Q112" r:id="rId128" display="https://www.ema.europa.eu/en/documents/other/article-57-product-data_en.xlsx"/>
    <hyperlink ref="Q113" r:id="rId129" display="https://www.ema.europa.eu/en/documents/other/article-57-product-data_en.xlsx"/>
    <hyperlink ref="Q114" r:id="rId130" display="https://www.ema.europa.eu/en/documents/other/article-57-product-data_en.xlsx"/>
    <hyperlink ref="T114" r:id="rId131" display="https://base-donnees-publique.medicaments.gouv.fr/index.php?page=1&amp;choixRecherche=medicament&amp;txtCaracteres=Azacitidine%20Tillomed&amp;action=show"/>
    <hyperlink ref="Q115" r:id="rId132" display="https://www.ema.europa.eu/en/documents/other/article-57-product-data_en.xlsx"/>
    <hyperlink ref="T115" r:id="rId133" display="https://base-donnees-publique.medicaments.gouv.fr/index.php?page=1&amp;choixRecherche=medicament&amp;txtCaracteres=Bortezomib%20Tillomed&amp;action=show"/>
    <hyperlink ref="Q116" r:id="rId134" display="https://www.ema.europa.eu/en/documents/other/article-57-product-data_en.xlsx"/>
    <hyperlink ref="Q117" r:id="rId135" display="https://www.ema.europa.eu/en/documents/other/article-57-product-data_en.xlsx"/>
    <hyperlink ref="Q118" r:id="rId136" display="https://www.ema.europa.eu/en/documents/other/article-57-product-data_en.xlsx"/>
    <hyperlink ref="T118" r:id="rId137" display="https://base-donnees-publique.medicaments.gouv.fr/index.php?page=1&amp;choixRecherche=medicament&amp;txtCaracteres=Daptomycin%20Tillomed&amp;action=show"/>
    <hyperlink ref="Q119" r:id="rId138" display="https://www.ema.europa.eu/en/documents/other/article-57-product-data_en.xlsx"/>
    <hyperlink ref="T119" r:id="rId139" display="https://base-donnees-publique.medicaments.gouv.fr/index.php?page=1&amp;choixRecherche=medicament&amp;txtCaracteres=Eribuline%20Tillomed&amp;action=show"/>
    <hyperlink ref="Q120" r:id="rId140" display="https://www.ema.europa.eu/en/documents/other/article-57-product-data_en.xlsx"/>
    <hyperlink ref="T120" r:id="rId141" display="https://base-donnees-publique.medicaments.gouv.fr/index.php?page=1&amp;choixRecherche=medicament&amp;txtCaracteres=Esomeprazole%20Tillomed&amp;action=show"/>
    <hyperlink ref="Q121" r:id="rId142" display="https://www.ema.europa.eu/en/documents/other/article-57-product-data_en.xlsx"/>
    <hyperlink ref="T121" r:id="rId143" display="https://base-donnees-publique.medicaments.gouv.fr/index.php?page=1&amp;choixRecherche=medicament&amp;txtCaracteres=Isoprenaline%20Chlorhydrate&amp;action=show"/>
    <hyperlink ref="Q122" r:id="rId144" display="https://www.ema.europa.eu/en/documents/other/article-57-product-data_en.xlsx"/>
    <hyperlink ref="T122" r:id="rId145" display="https://base-donnees-publique.medicaments.gouv.fr/index.php?page=1&amp;choixRecherche=medicament&amp;txtCaracteres=Melphalan%20Tillomed&amp;action=show"/>
    <hyperlink ref="Q123" r:id="rId146" display="https://www.ema.europa.eu/en/documents/other/article-57-product-data_en.xlsx"/>
    <hyperlink ref="T123" r:id="rId147" display="https://base-donnees-publique.medicaments.gouv.fr/index.php?page=1&amp;choixRecherche=medicament&amp;txtCaracteres=Milrinone%20Tillomed&amp;action=show"/>
    <hyperlink ref="Q124" r:id="rId148" display="https://www.ema.europa.eu/en/documents/other/article-57-product-data_en.xlsx"/>
    <hyperlink ref="Q125" r:id="rId149" display="https://www.ema.europa.eu/en/documents/other/article-57-product-data_en.xlsx"/>
    <hyperlink ref="Q126" r:id="rId150" display="https://www.ema.europa.eu/en/documents/other/article-57-product-data_en.xlsx"/>
    <hyperlink ref="T126" r:id="rId151" display="https://base-donnees-publique.medicaments.gouv.fr/index.php?page=1&amp;choixRecherche=medicament&amp;txtCaracteres=Pantoprazole%20Tillomed&amp;action=show"/>
    <hyperlink ref="Q127" r:id="rId152" display="https://www.ema.europa.eu/en/documents/other/article-57-product-data_en.xlsx"/>
    <hyperlink ref="T127" r:id="rId153" display="https://base-donnees-publique.medicaments.gouv.fr/index.php?page=1&amp;choixRecherche=medicament&amp;txtCaracteres=Pentamidine%20Tillomed&amp;action=show"/>
    <hyperlink ref="Q128" r:id="rId154" display="https://www.ema.europa.eu/en/documents/other/article-57-product-data_en.xlsx"/>
    <hyperlink ref="T128" r:id="rId155" display="https://base-donnees-publique.medicaments.gouv.fr/index.php?page=1&amp;choixRecherche=medicament&amp;txtCaracteres=Plerixafor%20Tillomed&amp;action=show"/>
    <hyperlink ref="Q129" r:id="rId156" display="https://www.ema.europa.eu/en/documents/other/article-57-product-data_en.xlsx"/>
    <hyperlink ref="Q130" r:id="rId157" display="https://www.ema.europa.eu/en/documents/other/article-57-product-data_en.xlsx"/>
    <hyperlink ref="Q131" r:id="rId158" display="https://www.ema.europa.eu/en/documents/other/article-57-product-data_en.xlsx"/>
    <hyperlink ref="Q132" r:id="rId159" display="https://www.ema.europa.eu/en/documents/other/article-57-product-data_en.xlsx"/>
    <hyperlink ref="Q133" r:id="rId160" display="https://www.ema.europa.eu/en/documents/other/article-57-product-data_en.xlsx"/>
    <hyperlink ref="Q134" r:id="rId161" display="https://www.ema.europa.eu/en/documents/other/article-57-product-data_en.xlsx"/>
    <hyperlink ref="Q135" r:id="rId162" display="https://www.ema.europa.eu/en/documents/other/article-57-product-data_en.xlsx"/>
    <hyperlink ref="Q136" r:id="rId163" display="https://www.ema.europa.eu/en/documents/other/article-57-product-data_en.xlsx"/>
    <hyperlink ref="Q137" r:id="rId164" display="https://www.ema.europa.eu/en/documents/other/article-57-product-data_en.xlsx"/>
    <hyperlink ref="Q138" r:id="rId165" display="https://www.ema.europa.eu/en/documents/other/article-57-product-data_en.xlsx"/>
    <hyperlink ref="Q139" r:id="rId166" display="https://www.ema.europa.eu/en/documents/other/article-57-product-data_en.xlsx"/>
    <hyperlink ref="Q140" r:id="rId167" display="https://www.ema.europa.eu/en/documents/other/article-57-product-data_en.xlsx"/>
    <hyperlink ref="Q141" r:id="rId168" display="https://www.ema.europa.eu/en/documents/other/article-57-product-data_en.xlsx"/>
    <hyperlink ref="Q142" r:id="rId169" display="https://www.ema.europa.eu/en/documents/other/article-57-product-data_en.xlsx"/>
    <hyperlink ref="Q143" r:id="rId170" display="https://www.ema.europa.eu/en/documents/other/article-57-product-data_en.xlsx"/>
    <hyperlink ref="Q144" r:id="rId171" display="https://www.ema.europa.eu/en/documents/other/article-57-product-data_en.xlsx"/>
    <hyperlink ref="Q145" r:id="rId172" display="https://www.ema.europa.eu/en/documents/other/article-57-product-data_en.xlsx"/>
    <hyperlink ref="Q146" r:id="rId173" display="https://www.ema.europa.eu/en/documents/other/article-57-product-data_en.xlsx"/>
    <hyperlink ref="Q147" r:id="rId174" display="https://www.ema.europa.eu/en/documents/other/article-57-product-data_en.xlsx"/>
    <hyperlink ref="Q148" r:id="rId175" display="https://www.ema.europa.eu/en/documents/other/article-57-product-data_en.xlsx"/>
    <hyperlink ref="Q149" r:id="rId176" display="https://www.ema.europa.eu/en/documents/other/article-57-product-data_en.xlsx"/>
    <hyperlink ref="Q150" r:id="rId177" display="https://www.ema.europa.eu/en/documents/other/article-57-product-data_en.xlsx"/>
    <hyperlink ref="Q151" r:id="rId178" display="https://www.ema.europa.eu/en/documents/other/article-57-product-data_en.xlsx"/>
    <hyperlink ref="Q152" r:id="rId179" display="https://www.ema.europa.eu/en/documents/other/article-57-product-data_en.xlsx"/>
    <hyperlink ref="Q153" r:id="rId180" display="https://www.ema.europa.eu/en/documents/other/article-57-product-data_en.xlsx"/>
    <hyperlink ref="Q154" r:id="rId181" display="https://www.ema.europa.eu/en/documents/other/article-57-product-data_en.xlsx"/>
    <hyperlink ref="Q155" r:id="rId182" display="https://www.ema.europa.eu/en/documents/other/article-57-product-data_en.xlsx"/>
    <hyperlink ref="Q156" r:id="rId183" display="https://www.ema.europa.eu/en/documents/other/article-57-product-data_en.xlsx"/>
    <hyperlink ref="Q157" r:id="rId184" display="https://www.ema.europa.eu/en/documents/other/article-57-product-data_en.xlsx"/>
    <hyperlink ref="Q158" r:id="rId185" display="https://www.ema.europa.eu/en/documents/other/article-57-product-data_en.xlsx"/>
    <hyperlink ref="Q159" r:id="rId186" display="https://www.ema.europa.eu/en/documents/other/article-57-product-data_en.xlsx"/>
    <hyperlink ref="Q160" r:id="rId187" display="https://www.ema.europa.eu/en/documents/other/article-57-product-data_en.xlsx"/>
    <hyperlink ref="Q161" r:id="rId188" display="https://www.ema.europa.eu/en/documents/other/article-57-product-data_en.xlsx"/>
    <hyperlink ref="T161" r:id="rId189" display="https://base-donnees-publique.medicaments.gouv.fr/index.php?page=1&amp;choixRecherche=medicament&amp;txtCaracteres=Argatroban%20Accord&amp;action=show"/>
    <hyperlink ref="Q162" r:id="rId190" display="https://www.ema.europa.eu/en/documents/other/article-57-product-data_en.xlsx"/>
    <hyperlink ref="Q163" r:id="rId191" display="https://www.ema.europa.eu/en/documents/other/article-57-product-data_en.xlsx"/>
    <hyperlink ref="T163" r:id="rId192" display="https://base-donnees-publique.medicaments.gouv.fr/index.php?page=1&amp;choixRecherche=medicament&amp;txtCaracteres=Atropine%20Sulfate&amp;action=show"/>
    <hyperlink ref="Q164" r:id="rId193" display="https://www.ema.europa.eu/en/documents/other/article-57-product-data_en.xlsx"/>
    <hyperlink ref="S164" r:id="rId194" display="https://www.ema.europa.eu/en/medicines/human/EPAR/azacitidine-accord"/>
    <hyperlink ref="Q165" r:id="rId195" display="https://www.ema.europa.eu/en/documents/other/article-57-product-data_en.xlsx"/>
    <hyperlink ref="T165" r:id="rId196" display="https://base-donnees-publique.medicaments.gouv.fr/index.php?page=1&amp;choixRecherche=medicament&amp;txtCaracteres=Bivalirudine%20Accord&amp;action=show"/>
    <hyperlink ref="Q166" r:id="rId197" display="https://www.ema.europa.eu/en/documents/other/article-57-product-data_en.xlsx"/>
    <hyperlink ref="T166" r:id="rId198" display="https://base-donnees-publique.medicaments.gouv.fr/index.php?page=1&amp;choixRecherche=medicament&amp;txtCaracteres=Bleomycine%20Accord&amp;action=show"/>
    <hyperlink ref="Q167" r:id="rId199" display="https://www.ema.europa.eu/en/documents/other/article-57-product-data_en.xlsx"/>
    <hyperlink ref="S167" r:id="rId200" display="https://www.ema.europa.eu/en/medicines/human/EPAR/bortezomib-accord"/>
    <hyperlink ref="Q168" r:id="rId201" display="https://www.ema.europa.eu/en/documents/other/article-57-product-data_en.xlsx"/>
    <hyperlink ref="T168" r:id="rId202" display="https://base-donnees-publique.medicaments.gouv.fr/index.php?page=1&amp;choixRecherche=medicament&amp;txtCaracteres=Cefepime%20Accord&amp;action=show"/>
    <hyperlink ref="Q169" r:id="rId203" display="https://www.ema.europa.eu/en/documents/other/article-57-product-data_en.xlsx"/>
    <hyperlink ref="Q170" r:id="rId204" display="https://www.ema.europa.eu/en/documents/other/article-57-product-data_en.xlsx"/>
    <hyperlink ref="T170" r:id="rId205" display="https://base-donnees-publique.medicaments.gouv.fr/index.php?page=1&amp;choixRecherche=medicament&amp;txtCaracteres=Cisatracurium%20Accord&amp;action=show"/>
    <hyperlink ref="Q171" r:id="rId206" display="https://www.ema.europa.eu/en/documents/other/article-57-product-data_en.xlsx"/>
    <hyperlink ref="T171" r:id="rId207" display="https://base-donnees-publique.medicaments.gouv.fr/index.php?page=1&amp;choixRecherche=medicament&amp;txtCaracteres=Colistimethate%20Sodique&amp;action=show"/>
    <hyperlink ref="Q172" r:id="rId208" display="https://www.ema.europa.eu/en/documents/other/article-57-product-data_en.xlsx"/>
    <hyperlink ref="Q173" r:id="rId209" display="https://www.ema.europa.eu/en/documents/other/article-57-product-data_en.xlsx"/>
    <hyperlink ref="T173" r:id="rId210" display="https://base-donnees-publique.medicaments.gouv.fr/index.php?page=1&amp;choixRecherche=medicament&amp;txtCaracteres=Cytarabine%20Accord&amp;action=show"/>
    <hyperlink ref="Q174" r:id="rId211" display="https://www.ema.europa.eu/en/documents/other/article-57-product-data_en.xlsx"/>
    <hyperlink ref="T174" r:id="rId212" display="https://base-donnees-publique.medicaments.gouv.fr/index.php?page=1&amp;choixRecherche=medicament&amp;txtCaracteres=Daptomycine&amp;action=show"/>
    <hyperlink ref="Q175" r:id="rId213" display="https://www.ema.europa.eu/en/documents/other/article-57-product-data_en.xlsx"/>
    <hyperlink ref="S175" r:id="rId214" display="https://www.ema.europa.eu/en/medicines/human/EPAR/degarelix-accord"/>
    <hyperlink ref="Q176" r:id="rId215" display="https://www.ema.europa.eu/en/documents/other/article-57-product-data_en.xlsx"/>
    <hyperlink ref="S176" r:id="rId216" display="https://www.ema.europa.eu/en/medicines/human/EPAR/jubereq"/>
    <hyperlink ref="Q177" r:id="rId217" display="https://www.ema.europa.eu/en/documents/other/article-57-product-data_en.xlsx"/>
    <hyperlink ref="S177" r:id="rId218" display="https://www.ema.europa.eu/en/medicines/human/EPAR/zolsketil-pegylated-liposomal"/>
    <hyperlink ref="T177" r:id="rId219" display="https://base-donnees-publique.medicaments.gouv.fr/index.php?page=1&amp;choixRecherche=medicament&amp;txtCaracteres=Doxorubicine%20Accord&amp;action=show"/>
    <hyperlink ref="Q178" r:id="rId220" display="https://www.ema.europa.eu/en/documents/other/article-57-product-data_en.xlsx"/>
    <hyperlink ref="T178" r:id="rId221" display="https://base-donnees-publique.medicaments.gouv.fr/index.php?page=1&amp;choixRecherche=medicament&amp;txtCaracteres=Adrenaline%20Accord&amp;action=show"/>
    <hyperlink ref="Q179" r:id="rId222" display="https://www.ema.europa.eu/en/documents/other/article-57-product-data_en.xlsx"/>
    <hyperlink ref="T179" r:id="rId223" display="https://base-donnees-publique.medicaments.gouv.fr/index.php?page=1&amp;choixRecherche=medicament&amp;txtCaracteres=Epirubicine%20Accord&amp;action=show"/>
    <hyperlink ref="Q180" r:id="rId224" display="https://www.ema.europa.eu/en/documents/other/article-57-product-data_en.xlsx"/>
    <hyperlink ref="S180" r:id="rId225" display="https://www.ema.europa.eu/en/medicines/human/EPAR/eptifibatide-accord"/>
    <hyperlink ref="Q181" r:id="rId226" display="https://www.ema.europa.eu/en/documents/other/article-57-product-data_en.xlsx"/>
    <hyperlink ref="Q182" r:id="rId227" display="https://www.ema.europa.eu/en/documents/other/article-57-product-data_en.xlsx"/>
    <hyperlink ref="Q183" r:id="rId228" display="https://www.ema.europa.eu/en/documents/other/article-57-product-data_en.xlsx"/>
    <hyperlink ref="Q184" r:id="rId229" display="https://www.ema.europa.eu/en/documents/other/article-57-product-data_en.xlsx"/>
    <hyperlink ref="T184" r:id="rId230" display="https://base-donnees-publique.medicaments.gouv.fr/index.php?page=1&amp;choixRecherche=medicament&amp;txtCaracteres=Fludarabine%20Accord&amp;action=show"/>
    <hyperlink ref="Q185" r:id="rId231" display="https://www.ema.europa.eu/en/documents/other/article-57-product-data_en.xlsx"/>
    <hyperlink ref="T185" r:id="rId232" display="https://base-donnees-publique.medicaments.gouv.fr/index.php?page=1&amp;choixRecherche=medicament&amp;txtCaracteres=Fluorouracile%20Accord&amp;action=show"/>
    <hyperlink ref="Q186" r:id="rId233" display="https://www.ema.europa.eu/en/documents/other/article-57-product-data_en.xlsx"/>
    <hyperlink ref="T186" r:id="rId234" display="https://base-donnees-publique.medicaments.gouv.fr/index.php?page=1&amp;choixRecherche=medicament&amp;txtCaracteres=Fulvestrant%20Accord&amp;action=show"/>
    <hyperlink ref="Q187" r:id="rId235" display="https://www.ema.europa.eu/en/documents/other/article-57-product-data_en.xlsx"/>
    <hyperlink ref="Q188" r:id="rId236" display="https://www.ema.europa.eu/en/documents/other/article-57-product-data_en.xlsx"/>
    <hyperlink ref="Q189" r:id="rId237" display="https://www.ema.europa.eu/en/documents/other/article-57-product-data_en.xlsx"/>
    <hyperlink ref="S189" r:id="rId238" display="https://www.ema.europa.eu/en/medicines/human/EPAR/ibandronic-acid-accord"/>
    <hyperlink ref="Q190" r:id="rId239" display="https://www.ema.europa.eu/en/documents/other/article-57-product-data_en.xlsx"/>
    <hyperlink ref="T190" r:id="rId240" display="https://base-donnees-publique.medicaments.gouv.fr/index.php?page=1&amp;choixRecherche=medicament&amp;txtCaracteres=Idarubicine%20Accord&amp;action=show"/>
    <hyperlink ref="Q191" r:id="rId241" display="https://www.ema.europa.eu/en/documents/other/article-57-product-data_en.xlsx"/>
    <hyperlink ref="S191" r:id="rId242" display="https://www.ema.europa.eu/en/medicines/human/EPAR/camcevi"/>
    <hyperlink ref="Q192" r:id="rId243" display="https://www.ema.europa.eu/en/documents/other/article-57-product-data_en.xlsx"/>
    <hyperlink ref="Q193" r:id="rId244" display="https://www.ema.europa.eu/en/documents/other/article-57-product-data_en.xlsx"/>
    <hyperlink ref="Q194" r:id="rId245" display="https://www.ema.europa.eu/en/documents/other/article-57-product-data_en.xlsx"/>
    <hyperlink ref="T194" r:id="rId246" display="https://base-donnees-publique.medicaments.gouv.fr/index.php?page=1&amp;choixRecherche=medicament&amp;txtCaracteres=Izixate&amp;action=show"/>
    <hyperlink ref="Q195" r:id="rId247" display="https://www.ema.europa.eu/en/documents/other/article-57-product-data_en.xlsx"/>
    <hyperlink ref="T195" r:id="rId248" display="https://base-donnees-publique.medicaments.gouv.fr/index.php?page=1&amp;choixRecherche=medicament&amp;txtCaracteres=Midazolam%20Accord&amp;action=show"/>
    <hyperlink ref="Q196" r:id="rId249" display="https://www.ema.europa.eu/en/documents/other/article-57-product-data_en.xlsx"/>
    <hyperlink ref="T196" r:id="rId250" display="https://base-donnees-publique.medicaments.gouv.fr/index.php?page=1&amp;choixRecherche=medicament&amp;txtCaracteres=Mitomycine%20Accord&amp;action=show"/>
    <hyperlink ref="Q197" r:id="rId251" display="https://www.ema.europa.eu/en/documents/other/article-57-product-data_en.xlsx"/>
    <hyperlink ref="T197" r:id="rId252" display="https://base-donnees-publique.medicaments.gouv.fr/index.php?page=1&amp;choixRecherche=medicament&amp;txtCaracteres=Mitoxantrone%20Accord&amp;action=show"/>
    <hyperlink ref="Q198" r:id="rId253" display="https://www.ema.europa.eu/en/documents/other/article-57-product-data_en.xlsx"/>
    <hyperlink ref="Q199" r:id="rId254" display="https://www.ema.europa.eu/en/documents/other/article-57-product-data_en.xlsx"/>
    <hyperlink ref="T199" r:id="rId255" display="https://base-donnees-publique.medicaments.gouv.fr/index.php?page=1&amp;choixRecherche=medicament&amp;txtCaracteres=Ondansetron%20Accord&amp;action=show"/>
    <hyperlink ref="Q200" r:id="rId256" display="https://www.ema.europa.eu/en/documents/other/article-57-product-data_en.xlsx"/>
    <hyperlink ref="S200" r:id="rId257" display="https://www.ema.europa.eu/en/medicines/human/EPAR/naveruclif"/>
    <hyperlink ref="T200" r:id="rId258" display="https://base-donnees-publique.medicaments.gouv.fr/index.php?page=1&amp;choixRecherche=medicament&amp;txtCaracteres=Paclitaxel%20Ahcl&amp;action=show"/>
    <hyperlink ref="Q201" r:id="rId259" display="https://www.ema.europa.eu/en/documents/other/article-57-product-data_en.xlsx"/>
    <hyperlink ref="S201" r:id="rId260" display="https://www.ema.europa.eu/en/medicines/human/EPAR/palonosetron-accord"/>
    <hyperlink ref="Q202" r:id="rId261" display="https://www.ema.europa.eu/en/documents/other/article-57-product-data_en.xlsx"/>
    <hyperlink ref="Q203" r:id="rId262" display="https://www.ema.europa.eu/en/documents/other/article-57-product-data_en.xlsx"/>
    <hyperlink ref="Q204" r:id="rId263" display="https://www.ema.europa.eu/en/documents/other/article-57-product-data_en.xlsx"/>
    <hyperlink ref="S204" r:id="rId264" display="https://www.ema.europa.eu/en/medicines/human/EPAR/pelgraz"/>
    <hyperlink ref="Q205" r:id="rId265" display="https://www.ema.europa.eu/en/documents/other/article-57-product-data_en.xlsx"/>
    <hyperlink ref="Q206" r:id="rId266" display="https://www.ema.europa.eu/en/documents/other/article-57-product-data_en.xlsx"/>
    <hyperlink ref="Q207" r:id="rId267" display="https://www.ema.europa.eu/en/documents/other/article-57-product-data_en.xlsx"/>
    <hyperlink ref="S207" r:id="rId268" display="https://www.ema.europa.eu/en/medicines/human/EPAR/plerixafor-accord"/>
    <hyperlink ref="Q208" r:id="rId269" display="https://www.ema.europa.eu/en/documents/other/article-57-product-data_en.xlsx"/>
    <hyperlink ref="Q209" r:id="rId270" display="https://www.ema.europa.eu/en/documents/other/article-57-product-data_en.xlsx"/>
    <hyperlink ref="Q210" r:id="rId271" display="https://www.ema.europa.eu/en/documents/other/article-57-product-data_en.xlsx"/>
    <hyperlink ref="Q211" r:id="rId272" display="https://www.ema.europa.eu/en/documents/other/article-57-product-data_en.xlsx"/>
    <hyperlink ref="Q212" r:id="rId273" display="https://www.ema.europa.eu/en/documents/other/article-57-product-data_en.xlsx"/>
    <hyperlink ref="Q213" r:id="rId274" display="https://www.ema.europa.eu/en/documents/other/article-57-product-data_en.xlsx"/>
    <hyperlink ref="T213" r:id="rId275" display="https://base-donnees-publique.medicaments.gouv.fr/index.php?page=1&amp;choixRecherche=medicament&amp;txtCaracteres=Sugammadex%20Accord&amp;action=show"/>
    <hyperlink ref="Q214" r:id="rId276" display="https://www.ema.europa.eu/en/documents/other/article-57-product-data_en.xlsx"/>
    <hyperlink ref="Q215" r:id="rId277" display="https://www.ema.europa.eu/en/documents/other/article-57-product-data_en.xlsx"/>
    <hyperlink ref="S215" r:id="rId278" display="https://www.ema.europa.eu/en/medicines/human/EPAR/tigecycline-accord"/>
    <hyperlink ref="Q216" r:id="rId279" display="https://www.ema.europa.eu/en/documents/other/article-57-product-data_en.xlsx"/>
    <hyperlink ref="S216" r:id="rId280" display="https://www.ema.europa.eu/en/medicines/human/EPAR/imuldosa"/>
    <hyperlink ref="Q217" r:id="rId281" display="https://www.ema.europa.eu/en/documents/other/article-57-product-data_en.xlsx"/>
    <hyperlink ref="Q218" r:id="rId282" display="https://www.ema.europa.eu/en/documents/other/article-57-product-data_en.xlsx"/>
    <hyperlink ref="T218" r:id="rId283" display="https://base-donnees-publique.medicaments.gouv.fr/index.php?page=1&amp;choixRecherche=medicament&amp;txtCaracteres=Vinorelbine%20Accord&amp;action=show"/>
    <hyperlink ref="Q219" r:id="rId284" display="https://www.ema.europa.eu/en/documents/other/article-57-product-data_en.xlsx"/>
    <hyperlink ref="Q220" r:id="rId285" display="https://www.ema.europa.eu/en/documents/other/article-57-product-data_en.xlsx"/>
    <hyperlink ref="Q221" r:id="rId286" display="https://www.ema.europa.eu/en/documents/other/article-57-product-data_en.xlsx"/>
    <hyperlink ref="Q222" r:id="rId287" display="https://www.ema.europa.eu/en/documents/other/article-57-product-data_en.xlsx"/>
    <hyperlink ref="Q223" r:id="rId288" display="https://www.ema.europa.eu/en/documents/other/article-57-product-data_en.xlsx"/>
    <hyperlink ref="Q224" r:id="rId289" display="https://www.ema.europa.eu/en/documents/other/article-57-product-data_en.xlsx"/>
    <hyperlink ref="Q225" r:id="rId290" display="https://www.ema.europa.eu/en/documents/other/article-57-product-data_en.xlsx"/>
    <hyperlink ref="Q226" r:id="rId291" display="https://www.ema.europa.eu/en/documents/other/article-57-product-data_en.xlsx"/>
    <hyperlink ref="Q227" r:id="rId292" display="https://www.ema.europa.eu/en/documents/other/article-57-product-data_en.xlsx"/>
    <hyperlink ref="Q228" r:id="rId293" display="https://www.ema.europa.eu/en/documents/other/article-57-product-data_en.xlsx"/>
    <hyperlink ref="Q229" r:id="rId294" display="https://www.ema.europa.eu/en/documents/other/article-57-product-data_en.xlsx"/>
    <hyperlink ref="Q230" r:id="rId295" display="https://www.ema.europa.eu/en/documents/other/article-57-product-data_en.xlsx"/>
    <hyperlink ref="Q231" r:id="rId296" display="https://www.ema.europa.eu/en/documents/other/article-57-product-data_en.xlsx"/>
    <hyperlink ref="Q232" r:id="rId297" display="https://www.ema.europa.eu/en/documents/other/article-57-product-data_en.xlsx"/>
    <hyperlink ref="Q233" r:id="rId298" display="https://www.ema.europa.eu/en/documents/other/article-57-product-data_en.xlsx"/>
    <hyperlink ref="Q234" r:id="rId299" display="https://www.ema.europa.eu/en/documents/other/article-57-product-data_en.xlsx"/>
    <hyperlink ref="Q235" r:id="rId300" display="https://www.ema.europa.eu/en/documents/other/article-57-product-data_en.xlsx"/>
    <hyperlink ref="Q236" r:id="rId301" display="https://www.ema.europa.eu/en/documents/other/article-57-product-data_en.xlsx"/>
    <hyperlink ref="Q237" r:id="rId302" display="https://www.ema.europa.eu/en/documents/other/article-57-product-data_en.xlsx"/>
    <hyperlink ref="Q238" r:id="rId303" display="https://www.ema.europa.eu/en/documents/other/article-57-product-data_en.xlsx"/>
    <hyperlink ref="Q239" r:id="rId304" display="https://www.ema.europa.eu/en/documents/other/article-57-product-data_en.xlsx"/>
    <hyperlink ref="Q240" r:id="rId305" display="https://www.ema.europa.eu/en/documents/other/article-57-product-data_en.xlsx"/>
    <hyperlink ref="Q241" r:id="rId306" display="https://www.ema.europa.eu/en/documents/other/article-57-product-data_en.xlsx"/>
    <hyperlink ref="Q242" r:id="rId307" display="https://www.ema.europa.eu/en/documents/other/article-57-product-data_en.xlsx"/>
    <hyperlink ref="Q243" r:id="rId308" display="https://www.ema.europa.eu/en/documents/other/article-57-product-data_en.xlsx"/>
    <hyperlink ref="Q244" r:id="rId309" display="https://www.ema.europa.eu/en/documents/other/article-57-product-data_en.xlsx"/>
    <hyperlink ref="Q245" r:id="rId310" display="https://www.ema.europa.eu/en/documents/other/article-57-product-data_en.xlsx"/>
    <hyperlink ref="Q246" r:id="rId311" display="https://www.ema.europa.eu/en/documents/other/article-57-product-data_en.xlsx"/>
    <hyperlink ref="Q247" r:id="rId312" display="https://www.ema.europa.eu/en/documents/other/article-57-product-data_en.xlsx"/>
    <hyperlink ref="Q248" r:id="rId313" display="https://www.ema.europa.eu/en/documents/other/article-57-product-data_en.xlsx"/>
    <hyperlink ref="Q249" r:id="rId314" display="https://www.ema.europa.eu/en/documents/other/article-57-product-data_en.xlsx"/>
    <hyperlink ref="Q250" r:id="rId315" display="https://www.ema.europa.eu/en/documents/other/article-57-product-data_en.xlsx"/>
    <hyperlink ref="Q251" r:id="rId316" display="https://www.ema.europa.eu/en/documents/other/article-57-product-data_en.xlsx"/>
    <hyperlink ref="Q252" r:id="rId317" display="https://www.ema.europa.eu/en/documents/other/article-57-product-data_en.xlsx"/>
    <hyperlink ref="Q253" r:id="rId318" display="https://www.ema.europa.eu/en/documents/other/article-57-product-data_en.xlsx"/>
    <hyperlink ref="Q254" r:id="rId319" display="https://www.ema.europa.eu/en/documents/other/article-57-product-data_en.xlsx"/>
    <hyperlink ref="Q255" r:id="rId320" display="https://www.ema.europa.eu/en/documents/other/article-57-product-data_en.xlsx"/>
    <hyperlink ref="Q256" r:id="rId321" display="https://www.ema.europa.eu/en/documents/other/article-57-product-data_en.xlsx"/>
    <hyperlink ref="Q257" r:id="rId322" display="https://www.ema.europa.eu/en/documents/other/article-57-product-data_en.xlsx"/>
    <hyperlink ref="T257" r:id="rId323" display="https://base-donnees-publique.medicaments.gouv.fr/index.php?page=1&amp;choixRecherche=medicament&amp;txtCaracteres=Meropenem%20Steriscience&amp;action=show"/>
    <hyperlink ref="Q258" r:id="rId324" display="https://www.ema.europa.eu/en/documents/other/article-57-product-data_en.xlsx"/>
    <hyperlink ref="Q259" r:id="rId325" display="https://www.ema.europa.eu/en/documents/other/article-57-product-data_en.xlsx"/>
    <hyperlink ref="Q260" r:id="rId326" display="https://www.ema.europa.eu/en/documents/other/article-57-product-data_en.xlsx"/>
    <hyperlink ref="T260" r:id="rId327" display="https://base-donnees-publique.medicaments.gouv.fr/index.php?page=1&amp;choixRecherche=medicament&amp;txtCaracteres=Rapifen&amp;action=show"/>
    <hyperlink ref="Q261" r:id="rId328" display="https://www.ema.europa.eu/en/documents/other/article-57-product-data_en.xlsx"/>
    <hyperlink ref="T261" r:id="rId329" display="https://base-donnees-publique.medicaments.gouv.fr/index.php?page=1&amp;choixRecherche=medicament&amp;txtCaracteres=Spacyr&amp;action=show"/>
    <hyperlink ref="Q262" r:id="rId330" display="https://www.ema.europa.eu/en/documents/other/article-57-product-data_en.xlsx"/>
    <hyperlink ref="Q263" r:id="rId331" display="https://www.ema.europa.eu/en/documents/other/article-57-product-data_en.xlsx"/>
    <hyperlink ref="T263" r:id="rId332" display="https://base-donnees-publique.medicaments.gouv.fr/index.php?page=1&amp;choixRecherche=medicament&amp;txtCaracteres=Hypnomidate&amp;action=show"/>
    <hyperlink ref="Q264" r:id="rId333" display="https://www.ema.europa.eu/en/documents/other/article-57-product-data_en.xlsx"/>
    <hyperlink ref="T264" r:id="rId334" display="https://base-donnees-publique.medicaments.gouv.fr/index.php?page=1&amp;choixRecherche=medicament&amp;txtCaracteres=Fentanyl%20Piramal&amp;action=show"/>
    <hyperlink ref="Q265" r:id="rId335" display="https://www.ema.europa.eu/en/documents/other/article-57-product-data_en.xlsx"/>
    <hyperlink ref="Q266" r:id="rId336" display="https://www.ema.europa.eu/en/documents/other/article-57-product-data_en.xlsx"/>
    <hyperlink ref="S266" r:id="rId337" display="https://www.ema.europa.eu/en/medicines/human/EPAR/sugammadex-piramal"/>
    <hyperlink ref="Q267" r:id="rId338" display="https://www.ema.europa.eu/en/documents/other/article-57-product-data_en.xlsx"/>
    <hyperlink ref="Q268" r:id="rId339" display="https://www.ema.europa.eu/en/documents/other/article-57-product-data_en.xlsx"/>
    <hyperlink ref="Q269" r:id="rId340" display="https://www.ema.europa.eu/en/documents/other/article-57-product-data_en.xlsx"/>
    <hyperlink ref="Q270" r:id="rId341" display="https://www.ema.europa.eu/en/documents/other/article-57-product-data_en.xlsx"/>
    <hyperlink ref="Q271" r:id="rId342" display="https://www.ema.europa.eu/en/documents/other/article-57-product-data_en.xlsx"/>
    <hyperlink ref="Q272" r:id="rId343" display="https://www.ema.europa.eu/en/documents/other/article-57-product-data_en.xlsx"/>
    <hyperlink ref="Q273" r:id="rId344" display="https://www.ema.europa.eu/en/documents/other/article-57-product-data_en.xlsx"/>
    <hyperlink ref="S273" r:id="rId345" display="https://www.ema.europa.eu/en/medicines/human/EPAR/bortezomib-sun"/>
    <hyperlink ref="Q274" r:id="rId346" display="https://www.ema.europa.eu/en/documents/other/article-57-product-data_en.xlsx"/>
    <hyperlink ref="Q275" r:id="rId347" display="https://www.ema.europa.eu/en/documents/other/article-57-product-data_en.xlsx"/>
    <hyperlink ref="Q276" r:id="rId348" display="https://www.ema.europa.eu/en/documents/other/article-57-product-data_en.xlsx"/>
    <hyperlink ref="T276" r:id="rId349" display="https://base-donnees-publique.medicaments.gouv.fr/index.php?page=1&amp;choixRecherche=medicament&amp;txtCaracteres=Esomeprazole%20Sun&amp;action=show"/>
    <hyperlink ref="Q277" r:id="rId350" display="https://www.ema.europa.eu/en/documents/other/article-57-product-data_en.xlsx"/>
    <hyperlink ref="Q278" r:id="rId351" display="https://www.ema.europa.eu/en/documents/other/article-57-product-data_en.xlsx"/>
    <hyperlink ref="T278" r:id="rId352" display="https://base-donnees-publique.medicaments.gouv.fr/index.php?page=1&amp;choixRecherche=medicament&amp;txtCaracteres=Melphalan%20Sun&amp;action=show"/>
    <hyperlink ref="Q279" r:id="rId353" display="https://www.ema.europa.eu/en/documents/other/article-57-product-data_en.xlsx"/>
    <hyperlink ref="Q280" r:id="rId354" display="https://www.ema.europa.eu/en/documents/other/article-57-product-data_en.xlsx"/>
    <hyperlink ref="Q281" r:id="rId355" display="https://www.ema.europa.eu/en/documents/other/article-57-product-data_en.xlsx"/>
    <hyperlink ref="T281" r:id="rId356" display="https://base-donnees-publique.medicaments.gouv.fr/index.php?page=1&amp;choixRecherche=medicament&amp;txtCaracteres=Pantoprazole%20Sun&amp;action=show"/>
    <hyperlink ref="Q282" r:id="rId357" display="https://www.ema.europa.eu/en/documents/other/article-57-product-data_en.xlsx"/>
    <hyperlink ref="Q283" r:id="rId358" display="https://www.ema.europa.eu/en/documents/other/article-57-product-data_en.xlsx"/>
    <hyperlink ref="Q284" r:id="rId359" display="https://www.ema.europa.eu/en/documents/other/article-57-product-data_en.xlsx"/>
    <hyperlink ref="Q285" r:id="rId360" display="https://www.ema.europa.eu/en/documents/other/article-57-product-data_en.xlsx"/>
    <hyperlink ref="T285" r:id="rId361" display="https://base-donnees-publique.medicaments.gouv.fr/index.php?page=1&amp;choixRecherche=medicament&amp;txtCaracteres=Terlipressine%20Sun&amp;action=show"/>
    <hyperlink ref="Q286" r:id="rId362" display="https://www.ema.europa.eu/en/documents/other/article-57-product-data_en.xlsx"/>
    <hyperlink ref="Q287" r:id="rId363" display="https://www.ema.europa.eu/en/documents/other/article-57-product-data_en.xlsx"/>
    <hyperlink ref="T287" r:id="rId364" display="https://base-donnees-publique.medicaments.gouv.fr/index.php?page=1&amp;choixRecherche=medicament&amp;txtCaracteres=Undecanoate&amp;action=show"/>
    <hyperlink ref="Q288" r:id="rId365" display="https://www.ema.europa.eu/en/documents/other/article-57-product-data_en.xlsx"/>
    <hyperlink ref="Q289" r:id="rId366" display="https://www.ema.europa.eu/en/documents/other/article-57-product-data_en.xlsx"/>
    <hyperlink ref="Q290" r:id="rId367" display="https://www.ema.europa.eu/en/documents/other/article-57-product-data_en.xlsx"/>
    <hyperlink ref="Q291" r:id="rId368" display="https://www.ema.europa.eu/en/documents/other/article-57-product-data_en.xlsx"/>
    <hyperlink ref="Q292" r:id="rId369" display="https://www.ema.europa.eu/en/documents/other/article-57-product-data_en.xlsx"/>
    <hyperlink ref="Q293" r:id="rId370" display="https://www.ema.europa.eu/en/documents/other/article-57-product-data_en.xlsx"/>
    <hyperlink ref="Q294" r:id="rId371" display="https://www.ema.europa.eu/en/documents/other/article-57-product-data_en.xlsx"/>
    <hyperlink ref="Q295" r:id="rId372" display="https://www.ema.europa.eu/en/documents/other/article-57-product-data_en.xlsx"/>
    <hyperlink ref="Q296" r:id="rId373" display="https://www.ema.europa.eu/en/documents/other/article-57-product-data_en.xlsx"/>
    <hyperlink ref="Q297" r:id="rId374" display="https://www.ema.europa.eu/en/documents/other/article-57-product-data_en.xlsx"/>
    <hyperlink ref="Q298" r:id="rId375" display="https://www.ema.europa.eu/en/documents/other/article-57-product-data_en.xlsx"/>
    <hyperlink ref="Q299" r:id="rId376" display="https://www.ema.europa.eu/en/documents/other/article-57-product-data_en.xlsx"/>
    <hyperlink ref="T299" r:id="rId377" display="https://base-donnees-publique.medicaments.gouv.fr/index.php?page=1&amp;choixRecherche=medicament&amp;txtCaracteres=Meropenem%20Venus&amp;action=show"/>
    <hyperlink ref="Q300" r:id="rId378" display="https://www.ema.europa.eu/en/documents/other/article-57-product-data_en.xlsx"/>
    <hyperlink ref="Q301" r:id="rId379" display="https://www.ema.europa.eu/en/documents/other/article-57-product-data_en.xlsx"/>
    <hyperlink ref="Q302" r:id="rId380" display="https://www.ema.europa.eu/en/documents/other/article-57-product-data_en.xlsx"/>
    <hyperlink ref="Q303" r:id="rId381" display="https://www.ema.europa.eu/en/documents/other/article-57-product-data_en.xlsx"/>
    <hyperlink ref="Q304" r:id="rId382" display="https://www.ema.europa.eu/en/documents/other/article-57-product-data_en.xlsx"/>
    <hyperlink ref="Q305" r:id="rId383" display="https://www.ema.europa.eu/en/documents/other/article-57-product-data_en.xlsx"/>
    <hyperlink ref="Q306" r:id="rId384" display="https://www.ema.europa.eu/en/documents/other/article-57-product-data_en.xlsx"/>
    <hyperlink ref="Q307" r:id="rId385" display="https://www.ema.europa.eu/en/documents/other/article-57-product-data_en.xlsx"/>
    <hyperlink ref="Q308" r:id="rId386" display="https://www.ema.europa.eu/en/documents/other/article-57-product-data_en.xlsx"/>
    <hyperlink ref="Q309" r:id="rId387" display="https://www.ema.europa.eu/en/documents/other/article-57-product-data_en.xlsx"/>
    <hyperlink ref="Q310" r:id="rId388" display="https://www.ema.europa.eu/en/documents/other/article-57-product-data_en.xlsx"/>
    <hyperlink ref="Q311" r:id="rId389" display="https://www.ema.europa.eu/en/documents/other/article-57-product-data_en.xlsx"/>
    <hyperlink ref="Q312" r:id="rId390" display="https://www.ema.europa.eu/en/documents/other/article-57-product-data_en.xlsx"/>
    <hyperlink ref="Q313" r:id="rId391" display="https://www.ema.europa.eu/en/documents/other/article-57-product-data_en.xlsx"/>
    <hyperlink ref="Q314" r:id="rId392" display="https://www.ema.europa.eu/en/documents/other/article-57-product-data_en.xlsx"/>
    <hyperlink ref="Q315" r:id="rId393" display="https://www.ema.europa.eu/en/documents/other/article-57-product-data_en.xlsx"/>
    <hyperlink ref="Q316" r:id="rId394" display="https://www.ema.europa.eu/en/documents/other/article-57-product-data_en.xlsx"/>
    <hyperlink ref="Q317" r:id="rId395" display="https://www.ema.europa.eu/en/documents/other/article-57-product-data_en.xlsx"/>
    <hyperlink ref="Q318" r:id="rId396" display="https://www.ema.europa.eu/en/documents/other/article-57-product-data_en.xlsx"/>
    <hyperlink ref="Q319" r:id="rId397" display="https://www.ema.europa.eu/en/documents/other/article-57-product-data_en.xlsx"/>
    <hyperlink ref="Q320" r:id="rId398" display="https://www.ema.europa.eu/en/documents/other/article-57-product-data_en.xlsx"/>
    <hyperlink ref="Q321" r:id="rId399" display="https://www.ema.europa.eu/en/documents/other/article-57-product-data_en.xlsx"/>
    <hyperlink ref="Q322" r:id="rId400" display="https://www.ema.europa.eu/en/documents/other/article-57-product-data_en.xlsx"/>
    <hyperlink ref="T322" r:id="rId401" display="https://base-donnees-publique.medicaments.gouv.fr/index.php?page=1&amp;choixRecherche=medicament&amp;txtCaracteres=Ceftriaxone%20Zydus&amp;action=show"/>
    <hyperlink ref="Q323" r:id="rId402" display="https://www.ema.europa.eu/en/documents/other/article-57-product-data_en.xlsx"/>
    <hyperlink ref="Q324" r:id="rId403" display="https://www.ema.europa.eu/en/documents/other/article-57-product-data_en.xlsx"/>
    <hyperlink ref="Q325" r:id="rId404" display="https://www.ema.europa.eu/en/documents/other/article-57-product-data_en.xlsx"/>
    <hyperlink ref="Q326" r:id="rId405" display="https://www.ema.europa.eu/en/documents/other/article-57-product-data_en.xlsx"/>
    <hyperlink ref="Q327" r:id="rId406" display="https://www.ema.europa.eu/en/documents/other/article-57-product-data_en.xlsx"/>
    <hyperlink ref="Q328" r:id="rId407" display="https://www.ema.europa.eu/en/documents/other/article-57-product-data_en.xlsx"/>
    <hyperlink ref="Q329" r:id="rId408" display="https://www.ema.europa.eu/en/documents/other/article-57-product-data_en.xlsx"/>
    <hyperlink ref="Q330" r:id="rId409" display="https://www.ema.europa.eu/en/documents/other/article-57-product-data_en.xlsx"/>
    <hyperlink ref="Q331" r:id="rId410" display="https://www.ema.europa.eu/en/documents/other/article-57-product-data_en.xlsx"/>
    <hyperlink ref="Q332" r:id="rId411" display="https://www.ema.europa.eu/en/documents/other/article-57-product-data_en.xlsx"/>
    <hyperlink ref="Q333" r:id="rId412" display="https://www.ema.europa.eu/en/documents/other/article-57-product-data_en.xlsx"/>
    <hyperlink ref="Q334" r:id="rId413" display="https://www.ema.europa.eu/en/documents/other/article-57-product-data_en.xlsx"/>
    <hyperlink ref="Q335" r:id="rId414" display="https://www.ema.europa.eu/en/documents/other/article-57-product-data_en.xlsx"/>
    <hyperlink ref="Q336" r:id="rId415" display="https://www.ema.europa.eu/en/documents/other/article-57-product-data_en.xlsx"/>
    <hyperlink ref="Q337" r:id="rId416" display="https://www.ema.europa.eu/en/documents/other/article-57-product-data_en.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1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K6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30"/>
    <col collapsed="false" customWidth="true" hidden="false" outlineLevel="0" max="10" min="10" style="0" width="45"/>
    <col collapsed="false" customWidth="true" hidden="false" outlineLevel="0" max="11" min="11" style="0" width="70"/>
  </cols>
  <sheetData>
    <row r="1" customFormat="false" ht="17.35" hidden="false" customHeight="false" outlineLevel="0" collapsed="false">
      <c r="A1" s="1" t="s">
        <v>1103</v>
      </c>
    </row>
    <row r="2" customFormat="false" ht="15" hidden="false" customHeight="false" outlineLevel="0" collapsed="false">
      <c r="A2" s="2" t="s">
        <v>1104</v>
      </c>
    </row>
    <row r="4" customFormat="false" ht="42" hidden="false" customHeight="true" outlineLevel="0" collapsed="false">
      <c r="A4" s="6" t="s">
        <v>12</v>
      </c>
      <c r="B4" s="6" t="s">
        <v>62</v>
      </c>
      <c r="C4" s="6" t="s">
        <v>1105</v>
      </c>
      <c r="D4" s="6" t="s">
        <v>1106</v>
      </c>
      <c r="E4" s="6" t="s">
        <v>1107</v>
      </c>
      <c r="F4" s="6" t="s">
        <v>69</v>
      </c>
      <c r="G4" s="6" t="s">
        <v>1108</v>
      </c>
      <c r="H4" s="6" t="s">
        <v>1109</v>
      </c>
      <c r="I4" s="6" t="s">
        <v>1110</v>
      </c>
      <c r="J4" s="6" t="s">
        <v>1111</v>
      </c>
      <c r="K4" s="6" t="s">
        <v>1112</v>
      </c>
    </row>
    <row r="5" customFormat="false" ht="79.85" hidden="false" customHeight="false" outlineLevel="0" collapsed="false">
      <c r="A5" s="12" t="s">
        <v>51</v>
      </c>
      <c r="B5" s="12" t="s">
        <v>166</v>
      </c>
      <c r="C5" s="10" t="s">
        <v>1113</v>
      </c>
      <c r="D5" s="12" t="s">
        <v>1114</v>
      </c>
      <c r="E5" s="10" t="s">
        <v>1115</v>
      </c>
      <c r="F5" s="12" t="s">
        <v>77</v>
      </c>
      <c r="G5" s="12" t="n">
        <v>1</v>
      </c>
      <c r="H5" s="26" t="n">
        <v>74.8286</v>
      </c>
      <c r="I5" s="10" t="s">
        <v>1116</v>
      </c>
      <c r="J5" s="30" t="s">
        <v>1117</v>
      </c>
      <c r="K5" s="10" t="s">
        <v>1118</v>
      </c>
    </row>
    <row r="6" customFormat="false" ht="35.05" hidden="false" customHeight="false" outlineLevel="0" collapsed="false">
      <c r="A6" s="12" t="s">
        <v>51</v>
      </c>
      <c r="B6" s="12" t="s">
        <v>285</v>
      </c>
      <c r="C6" s="10" t="s">
        <v>285</v>
      </c>
      <c r="D6" s="12" t="s">
        <v>1119</v>
      </c>
      <c r="E6" s="10" t="s">
        <v>1120</v>
      </c>
      <c r="F6" s="12" t="s">
        <v>83</v>
      </c>
      <c r="G6" s="12" t="n">
        <v>2</v>
      </c>
      <c r="H6" s="26" t="n">
        <v>10.14</v>
      </c>
      <c r="I6" s="10" t="s">
        <v>1121</v>
      </c>
      <c r="J6" s="30" t="s">
        <v>1122</v>
      </c>
      <c r="K6" s="10" t="s">
        <v>1123</v>
      </c>
    </row>
    <row r="7" customFormat="false" ht="46.25" hidden="false" customHeight="false" outlineLevel="0" collapsed="false">
      <c r="A7" s="12" t="s">
        <v>51</v>
      </c>
      <c r="B7" s="12" t="s">
        <v>112</v>
      </c>
      <c r="C7" s="10" t="s">
        <v>112</v>
      </c>
      <c r="D7" s="12" t="s">
        <v>1124</v>
      </c>
      <c r="E7" s="10" t="s">
        <v>1125</v>
      </c>
      <c r="F7" s="12" t="s">
        <v>83</v>
      </c>
      <c r="G7" s="12" t="n">
        <v>5</v>
      </c>
      <c r="H7" s="26" t="n">
        <v>29.97</v>
      </c>
      <c r="I7" s="10" t="s">
        <v>1116</v>
      </c>
      <c r="J7" s="30" t="s">
        <v>1126</v>
      </c>
      <c r="K7" s="10" t="s">
        <v>1127</v>
      </c>
    </row>
    <row r="8" customFormat="false" ht="46.25" hidden="false" customHeight="false" outlineLevel="0" collapsed="false">
      <c r="A8" s="12" t="s">
        <v>51</v>
      </c>
      <c r="B8" s="12" t="s">
        <v>283</v>
      </c>
      <c r="C8" s="10" t="s">
        <v>1128</v>
      </c>
      <c r="D8" s="12" t="s">
        <v>1129</v>
      </c>
      <c r="E8" s="10" t="s">
        <v>1130</v>
      </c>
      <c r="F8" s="12" t="s">
        <v>77</v>
      </c>
      <c r="G8" s="12" t="n">
        <v>40</v>
      </c>
      <c r="H8" s="26" t="n">
        <v>15.1</v>
      </c>
      <c r="I8" s="10" t="s">
        <v>1116</v>
      </c>
      <c r="J8" s="30" t="s">
        <v>1131</v>
      </c>
      <c r="K8" s="10" t="s">
        <v>1132</v>
      </c>
    </row>
    <row r="9" customFormat="false" ht="46.25" hidden="false" customHeight="false" outlineLevel="0" collapsed="false">
      <c r="A9" s="12" t="s">
        <v>51</v>
      </c>
      <c r="B9" s="12" t="s">
        <v>283</v>
      </c>
      <c r="C9" s="10" t="s">
        <v>1128</v>
      </c>
      <c r="D9" s="12" t="s">
        <v>1133</v>
      </c>
      <c r="E9" s="10" t="s">
        <v>1134</v>
      </c>
      <c r="F9" s="12" t="s">
        <v>77</v>
      </c>
      <c r="G9" s="12" t="n">
        <v>2</v>
      </c>
      <c r="H9" s="26" t="n">
        <v>5.61</v>
      </c>
      <c r="I9" s="10" t="s">
        <v>1116</v>
      </c>
      <c r="J9" s="30" t="s">
        <v>1131</v>
      </c>
      <c r="K9" s="10" t="s">
        <v>1135</v>
      </c>
    </row>
    <row r="10" customFormat="false" ht="35.05" hidden="false" customHeight="false" outlineLevel="0" collapsed="false">
      <c r="A10" s="12" t="s">
        <v>51</v>
      </c>
      <c r="B10" s="12" t="s">
        <v>203</v>
      </c>
      <c r="C10" s="10" t="s">
        <v>203</v>
      </c>
      <c r="D10" s="12" t="s">
        <v>1136</v>
      </c>
      <c r="E10" s="10" t="s">
        <v>1137</v>
      </c>
      <c r="F10" s="12" t="s">
        <v>83</v>
      </c>
      <c r="G10" s="12" t="n">
        <v>0.5</v>
      </c>
      <c r="H10" s="26" t="n">
        <v>3.99</v>
      </c>
      <c r="I10" s="10" t="s">
        <v>1121</v>
      </c>
      <c r="J10" s="30" t="s">
        <v>1122</v>
      </c>
      <c r="K10" s="10" t="s">
        <v>1138</v>
      </c>
    </row>
    <row r="11" customFormat="false" ht="35.05" hidden="false" customHeight="false" outlineLevel="0" collapsed="false">
      <c r="A11" s="12" t="s">
        <v>51</v>
      </c>
      <c r="B11" s="12" t="s">
        <v>305</v>
      </c>
      <c r="C11" s="10" t="s">
        <v>305</v>
      </c>
      <c r="D11" s="12" t="s">
        <v>1139</v>
      </c>
      <c r="E11" s="10" t="s">
        <v>1140</v>
      </c>
      <c r="F11" s="12" t="s">
        <v>95</v>
      </c>
      <c r="G11" s="12"/>
      <c r="H11" s="26" t="n">
        <v>3.15</v>
      </c>
      <c r="I11" s="10" t="s">
        <v>1121</v>
      </c>
      <c r="J11" s="30" t="s">
        <v>1122</v>
      </c>
      <c r="K11" s="10" t="s">
        <v>1141</v>
      </c>
    </row>
    <row r="12" customFormat="false" ht="15" hidden="false" customHeight="false" outlineLevel="0" collapsed="false">
      <c r="A12" s="12" t="s">
        <v>23</v>
      </c>
      <c r="B12" s="12" t="s">
        <v>348</v>
      </c>
      <c r="C12" s="10" t="s">
        <v>1142</v>
      </c>
      <c r="D12" s="12" t="s">
        <v>1143</v>
      </c>
      <c r="E12" s="10" t="s">
        <v>1144</v>
      </c>
      <c r="F12" s="12" t="s">
        <v>77</v>
      </c>
      <c r="G12" s="12" t="n">
        <v>20</v>
      </c>
      <c r="H12" s="26" t="n">
        <v>7.7889</v>
      </c>
      <c r="I12" s="10" t="s">
        <v>1116</v>
      </c>
      <c r="J12" s="30" t="s">
        <v>1145</v>
      </c>
      <c r="K12" s="10" t="s">
        <v>1146</v>
      </c>
    </row>
    <row r="13" customFormat="false" ht="15" hidden="false" customHeight="false" outlineLevel="0" collapsed="false">
      <c r="A13" s="12" t="s">
        <v>23</v>
      </c>
      <c r="B13" s="12" t="s">
        <v>348</v>
      </c>
      <c r="C13" s="10" t="s">
        <v>1142</v>
      </c>
      <c r="D13" s="12" t="s">
        <v>1143</v>
      </c>
      <c r="E13" s="10" t="s">
        <v>1147</v>
      </c>
      <c r="F13" s="12" t="s">
        <v>77</v>
      </c>
      <c r="G13" s="12" t="n">
        <v>20</v>
      </c>
      <c r="H13" s="26" t="n">
        <v>7.7889</v>
      </c>
      <c r="I13" s="10" t="s">
        <v>1116</v>
      </c>
      <c r="J13" s="30" t="s">
        <v>1145</v>
      </c>
      <c r="K13" s="10" t="s">
        <v>1146</v>
      </c>
    </row>
    <row r="14" customFormat="false" ht="46.25" hidden="false" customHeight="false" outlineLevel="0" collapsed="false">
      <c r="A14" s="12" t="s">
        <v>23</v>
      </c>
      <c r="B14" s="12" t="s">
        <v>345</v>
      </c>
      <c r="C14" s="10" t="s">
        <v>1148</v>
      </c>
      <c r="D14" s="12" t="s">
        <v>1149</v>
      </c>
      <c r="E14" s="10" t="s">
        <v>1150</v>
      </c>
      <c r="F14" s="12" t="s">
        <v>77</v>
      </c>
      <c r="G14" s="12" t="n">
        <v>50</v>
      </c>
      <c r="H14" s="26" t="n">
        <v>90.4</v>
      </c>
      <c r="I14" s="10" t="s">
        <v>1116</v>
      </c>
      <c r="J14" s="30" t="s">
        <v>1151</v>
      </c>
      <c r="K14" s="10" t="s">
        <v>1152</v>
      </c>
    </row>
    <row r="15" customFormat="false" ht="35.05" hidden="false" customHeight="false" outlineLevel="0" collapsed="false">
      <c r="A15" s="12" t="s">
        <v>23</v>
      </c>
      <c r="B15" s="12" t="s">
        <v>74</v>
      </c>
      <c r="C15" s="10" t="s">
        <v>74</v>
      </c>
      <c r="D15" s="12" t="s">
        <v>1153</v>
      </c>
      <c r="E15" s="10" t="s">
        <v>1154</v>
      </c>
      <c r="F15" s="12" t="s">
        <v>77</v>
      </c>
      <c r="G15" s="12"/>
      <c r="H15" s="26" t="n">
        <v>360.71</v>
      </c>
      <c r="I15" s="10" t="s">
        <v>1116</v>
      </c>
      <c r="J15" s="30" t="s">
        <v>1155</v>
      </c>
      <c r="K15" s="10" t="s">
        <v>1156</v>
      </c>
    </row>
    <row r="16" customFormat="false" ht="35.05" hidden="false" customHeight="false" outlineLevel="0" collapsed="false">
      <c r="A16" s="12" t="s">
        <v>23</v>
      </c>
      <c r="B16" s="12" t="s">
        <v>74</v>
      </c>
      <c r="C16" s="10" t="s">
        <v>1157</v>
      </c>
      <c r="D16" s="12" t="s">
        <v>1158</v>
      </c>
      <c r="E16" s="10" t="s">
        <v>1154</v>
      </c>
      <c r="F16" s="12" t="s">
        <v>77</v>
      </c>
      <c r="G16" s="12"/>
      <c r="H16" s="26" t="n">
        <v>397.421</v>
      </c>
      <c r="I16" s="10" t="s">
        <v>1116</v>
      </c>
      <c r="J16" s="30" t="s">
        <v>1159</v>
      </c>
      <c r="K16" s="10" t="s">
        <v>1160</v>
      </c>
    </row>
    <row r="17" customFormat="false" ht="35.05" hidden="false" customHeight="false" outlineLevel="0" collapsed="false">
      <c r="A17" s="12" t="s">
        <v>23</v>
      </c>
      <c r="B17" s="12" t="s">
        <v>74</v>
      </c>
      <c r="C17" s="10" t="s">
        <v>1161</v>
      </c>
      <c r="D17" s="12" t="s">
        <v>1162</v>
      </c>
      <c r="E17" s="10" t="s">
        <v>1163</v>
      </c>
      <c r="F17" s="12" t="s">
        <v>77</v>
      </c>
      <c r="G17" s="12"/>
      <c r="H17" s="26" t="n">
        <v>10.241</v>
      </c>
      <c r="I17" s="10" t="s">
        <v>1116</v>
      </c>
      <c r="J17" s="30" t="s">
        <v>1164</v>
      </c>
      <c r="K17" s="10" t="s">
        <v>1165</v>
      </c>
    </row>
    <row r="18" customFormat="false" ht="46.25" hidden="false" customHeight="false" outlineLevel="0" collapsed="false">
      <c r="A18" s="12" t="s">
        <v>23</v>
      </c>
      <c r="B18" s="12" t="s">
        <v>87</v>
      </c>
      <c r="C18" s="10" t="s">
        <v>87</v>
      </c>
      <c r="D18" s="12" t="s">
        <v>1166</v>
      </c>
      <c r="E18" s="10" t="s">
        <v>1167</v>
      </c>
      <c r="F18" s="12" t="s">
        <v>77</v>
      </c>
      <c r="G18" s="12"/>
      <c r="H18" s="26" t="n">
        <v>22.25</v>
      </c>
      <c r="I18" s="10" t="s">
        <v>1116</v>
      </c>
      <c r="J18" s="30" t="s">
        <v>1168</v>
      </c>
      <c r="K18" s="10" t="s">
        <v>1169</v>
      </c>
    </row>
    <row r="19" customFormat="false" ht="35.05" hidden="false" customHeight="false" outlineLevel="0" collapsed="false">
      <c r="A19" s="12" t="s">
        <v>23</v>
      </c>
      <c r="B19" s="12" t="s">
        <v>87</v>
      </c>
      <c r="C19" s="10" t="s">
        <v>1170</v>
      </c>
      <c r="D19" s="12" t="s">
        <v>1171</v>
      </c>
      <c r="E19" s="10" t="s">
        <v>1172</v>
      </c>
      <c r="F19" s="12" t="s">
        <v>77</v>
      </c>
      <c r="G19" s="12"/>
      <c r="H19" s="26" t="n">
        <v>856.68</v>
      </c>
      <c r="I19" s="10" t="s">
        <v>1116</v>
      </c>
      <c r="J19" s="30" t="s">
        <v>1173</v>
      </c>
      <c r="K19" s="10" t="s">
        <v>1174</v>
      </c>
    </row>
    <row r="20" customFormat="false" ht="35.05" hidden="false" customHeight="false" outlineLevel="0" collapsed="false">
      <c r="A20" s="12" t="s">
        <v>23</v>
      </c>
      <c r="B20" s="12" t="s">
        <v>87</v>
      </c>
      <c r="C20" s="10" t="s">
        <v>1175</v>
      </c>
      <c r="D20" s="12" t="s">
        <v>1176</v>
      </c>
      <c r="E20" s="10" t="s">
        <v>1172</v>
      </c>
      <c r="F20" s="12" t="s">
        <v>77</v>
      </c>
      <c r="G20" s="12"/>
      <c r="H20" s="26" t="n">
        <v>1444.1174</v>
      </c>
      <c r="I20" s="10" t="s">
        <v>1116</v>
      </c>
      <c r="J20" s="30" t="s">
        <v>1159</v>
      </c>
      <c r="K20" s="10" t="s">
        <v>1177</v>
      </c>
    </row>
    <row r="21" customFormat="false" ht="46.25" hidden="false" customHeight="false" outlineLevel="0" collapsed="false">
      <c r="A21" s="12" t="s">
        <v>23</v>
      </c>
      <c r="B21" s="12" t="s">
        <v>87</v>
      </c>
      <c r="C21" s="10" t="s">
        <v>1178</v>
      </c>
      <c r="D21" s="12" t="s">
        <v>1179</v>
      </c>
      <c r="E21" s="10" t="s">
        <v>1180</v>
      </c>
      <c r="F21" s="12" t="s">
        <v>77</v>
      </c>
      <c r="G21" s="12"/>
      <c r="H21" s="26" t="n">
        <v>14.329</v>
      </c>
      <c r="I21" s="10" t="s">
        <v>1116</v>
      </c>
      <c r="J21" s="30" t="s">
        <v>1181</v>
      </c>
      <c r="K21" s="10" t="s">
        <v>1182</v>
      </c>
    </row>
    <row r="22" customFormat="false" ht="46.25" hidden="false" customHeight="false" outlineLevel="0" collapsed="false">
      <c r="A22" s="12" t="s">
        <v>23</v>
      </c>
      <c r="B22" s="12" t="s">
        <v>277</v>
      </c>
      <c r="C22" s="10" t="s">
        <v>1183</v>
      </c>
      <c r="D22" s="12" t="s">
        <v>1184</v>
      </c>
      <c r="E22" s="10" t="s">
        <v>1185</v>
      </c>
      <c r="F22" s="12" t="s">
        <v>196</v>
      </c>
      <c r="G22" s="12" t="n">
        <v>5</v>
      </c>
      <c r="H22" s="26" t="n">
        <v>5.1528</v>
      </c>
      <c r="I22" s="10" t="s">
        <v>1116</v>
      </c>
      <c r="J22" s="30" t="s">
        <v>1186</v>
      </c>
      <c r="K22" s="10" t="s">
        <v>1187</v>
      </c>
    </row>
    <row r="23" customFormat="false" ht="46.25" hidden="false" customHeight="false" outlineLevel="0" collapsed="false">
      <c r="A23" s="12" t="s">
        <v>23</v>
      </c>
      <c r="B23" s="12" t="s">
        <v>166</v>
      </c>
      <c r="C23" s="10" t="s">
        <v>1188</v>
      </c>
      <c r="D23" s="12" t="s">
        <v>1189</v>
      </c>
      <c r="E23" s="10" t="s">
        <v>1190</v>
      </c>
      <c r="F23" s="12" t="s">
        <v>77</v>
      </c>
      <c r="G23" s="12" t="n">
        <v>1</v>
      </c>
      <c r="H23" s="26" t="n">
        <v>30.01</v>
      </c>
      <c r="I23" s="10" t="s">
        <v>1116</v>
      </c>
      <c r="J23" s="30" t="s">
        <v>1191</v>
      </c>
      <c r="K23" s="10" t="s">
        <v>1192</v>
      </c>
    </row>
    <row r="24" customFormat="false" ht="46.25" hidden="false" customHeight="false" outlineLevel="0" collapsed="false">
      <c r="A24" s="12" t="s">
        <v>23</v>
      </c>
      <c r="B24" s="12" t="s">
        <v>423</v>
      </c>
      <c r="C24" s="10" t="s">
        <v>1193</v>
      </c>
      <c r="D24" s="12" t="s">
        <v>1194</v>
      </c>
      <c r="E24" s="10" t="s">
        <v>1195</v>
      </c>
      <c r="F24" s="12" t="s">
        <v>77</v>
      </c>
      <c r="G24" s="12" t="n">
        <v>20</v>
      </c>
      <c r="H24" s="26" t="n">
        <v>5.74</v>
      </c>
      <c r="I24" s="10" t="s">
        <v>1116</v>
      </c>
      <c r="J24" s="30" t="s">
        <v>1196</v>
      </c>
      <c r="K24" s="10" t="s">
        <v>1197</v>
      </c>
    </row>
    <row r="25" customFormat="false" ht="46.25" hidden="false" customHeight="false" outlineLevel="0" collapsed="false">
      <c r="A25" s="12" t="s">
        <v>23</v>
      </c>
      <c r="B25" s="12" t="s">
        <v>423</v>
      </c>
      <c r="C25" s="10" t="s">
        <v>1193</v>
      </c>
      <c r="D25" s="12" t="s">
        <v>1194</v>
      </c>
      <c r="E25" s="10" t="s">
        <v>1198</v>
      </c>
      <c r="F25" s="12" t="s">
        <v>77</v>
      </c>
      <c r="G25" s="12" t="n">
        <v>20</v>
      </c>
      <c r="H25" s="26" t="n">
        <v>5.74</v>
      </c>
      <c r="I25" s="10" t="s">
        <v>1116</v>
      </c>
      <c r="J25" s="30" t="s">
        <v>1196</v>
      </c>
      <c r="K25" s="10" t="s">
        <v>1197</v>
      </c>
    </row>
    <row r="26" customFormat="false" ht="57.45" hidden="false" customHeight="false" outlineLevel="0" collapsed="false">
      <c r="A26" s="12" t="s">
        <v>23</v>
      </c>
      <c r="B26" s="12" t="s">
        <v>423</v>
      </c>
      <c r="C26" s="10" t="s">
        <v>1193</v>
      </c>
      <c r="D26" s="12" t="s">
        <v>1199</v>
      </c>
      <c r="E26" s="10" t="s">
        <v>1200</v>
      </c>
      <c r="F26" s="12" t="s">
        <v>77</v>
      </c>
      <c r="G26" s="12" t="n">
        <v>50</v>
      </c>
      <c r="H26" s="26" t="n">
        <v>12.42</v>
      </c>
      <c r="I26" s="10" t="s">
        <v>1116</v>
      </c>
      <c r="J26" s="30" t="s">
        <v>1196</v>
      </c>
      <c r="K26" s="10" t="s">
        <v>1201</v>
      </c>
    </row>
    <row r="27" customFormat="false" ht="57.45" hidden="false" customHeight="false" outlineLevel="0" collapsed="false">
      <c r="A27" s="12" t="s">
        <v>23</v>
      </c>
      <c r="B27" s="12" t="s">
        <v>423</v>
      </c>
      <c r="C27" s="10" t="s">
        <v>1193</v>
      </c>
      <c r="D27" s="12" t="s">
        <v>1199</v>
      </c>
      <c r="E27" s="10" t="s">
        <v>1202</v>
      </c>
      <c r="F27" s="12" t="s">
        <v>77</v>
      </c>
      <c r="G27" s="12" t="n">
        <v>50</v>
      </c>
      <c r="H27" s="26" t="n">
        <v>12.42</v>
      </c>
      <c r="I27" s="10" t="s">
        <v>1116</v>
      </c>
      <c r="J27" s="30" t="s">
        <v>1196</v>
      </c>
      <c r="K27" s="10" t="s">
        <v>1201</v>
      </c>
    </row>
    <row r="28" customFormat="false" ht="35.05" hidden="false" customHeight="false" outlineLevel="0" collapsed="false">
      <c r="A28" s="12" t="s">
        <v>23</v>
      </c>
      <c r="B28" s="12" t="s">
        <v>211</v>
      </c>
      <c r="C28" s="10" t="s">
        <v>1203</v>
      </c>
      <c r="D28" s="12" t="s">
        <v>1204</v>
      </c>
      <c r="E28" s="10" t="s">
        <v>1205</v>
      </c>
      <c r="F28" s="12" t="s">
        <v>77</v>
      </c>
      <c r="G28" s="12"/>
      <c r="H28" s="26" t="n">
        <v>8.4976</v>
      </c>
      <c r="I28" s="10" t="s">
        <v>1116</v>
      </c>
      <c r="J28" s="30" t="s">
        <v>1206</v>
      </c>
      <c r="K28" s="10" t="s">
        <v>1207</v>
      </c>
    </row>
    <row r="29" customFormat="false" ht="46.25" hidden="false" customHeight="false" outlineLevel="0" collapsed="false">
      <c r="A29" s="12" t="s">
        <v>23</v>
      </c>
      <c r="B29" s="12" t="s">
        <v>205</v>
      </c>
      <c r="C29" s="10" t="s">
        <v>1208</v>
      </c>
      <c r="D29" s="12" t="s">
        <v>1204</v>
      </c>
      <c r="E29" s="10" t="s">
        <v>1209</v>
      </c>
      <c r="F29" s="12" t="s">
        <v>196</v>
      </c>
      <c r="G29" s="12" t="n">
        <v>3.5</v>
      </c>
      <c r="H29" s="26" t="n">
        <v>5.6048</v>
      </c>
      <c r="I29" s="10" t="s">
        <v>1116</v>
      </c>
      <c r="J29" s="30" t="s">
        <v>1210</v>
      </c>
      <c r="K29" s="10" t="s">
        <v>1211</v>
      </c>
    </row>
    <row r="30" customFormat="false" ht="57.45" hidden="false" customHeight="false" outlineLevel="0" collapsed="false">
      <c r="A30" s="12" t="s">
        <v>23</v>
      </c>
      <c r="B30" s="12" t="s">
        <v>205</v>
      </c>
      <c r="C30" s="10" t="s">
        <v>1212</v>
      </c>
      <c r="D30" s="12" t="s">
        <v>1204</v>
      </c>
      <c r="E30" s="10" t="s">
        <v>1213</v>
      </c>
      <c r="F30" s="12" t="s">
        <v>196</v>
      </c>
      <c r="G30" s="12" t="n">
        <v>3.5</v>
      </c>
      <c r="H30" s="26" t="n">
        <v>5.6048</v>
      </c>
      <c r="I30" s="10" t="s">
        <v>1116</v>
      </c>
      <c r="J30" s="30" t="s">
        <v>1214</v>
      </c>
      <c r="K30" s="10" t="s">
        <v>1215</v>
      </c>
    </row>
    <row r="31" customFormat="false" ht="57.45" hidden="false" customHeight="false" outlineLevel="0" collapsed="false">
      <c r="A31" s="12" t="s">
        <v>23</v>
      </c>
      <c r="B31" s="12" t="s">
        <v>229</v>
      </c>
      <c r="C31" s="10" t="s">
        <v>1216</v>
      </c>
      <c r="D31" s="12" t="s">
        <v>1217</v>
      </c>
      <c r="E31" s="10" t="s">
        <v>1218</v>
      </c>
      <c r="F31" s="12" t="s">
        <v>95</v>
      </c>
      <c r="G31" s="12" t="n">
        <v>1</v>
      </c>
      <c r="H31" s="26" t="n">
        <v>14.96</v>
      </c>
      <c r="I31" s="10" t="s">
        <v>1116</v>
      </c>
      <c r="J31" s="30" t="s">
        <v>1219</v>
      </c>
      <c r="K31" s="10" t="s">
        <v>1220</v>
      </c>
    </row>
    <row r="32" customFormat="false" ht="35.05" hidden="false" customHeight="false" outlineLevel="0" collapsed="false">
      <c r="A32" s="12" t="s">
        <v>23</v>
      </c>
      <c r="B32" s="12" t="s">
        <v>125</v>
      </c>
      <c r="C32" s="10" t="s">
        <v>125</v>
      </c>
      <c r="D32" s="12" t="s">
        <v>1221</v>
      </c>
      <c r="E32" s="10" t="s">
        <v>1222</v>
      </c>
      <c r="F32" s="12" t="s">
        <v>77</v>
      </c>
      <c r="G32" s="12" t="n">
        <v>5</v>
      </c>
      <c r="H32" s="26" t="n">
        <v>216.12</v>
      </c>
      <c r="I32" s="10" t="s">
        <v>1116</v>
      </c>
      <c r="J32" s="30" t="s">
        <v>1223</v>
      </c>
      <c r="K32" s="10" t="s">
        <v>1224</v>
      </c>
    </row>
    <row r="33" customFormat="false" ht="35.05" hidden="false" customHeight="false" outlineLevel="0" collapsed="false">
      <c r="A33" s="12" t="s">
        <v>23</v>
      </c>
      <c r="B33" s="12" t="s">
        <v>125</v>
      </c>
      <c r="C33" s="10" t="s">
        <v>125</v>
      </c>
      <c r="D33" s="12" t="s">
        <v>1225</v>
      </c>
      <c r="E33" s="10" t="s">
        <v>1226</v>
      </c>
      <c r="F33" s="12" t="s">
        <v>77</v>
      </c>
      <c r="G33" s="12" t="n">
        <v>10</v>
      </c>
      <c r="H33" s="26" t="n">
        <v>427.8</v>
      </c>
      <c r="I33" s="10" t="s">
        <v>1116</v>
      </c>
      <c r="J33" s="30" t="s">
        <v>1223</v>
      </c>
      <c r="K33" s="10" t="s">
        <v>1227</v>
      </c>
    </row>
    <row r="34" customFormat="false" ht="35.05" hidden="false" customHeight="false" outlineLevel="0" collapsed="false">
      <c r="A34" s="12" t="s">
        <v>23</v>
      </c>
      <c r="B34" s="12" t="s">
        <v>125</v>
      </c>
      <c r="C34" s="10" t="s">
        <v>125</v>
      </c>
      <c r="D34" s="12" t="s">
        <v>1228</v>
      </c>
      <c r="E34" s="10" t="s">
        <v>1229</v>
      </c>
      <c r="F34" s="12" t="s">
        <v>77</v>
      </c>
      <c r="G34" s="12" t="n">
        <v>2.5</v>
      </c>
      <c r="H34" s="26" t="n">
        <v>58.2</v>
      </c>
      <c r="I34" s="10" t="s">
        <v>1116</v>
      </c>
      <c r="J34" s="30" t="s">
        <v>1223</v>
      </c>
      <c r="K34" s="10" t="s">
        <v>1230</v>
      </c>
    </row>
    <row r="35" customFormat="false" ht="35.05" hidden="false" customHeight="false" outlineLevel="0" collapsed="false">
      <c r="A35" s="12" t="s">
        <v>23</v>
      </c>
      <c r="B35" s="12" t="s">
        <v>323</v>
      </c>
      <c r="C35" s="10" t="s">
        <v>323</v>
      </c>
      <c r="D35" s="12" t="s">
        <v>1231</v>
      </c>
      <c r="E35" s="10" t="s">
        <v>1232</v>
      </c>
      <c r="F35" s="12" t="s">
        <v>77</v>
      </c>
      <c r="G35" s="12"/>
      <c r="H35" s="26" t="n">
        <v>427.8</v>
      </c>
      <c r="I35" s="10" t="s">
        <v>1116</v>
      </c>
      <c r="J35" s="30" t="s">
        <v>1233</v>
      </c>
      <c r="K35" s="10" t="s">
        <v>1234</v>
      </c>
    </row>
    <row r="36" customFormat="false" ht="57.45" hidden="false" customHeight="false" outlineLevel="0" collapsed="false">
      <c r="A36" s="12" t="s">
        <v>23</v>
      </c>
      <c r="B36" s="12" t="s">
        <v>104</v>
      </c>
      <c r="C36" s="10" t="s">
        <v>1235</v>
      </c>
      <c r="D36" s="12" t="s">
        <v>1236</v>
      </c>
      <c r="E36" s="10" t="s">
        <v>1237</v>
      </c>
      <c r="F36" s="12" t="s">
        <v>77</v>
      </c>
      <c r="G36" s="12"/>
      <c r="H36" s="26" t="n">
        <v>93.7335</v>
      </c>
      <c r="I36" s="10" t="s">
        <v>1116</v>
      </c>
      <c r="J36" s="30" t="s">
        <v>1159</v>
      </c>
      <c r="K36" s="10" t="s">
        <v>1238</v>
      </c>
    </row>
    <row r="37" customFormat="false" ht="35.05" hidden="false" customHeight="false" outlineLevel="0" collapsed="false">
      <c r="A37" s="12" t="s">
        <v>23</v>
      </c>
      <c r="B37" s="12" t="s">
        <v>120</v>
      </c>
      <c r="C37" s="10" t="s">
        <v>1239</v>
      </c>
      <c r="D37" s="12" t="s">
        <v>1240</v>
      </c>
      <c r="E37" s="10" t="s">
        <v>1241</v>
      </c>
      <c r="F37" s="12" t="s">
        <v>77</v>
      </c>
      <c r="G37" s="12" t="n">
        <v>5</v>
      </c>
      <c r="H37" s="26" t="n">
        <v>16.837</v>
      </c>
      <c r="I37" s="10" t="s">
        <v>1116</v>
      </c>
      <c r="J37" s="30" t="s">
        <v>1159</v>
      </c>
      <c r="K37" s="10" t="s">
        <v>1242</v>
      </c>
    </row>
    <row r="38" customFormat="false" ht="46.25" hidden="false" customHeight="false" outlineLevel="0" collapsed="false">
      <c r="A38" s="12" t="s">
        <v>23</v>
      </c>
      <c r="B38" s="12" t="s">
        <v>405</v>
      </c>
      <c r="C38" s="10" t="s">
        <v>1243</v>
      </c>
      <c r="D38" s="12" t="s">
        <v>1244</v>
      </c>
      <c r="E38" s="10" t="s">
        <v>1245</v>
      </c>
      <c r="F38" s="12" t="s">
        <v>77</v>
      </c>
      <c r="G38" s="12" t="n">
        <v>1</v>
      </c>
      <c r="H38" s="26" t="n">
        <v>5.35</v>
      </c>
      <c r="I38" s="10" t="s">
        <v>1116</v>
      </c>
      <c r="J38" s="30" t="s">
        <v>1246</v>
      </c>
      <c r="K38" s="10" t="s">
        <v>1247</v>
      </c>
    </row>
    <row r="39" customFormat="false" ht="57.45" hidden="false" customHeight="false" outlineLevel="0" collapsed="false">
      <c r="A39" s="12" t="s">
        <v>23</v>
      </c>
      <c r="B39" s="12" t="s">
        <v>335</v>
      </c>
      <c r="C39" s="10" t="s">
        <v>1248</v>
      </c>
      <c r="D39" s="12" t="s">
        <v>1249</v>
      </c>
      <c r="E39" s="10" t="s">
        <v>1250</v>
      </c>
      <c r="F39" s="12" t="s">
        <v>77</v>
      </c>
      <c r="G39" s="12" t="n">
        <v>25</v>
      </c>
      <c r="H39" s="26" t="n">
        <v>91.7334</v>
      </c>
      <c r="I39" s="10" t="s">
        <v>1116</v>
      </c>
      <c r="J39" s="30" t="s">
        <v>1159</v>
      </c>
      <c r="K39" s="10" t="s">
        <v>1251</v>
      </c>
    </row>
    <row r="40" customFormat="false" ht="46.25" hidden="false" customHeight="false" outlineLevel="0" collapsed="false">
      <c r="A40" s="12" t="s">
        <v>23</v>
      </c>
      <c r="B40" s="12" t="s">
        <v>145</v>
      </c>
      <c r="C40" s="10" t="s">
        <v>145</v>
      </c>
      <c r="D40" s="12" t="s">
        <v>1252</v>
      </c>
      <c r="E40" s="10" t="s">
        <v>1253</v>
      </c>
      <c r="F40" s="12" t="s">
        <v>77</v>
      </c>
      <c r="G40" s="12" t="n">
        <v>10</v>
      </c>
      <c r="H40" s="26" t="n">
        <v>343.8</v>
      </c>
      <c r="I40" s="10" t="s">
        <v>1116</v>
      </c>
      <c r="J40" s="30" t="s">
        <v>1254</v>
      </c>
      <c r="K40" s="10" t="s">
        <v>1255</v>
      </c>
    </row>
    <row r="41" customFormat="false" ht="46.25" hidden="false" customHeight="false" outlineLevel="0" collapsed="false">
      <c r="A41" s="12" t="s">
        <v>23</v>
      </c>
      <c r="B41" s="12" t="s">
        <v>148</v>
      </c>
      <c r="C41" s="10" t="s">
        <v>1256</v>
      </c>
      <c r="D41" s="12" t="s">
        <v>1257</v>
      </c>
      <c r="E41" s="10" t="s">
        <v>1258</v>
      </c>
      <c r="F41" s="12" t="s">
        <v>77</v>
      </c>
      <c r="G41" s="12"/>
      <c r="H41" s="26" t="n">
        <v>10.02</v>
      </c>
      <c r="I41" s="10" t="s">
        <v>1116</v>
      </c>
      <c r="J41" s="30" t="s">
        <v>1259</v>
      </c>
      <c r="K41" s="10" t="s">
        <v>1260</v>
      </c>
    </row>
    <row r="42" customFormat="false" ht="23.85" hidden="false" customHeight="false" outlineLevel="0" collapsed="false">
      <c r="A42" s="12" t="s">
        <v>23</v>
      </c>
      <c r="B42" s="12" t="s">
        <v>148</v>
      </c>
      <c r="C42" s="10" t="s">
        <v>148</v>
      </c>
      <c r="D42" s="12" t="s">
        <v>1261</v>
      </c>
      <c r="E42" s="10" t="s">
        <v>1262</v>
      </c>
      <c r="F42" s="12" t="s">
        <v>77</v>
      </c>
      <c r="G42" s="12"/>
      <c r="H42" s="26" t="n">
        <v>42.56</v>
      </c>
      <c r="I42" s="10" t="s">
        <v>1116</v>
      </c>
      <c r="J42" s="30" t="s">
        <v>1263</v>
      </c>
      <c r="K42" s="10" t="s">
        <v>1264</v>
      </c>
    </row>
    <row r="43" customFormat="false" ht="23.85" hidden="false" customHeight="false" outlineLevel="0" collapsed="false">
      <c r="A43" s="12" t="s">
        <v>23</v>
      </c>
      <c r="B43" s="12" t="s">
        <v>148</v>
      </c>
      <c r="C43" s="10" t="s">
        <v>148</v>
      </c>
      <c r="D43" s="12" t="s">
        <v>1261</v>
      </c>
      <c r="E43" s="10" t="s">
        <v>1265</v>
      </c>
      <c r="F43" s="12" t="s">
        <v>77</v>
      </c>
      <c r="G43" s="12"/>
      <c r="H43" s="26" t="n">
        <v>42.56</v>
      </c>
      <c r="I43" s="10" t="s">
        <v>1116</v>
      </c>
      <c r="J43" s="30" t="s">
        <v>1263</v>
      </c>
      <c r="K43" s="10" t="s">
        <v>1264</v>
      </c>
    </row>
    <row r="44" customFormat="false" ht="57.45" hidden="false" customHeight="false" outlineLevel="0" collapsed="false">
      <c r="A44" s="12" t="s">
        <v>23</v>
      </c>
      <c r="B44" s="12" t="s">
        <v>148</v>
      </c>
      <c r="C44" s="10" t="s">
        <v>1266</v>
      </c>
      <c r="D44" s="12" t="s">
        <v>1267</v>
      </c>
      <c r="E44" s="10" t="s">
        <v>1195</v>
      </c>
      <c r="F44" s="12" t="s">
        <v>77</v>
      </c>
      <c r="G44" s="12" t="n">
        <v>20</v>
      </c>
      <c r="H44" s="26" t="n">
        <v>18.86</v>
      </c>
      <c r="I44" s="10" t="s">
        <v>1116</v>
      </c>
      <c r="J44" s="30" t="s">
        <v>1196</v>
      </c>
      <c r="K44" s="10" t="s">
        <v>1268</v>
      </c>
    </row>
    <row r="45" customFormat="false" ht="57.45" hidden="false" customHeight="false" outlineLevel="0" collapsed="false">
      <c r="A45" s="12" t="s">
        <v>23</v>
      </c>
      <c r="B45" s="12" t="s">
        <v>148</v>
      </c>
      <c r="C45" s="10" t="s">
        <v>1266</v>
      </c>
      <c r="D45" s="12" t="s">
        <v>1267</v>
      </c>
      <c r="E45" s="10" t="s">
        <v>1198</v>
      </c>
      <c r="F45" s="12" t="s">
        <v>77</v>
      </c>
      <c r="G45" s="12" t="n">
        <v>20</v>
      </c>
      <c r="H45" s="26" t="n">
        <v>18.86</v>
      </c>
      <c r="I45" s="10" t="s">
        <v>1116</v>
      </c>
      <c r="J45" s="30" t="s">
        <v>1196</v>
      </c>
      <c r="K45" s="10" t="s">
        <v>1269</v>
      </c>
    </row>
    <row r="46" customFormat="false" ht="57.45" hidden="false" customHeight="false" outlineLevel="0" collapsed="false">
      <c r="A46" s="12" t="s">
        <v>23</v>
      </c>
      <c r="B46" s="12" t="s">
        <v>148</v>
      </c>
      <c r="C46" s="10" t="s">
        <v>1270</v>
      </c>
      <c r="D46" s="12" t="s">
        <v>1267</v>
      </c>
      <c r="E46" s="10" t="s">
        <v>1198</v>
      </c>
      <c r="F46" s="12" t="s">
        <v>77</v>
      </c>
      <c r="G46" s="12" t="n">
        <v>20</v>
      </c>
      <c r="H46" s="26" t="n">
        <v>33.51</v>
      </c>
      <c r="I46" s="10" t="s">
        <v>1116</v>
      </c>
      <c r="J46" s="30" t="s">
        <v>1196</v>
      </c>
      <c r="K46" s="10" t="s">
        <v>1271</v>
      </c>
    </row>
    <row r="47" customFormat="false" ht="46.25" hidden="false" customHeight="false" outlineLevel="0" collapsed="false">
      <c r="A47" s="12" t="s">
        <v>23</v>
      </c>
      <c r="B47" s="12" t="s">
        <v>148</v>
      </c>
      <c r="C47" s="10" t="s">
        <v>1270</v>
      </c>
      <c r="D47" s="12" t="s">
        <v>1267</v>
      </c>
      <c r="E47" s="10" t="s">
        <v>1195</v>
      </c>
      <c r="F47" s="12" t="s">
        <v>77</v>
      </c>
      <c r="G47" s="12" t="n">
        <v>20</v>
      </c>
      <c r="H47" s="26" t="n">
        <v>33.51</v>
      </c>
      <c r="I47" s="10" t="s">
        <v>1116</v>
      </c>
      <c r="J47" s="30" t="s">
        <v>1196</v>
      </c>
      <c r="K47" s="10" t="s">
        <v>1272</v>
      </c>
    </row>
    <row r="48" customFormat="false" ht="23.85" hidden="false" customHeight="false" outlineLevel="0" collapsed="false">
      <c r="A48" s="12" t="s">
        <v>23</v>
      </c>
      <c r="B48" s="12" t="s">
        <v>319</v>
      </c>
      <c r="C48" s="10" t="s">
        <v>1273</v>
      </c>
      <c r="D48" s="12" t="s">
        <v>1274</v>
      </c>
      <c r="E48" s="10"/>
      <c r="F48" s="12" t="s">
        <v>95</v>
      </c>
      <c r="G48" s="12" t="n">
        <v>100</v>
      </c>
      <c r="H48" s="26"/>
      <c r="I48" s="10" t="s">
        <v>1275</v>
      </c>
      <c r="J48" s="12"/>
      <c r="K48" s="10" t="s">
        <v>1276</v>
      </c>
    </row>
    <row r="49" customFormat="false" ht="35.05" hidden="false" customHeight="false" outlineLevel="0" collapsed="false">
      <c r="A49" s="12" t="s">
        <v>23</v>
      </c>
      <c r="B49" s="12" t="s">
        <v>319</v>
      </c>
      <c r="C49" s="10" t="s">
        <v>1273</v>
      </c>
      <c r="D49" s="12" t="s">
        <v>1277</v>
      </c>
      <c r="E49" s="10" t="s">
        <v>1278</v>
      </c>
      <c r="F49" s="12" t="s">
        <v>321</v>
      </c>
      <c r="G49" s="12" t="n">
        <v>100</v>
      </c>
      <c r="H49" s="26" t="n">
        <v>54.54</v>
      </c>
      <c r="I49" s="10" t="s">
        <v>1116</v>
      </c>
      <c r="J49" s="30" t="s">
        <v>1279</v>
      </c>
      <c r="K49" s="10" t="s">
        <v>1280</v>
      </c>
    </row>
    <row r="50" customFormat="false" ht="35.05" hidden="false" customHeight="false" outlineLevel="0" collapsed="false">
      <c r="A50" s="12" t="s">
        <v>23</v>
      </c>
      <c r="B50" s="12" t="s">
        <v>420</v>
      </c>
      <c r="C50" s="10" t="s">
        <v>1281</v>
      </c>
      <c r="D50" s="12" t="s">
        <v>1282</v>
      </c>
      <c r="E50" s="10" t="s">
        <v>1283</v>
      </c>
      <c r="F50" s="12" t="s">
        <v>77</v>
      </c>
      <c r="G50" s="12"/>
      <c r="H50" s="26" t="n">
        <v>3.31</v>
      </c>
      <c r="I50" s="10" t="s">
        <v>1284</v>
      </c>
      <c r="J50" s="30" t="s">
        <v>1285</v>
      </c>
      <c r="K50" s="10" t="s">
        <v>1286</v>
      </c>
    </row>
    <row r="51" customFormat="false" ht="35.05" hidden="false" customHeight="false" outlineLevel="0" collapsed="false">
      <c r="A51" s="12" t="s">
        <v>23</v>
      </c>
      <c r="B51" s="12" t="s">
        <v>420</v>
      </c>
      <c r="C51" s="10" t="s">
        <v>1281</v>
      </c>
      <c r="D51" s="12" t="s">
        <v>1287</v>
      </c>
      <c r="E51" s="10" t="s">
        <v>1288</v>
      </c>
      <c r="F51" s="12" t="s">
        <v>77</v>
      </c>
      <c r="G51" s="12"/>
      <c r="H51" s="26" t="n">
        <v>3.33</v>
      </c>
      <c r="I51" s="10" t="s">
        <v>1289</v>
      </c>
      <c r="J51" s="30" t="s">
        <v>1159</v>
      </c>
      <c r="K51" s="10" t="s">
        <v>1290</v>
      </c>
    </row>
    <row r="52" customFormat="false" ht="15" hidden="false" customHeight="false" outlineLevel="0" collapsed="false">
      <c r="A52" s="12" t="s">
        <v>23</v>
      </c>
      <c r="B52" s="12" t="s">
        <v>420</v>
      </c>
      <c r="C52" s="10" t="s">
        <v>1281</v>
      </c>
      <c r="D52" s="12" t="s">
        <v>1291</v>
      </c>
      <c r="E52" s="10" t="s">
        <v>1292</v>
      </c>
      <c r="F52" s="12" t="s">
        <v>77</v>
      </c>
      <c r="G52" s="12"/>
      <c r="H52" s="26"/>
      <c r="I52" s="10" t="s">
        <v>1293</v>
      </c>
      <c r="J52" s="12"/>
      <c r="K52" s="10" t="s">
        <v>1294</v>
      </c>
    </row>
    <row r="53" customFormat="false" ht="46.25" hidden="false" customHeight="false" outlineLevel="0" collapsed="false">
      <c r="A53" s="12" t="s">
        <v>23</v>
      </c>
      <c r="B53" s="12" t="s">
        <v>387</v>
      </c>
      <c r="C53" s="10" t="s">
        <v>387</v>
      </c>
      <c r="D53" s="12" t="s">
        <v>1295</v>
      </c>
      <c r="E53" s="10" t="s">
        <v>1296</v>
      </c>
      <c r="F53" s="12" t="s">
        <v>77</v>
      </c>
      <c r="G53" s="12" t="n">
        <v>20</v>
      </c>
      <c r="H53" s="26" t="n">
        <v>5.68</v>
      </c>
      <c r="I53" s="10" t="s">
        <v>1116</v>
      </c>
      <c r="J53" s="30" t="s">
        <v>1297</v>
      </c>
      <c r="K53" s="10" t="s">
        <v>1298</v>
      </c>
    </row>
    <row r="54" customFormat="false" ht="46.25" hidden="false" customHeight="false" outlineLevel="0" collapsed="false">
      <c r="A54" s="12" t="s">
        <v>23</v>
      </c>
      <c r="B54" s="12" t="s">
        <v>223</v>
      </c>
      <c r="C54" s="10" t="s">
        <v>223</v>
      </c>
      <c r="D54" s="12" t="s">
        <v>1217</v>
      </c>
      <c r="E54" s="10" t="s">
        <v>1299</v>
      </c>
      <c r="F54" s="12" t="s">
        <v>77</v>
      </c>
      <c r="G54" s="12" t="n">
        <v>5</v>
      </c>
      <c r="H54" s="26" t="n">
        <v>54.55</v>
      </c>
      <c r="I54" s="10" t="s">
        <v>1116</v>
      </c>
      <c r="J54" s="30" t="s">
        <v>1300</v>
      </c>
      <c r="K54" s="10" t="s">
        <v>1301</v>
      </c>
    </row>
    <row r="55" customFormat="false" ht="68.65" hidden="false" customHeight="false" outlineLevel="0" collapsed="false">
      <c r="A55" s="12" t="s">
        <v>23</v>
      </c>
      <c r="B55" s="12" t="s">
        <v>332</v>
      </c>
      <c r="C55" s="10" t="s">
        <v>1302</v>
      </c>
      <c r="D55" s="12" t="s">
        <v>1303</v>
      </c>
      <c r="E55" s="10" t="s">
        <v>1304</v>
      </c>
      <c r="F55" s="12" t="s">
        <v>77</v>
      </c>
      <c r="G55" s="12" t="n">
        <v>100</v>
      </c>
      <c r="H55" s="26" t="n">
        <v>64.9298</v>
      </c>
      <c r="I55" s="10" t="s">
        <v>1116</v>
      </c>
      <c r="J55" s="30" t="s">
        <v>1305</v>
      </c>
      <c r="K55" s="10" t="s">
        <v>1306</v>
      </c>
    </row>
    <row r="56" customFormat="false" ht="46.25" hidden="false" customHeight="false" outlineLevel="0" collapsed="false">
      <c r="A56" s="12" t="s">
        <v>23</v>
      </c>
      <c r="B56" s="12" t="s">
        <v>112</v>
      </c>
      <c r="C56" s="10" t="s">
        <v>112</v>
      </c>
      <c r="D56" s="12" t="s">
        <v>1307</v>
      </c>
      <c r="E56" s="10" t="s">
        <v>1308</v>
      </c>
      <c r="F56" s="12" t="s">
        <v>83</v>
      </c>
      <c r="G56" s="12" t="n">
        <v>5</v>
      </c>
      <c r="H56" s="26" t="n">
        <v>345.31</v>
      </c>
      <c r="I56" s="10" t="s">
        <v>1116</v>
      </c>
      <c r="J56" s="30" t="s">
        <v>1309</v>
      </c>
      <c r="K56" s="10" t="s">
        <v>1310</v>
      </c>
    </row>
    <row r="57" customFormat="false" ht="46.25" hidden="false" customHeight="false" outlineLevel="0" collapsed="false">
      <c r="A57" s="12" t="s">
        <v>23</v>
      </c>
      <c r="B57" s="12" t="s">
        <v>112</v>
      </c>
      <c r="C57" s="10" t="s">
        <v>1311</v>
      </c>
      <c r="D57" s="12" t="s">
        <v>1312</v>
      </c>
      <c r="E57" s="10" t="s">
        <v>1313</v>
      </c>
      <c r="F57" s="12" t="s">
        <v>83</v>
      </c>
      <c r="G57" s="12" t="n">
        <v>5</v>
      </c>
      <c r="H57" s="26" t="n">
        <v>531.8684</v>
      </c>
      <c r="I57" s="10" t="s">
        <v>1116</v>
      </c>
      <c r="J57" s="30" t="s">
        <v>1159</v>
      </c>
      <c r="K57" s="10" t="s">
        <v>1314</v>
      </c>
    </row>
    <row r="58" customFormat="false" ht="46.25" hidden="false" customHeight="false" outlineLevel="0" collapsed="false">
      <c r="A58" s="12" t="s">
        <v>23</v>
      </c>
      <c r="B58" s="12" t="s">
        <v>112</v>
      </c>
      <c r="C58" s="10" t="s">
        <v>1315</v>
      </c>
      <c r="D58" s="12" t="s">
        <v>1316</v>
      </c>
      <c r="E58" s="10" t="s">
        <v>1317</v>
      </c>
      <c r="F58" s="12" t="s">
        <v>83</v>
      </c>
      <c r="G58" s="12" t="n">
        <v>5</v>
      </c>
      <c r="H58" s="26" t="n">
        <v>47.11</v>
      </c>
      <c r="I58" s="10" t="s">
        <v>1116</v>
      </c>
      <c r="J58" s="30" t="s">
        <v>1164</v>
      </c>
      <c r="K58" s="10" t="s">
        <v>1318</v>
      </c>
    </row>
    <row r="59" customFormat="false" ht="15" hidden="false" customHeight="false" outlineLevel="0" collapsed="false">
      <c r="A59" s="12" t="s">
        <v>23</v>
      </c>
      <c r="B59" s="12" t="s">
        <v>390</v>
      </c>
      <c r="C59" s="10" t="s">
        <v>1319</v>
      </c>
      <c r="D59" s="12" t="s">
        <v>1320</v>
      </c>
      <c r="E59" s="10" t="s">
        <v>1321</v>
      </c>
      <c r="F59" s="12" t="s">
        <v>77</v>
      </c>
      <c r="G59" s="12" t="n">
        <v>1</v>
      </c>
      <c r="H59" s="26" t="n">
        <v>6.11625</v>
      </c>
      <c r="I59" s="10" t="s">
        <v>1116</v>
      </c>
      <c r="J59" s="30" t="s">
        <v>1322</v>
      </c>
      <c r="K59" s="10" t="s">
        <v>1323</v>
      </c>
    </row>
    <row r="60" customFormat="false" ht="23.85" hidden="false" customHeight="false" outlineLevel="0" collapsed="false">
      <c r="A60" s="12" t="s">
        <v>23</v>
      </c>
      <c r="B60" s="12" t="s">
        <v>390</v>
      </c>
      <c r="C60" s="10" t="s">
        <v>1319</v>
      </c>
      <c r="D60" s="12" t="s">
        <v>1320</v>
      </c>
      <c r="E60" s="10" t="s">
        <v>1324</v>
      </c>
      <c r="F60" s="12" t="s">
        <v>77</v>
      </c>
      <c r="G60" s="12" t="n">
        <v>1</v>
      </c>
      <c r="H60" s="26" t="n">
        <v>8.6037</v>
      </c>
      <c r="I60" s="10" t="s">
        <v>1116</v>
      </c>
      <c r="J60" s="30" t="s">
        <v>1263</v>
      </c>
      <c r="K60" s="10" t="s">
        <v>1325</v>
      </c>
    </row>
    <row r="61" customFormat="false" ht="57.45" hidden="false" customHeight="false" outlineLevel="0" collapsed="false">
      <c r="A61" s="12" t="s">
        <v>23</v>
      </c>
      <c r="B61" s="12" t="s">
        <v>358</v>
      </c>
      <c r="C61" s="10" t="s">
        <v>1326</v>
      </c>
      <c r="D61" s="12" t="s">
        <v>1327</v>
      </c>
      <c r="E61" s="10" t="s">
        <v>1328</v>
      </c>
      <c r="F61" s="12" t="s">
        <v>83</v>
      </c>
      <c r="G61" s="12" t="n">
        <v>3</v>
      </c>
      <c r="H61" s="26" t="n">
        <v>125</v>
      </c>
      <c r="I61" s="10" t="s">
        <v>1116</v>
      </c>
      <c r="J61" s="30" t="s">
        <v>1329</v>
      </c>
      <c r="K61" s="10" t="s">
        <v>1330</v>
      </c>
    </row>
    <row r="62" customFormat="false" ht="46.25" hidden="false" customHeight="false" outlineLevel="0" collapsed="false">
      <c r="A62" s="12" t="s">
        <v>23</v>
      </c>
      <c r="B62" s="12" t="s">
        <v>361</v>
      </c>
      <c r="C62" s="10" t="s">
        <v>361</v>
      </c>
      <c r="D62" s="12" t="s">
        <v>1331</v>
      </c>
      <c r="E62" s="10" t="s">
        <v>1332</v>
      </c>
      <c r="F62" s="12" t="s">
        <v>77</v>
      </c>
      <c r="G62" s="12" t="n">
        <v>1</v>
      </c>
      <c r="H62" s="26" t="n">
        <v>25.66</v>
      </c>
      <c r="I62" s="10" t="s">
        <v>1116</v>
      </c>
      <c r="J62" s="30" t="s">
        <v>1333</v>
      </c>
      <c r="K62" s="10" t="s">
        <v>1334</v>
      </c>
    </row>
    <row r="63" customFormat="false" ht="46.25" hidden="false" customHeight="false" outlineLevel="0" collapsed="false">
      <c r="A63" s="12" t="s">
        <v>23</v>
      </c>
      <c r="B63" s="12" t="s">
        <v>361</v>
      </c>
      <c r="C63" s="10" t="s">
        <v>361</v>
      </c>
      <c r="D63" s="12" t="s">
        <v>1331</v>
      </c>
      <c r="E63" s="10" t="s">
        <v>1335</v>
      </c>
      <c r="F63" s="12" t="s">
        <v>83</v>
      </c>
      <c r="G63" s="12" t="n">
        <v>1</v>
      </c>
      <c r="H63" s="26" t="n">
        <v>44.85</v>
      </c>
      <c r="I63" s="10" t="s">
        <v>1116</v>
      </c>
      <c r="J63" s="30" t="s">
        <v>1336</v>
      </c>
      <c r="K63" s="10" t="s">
        <v>1337</v>
      </c>
    </row>
    <row r="64" customFormat="false" ht="68.65" hidden="false" customHeight="false" outlineLevel="0" collapsed="false">
      <c r="A64" s="12" t="s">
        <v>23</v>
      </c>
      <c r="B64" s="12" t="s">
        <v>129</v>
      </c>
      <c r="C64" s="10" t="s">
        <v>1338</v>
      </c>
      <c r="D64" s="12" t="s">
        <v>1339</v>
      </c>
      <c r="E64" s="10" t="s">
        <v>1340</v>
      </c>
      <c r="F64" s="12" t="s">
        <v>77</v>
      </c>
      <c r="G64" s="12"/>
      <c r="H64" s="26" t="n">
        <v>95.2025</v>
      </c>
      <c r="I64" s="10" t="s">
        <v>1116</v>
      </c>
      <c r="J64" s="30" t="s">
        <v>1159</v>
      </c>
      <c r="K64" s="10" t="s">
        <v>1341</v>
      </c>
    </row>
    <row r="65" customFormat="false" ht="46.25" hidden="false" customHeight="false" outlineLevel="0" collapsed="false">
      <c r="A65" s="12" t="s">
        <v>23</v>
      </c>
      <c r="B65" s="12" t="s">
        <v>56</v>
      </c>
      <c r="C65" s="10" t="s">
        <v>1342</v>
      </c>
      <c r="D65" s="12" t="s">
        <v>1343</v>
      </c>
      <c r="E65" s="10" t="s">
        <v>1344</v>
      </c>
      <c r="F65" s="12" t="s">
        <v>77</v>
      </c>
      <c r="G65" s="12"/>
      <c r="H65" s="26" t="n">
        <v>12.0797</v>
      </c>
      <c r="I65" s="10" t="s">
        <v>1116</v>
      </c>
      <c r="J65" s="30" t="s">
        <v>1159</v>
      </c>
      <c r="K65" s="10" t="s">
        <v>1345</v>
      </c>
    </row>
    <row r="66" customFormat="false" ht="46.25" hidden="false" customHeight="false" outlineLevel="0" collapsed="false">
      <c r="A66" s="12" t="s">
        <v>23</v>
      </c>
      <c r="B66" s="12" t="s">
        <v>56</v>
      </c>
      <c r="C66" s="10" t="s">
        <v>1346</v>
      </c>
      <c r="D66" s="12" t="s">
        <v>1343</v>
      </c>
      <c r="E66" s="10" t="s">
        <v>1344</v>
      </c>
      <c r="F66" s="12" t="s">
        <v>77</v>
      </c>
      <c r="G66" s="12"/>
      <c r="H66" s="26" t="n">
        <v>12.0797</v>
      </c>
      <c r="I66" s="10" t="s">
        <v>1116</v>
      </c>
      <c r="J66" s="30" t="s">
        <v>1159</v>
      </c>
      <c r="K66" s="10" t="s">
        <v>1345</v>
      </c>
    </row>
    <row r="67" customFormat="false" ht="46.25" hidden="false" customHeight="false" outlineLevel="0" collapsed="false">
      <c r="A67" s="12" t="s">
        <v>23</v>
      </c>
      <c r="B67" s="12" t="s">
        <v>56</v>
      </c>
      <c r="C67" s="10" t="s">
        <v>1347</v>
      </c>
      <c r="D67" s="12" t="s">
        <v>1343</v>
      </c>
      <c r="E67" s="10" t="s">
        <v>1344</v>
      </c>
      <c r="F67" s="12" t="s">
        <v>77</v>
      </c>
      <c r="G67" s="12"/>
      <c r="H67" s="26" t="n">
        <v>12.0797</v>
      </c>
      <c r="I67" s="10" t="s">
        <v>1116</v>
      </c>
      <c r="J67" s="30" t="s">
        <v>1159</v>
      </c>
      <c r="K67" s="10" t="s">
        <v>1345</v>
      </c>
    </row>
    <row r="68" customFormat="false" ht="15" hidden="false" customHeight="false" outlineLevel="0" collapsed="false">
      <c r="A68" s="12" t="s">
        <v>23</v>
      </c>
      <c r="B68" s="12" t="s">
        <v>56</v>
      </c>
      <c r="C68" s="10" t="s">
        <v>56</v>
      </c>
      <c r="D68" s="12" t="s">
        <v>1348</v>
      </c>
      <c r="E68" s="10" t="s">
        <v>1349</v>
      </c>
      <c r="F68" s="12" t="s">
        <v>77</v>
      </c>
      <c r="G68" s="12" t="n">
        <v>30</v>
      </c>
      <c r="H68" s="26" t="n">
        <v>16.247</v>
      </c>
      <c r="I68" s="10" t="s">
        <v>1116</v>
      </c>
      <c r="J68" s="30" t="s">
        <v>1350</v>
      </c>
      <c r="K68" s="10" t="s">
        <v>1351</v>
      </c>
    </row>
    <row r="69" customFormat="false" ht="15" hidden="false" customHeight="false" outlineLevel="0" collapsed="false">
      <c r="A69" s="12" t="s">
        <v>23</v>
      </c>
      <c r="B69" s="12" t="s">
        <v>56</v>
      </c>
      <c r="C69" s="10" t="s">
        <v>56</v>
      </c>
      <c r="D69" s="12" t="s">
        <v>1261</v>
      </c>
      <c r="E69" s="10" t="s">
        <v>1352</v>
      </c>
      <c r="F69" s="12" t="s">
        <v>77</v>
      </c>
      <c r="G69" s="12" t="n">
        <v>40</v>
      </c>
      <c r="H69" s="26" t="n">
        <v>36.113</v>
      </c>
      <c r="I69" s="10" t="s">
        <v>1116</v>
      </c>
      <c r="J69" s="30" t="s">
        <v>1350</v>
      </c>
      <c r="K69" s="10" t="s">
        <v>1351</v>
      </c>
    </row>
    <row r="70" customFormat="false" ht="15" hidden="false" customHeight="false" outlineLevel="0" collapsed="false">
      <c r="A70" s="12" t="s">
        <v>23</v>
      </c>
      <c r="B70" s="12" t="s">
        <v>56</v>
      </c>
      <c r="C70" s="10" t="s">
        <v>56</v>
      </c>
      <c r="D70" s="12" t="s">
        <v>1348</v>
      </c>
      <c r="E70" s="10" t="s">
        <v>1353</v>
      </c>
      <c r="F70" s="12" t="s">
        <v>77</v>
      </c>
      <c r="G70" s="12" t="n">
        <v>30</v>
      </c>
      <c r="H70" s="26" t="n">
        <v>16.247</v>
      </c>
      <c r="I70" s="10" t="s">
        <v>1116</v>
      </c>
      <c r="J70" s="30" t="s">
        <v>1350</v>
      </c>
      <c r="K70" s="10" t="s">
        <v>1351</v>
      </c>
    </row>
    <row r="71" customFormat="false" ht="15" hidden="false" customHeight="false" outlineLevel="0" collapsed="false">
      <c r="A71" s="12" t="s">
        <v>23</v>
      </c>
      <c r="B71" s="12" t="s">
        <v>56</v>
      </c>
      <c r="C71" s="10" t="s">
        <v>56</v>
      </c>
      <c r="D71" s="12" t="s">
        <v>1261</v>
      </c>
      <c r="E71" s="10" t="s">
        <v>1354</v>
      </c>
      <c r="F71" s="12" t="s">
        <v>77</v>
      </c>
      <c r="G71" s="12" t="n">
        <v>40</v>
      </c>
      <c r="H71" s="26" t="n">
        <v>36.113</v>
      </c>
      <c r="I71" s="10" t="s">
        <v>1116</v>
      </c>
      <c r="J71" s="30" t="s">
        <v>1350</v>
      </c>
      <c r="K71" s="10" t="s">
        <v>1351</v>
      </c>
    </row>
    <row r="72" customFormat="false" ht="46.25" hidden="false" customHeight="false" outlineLevel="0" collapsed="false">
      <c r="A72" s="12" t="s">
        <v>23</v>
      </c>
      <c r="B72" s="12" t="s">
        <v>402</v>
      </c>
      <c r="C72" s="10" t="s">
        <v>402</v>
      </c>
      <c r="D72" s="12" t="s">
        <v>1355</v>
      </c>
      <c r="E72" s="10" t="s">
        <v>1356</v>
      </c>
      <c r="F72" s="12" t="s">
        <v>77</v>
      </c>
      <c r="G72" s="12" t="n">
        <v>10</v>
      </c>
      <c r="H72" s="26" t="n">
        <v>22.25</v>
      </c>
      <c r="I72" s="10" t="s">
        <v>1116</v>
      </c>
      <c r="J72" s="30" t="s">
        <v>1357</v>
      </c>
      <c r="K72" s="10" t="s">
        <v>1358</v>
      </c>
    </row>
    <row r="73" customFormat="false" ht="46.25" hidden="false" customHeight="false" outlineLevel="0" collapsed="false">
      <c r="A73" s="12" t="s">
        <v>23</v>
      </c>
      <c r="B73" s="12" t="s">
        <v>283</v>
      </c>
      <c r="C73" s="10" t="s">
        <v>1359</v>
      </c>
      <c r="D73" s="12" t="s">
        <v>1133</v>
      </c>
      <c r="E73" s="10" t="s">
        <v>1360</v>
      </c>
      <c r="F73" s="12" t="s">
        <v>77</v>
      </c>
      <c r="G73" s="12" t="n">
        <v>2</v>
      </c>
      <c r="H73" s="26" t="n">
        <v>7.15</v>
      </c>
      <c r="I73" s="10" t="s">
        <v>1116</v>
      </c>
      <c r="J73" s="30" t="s">
        <v>1131</v>
      </c>
      <c r="K73" s="10" t="s">
        <v>1361</v>
      </c>
    </row>
    <row r="74" customFormat="false" ht="57.45" hidden="false" customHeight="false" outlineLevel="0" collapsed="false">
      <c r="A74" s="12" t="s">
        <v>23</v>
      </c>
      <c r="B74" s="12" t="s">
        <v>283</v>
      </c>
      <c r="C74" s="10" t="s">
        <v>1359</v>
      </c>
      <c r="D74" s="12" t="s">
        <v>1362</v>
      </c>
      <c r="E74" s="10" t="s">
        <v>1363</v>
      </c>
      <c r="F74" s="12" t="s">
        <v>77</v>
      </c>
      <c r="G74" s="12" t="n">
        <v>8</v>
      </c>
      <c r="H74" s="26" t="n">
        <v>9.9</v>
      </c>
      <c r="I74" s="10" t="s">
        <v>1116</v>
      </c>
      <c r="J74" s="30" t="s">
        <v>1131</v>
      </c>
      <c r="K74" s="10" t="s">
        <v>1364</v>
      </c>
    </row>
    <row r="75" customFormat="false" ht="46.25" hidden="false" customHeight="false" outlineLevel="0" collapsed="false">
      <c r="A75" s="12" t="s">
        <v>23</v>
      </c>
      <c r="B75" s="12" t="s">
        <v>283</v>
      </c>
      <c r="C75" s="10" t="s">
        <v>1359</v>
      </c>
      <c r="D75" s="12" t="s">
        <v>1365</v>
      </c>
      <c r="E75" s="10" t="s">
        <v>1366</v>
      </c>
      <c r="F75" s="12" t="s">
        <v>77</v>
      </c>
      <c r="G75" s="12" t="n">
        <v>10</v>
      </c>
      <c r="H75" s="26" t="n">
        <v>12.38</v>
      </c>
      <c r="I75" s="10" t="s">
        <v>1116</v>
      </c>
      <c r="J75" s="30" t="s">
        <v>1131</v>
      </c>
      <c r="K75" s="10" t="s">
        <v>1367</v>
      </c>
    </row>
    <row r="76" customFormat="false" ht="35.05" hidden="false" customHeight="false" outlineLevel="0" collapsed="false">
      <c r="A76" s="12" t="s">
        <v>23</v>
      </c>
      <c r="B76" s="12" t="s">
        <v>373</v>
      </c>
      <c r="C76" s="10" t="s">
        <v>373</v>
      </c>
      <c r="D76" s="12" t="s">
        <v>1139</v>
      </c>
      <c r="E76" s="10" t="s">
        <v>1368</v>
      </c>
      <c r="F76" s="12" t="s">
        <v>77</v>
      </c>
      <c r="G76" s="12"/>
      <c r="H76" s="26" t="n">
        <v>4.92</v>
      </c>
      <c r="I76" s="10" t="s">
        <v>1121</v>
      </c>
      <c r="J76" s="30" t="s">
        <v>1122</v>
      </c>
      <c r="K76" s="10" t="s">
        <v>1369</v>
      </c>
    </row>
    <row r="77" customFormat="false" ht="35.05" hidden="false" customHeight="false" outlineLevel="0" collapsed="false">
      <c r="A77" s="12" t="s">
        <v>23</v>
      </c>
      <c r="B77" s="12" t="s">
        <v>373</v>
      </c>
      <c r="C77" s="10" t="s">
        <v>373</v>
      </c>
      <c r="D77" s="12" t="s">
        <v>1370</v>
      </c>
      <c r="E77" s="10" t="s">
        <v>1371</v>
      </c>
      <c r="F77" s="12" t="s">
        <v>77</v>
      </c>
      <c r="G77" s="12"/>
      <c r="H77" s="26" t="n">
        <v>9.84</v>
      </c>
      <c r="I77" s="10" t="s">
        <v>1121</v>
      </c>
      <c r="J77" s="30" t="s">
        <v>1122</v>
      </c>
      <c r="K77" s="10" t="s">
        <v>1372</v>
      </c>
    </row>
    <row r="78" customFormat="false" ht="68.65" hidden="false" customHeight="false" outlineLevel="0" collapsed="false">
      <c r="A78" s="12" t="s">
        <v>23</v>
      </c>
      <c r="B78" s="12" t="s">
        <v>417</v>
      </c>
      <c r="C78" s="10" t="s">
        <v>1373</v>
      </c>
      <c r="D78" s="12" t="s">
        <v>1374</v>
      </c>
      <c r="E78" s="10" t="s">
        <v>1375</v>
      </c>
      <c r="F78" s="12" t="s">
        <v>77</v>
      </c>
      <c r="G78" s="12"/>
      <c r="H78" s="26" t="n">
        <v>55.8898</v>
      </c>
      <c r="I78" s="10" t="s">
        <v>1116</v>
      </c>
      <c r="J78" s="30" t="s">
        <v>1159</v>
      </c>
      <c r="K78" s="10" t="s">
        <v>1376</v>
      </c>
    </row>
    <row r="79" customFormat="false" ht="46.25" hidden="false" customHeight="false" outlineLevel="0" collapsed="false">
      <c r="A79" s="12" t="s">
        <v>23</v>
      </c>
      <c r="B79" s="12" t="s">
        <v>281</v>
      </c>
      <c r="C79" s="10" t="s">
        <v>1377</v>
      </c>
      <c r="D79" s="12" t="s">
        <v>1257</v>
      </c>
      <c r="E79" s="10" t="s">
        <v>1378</v>
      </c>
      <c r="F79" s="12" t="s">
        <v>77</v>
      </c>
      <c r="G79" s="12"/>
      <c r="H79" s="26" t="n">
        <v>8.76</v>
      </c>
      <c r="I79" s="10" t="s">
        <v>1116</v>
      </c>
      <c r="J79" s="30" t="s">
        <v>1379</v>
      </c>
      <c r="K79" s="10" t="s">
        <v>1380</v>
      </c>
    </row>
    <row r="80" customFormat="false" ht="46.25" hidden="false" customHeight="false" outlineLevel="0" collapsed="false">
      <c r="A80" s="12" t="s">
        <v>23</v>
      </c>
      <c r="B80" s="12" t="s">
        <v>281</v>
      </c>
      <c r="C80" s="10" t="s">
        <v>1377</v>
      </c>
      <c r="D80" s="12" t="s">
        <v>1381</v>
      </c>
      <c r="E80" s="10" t="s">
        <v>1382</v>
      </c>
      <c r="F80" s="12" t="s">
        <v>77</v>
      </c>
      <c r="G80" s="12"/>
      <c r="H80" s="26" t="n">
        <v>6.06</v>
      </c>
      <c r="I80" s="10" t="s">
        <v>1116</v>
      </c>
      <c r="J80" s="30" t="s">
        <v>1379</v>
      </c>
      <c r="K80" s="10" t="s">
        <v>1383</v>
      </c>
    </row>
    <row r="81" customFormat="false" ht="23.85" hidden="false" customHeight="false" outlineLevel="0" collapsed="false">
      <c r="A81" s="12" t="s">
        <v>23</v>
      </c>
      <c r="B81" s="12" t="s">
        <v>367</v>
      </c>
      <c r="C81" s="10" t="s">
        <v>1384</v>
      </c>
      <c r="D81" s="12" t="s">
        <v>1385</v>
      </c>
      <c r="E81" s="10" t="s">
        <v>1386</v>
      </c>
      <c r="F81" s="12" t="s">
        <v>83</v>
      </c>
      <c r="G81" s="12" t="n">
        <v>2</v>
      </c>
      <c r="H81" s="26"/>
      <c r="I81" s="10" t="s">
        <v>1275</v>
      </c>
      <c r="J81" s="12"/>
      <c r="K81" s="10" t="s">
        <v>1276</v>
      </c>
    </row>
    <row r="82" customFormat="false" ht="46.25" hidden="false" customHeight="false" outlineLevel="0" collapsed="false">
      <c r="A82" s="12" t="s">
        <v>23</v>
      </c>
      <c r="B82" s="12" t="s">
        <v>367</v>
      </c>
      <c r="C82" s="10" t="s">
        <v>1384</v>
      </c>
      <c r="D82" s="12" t="s">
        <v>1387</v>
      </c>
      <c r="E82" s="10" t="s">
        <v>1388</v>
      </c>
      <c r="F82" s="12" t="s">
        <v>77</v>
      </c>
      <c r="G82" s="12" t="n">
        <v>1</v>
      </c>
      <c r="H82" s="26" t="n">
        <v>6.43</v>
      </c>
      <c r="I82" s="10" t="s">
        <v>1116</v>
      </c>
      <c r="J82" s="30" t="s">
        <v>1389</v>
      </c>
      <c r="K82" s="10" t="s">
        <v>1390</v>
      </c>
    </row>
    <row r="83" customFormat="false" ht="35.05" hidden="false" customHeight="false" outlineLevel="0" collapsed="false">
      <c r="A83" s="12" t="s">
        <v>23</v>
      </c>
      <c r="B83" s="12" t="s">
        <v>367</v>
      </c>
      <c r="C83" s="10" t="s">
        <v>1384</v>
      </c>
      <c r="D83" s="12" t="s">
        <v>1391</v>
      </c>
      <c r="E83" s="10" t="s">
        <v>1392</v>
      </c>
      <c r="F83" s="12" t="s">
        <v>77</v>
      </c>
      <c r="G83" s="12" t="n">
        <v>10</v>
      </c>
      <c r="H83" s="26" t="n">
        <v>96.215</v>
      </c>
      <c r="I83" s="10" t="s">
        <v>1116</v>
      </c>
      <c r="J83" s="30" t="s">
        <v>1263</v>
      </c>
      <c r="K83" s="10" t="s">
        <v>1393</v>
      </c>
    </row>
    <row r="84" customFormat="false" ht="46.25" hidden="false" customHeight="false" outlineLevel="0" collapsed="false">
      <c r="A84" s="12" t="s">
        <v>23</v>
      </c>
      <c r="B84" s="12" t="s">
        <v>216</v>
      </c>
      <c r="C84" s="10" t="s">
        <v>216</v>
      </c>
      <c r="D84" s="12" t="s">
        <v>1394</v>
      </c>
      <c r="E84" s="10" t="s">
        <v>1395</v>
      </c>
      <c r="F84" s="12" t="s">
        <v>196</v>
      </c>
      <c r="G84" s="12"/>
      <c r="H84" s="26" t="n">
        <v>6.34</v>
      </c>
      <c r="I84" s="10" t="s">
        <v>1116</v>
      </c>
      <c r="J84" s="30" t="s">
        <v>1396</v>
      </c>
      <c r="K84" s="10" t="s">
        <v>1397</v>
      </c>
    </row>
    <row r="85" customFormat="false" ht="57.45" hidden="false" customHeight="false" outlineLevel="0" collapsed="false">
      <c r="A85" s="12" t="s">
        <v>23</v>
      </c>
      <c r="B85" s="12" t="s">
        <v>216</v>
      </c>
      <c r="C85" s="10" t="s">
        <v>1398</v>
      </c>
      <c r="D85" s="12" t="s">
        <v>1399</v>
      </c>
      <c r="E85" s="10" t="s">
        <v>1400</v>
      </c>
      <c r="F85" s="12" t="s">
        <v>196</v>
      </c>
      <c r="G85" s="12" t="n">
        <v>2</v>
      </c>
      <c r="H85" s="26" t="n">
        <v>5.3223</v>
      </c>
      <c r="I85" s="10" t="s">
        <v>1116</v>
      </c>
      <c r="J85" s="30" t="s">
        <v>1159</v>
      </c>
      <c r="K85" s="10" t="s">
        <v>1401</v>
      </c>
    </row>
    <row r="86" customFormat="false" ht="35.05" hidden="false" customHeight="false" outlineLevel="0" collapsed="false">
      <c r="A86" s="12" t="s">
        <v>23</v>
      </c>
      <c r="B86" s="12" t="s">
        <v>216</v>
      </c>
      <c r="C86" s="10" t="s">
        <v>1402</v>
      </c>
      <c r="D86" s="12" t="s">
        <v>1394</v>
      </c>
      <c r="E86" s="10" t="s">
        <v>1403</v>
      </c>
      <c r="F86" s="12" t="s">
        <v>77</v>
      </c>
      <c r="G86" s="12" t="n">
        <v>2</v>
      </c>
      <c r="H86" s="26" t="n">
        <v>9.2526</v>
      </c>
      <c r="I86" s="10" t="s">
        <v>1116</v>
      </c>
      <c r="J86" s="30" t="s">
        <v>1404</v>
      </c>
      <c r="K86" s="10" t="s">
        <v>1405</v>
      </c>
    </row>
    <row r="87" customFormat="false" ht="35.05" hidden="false" customHeight="false" outlineLevel="0" collapsed="false">
      <c r="A87" s="12" t="s">
        <v>23</v>
      </c>
      <c r="B87" s="12" t="s">
        <v>216</v>
      </c>
      <c r="C87" s="10" t="s">
        <v>1402</v>
      </c>
      <c r="D87" s="12" t="s">
        <v>1394</v>
      </c>
      <c r="E87" s="10" t="s">
        <v>1406</v>
      </c>
      <c r="F87" s="12" t="s">
        <v>77</v>
      </c>
      <c r="G87" s="12" t="n">
        <v>4</v>
      </c>
      <c r="H87" s="26" t="n">
        <v>18.5052</v>
      </c>
      <c r="I87" s="10" t="s">
        <v>1116</v>
      </c>
      <c r="J87" s="30" t="s">
        <v>1407</v>
      </c>
      <c r="K87" s="10" t="s">
        <v>1408</v>
      </c>
    </row>
    <row r="88" customFormat="false" ht="35.05" hidden="false" customHeight="false" outlineLevel="0" collapsed="false">
      <c r="A88" s="12" t="s">
        <v>23</v>
      </c>
      <c r="B88" s="12" t="s">
        <v>216</v>
      </c>
      <c r="C88" s="10" t="s">
        <v>1409</v>
      </c>
      <c r="D88" s="12" t="s">
        <v>1394</v>
      </c>
      <c r="E88" s="10" t="s">
        <v>1410</v>
      </c>
      <c r="F88" s="12" t="s">
        <v>77</v>
      </c>
      <c r="G88" s="12" t="n">
        <v>4</v>
      </c>
      <c r="H88" s="26" t="n">
        <v>9.67456</v>
      </c>
      <c r="I88" s="10" t="s">
        <v>1116</v>
      </c>
      <c r="J88" s="30" t="s">
        <v>1263</v>
      </c>
      <c r="K88" s="10" t="s">
        <v>1411</v>
      </c>
    </row>
    <row r="89" customFormat="false" ht="46.25" hidden="false" customHeight="false" outlineLevel="0" collapsed="false">
      <c r="A89" s="12" t="s">
        <v>23</v>
      </c>
      <c r="B89" s="12" t="s">
        <v>412</v>
      </c>
      <c r="C89" s="10" t="s">
        <v>1412</v>
      </c>
      <c r="D89" s="12" t="s">
        <v>1257</v>
      </c>
      <c r="E89" s="10" t="s">
        <v>1413</v>
      </c>
      <c r="F89" s="12" t="s">
        <v>77</v>
      </c>
      <c r="G89" s="12"/>
      <c r="H89" s="26" t="n">
        <v>10.93</v>
      </c>
      <c r="I89" s="10" t="s">
        <v>1116</v>
      </c>
      <c r="J89" s="30" t="s">
        <v>1414</v>
      </c>
      <c r="K89" s="10" t="s">
        <v>1415</v>
      </c>
    </row>
    <row r="90" customFormat="false" ht="46.25" hidden="false" customHeight="false" outlineLevel="0" collapsed="false">
      <c r="A90" s="12" t="s">
        <v>23</v>
      </c>
      <c r="B90" s="12" t="s">
        <v>393</v>
      </c>
      <c r="C90" s="10" t="s">
        <v>1416</v>
      </c>
      <c r="D90" s="12" t="s">
        <v>1417</v>
      </c>
      <c r="E90" s="10" t="s">
        <v>1418</v>
      </c>
      <c r="F90" s="12" t="s">
        <v>77</v>
      </c>
      <c r="G90" s="12" t="n">
        <v>5</v>
      </c>
      <c r="H90" s="26" t="n">
        <v>9.74</v>
      </c>
      <c r="I90" s="10" t="s">
        <v>1116</v>
      </c>
      <c r="J90" s="30" t="s">
        <v>1419</v>
      </c>
      <c r="K90" s="10" t="s">
        <v>1420</v>
      </c>
    </row>
    <row r="91" customFormat="false" ht="35.05" hidden="false" customHeight="false" outlineLevel="0" collapsed="false">
      <c r="A91" s="12" t="s">
        <v>23</v>
      </c>
      <c r="B91" s="12" t="s">
        <v>179</v>
      </c>
      <c r="C91" s="10" t="s">
        <v>179</v>
      </c>
      <c r="D91" s="12" t="s">
        <v>1421</v>
      </c>
      <c r="E91" s="10" t="s">
        <v>1422</v>
      </c>
      <c r="F91" s="12" t="s">
        <v>77</v>
      </c>
      <c r="G91" s="12"/>
      <c r="H91" s="26" t="n">
        <v>6.61</v>
      </c>
      <c r="I91" s="10" t="s">
        <v>1116</v>
      </c>
      <c r="J91" s="30" t="s">
        <v>1423</v>
      </c>
      <c r="K91" s="10" t="s">
        <v>1424</v>
      </c>
    </row>
    <row r="92" customFormat="false" ht="15" hidden="false" customHeight="false" outlineLevel="0" collapsed="false">
      <c r="A92" s="12" t="s">
        <v>23</v>
      </c>
      <c r="B92" s="12" t="s">
        <v>179</v>
      </c>
      <c r="C92" s="10" t="s">
        <v>179</v>
      </c>
      <c r="D92" s="12" t="s">
        <v>1425</v>
      </c>
      <c r="E92" s="10" t="s">
        <v>1426</v>
      </c>
      <c r="F92" s="12" t="s">
        <v>77</v>
      </c>
      <c r="G92" s="12"/>
      <c r="H92" s="26" t="n">
        <v>8.2474</v>
      </c>
      <c r="I92" s="10" t="s">
        <v>1116</v>
      </c>
      <c r="J92" s="30" t="s">
        <v>1427</v>
      </c>
      <c r="K92" s="10" t="s">
        <v>1428</v>
      </c>
    </row>
    <row r="93" customFormat="false" ht="15" hidden="false" customHeight="false" outlineLevel="0" collapsed="false">
      <c r="A93" s="12" t="s">
        <v>23</v>
      </c>
      <c r="B93" s="12" t="s">
        <v>179</v>
      </c>
      <c r="C93" s="10" t="s">
        <v>179</v>
      </c>
      <c r="D93" s="12" t="s">
        <v>1425</v>
      </c>
      <c r="E93" s="10" t="s">
        <v>1429</v>
      </c>
      <c r="F93" s="12" t="s">
        <v>77</v>
      </c>
      <c r="G93" s="12" t="n">
        <v>10</v>
      </c>
      <c r="H93" s="26" t="n">
        <v>8.2474</v>
      </c>
      <c r="I93" s="10" t="s">
        <v>1116</v>
      </c>
      <c r="J93" s="30" t="s">
        <v>1427</v>
      </c>
      <c r="K93" s="10" t="s">
        <v>1428</v>
      </c>
    </row>
    <row r="94" customFormat="false" ht="46.25" hidden="false" customHeight="false" outlineLevel="0" collapsed="false">
      <c r="A94" s="12" t="s">
        <v>23</v>
      </c>
      <c r="B94" s="12" t="s">
        <v>109</v>
      </c>
      <c r="C94" s="10" t="s">
        <v>109</v>
      </c>
      <c r="D94" s="12" t="s">
        <v>1430</v>
      </c>
      <c r="E94" s="10" t="s">
        <v>1431</v>
      </c>
      <c r="F94" s="12" t="s">
        <v>77</v>
      </c>
      <c r="G94" s="12" t="n">
        <v>1.2</v>
      </c>
      <c r="H94" s="26" t="n">
        <v>343.8</v>
      </c>
      <c r="I94" s="10" t="s">
        <v>1116</v>
      </c>
      <c r="J94" s="30" t="s">
        <v>1432</v>
      </c>
      <c r="K94" s="10" t="s">
        <v>1433</v>
      </c>
    </row>
    <row r="95" customFormat="false" ht="46.25" hidden="false" customHeight="false" outlineLevel="0" collapsed="false">
      <c r="A95" s="12" t="s">
        <v>23</v>
      </c>
      <c r="B95" s="12" t="s">
        <v>109</v>
      </c>
      <c r="C95" s="10" t="s">
        <v>109</v>
      </c>
      <c r="D95" s="12" t="s">
        <v>1320</v>
      </c>
      <c r="E95" s="10" t="s">
        <v>1434</v>
      </c>
      <c r="F95" s="12" t="s">
        <v>77</v>
      </c>
      <c r="G95" s="12" t="n">
        <v>1.2</v>
      </c>
      <c r="H95" s="26" t="n">
        <v>6345.6</v>
      </c>
      <c r="I95" s="10" t="s">
        <v>1116</v>
      </c>
      <c r="J95" s="30" t="s">
        <v>1435</v>
      </c>
      <c r="K95" s="10" t="s">
        <v>1436</v>
      </c>
    </row>
    <row r="96" customFormat="false" ht="46.25" hidden="false" customHeight="false" outlineLevel="0" collapsed="false">
      <c r="A96" s="12" t="s">
        <v>23</v>
      </c>
      <c r="B96" s="12" t="s">
        <v>109</v>
      </c>
      <c r="C96" s="10" t="s">
        <v>1437</v>
      </c>
      <c r="D96" s="12" t="s">
        <v>1438</v>
      </c>
      <c r="E96" s="10" t="s">
        <v>1434</v>
      </c>
      <c r="F96" s="12" t="s">
        <v>77</v>
      </c>
      <c r="G96" s="12" t="n">
        <v>1.2</v>
      </c>
      <c r="H96" s="26" t="n">
        <v>7322.4226</v>
      </c>
      <c r="I96" s="10" t="s">
        <v>1116</v>
      </c>
      <c r="J96" s="30" t="s">
        <v>1159</v>
      </c>
      <c r="K96" s="10" t="s">
        <v>1439</v>
      </c>
    </row>
    <row r="97" customFormat="false" ht="23.85" hidden="false" customHeight="false" outlineLevel="0" collapsed="false">
      <c r="A97" s="12" t="s">
        <v>23</v>
      </c>
      <c r="B97" s="12" t="s">
        <v>109</v>
      </c>
      <c r="C97" s="10" t="s">
        <v>109</v>
      </c>
      <c r="D97" s="12" t="s">
        <v>1320</v>
      </c>
      <c r="E97" s="10" t="s">
        <v>1440</v>
      </c>
      <c r="F97" s="12" t="s">
        <v>77</v>
      </c>
      <c r="G97" s="12" t="n">
        <v>1.2</v>
      </c>
      <c r="H97" s="26" t="n">
        <v>3979.598</v>
      </c>
      <c r="I97" s="10" t="s">
        <v>1116</v>
      </c>
      <c r="J97" s="30" t="s">
        <v>1263</v>
      </c>
      <c r="K97" s="10" t="s">
        <v>1441</v>
      </c>
    </row>
    <row r="98" customFormat="false" ht="46.25" hidden="false" customHeight="false" outlineLevel="0" collapsed="false">
      <c r="A98" s="12" t="s">
        <v>23</v>
      </c>
      <c r="B98" s="12" t="s">
        <v>109</v>
      </c>
      <c r="C98" s="10" t="s">
        <v>1442</v>
      </c>
      <c r="D98" s="12" t="s">
        <v>1443</v>
      </c>
      <c r="E98" s="10" t="s">
        <v>1444</v>
      </c>
      <c r="F98" s="12" t="s">
        <v>77</v>
      </c>
      <c r="G98" s="12" t="n">
        <v>1.2</v>
      </c>
      <c r="H98" s="26" t="n">
        <v>559.566</v>
      </c>
      <c r="I98" s="10" t="s">
        <v>1116</v>
      </c>
      <c r="J98" s="30" t="s">
        <v>1445</v>
      </c>
      <c r="K98" s="10" t="s">
        <v>1446</v>
      </c>
    </row>
    <row r="99" customFormat="false" ht="46.25" hidden="false" customHeight="false" outlineLevel="0" collapsed="false">
      <c r="A99" s="12" t="s">
        <v>23</v>
      </c>
      <c r="B99" s="12" t="s">
        <v>380</v>
      </c>
      <c r="C99" s="10" t="s">
        <v>380</v>
      </c>
      <c r="D99" s="12" t="s">
        <v>1447</v>
      </c>
      <c r="E99" s="10" t="s">
        <v>1448</v>
      </c>
      <c r="F99" s="12" t="s">
        <v>77</v>
      </c>
      <c r="G99" s="12" t="n">
        <v>10</v>
      </c>
      <c r="H99" s="26" t="n">
        <v>22.25</v>
      </c>
      <c r="I99" s="10" t="s">
        <v>1116</v>
      </c>
      <c r="J99" s="30" t="s">
        <v>1449</v>
      </c>
      <c r="K99" s="10" t="s">
        <v>1450</v>
      </c>
    </row>
    <row r="100" customFormat="false" ht="35.05" hidden="false" customHeight="false" outlineLevel="0" collapsed="false">
      <c r="A100" s="12" t="s">
        <v>23</v>
      </c>
      <c r="B100" s="12" t="s">
        <v>409</v>
      </c>
      <c r="C100" s="10" t="s">
        <v>409</v>
      </c>
      <c r="D100" s="12" t="s">
        <v>1451</v>
      </c>
      <c r="E100" s="10" t="s">
        <v>1452</v>
      </c>
      <c r="F100" s="12" t="s">
        <v>83</v>
      </c>
      <c r="G100" s="12" t="n">
        <v>5</v>
      </c>
      <c r="H100" s="26" t="n">
        <v>10.03</v>
      </c>
      <c r="I100" s="10" t="s">
        <v>1121</v>
      </c>
      <c r="J100" s="30" t="s">
        <v>1122</v>
      </c>
      <c r="K100" s="10" t="s">
        <v>1453</v>
      </c>
    </row>
    <row r="101" customFormat="false" ht="68.65" hidden="false" customHeight="false" outlineLevel="0" collapsed="false">
      <c r="A101" s="12" t="s">
        <v>23</v>
      </c>
      <c r="B101" s="12" t="s">
        <v>269</v>
      </c>
      <c r="C101" s="10" t="s">
        <v>1454</v>
      </c>
      <c r="D101" s="12" t="s">
        <v>1455</v>
      </c>
      <c r="E101" s="10" t="s">
        <v>1456</v>
      </c>
      <c r="F101" s="12" t="s">
        <v>77</v>
      </c>
      <c r="G101" s="12"/>
      <c r="H101" s="26" t="n">
        <v>7.0399</v>
      </c>
      <c r="I101" s="10" t="s">
        <v>1116</v>
      </c>
      <c r="J101" s="30" t="s">
        <v>1457</v>
      </c>
      <c r="K101" s="10" t="s">
        <v>1458</v>
      </c>
    </row>
    <row r="102" customFormat="false" ht="35.05" hidden="false" customHeight="false" outlineLevel="0" collapsed="false">
      <c r="A102" s="12" t="s">
        <v>23</v>
      </c>
      <c r="B102" s="12" t="s">
        <v>364</v>
      </c>
      <c r="C102" s="10" t="s">
        <v>1459</v>
      </c>
      <c r="D102" s="12" t="s">
        <v>1460</v>
      </c>
      <c r="E102" s="10" t="s">
        <v>1461</v>
      </c>
      <c r="F102" s="12" t="s">
        <v>77</v>
      </c>
      <c r="G102" s="12" t="n">
        <v>20</v>
      </c>
      <c r="H102" s="26" t="n">
        <v>7.54</v>
      </c>
      <c r="I102" s="10" t="s">
        <v>1116</v>
      </c>
      <c r="J102" s="30" t="s">
        <v>1462</v>
      </c>
      <c r="K102" s="10" t="s">
        <v>1463</v>
      </c>
    </row>
    <row r="103" customFormat="false" ht="35.05" hidden="false" customHeight="false" outlineLevel="0" collapsed="false">
      <c r="A103" s="12" t="s">
        <v>23</v>
      </c>
      <c r="B103" s="12" t="s">
        <v>364</v>
      </c>
      <c r="C103" s="10" t="s">
        <v>1459</v>
      </c>
      <c r="D103" s="12" t="s">
        <v>1464</v>
      </c>
      <c r="E103" s="10" t="s">
        <v>1465</v>
      </c>
      <c r="F103" s="12" t="s">
        <v>77</v>
      </c>
      <c r="G103" s="12" t="n">
        <v>20</v>
      </c>
      <c r="H103" s="26" t="n">
        <v>5.02</v>
      </c>
      <c r="I103" s="10" t="s">
        <v>1116</v>
      </c>
      <c r="J103" s="30" t="s">
        <v>1462</v>
      </c>
      <c r="K103" s="10" t="s">
        <v>1466</v>
      </c>
    </row>
    <row r="104" customFormat="false" ht="35.05" hidden="false" customHeight="false" outlineLevel="0" collapsed="false">
      <c r="A104" s="12" t="s">
        <v>23</v>
      </c>
      <c r="B104" s="12" t="s">
        <v>364</v>
      </c>
      <c r="C104" s="10" t="s">
        <v>1459</v>
      </c>
      <c r="D104" s="12" t="s">
        <v>1467</v>
      </c>
      <c r="E104" s="10" t="s">
        <v>1468</v>
      </c>
      <c r="F104" s="12" t="s">
        <v>77</v>
      </c>
      <c r="G104" s="12" t="n">
        <v>10</v>
      </c>
      <c r="H104" s="26" t="n">
        <v>9.85</v>
      </c>
      <c r="I104" s="10" t="s">
        <v>1116</v>
      </c>
      <c r="J104" s="30" t="s">
        <v>1462</v>
      </c>
      <c r="K104" s="10" t="s">
        <v>1469</v>
      </c>
    </row>
    <row r="105" customFormat="false" ht="35.05" hidden="false" customHeight="false" outlineLevel="0" collapsed="false">
      <c r="A105" s="12" t="s">
        <v>23</v>
      </c>
      <c r="B105" s="12" t="s">
        <v>364</v>
      </c>
      <c r="C105" s="10" t="s">
        <v>1459</v>
      </c>
      <c r="D105" s="12" t="s">
        <v>1470</v>
      </c>
      <c r="E105" s="10" t="s">
        <v>1471</v>
      </c>
      <c r="F105" s="12" t="s">
        <v>77</v>
      </c>
      <c r="G105" s="12" t="n">
        <v>30</v>
      </c>
      <c r="H105" s="26" t="n">
        <v>7.03</v>
      </c>
      <c r="I105" s="10" t="s">
        <v>1116</v>
      </c>
      <c r="J105" s="30" t="s">
        <v>1462</v>
      </c>
      <c r="K105" s="10" t="s">
        <v>1472</v>
      </c>
    </row>
    <row r="106" customFormat="false" ht="35.05" hidden="false" customHeight="false" outlineLevel="0" collapsed="false">
      <c r="A106" s="12" t="s">
        <v>23</v>
      </c>
      <c r="B106" s="12" t="s">
        <v>364</v>
      </c>
      <c r="C106" s="10" t="s">
        <v>1459</v>
      </c>
      <c r="D106" s="12" t="s">
        <v>1473</v>
      </c>
      <c r="E106" s="10" t="s">
        <v>1474</v>
      </c>
      <c r="F106" s="12" t="s">
        <v>77</v>
      </c>
      <c r="G106" s="12" t="n">
        <v>20</v>
      </c>
      <c r="H106" s="26" t="n">
        <v>16.57</v>
      </c>
      <c r="I106" s="10" t="s">
        <v>1116</v>
      </c>
      <c r="J106" s="30" t="s">
        <v>1462</v>
      </c>
      <c r="K106" s="10" t="s">
        <v>1475</v>
      </c>
    </row>
    <row r="107" customFormat="false" ht="35.05" hidden="false" customHeight="false" outlineLevel="0" collapsed="false">
      <c r="A107" s="12" t="s">
        <v>23</v>
      </c>
      <c r="B107" s="12" t="s">
        <v>364</v>
      </c>
      <c r="C107" s="10" t="s">
        <v>1459</v>
      </c>
      <c r="D107" s="12" t="s">
        <v>1476</v>
      </c>
      <c r="E107" s="10" t="s">
        <v>1477</v>
      </c>
      <c r="F107" s="12" t="s">
        <v>77</v>
      </c>
      <c r="G107" s="12" t="n">
        <v>20</v>
      </c>
      <c r="H107" s="26" t="n">
        <v>7.03</v>
      </c>
      <c r="I107" s="10" t="s">
        <v>1116</v>
      </c>
      <c r="J107" s="30" t="s">
        <v>1462</v>
      </c>
      <c r="K107" s="10" t="s">
        <v>1478</v>
      </c>
    </row>
    <row r="108" customFormat="false" ht="46.25" hidden="false" customHeight="false" outlineLevel="0" collapsed="false">
      <c r="A108" s="12" t="s">
        <v>23</v>
      </c>
      <c r="B108" s="12" t="s">
        <v>353</v>
      </c>
      <c r="C108" s="10" t="s">
        <v>1479</v>
      </c>
      <c r="D108" s="12" t="s">
        <v>1480</v>
      </c>
      <c r="E108" s="10" t="s">
        <v>1481</v>
      </c>
      <c r="F108" s="12" t="s">
        <v>77</v>
      </c>
      <c r="G108" s="12" t="n">
        <v>12.5</v>
      </c>
      <c r="H108" s="26" t="n">
        <v>161.8</v>
      </c>
      <c r="I108" s="10" t="s">
        <v>1116</v>
      </c>
      <c r="J108" s="30" t="s">
        <v>1482</v>
      </c>
      <c r="K108" s="10" t="s">
        <v>1483</v>
      </c>
    </row>
    <row r="109" customFormat="false" ht="46.25" hidden="false" customHeight="false" outlineLevel="0" collapsed="false">
      <c r="A109" s="12" t="s">
        <v>23</v>
      </c>
      <c r="B109" s="12" t="s">
        <v>191</v>
      </c>
      <c r="C109" s="10" t="s">
        <v>191</v>
      </c>
      <c r="D109" s="12" t="s">
        <v>1355</v>
      </c>
      <c r="E109" s="10" t="s">
        <v>1484</v>
      </c>
      <c r="F109" s="12" t="s">
        <v>77</v>
      </c>
      <c r="G109" s="12" t="n">
        <v>10</v>
      </c>
      <c r="H109" s="26" t="n">
        <v>27.26</v>
      </c>
      <c r="I109" s="10" t="s">
        <v>1116</v>
      </c>
      <c r="J109" s="30" t="s">
        <v>1485</v>
      </c>
      <c r="K109" s="10" t="s">
        <v>1486</v>
      </c>
    </row>
    <row r="110" customFormat="false" ht="46.25" hidden="false" customHeight="false" outlineLevel="0" collapsed="false">
      <c r="A110" s="12" t="s">
        <v>23</v>
      </c>
      <c r="B110" s="12" t="s">
        <v>191</v>
      </c>
      <c r="C110" s="10" t="s">
        <v>191</v>
      </c>
      <c r="D110" s="12" t="s">
        <v>1487</v>
      </c>
      <c r="E110" s="10" t="s">
        <v>1488</v>
      </c>
      <c r="F110" s="12" t="s">
        <v>77</v>
      </c>
      <c r="G110" s="12" t="n">
        <v>1</v>
      </c>
      <c r="H110" s="26" t="n">
        <v>14</v>
      </c>
      <c r="I110" s="10" t="s">
        <v>1116</v>
      </c>
      <c r="J110" s="30" t="s">
        <v>1485</v>
      </c>
      <c r="K110" s="10" t="s">
        <v>1489</v>
      </c>
    </row>
    <row r="111" customFormat="false" ht="46.25" hidden="false" customHeight="false" outlineLevel="0" collapsed="false">
      <c r="A111" s="12" t="s">
        <v>23</v>
      </c>
      <c r="B111" s="12" t="s">
        <v>377</v>
      </c>
      <c r="C111" s="10" t="s">
        <v>377</v>
      </c>
      <c r="D111" s="12" t="s">
        <v>1487</v>
      </c>
      <c r="E111" s="10" t="s">
        <v>1490</v>
      </c>
      <c r="F111" s="12" t="s">
        <v>77</v>
      </c>
      <c r="G111" s="12" t="n">
        <v>5</v>
      </c>
      <c r="H111" s="26" t="n">
        <v>36.17</v>
      </c>
      <c r="I111" s="10" t="s">
        <v>1116</v>
      </c>
      <c r="J111" s="30" t="s">
        <v>1485</v>
      </c>
      <c r="K111" s="10" t="s">
        <v>1491</v>
      </c>
    </row>
    <row r="112" customFormat="false" ht="35.05" hidden="false" customHeight="false" outlineLevel="0" collapsed="false">
      <c r="A112" s="12" t="s">
        <v>23</v>
      </c>
      <c r="B112" s="12" t="s">
        <v>326</v>
      </c>
      <c r="C112" s="10" t="s">
        <v>1492</v>
      </c>
      <c r="D112" s="12" t="s">
        <v>1493</v>
      </c>
      <c r="E112" s="10" t="s">
        <v>1494</v>
      </c>
      <c r="F112" s="12" t="s">
        <v>321</v>
      </c>
      <c r="G112" s="12" t="n">
        <v>100</v>
      </c>
      <c r="H112" s="26" t="n">
        <v>81.22</v>
      </c>
      <c r="I112" s="10" t="s">
        <v>1116</v>
      </c>
      <c r="J112" s="30" t="s">
        <v>1495</v>
      </c>
      <c r="K112" s="10" t="s">
        <v>1496</v>
      </c>
    </row>
    <row r="113" customFormat="false" ht="35.05" hidden="false" customHeight="false" outlineLevel="0" collapsed="false">
      <c r="A113" s="12" t="s">
        <v>23</v>
      </c>
      <c r="B113" s="12" t="s">
        <v>326</v>
      </c>
      <c r="C113" s="10" t="s">
        <v>1492</v>
      </c>
      <c r="D113" s="12" t="s">
        <v>1497</v>
      </c>
      <c r="E113" s="10" t="s">
        <v>1498</v>
      </c>
      <c r="F113" s="12" t="s">
        <v>321</v>
      </c>
      <c r="G113" s="12" t="n">
        <v>250</v>
      </c>
      <c r="H113" s="26" t="n">
        <v>198.4</v>
      </c>
      <c r="I113" s="10" t="s">
        <v>1116</v>
      </c>
      <c r="J113" s="30" t="s">
        <v>1495</v>
      </c>
      <c r="K113" s="10" t="s">
        <v>1499</v>
      </c>
    </row>
    <row r="114" customFormat="false" ht="23.85" hidden="false" customHeight="false" outlineLevel="0" collapsed="false">
      <c r="A114" s="12" t="s">
        <v>23</v>
      </c>
      <c r="B114" s="12" t="s">
        <v>340</v>
      </c>
      <c r="C114" s="10" t="s">
        <v>340</v>
      </c>
      <c r="D114" s="12" t="s">
        <v>1500</v>
      </c>
      <c r="E114" s="10" t="s">
        <v>1501</v>
      </c>
      <c r="F114" s="12" t="s">
        <v>196</v>
      </c>
      <c r="G114" s="12" t="n">
        <v>5</v>
      </c>
      <c r="H114" s="26" t="n">
        <v>13.20375</v>
      </c>
      <c r="I114" s="10" t="s">
        <v>1116</v>
      </c>
      <c r="J114" s="30" t="s">
        <v>1502</v>
      </c>
      <c r="K114" s="10" t="s">
        <v>1503</v>
      </c>
    </row>
    <row r="115" customFormat="false" ht="23.85" hidden="false" customHeight="false" outlineLevel="0" collapsed="false">
      <c r="A115" s="12" t="s">
        <v>23</v>
      </c>
      <c r="B115" s="12" t="s">
        <v>340</v>
      </c>
      <c r="C115" s="10" t="s">
        <v>340</v>
      </c>
      <c r="D115" s="12" t="s">
        <v>1500</v>
      </c>
      <c r="E115" s="10" t="s">
        <v>1504</v>
      </c>
      <c r="F115" s="12" t="s">
        <v>196</v>
      </c>
      <c r="G115" s="12" t="n">
        <v>5</v>
      </c>
      <c r="H115" s="26" t="n">
        <v>13.20375</v>
      </c>
      <c r="I115" s="10" t="s">
        <v>1116</v>
      </c>
      <c r="J115" s="30" t="s">
        <v>1502</v>
      </c>
      <c r="K115" s="10" t="s">
        <v>1503</v>
      </c>
    </row>
    <row r="116" customFormat="false" ht="23.85" hidden="false" customHeight="false" outlineLevel="0" collapsed="false">
      <c r="A116" s="12" t="s">
        <v>23</v>
      </c>
      <c r="B116" s="12" t="s">
        <v>340</v>
      </c>
      <c r="C116" s="10" t="s">
        <v>340</v>
      </c>
      <c r="D116" s="12" t="s">
        <v>1500</v>
      </c>
      <c r="E116" s="10" t="s">
        <v>1505</v>
      </c>
      <c r="F116" s="12" t="s">
        <v>77</v>
      </c>
      <c r="G116" s="12" t="n">
        <v>5</v>
      </c>
      <c r="H116" s="26" t="n">
        <v>14.19425</v>
      </c>
      <c r="I116" s="10" t="s">
        <v>1116</v>
      </c>
      <c r="J116" s="30" t="s">
        <v>1263</v>
      </c>
      <c r="K116" s="10" t="s">
        <v>1506</v>
      </c>
    </row>
    <row r="117" customFormat="false" ht="35.05" hidden="false" customHeight="false" outlineLevel="0" collapsed="false">
      <c r="A117" s="12" t="s">
        <v>23</v>
      </c>
      <c r="B117" s="12" t="s">
        <v>305</v>
      </c>
      <c r="C117" s="10" t="s">
        <v>305</v>
      </c>
      <c r="D117" s="12" t="s">
        <v>1139</v>
      </c>
      <c r="E117" s="10" t="s">
        <v>1140</v>
      </c>
      <c r="F117" s="12" t="s">
        <v>95</v>
      </c>
      <c r="G117" s="12"/>
      <c r="H117" s="26" t="n">
        <v>3.15</v>
      </c>
      <c r="I117" s="10" t="s">
        <v>1121</v>
      </c>
      <c r="J117" s="30" t="s">
        <v>1122</v>
      </c>
      <c r="K117" s="10" t="s">
        <v>1141</v>
      </c>
    </row>
    <row r="118" customFormat="false" ht="35.05" hidden="false" customHeight="false" outlineLevel="0" collapsed="false">
      <c r="A118" s="12" t="s">
        <v>23</v>
      </c>
      <c r="B118" s="12" t="s">
        <v>383</v>
      </c>
      <c r="C118" s="10" t="s">
        <v>1507</v>
      </c>
      <c r="D118" s="12" t="s">
        <v>1508</v>
      </c>
      <c r="E118" s="10" t="s">
        <v>1509</v>
      </c>
      <c r="F118" s="12" t="s">
        <v>77</v>
      </c>
      <c r="G118" s="12"/>
      <c r="H118" s="26" t="n">
        <v>7.95</v>
      </c>
      <c r="I118" s="10" t="s">
        <v>1510</v>
      </c>
      <c r="J118" s="30" t="s">
        <v>1511</v>
      </c>
      <c r="K118" s="10" t="s">
        <v>1512</v>
      </c>
    </row>
    <row r="119" customFormat="false" ht="15" hidden="false" customHeight="false" outlineLevel="0" collapsed="false">
      <c r="A119" s="12" t="s">
        <v>23</v>
      </c>
      <c r="B119" s="12" t="s">
        <v>383</v>
      </c>
      <c r="C119" s="10" t="s">
        <v>1507</v>
      </c>
      <c r="D119" s="12" t="s">
        <v>1513</v>
      </c>
      <c r="E119" s="10" t="s">
        <v>1514</v>
      </c>
      <c r="F119" s="12" t="s">
        <v>77</v>
      </c>
      <c r="G119" s="12"/>
      <c r="H119" s="26"/>
      <c r="I119" s="10" t="s">
        <v>1293</v>
      </c>
      <c r="J119" s="12"/>
      <c r="K119" s="10" t="s">
        <v>1294</v>
      </c>
    </row>
    <row r="120" customFormat="false" ht="46.25" hidden="false" customHeight="false" outlineLevel="0" collapsed="false">
      <c r="A120" s="12" t="s">
        <v>23</v>
      </c>
      <c r="B120" s="12" t="s">
        <v>256</v>
      </c>
      <c r="C120" s="10" t="s">
        <v>1515</v>
      </c>
      <c r="D120" s="12" t="s">
        <v>1516</v>
      </c>
      <c r="E120" s="10" t="s">
        <v>1517</v>
      </c>
      <c r="F120" s="12" t="s">
        <v>77</v>
      </c>
      <c r="G120" s="12" t="n">
        <v>2</v>
      </c>
      <c r="H120" s="26" t="n">
        <v>13.63</v>
      </c>
      <c r="I120" s="10" t="s">
        <v>1116</v>
      </c>
      <c r="J120" s="30" t="s">
        <v>1518</v>
      </c>
      <c r="K120" s="10" t="s">
        <v>1519</v>
      </c>
    </row>
    <row r="121" customFormat="false" ht="35.05" hidden="false" customHeight="false" outlineLevel="0" collapsed="false">
      <c r="A121" s="12" t="s">
        <v>23</v>
      </c>
      <c r="B121" s="12" t="s">
        <v>396</v>
      </c>
      <c r="C121" s="10" t="s">
        <v>1520</v>
      </c>
      <c r="D121" s="12" t="s">
        <v>1521</v>
      </c>
      <c r="E121" s="10" t="s">
        <v>1522</v>
      </c>
      <c r="F121" s="12" t="s">
        <v>77</v>
      </c>
      <c r="G121" s="12" t="n">
        <v>1</v>
      </c>
      <c r="H121" s="26" t="n">
        <v>24.3967</v>
      </c>
      <c r="I121" s="10" t="s">
        <v>1116</v>
      </c>
      <c r="J121" s="30" t="s">
        <v>1159</v>
      </c>
      <c r="K121" s="10" t="s">
        <v>1523</v>
      </c>
    </row>
    <row r="122" customFormat="false" ht="35.05" hidden="false" customHeight="false" outlineLevel="0" collapsed="false">
      <c r="A122" s="12" t="s">
        <v>23</v>
      </c>
      <c r="B122" s="12" t="s">
        <v>396</v>
      </c>
      <c r="C122" s="10" t="s">
        <v>1524</v>
      </c>
      <c r="D122" s="12" t="s">
        <v>1521</v>
      </c>
      <c r="E122" s="10" t="s">
        <v>1522</v>
      </c>
      <c r="F122" s="12" t="s">
        <v>77</v>
      </c>
      <c r="G122" s="12" t="n">
        <v>1</v>
      </c>
      <c r="H122" s="26" t="n">
        <v>24.3967</v>
      </c>
      <c r="I122" s="10" t="s">
        <v>1116</v>
      </c>
      <c r="J122" s="30" t="s">
        <v>1159</v>
      </c>
      <c r="K122" s="10" t="s">
        <v>1523</v>
      </c>
    </row>
    <row r="123" customFormat="false" ht="35.05" hidden="false" customHeight="false" outlineLevel="0" collapsed="false">
      <c r="A123" s="12" t="s">
        <v>31</v>
      </c>
      <c r="B123" s="12" t="s">
        <v>74</v>
      </c>
      <c r="C123" s="10" t="s">
        <v>1525</v>
      </c>
      <c r="D123" s="12" t="s">
        <v>1162</v>
      </c>
      <c r="E123" s="10" t="s">
        <v>1163</v>
      </c>
      <c r="F123" s="12" t="s">
        <v>77</v>
      </c>
      <c r="G123" s="12"/>
      <c r="H123" s="26" t="n">
        <v>10.241</v>
      </c>
      <c r="I123" s="10" t="s">
        <v>1116</v>
      </c>
      <c r="J123" s="30" t="s">
        <v>1164</v>
      </c>
      <c r="K123" s="10" t="s">
        <v>1165</v>
      </c>
    </row>
    <row r="124" customFormat="false" ht="35.05" hidden="false" customHeight="false" outlineLevel="0" collapsed="false">
      <c r="A124" s="12" t="s">
        <v>31</v>
      </c>
      <c r="B124" s="12" t="s">
        <v>262</v>
      </c>
      <c r="C124" s="10" t="s">
        <v>1526</v>
      </c>
      <c r="D124" s="12" t="s">
        <v>1527</v>
      </c>
      <c r="E124" s="10" t="s">
        <v>1528</v>
      </c>
      <c r="F124" s="12" t="s">
        <v>77</v>
      </c>
      <c r="G124" s="12"/>
      <c r="H124" s="26" t="n">
        <v>30.583</v>
      </c>
      <c r="I124" s="10" t="s">
        <v>1116</v>
      </c>
      <c r="J124" s="30" t="s">
        <v>1181</v>
      </c>
      <c r="K124" s="10" t="s">
        <v>1529</v>
      </c>
    </row>
    <row r="125" customFormat="false" ht="46.25" hidden="false" customHeight="false" outlineLevel="0" collapsed="false">
      <c r="A125" s="12" t="s">
        <v>31</v>
      </c>
      <c r="B125" s="12" t="s">
        <v>262</v>
      </c>
      <c r="C125" s="10" t="s">
        <v>1530</v>
      </c>
      <c r="D125" s="12" t="s">
        <v>1531</v>
      </c>
      <c r="E125" s="10" t="s">
        <v>1532</v>
      </c>
      <c r="F125" s="12" t="s">
        <v>77</v>
      </c>
      <c r="G125" s="12" t="n">
        <v>5</v>
      </c>
      <c r="H125" s="26" t="n">
        <v>51.95</v>
      </c>
      <c r="I125" s="10" t="s">
        <v>1116</v>
      </c>
      <c r="J125" s="30" t="s">
        <v>1196</v>
      </c>
      <c r="K125" s="10" t="s">
        <v>1533</v>
      </c>
    </row>
    <row r="126" customFormat="false" ht="46.25" hidden="false" customHeight="false" outlineLevel="0" collapsed="false">
      <c r="A126" s="12" t="s">
        <v>31</v>
      </c>
      <c r="B126" s="12" t="s">
        <v>87</v>
      </c>
      <c r="C126" s="10" t="s">
        <v>1534</v>
      </c>
      <c r="D126" s="12" t="s">
        <v>1535</v>
      </c>
      <c r="E126" s="10" t="s">
        <v>1536</v>
      </c>
      <c r="F126" s="12" t="s">
        <v>77</v>
      </c>
      <c r="G126" s="12" t="n">
        <v>1.4</v>
      </c>
      <c r="H126" s="26" t="n">
        <v>163.29</v>
      </c>
      <c r="I126" s="10" t="s">
        <v>1116</v>
      </c>
      <c r="J126" s="30" t="s">
        <v>1196</v>
      </c>
      <c r="K126" s="10" t="s">
        <v>1537</v>
      </c>
    </row>
    <row r="127" customFormat="false" ht="23.85" hidden="false" customHeight="false" outlineLevel="0" collapsed="false">
      <c r="A127" s="12" t="s">
        <v>31</v>
      </c>
      <c r="B127" s="12" t="s">
        <v>423</v>
      </c>
      <c r="C127" s="10" t="s">
        <v>1538</v>
      </c>
      <c r="D127" s="12" t="s">
        <v>1267</v>
      </c>
      <c r="E127" s="10"/>
      <c r="F127" s="12" t="s">
        <v>95</v>
      </c>
      <c r="G127" s="12"/>
      <c r="H127" s="26" t="n">
        <v>17.03</v>
      </c>
      <c r="I127" s="10" t="s">
        <v>1539</v>
      </c>
      <c r="J127" s="30" t="s">
        <v>1540</v>
      </c>
      <c r="K127" s="10" t="s">
        <v>1541</v>
      </c>
    </row>
    <row r="128" customFormat="false" ht="23.85" hidden="false" customHeight="false" outlineLevel="0" collapsed="false">
      <c r="A128" s="12" t="s">
        <v>31</v>
      </c>
      <c r="B128" s="12" t="s">
        <v>423</v>
      </c>
      <c r="C128" s="10" t="s">
        <v>1538</v>
      </c>
      <c r="D128" s="12" t="s">
        <v>1542</v>
      </c>
      <c r="E128" s="10"/>
      <c r="F128" s="12" t="s">
        <v>95</v>
      </c>
      <c r="G128" s="12"/>
      <c r="H128" s="26" t="n">
        <v>31.81</v>
      </c>
      <c r="I128" s="10" t="s">
        <v>1539</v>
      </c>
      <c r="J128" s="30" t="s">
        <v>1540</v>
      </c>
      <c r="K128" s="10" t="s">
        <v>1541</v>
      </c>
    </row>
    <row r="129" customFormat="false" ht="35.05" hidden="false" customHeight="false" outlineLevel="0" collapsed="false">
      <c r="A129" s="12" t="s">
        <v>31</v>
      </c>
      <c r="B129" s="12" t="s">
        <v>104</v>
      </c>
      <c r="C129" s="10" t="s">
        <v>104</v>
      </c>
      <c r="D129" s="12" t="s">
        <v>1543</v>
      </c>
      <c r="E129" s="10" t="s">
        <v>1544</v>
      </c>
      <c r="F129" s="12" t="s">
        <v>77</v>
      </c>
      <c r="G129" s="12" t="n">
        <v>10</v>
      </c>
      <c r="H129" s="26" t="n">
        <v>81.96</v>
      </c>
      <c r="I129" s="10" t="s">
        <v>1116</v>
      </c>
      <c r="J129" s="30" t="s">
        <v>1545</v>
      </c>
      <c r="K129" s="10" t="s">
        <v>1546</v>
      </c>
    </row>
    <row r="130" customFormat="false" ht="46.25" hidden="false" customHeight="false" outlineLevel="0" collapsed="false">
      <c r="A130" s="12" t="s">
        <v>31</v>
      </c>
      <c r="B130" s="12" t="s">
        <v>104</v>
      </c>
      <c r="C130" s="10" t="s">
        <v>1547</v>
      </c>
      <c r="D130" s="12" t="s">
        <v>1236</v>
      </c>
      <c r="E130" s="10" t="s">
        <v>1237</v>
      </c>
      <c r="F130" s="12" t="s">
        <v>77</v>
      </c>
      <c r="G130" s="12"/>
      <c r="H130" s="26" t="n">
        <v>93.7335</v>
      </c>
      <c r="I130" s="10" t="s">
        <v>1116</v>
      </c>
      <c r="J130" s="30" t="s">
        <v>1159</v>
      </c>
      <c r="K130" s="10" t="s">
        <v>1548</v>
      </c>
    </row>
    <row r="131" customFormat="false" ht="23.85" hidden="false" customHeight="false" outlineLevel="0" collapsed="false">
      <c r="A131" s="12" t="s">
        <v>31</v>
      </c>
      <c r="B131" s="12" t="s">
        <v>104</v>
      </c>
      <c r="C131" s="10" t="s">
        <v>1549</v>
      </c>
      <c r="D131" s="12" t="s">
        <v>1550</v>
      </c>
      <c r="E131" s="10" t="s">
        <v>1551</v>
      </c>
      <c r="F131" s="12" t="s">
        <v>77</v>
      </c>
      <c r="G131" s="12"/>
      <c r="H131" s="26"/>
      <c r="I131" s="10" t="s">
        <v>1275</v>
      </c>
      <c r="J131" s="12"/>
      <c r="K131" s="10" t="s">
        <v>1276</v>
      </c>
    </row>
    <row r="132" customFormat="false" ht="23.85" hidden="false" customHeight="false" outlineLevel="0" collapsed="false">
      <c r="A132" s="12" t="s">
        <v>31</v>
      </c>
      <c r="B132" s="12" t="s">
        <v>104</v>
      </c>
      <c r="C132" s="10" t="s">
        <v>1549</v>
      </c>
      <c r="D132" s="12" t="s">
        <v>1282</v>
      </c>
      <c r="E132" s="10" t="s">
        <v>1283</v>
      </c>
      <c r="F132" s="12" t="s">
        <v>77</v>
      </c>
      <c r="G132" s="12"/>
      <c r="H132" s="26"/>
      <c r="I132" s="10" t="s">
        <v>1275</v>
      </c>
      <c r="J132" s="12"/>
      <c r="K132" s="10" t="s">
        <v>1276</v>
      </c>
    </row>
    <row r="133" customFormat="false" ht="68.65" hidden="false" customHeight="false" outlineLevel="0" collapsed="false">
      <c r="A133" s="12" t="s">
        <v>31</v>
      </c>
      <c r="B133" s="12" t="s">
        <v>120</v>
      </c>
      <c r="C133" s="10" t="s">
        <v>1552</v>
      </c>
      <c r="D133" s="12" t="s">
        <v>1553</v>
      </c>
      <c r="E133" s="10" t="s">
        <v>1532</v>
      </c>
      <c r="F133" s="12" t="s">
        <v>77</v>
      </c>
      <c r="G133" s="12" t="n">
        <v>5</v>
      </c>
      <c r="H133" s="26" t="n">
        <v>6.31</v>
      </c>
      <c r="I133" s="10" t="s">
        <v>1116</v>
      </c>
      <c r="J133" s="30" t="s">
        <v>1196</v>
      </c>
      <c r="K133" s="10" t="s">
        <v>1554</v>
      </c>
    </row>
    <row r="134" customFormat="false" ht="68.65" hidden="false" customHeight="false" outlineLevel="0" collapsed="false">
      <c r="A134" s="12" t="s">
        <v>31</v>
      </c>
      <c r="B134" s="12" t="s">
        <v>120</v>
      </c>
      <c r="C134" s="10" t="s">
        <v>1552</v>
      </c>
      <c r="D134" s="12" t="s">
        <v>1555</v>
      </c>
      <c r="E134" s="10" t="s">
        <v>1556</v>
      </c>
      <c r="F134" s="12" t="s">
        <v>77</v>
      </c>
      <c r="G134" s="12" t="n">
        <v>25</v>
      </c>
      <c r="H134" s="26" t="n">
        <v>31.54</v>
      </c>
      <c r="I134" s="10" t="s">
        <v>1116</v>
      </c>
      <c r="J134" s="30" t="s">
        <v>1196</v>
      </c>
      <c r="K134" s="10" t="s">
        <v>1557</v>
      </c>
    </row>
    <row r="135" customFormat="false" ht="46.25" hidden="false" customHeight="false" outlineLevel="0" collapsed="false">
      <c r="A135" s="12" t="s">
        <v>31</v>
      </c>
      <c r="B135" s="12" t="s">
        <v>112</v>
      </c>
      <c r="C135" s="10" t="s">
        <v>1558</v>
      </c>
      <c r="D135" s="12" t="s">
        <v>1312</v>
      </c>
      <c r="E135" s="10" t="s">
        <v>1559</v>
      </c>
      <c r="F135" s="12" t="s">
        <v>83</v>
      </c>
      <c r="G135" s="12" t="n">
        <v>5</v>
      </c>
      <c r="H135" s="26" t="n">
        <v>531.8684</v>
      </c>
      <c r="I135" s="10" t="s">
        <v>1116</v>
      </c>
      <c r="J135" s="30" t="s">
        <v>1159</v>
      </c>
      <c r="K135" s="10" t="s">
        <v>1560</v>
      </c>
    </row>
    <row r="136" customFormat="false" ht="35.05" hidden="false" customHeight="false" outlineLevel="0" collapsed="false">
      <c r="A136" s="12" t="s">
        <v>31</v>
      </c>
      <c r="B136" s="12" t="s">
        <v>201</v>
      </c>
      <c r="C136" s="10" t="s">
        <v>1561</v>
      </c>
      <c r="D136" s="12" t="s">
        <v>1562</v>
      </c>
      <c r="E136" s="10" t="s">
        <v>1563</v>
      </c>
      <c r="F136" s="12" t="s">
        <v>77</v>
      </c>
      <c r="G136" s="12"/>
      <c r="H136" s="26" t="n">
        <v>23.15</v>
      </c>
      <c r="I136" s="10" t="s">
        <v>1121</v>
      </c>
      <c r="J136" s="30" t="s">
        <v>1122</v>
      </c>
      <c r="K136" s="10" t="s">
        <v>1564</v>
      </c>
    </row>
    <row r="137" customFormat="false" ht="35.05" hidden="false" customHeight="false" outlineLevel="0" collapsed="false">
      <c r="A137" s="12" t="s">
        <v>31</v>
      </c>
      <c r="B137" s="12" t="s">
        <v>201</v>
      </c>
      <c r="C137" s="10" t="s">
        <v>1565</v>
      </c>
      <c r="D137" s="12" t="s">
        <v>1162</v>
      </c>
      <c r="E137" s="10" t="s">
        <v>1163</v>
      </c>
      <c r="F137" s="12" t="s">
        <v>77</v>
      </c>
      <c r="G137" s="12"/>
      <c r="H137" s="26" t="n">
        <v>23.15</v>
      </c>
      <c r="I137" s="10" t="s">
        <v>1121</v>
      </c>
      <c r="J137" s="30" t="s">
        <v>1122</v>
      </c>
      <c r="K137" s="10" t="s">
        <v>1564</v>
      </c>
    </row>
    <row r="138" customFormat="false" ht="35.05" hidden="false" customHeight="false" outlineLevel="0" collapsed="false">
      <c r="A138" s="12" t="s">
        <v>31</v>
      </c>
      <c r="B138" s="12" t="s">
        <v>176</v>
      </c>
      <c r="C138" s="10" t="s">
        <v>1566</v>
      </c>
      <c r="D138" s="12" t="s">
        <v>1567</v>
      </c>
      <c r="E138" s="10" t="s">
        <v>1568</v>
      </c>
      <c r="F138" s="12" t="s">
        <v>196</v>
      </c>
      <c r="G138" s="12" t="n">
        <v>1</v>
      </c>
      <c r="H138" s="26" t="n">
        <v>69.18</v>
      </c>
      <c r="I138" s="10" t="s">
        <v>1569</v>
      </c>
      <c r="J138" s="30" t="s">
        <v>1570</v>
      </c>
      <c r="K138" s="10" t="s">
        <v>1571</v>
      </c>
    </row>
    <row r="139" customFormat="false" ht="35.05" hidden="false" customHeight="false" outlineLevel="0" collapsed="false">
      <c r="A139" s="12" t="s">
        <v>31</v>
      </c>
      <c r="B139" s="12" t="s">
        <v>176</v>
      </c>
      <c r="C139" s="10" t="s">
        <v>1572</v>
      </c>
      <c r="D139" s="12" t="s">
        <v>1567</v>
      </c>
      <c r="E139" s="10"/>
      <c r="F139" s="12" t="s">
        <v>95</v>
      </c>
      <c r="G139" s="12"/>
      <c r="H139" s="26" t="n">
        <v>69.18</v>
      </c>
      <c r="I139" s="10" t="s">
        <v>1569</v>
      </c>
      <c r="J139" s="30" t="s">
        <v>1570</v>
      </c>
      <c r="K139" s="10" t="s">
        <v>1571</v>
      </c>
    </row>
    <row r="140" customFormat="false" ht="35.05" hidden="false" customHeight="false" outlineLevel="0" collapsed="false">
      <c r="A140" s="12" t="s">
        <v>31</v>
      </c>
      <c r="B140" s="12" t="s">
        <v>176</v>
      </c>
      <c r="C140" s="10" t="s">
        <v>1566</v>
      </c>
      <c r="D140" s="12" t="s">
        <v>1573</v>
      </c>
      <c r="E140" s="10" t="s">
        <v>1574</v>
      </c>
      <c r="F140" s="12" t="s">
        <v>196</v>
      </c>
      <c r="G140" s="12" t="n">
        <v>5</v>
      </c>
      <c r="H140" s="26" t="n">
        <v>109.16</v>
      </c>
      <c r="I140" s="10" t="s">
        <v>1569</v>
      </c>
      <c r="J140" s="30" t="s">
        <v>1570</v>
      </c>
      <c r="K140" s="10" t="s">
        <v>1575</v>
      </c>
    </row>
    <row r="141" customFormat="false" ht="46.25" hidden="false" customHeight="false" outlineLevel="0" collapsed="false">
      <c r="A141" s="12" t="s">
        <v>31</v>
      </c>
      <c r="B141" s="12" t="s">
        <v>199</v>
      </c>
      <c r="C141" s="10" t="s">
        <v>1576</v>
      </c>
      <c r="D141" s="12" t="s">
        <v>1577</v>
      </c>
      <c r="E141" s="10" t="s">
        <v>1578</v>
      </c>
      <c r="F141" s="12" t="s">
        <v>83</v>
      </c>
      <c r="G141" s="12" t="n">
        <v>0.2</v>
      </c>
      <c r="H141" s="26" t="n">
        <v>6545.62</v>
      </c>
      <c r="I141" s="10" t="s">
        <v>1116</v>
      </c>
      <c r="J141" s="30" t="s">
        <v>1579</v>
      </c>
      <c r="K141" s="10" t="s">
        <v>1580</v>
      </c>
    </row>
    <row r="142" customFormat="false" ht="46.25" hidden="false" customHeight="false" outlineLevel="0" collapsed="false">
      <c r="A142" s="12" t="s">
        <v>31</v>
      </c>
      <c r="B142" s="12" t="s">
        <v>199</v>
      </c>
      <c r="C142" s="10" t="s">
        <v>1576</v>
      </c>
      <c r="D142" s="12" t="s">
        <v>1581</v>
      </c>
      <c r="E142" s="10" t="s">
        <v>1582</v>
      </c>
      <c r="F142" s="12" t="s">
        <v>83</v>
      </c>
      <c r="G142" s="12" t="n">
        <v>0.3</v>
      </c>
      <c r="H142" s="26" t="n">
        <v>8714.12</v>
      </c>
      <c r="I142" s="10" t="s">
        <v>1116</v>
      </c>
      <c r="J142" s="30" t="s">
        <v>1579</v>
      </c>
      <c r="K142" s="10" t="s">
        <v>1583</v>
      </c>
    </row>
    <row r="143" customFormat="false" ht="46.25" hidden="false" customHeight="false" outlineLevel="0" collapsed="false">
      <c r="A143" s="12" t="s">
        <v>31</v>
      </c>
      <c r="B143" s="12" t="s">
        <v>199</v>
      </c>
      <c r="C143" s="10" t="s">
        <v>1576</v>
      </c>
      <c r="D143" s="12" t="s">
        <v>1584</v>
      </c>
      <c r="E143" s="10" t="s">
        <v>1585</v>
      </c>
      <c r="F143" s="12" t="s">
        <v>83</v>
      </c>
      <c r="G143" s="12" t="n">
        <v>0.5</v>
      </c>
      <c r="H143" s="26" t="n">
        <v>2652.02</v>
      </c>
      <c r="I143" s="10" t="s">
        <v>1116</v>
      </c>
      <c r="J143" s="30" t="s">
        <v>1586</v>
      </c>
      <c r="K143" s="10" t="s">
        <v>1587</v>
      </c>
    </row>
    <row r="144" customFormat="false" ht="46.25" hidden="false" customHeight="false" outlineLevel="0" collapsed="false">
      <c r="A144" s="12" t="s">
        <v>31</v>
      </c>
      <c r="B144" s="12" t="s">
        <v>432</v>
      </c>
      <c r="C144" s="10" t="s">
        <v>1588</v>
      </c>
      <c r="D144" s="12" t="s">
        <v>1589</v>
      </c>
      <c r="E144" s="10" t="s">
        <v>1590</v>
      </c>
      <c r="F144" s="12" t="s">
        <v>77</v>
      </c>
      <c r="G144" s="12" t="n">
        <v>0.5</v>
      </c>
      <c r="H144" s="26" t="n">
        <v>9.55</v>
      </c>
      <c r="I144" s="10" t="s">
        <v>1116</v>
      </c>
      <c r="J144" s="30" t="s">
        <v>1196</v>
      </c>
      <c r="K144" s="10" t="s">
        <v>1591</v>
      </c>
    </row>
    <row r="145" customFormat="false" ht="46.25" hidden="false" customHeight="false" outlineLevel="0" collapsed="false">
      <c r="A145" s="12" t="s">
        <v>31</v>
      </c>
      <c r="B145" s="12" t="s">
        <v>432</v>
      </c>
      <c r="C145" s="10" t="s">
        <v>1588</v>
      </c>
      <c r="D145" s="12" t="s">
        <v>1589</v>
      </c>
      <c r="E145" s="10" t="s">
        <v>1592</v>
      </c>
      <c r="F145" s="12" t="s">
        <v>77</v>
      </c>
      <c r="G145" s="12" t="n">
        <v>0.5</v>
      </c>
      <c r="H145" s="26" t="n">
        <v>95.55</v>
      </c>
      <c r="I145" s="10" t="s">
        <v>1116</v>
      </c>
      <c r="J145" s="30" t="s">
        <v>1196</v>
      </c>
      <c r="K145" s="10" t="s">
        <v>1593</v>
      </c>
    </row>
    <row r="146" customFormat="false" ht="15" hidden="false" customHeight="false" outlineLevel="0" collapsed="false">
      <c r="A146" s="12" t="s">
        <v>31</v>
      </c>
      <c r="B146" s="12" t="s">
        <v>361</v>
      </c>
      <c r="C146" s="10" t="s">
        <v>1594</v>
      </c>
      <c r="D146" s="12" t="s">
        <v>1595</v>
      </c>
      <c r="E146" s="10" t="s">
        <v>1596</v>
      </c>
      <c r="F146" s="12" t="s">
        <v>77</v>
      </c>
      <c r="G146" s="12" t="n">
        <v>1</v>
      </c>
      <c r="H146" s="26" t="n">
        <v>19.649</v>
      </c>
      <c r="I146" s="10" t="s">
        <v>1116</v>
      </c>
      <c r="J146" s="30" t="s">
        <v>1597</v>
      </c>
      <c r="K146" s="10" t="s">
        <v>1598</v>
      </c>
    </row>
    <row r="147" customFormat="false" ht="46.25" hidden="false" customHeight="false" outlineLevel="0" collapsed="false">
      <c r="A147" s="12" t="s">
        <v>31</v>
      </c>
      <c r="B147" s="12" t="s">
        <v>393</v>
      </c>
      <c r="C147" s="10" t="s">
        <v>1599</v>
      </c>
      <c r="D147" s="12" t="s">
        <v>1600</v>
      </c>
      <c r="E147" s="10" t="s">
        <v>1601</v>
      </c>
      <c r="F147" s="12" t="s">
        <v>77</v>
      </c>
      <c r="G147" s="12" t="n">
        <v>5</v>
      </c>
      <c r="H147" s="26" t="n">
        <v>6.937</v>
      </c>
      <c r="I147" s="10" t="s">
        <v>1116</v>
      </c>
      <c r="J147" s="30" t="s">
        <v>1164</v>
      </c>
      <c r="K147" s="10" t="s">
        <v>1602</v>
      </c>
    </row>
    <row r="148" customFormat="false" ht="35.05" hidden="false" customHeight="false" outlineLevel="0" collapsed="false">
      <c r="A148" s="12" t="s">
        <v>31</v>
      </c>
      <c r="B148" s="12" t="s">
        <v>437</v>
      </c>
      <c r="C148" s="10" t="s">
        <v>1603</v>
      </c>
      <c r="D148" s="12" t="s">
        <v>1521</v>
      </c>
      <c r="E148" s="10" t="s">
        <v>1596</v>
      </c>
      <c r="F148" s="12" t="s">
        <v>77</v>
      </c>
      <c r="G148" s="12" t="n">
        <v>1</v>
      </c>
      <c r="H148" s="26" t="n">
        <v>1</v>
      </c>
      <c r="I148" s="10" t="s">
        <v>1121</v>
      </c>
      <c r="J148" s="30" t="s">
        <v>1122</v>
      </c>
      <c r="K148" s="10" t="s">
        <v>1604</v>
      </c>
    </row>
    <row r="149" customFormat="false" ht="35.05" hidden="false" customHeight="false" outlineLevel="0" collapsed="false">
      <c r="A149" s="12" t="s">
        <v>31</v>
      </c>
      <c r="B149" s="12" t="s">
        <v>203</v>
      </c>
      <c r="C149" s="10" t="s">
        <v>203</v>
      </c>
      <c r="D149" s="12" t="s">
        <v>1136</v>
      </c>
      <c r="E149" s="10" t="s">
        <v>1605</v>
      </c>
      <c r="F149" s="12" t="s">
        <v>83</v>
      </c>
      <c r="G149" s="12" t="n">
        <v>0.5</v>
      </c>
      <c r="H149" s="26" t="n">
        <v>3.99</v>
      </c>
      <c r="I149" s="10" t="s">
        <v>1121</v>
      </c>
      <c r="J149" s="30" t="s">
        <v>1122</v>
      </c>
      <c r="K149" s="10" t="s">
        <v>1138</v>
      </c>
    </row>
    <row r="150" customFormat="false" ht="35.05" hidden="false" customHeight="false" outlineLevel="0" collapsed="false">
      <c r="A150" s="12" t="s">
        <v>31</v>
      </c>
      <c r="B150" s="12" t="s">
        <v>203</v>
      </c>
      <c r="C150" s="10" t="s">
        <v>203</v>
      </c>
      <c r="D150" s="12" t="s">
        <v>1606</v>
      </c>
      <c r="E150" s="10" t="s">
        <v>1607</v>
      </c>
      <c r="F150" s="12" t="s">
        <v>77</v>
      </c>
      <c r="G150" s="12" t="n">
        <v>0.5</v>
      </c>
      <c r="H150" s="26" t="n">
        <v>39.89</v>
      </c>
      <c r="I150" s="10" t="s">
        <v>1121</v>
      </c>
      <c r="J150" s="30" t="s">
        <v>1122</v>
      </c>
      <c r="K150" s="10" t="s">
        <v>1608</v>
      </c>
    </row>
    <row r="151" customFormat="false" ht="23.85" hidden="false" customHeight="false" outlineLevel="0" collapsed="false">
      <c r="A151" s="12" t="s">
        <v>31</v>
      </c>
      <c r="B151" s="12" t="s">
        <v>442</v>
      </c>
      <c r="C151" s="10" t="s">
        <v>1609</v>
      </c>
      <c r="D151" s="12" t="s">
        <v>1610</v>
      </c>
      <c r="E151" s="10" t="s">
        <v>1611</v>
      </c>
      <c r="F151" s="12" t="s">
        <v>77</v>
      </c>
      <c r="G151" s="12"/>
      <c r="H151" s="26" t="n">
        <v>145.39</v>
      </c>
      <c r="I151" s="10" t="s">
        <v>1539</v>
      </c>
      <c r="J151" s="30" t="s">
        <v>1612</v>
      </c>
      <c r="K151" s="10" t="s">
        <v>1613</v>
      </c>
    </row>
    <row r="152" customFormat="false" ht="23.85" hidden="false" customHeight="false" outlineLevel="0" collapsed="false">
      <c r="A152" s="12" t="s">
        <v>31</v>
      </c>
      <c r="B152" s="12" t="s">
        <v>442</v>
      </c>
      <c r="C152" s="10" t="s">
        <v>1609</v>
      </c>
      <c r="D152" s="12" t="s">
        <v>1614</v>
      </c>
      <c r="E152" s="10" t="s">
        <v>1611</v>
      </c>
      <c r="F152" s="12" t="s">
        <v>77</v>
      </c>
      <c r="G152" s="12"/>
      <c r="H152" s="26" t="n">
        <v>290.78</v>
      </c>
      <c r="I152" s="10" t="s">
        <v>1539</v>
      </c>
      <c r="J152" s="30" t="s">
        <v>1612</v>
      </c>
      <c r="K152" s="10" t="s">
        <v>1613</v>
      </c>
    </row>
    <row r="153" customFormat="false" ht="46.25" hidden="false" customHeight="false" outlineLevel="0" collapsed="false">
      <c r="A153" s="12" t="s">
        <v>31</v>
      </c>
      <c r="B153" s="12" t="s">
        <v>116</v>
      </c>
      <c r="C153" s="10" t="s">
        <v>1615</v>
      </c>
      <c r="D153" s="12" t="s">
        <v>1616</v>
      </c>
      <c r="E153" s="10" t="s">
        <v>1617</v>
      </c>
      <c r="F153" s="12" t="s">
        <v>77</v>
      </c>
      <c r="G153" s="12" t="n">
        <v>2</v>
      </c>
      <c r="H153" s="26" t="n">
        <v>65.0089</v>
      </c>
      <c r="I153" s="10" t="s">
        <v>1116</v>
      </c>
      <c r="J153" s="30" t="s">
        <v>1618</v>
      </c>
      <c r="K153" s="10" t="s">
        <v>1619</v>
      </c>
    </row>
    <row r="154" customFormat="false" ht="23.85" hidden="false" customHeight="false" outlineLevel="0" collapsed="false">
      <c r="A154" s="12" t="s">
        <v>31</v>
      </c>
      <c r="B154" s="12" t="s">
        <v>116</v>
      </c>
      <c r="C154" s="10" t="s">
        <v>1620</v>
      </c>
      <c r="D154" s="12" t="s">
        <v>1621</v>
      </c>
      <c r="E154" s="10" t="s">
        <v>1622</v>
      </c>
      <c r="F154" s="12" t="s">
        <v>77</v>
      </c>
      <c r="G154" s="12" t="n">
        <v>2</v>
      </c>
      <c r="H154" s="26"/>
      <c r="I154" s="10" t="s">
        <v>1275</v>
      </c>
      <c r="J154" s="12"/>
      <c r="K154" s="10" t="s">
        <v>1276</v>
      </c>
    </row>
    <row r="155" customFormat="false" ht="23.85" hidden="false" customHeight="false" outlineLevel="0" collapsed="false">
      <c r="A155" s="12" t="s">
        <v>31</v>
      </c>
      <c r="B155" s="12" t="s">
        <v>116</v>
      </c>
      <c r="C155" s="10" t="s">
        <v>1620</v>
      </c>
      <c r="D155" s="12" t="s">
        <v>1623</v>
      </c>
      <c r="E155" s="10" t="s">
        <v>1601</v>
      </c>
      <c r="F155" s="12" t="s">
        <v>77</v>
      </c>
      <c r="G155" s="12" t="n">
        <v>5</v>
      </c>
      <c r="H155" s="26"/>
      <c r="I155" s="10" t="s">
        <v>1275</v>
      </c>
      <c r="J155" s="12"/>
      <c r="K155" s="10" t="s">
        <v>1276</v>
      </c>
    </row>
    <row r="156" customFormat="false" ht="23.85" hidden="false" customHeight="false" outlineLevel="0" collapsed="false">
      <c r="A156" s="12" t="s">
        <v>31</v>
      </c>
      <c r="B156" s="12" t="s">
        <v>116</v>
      </c>
      <c r="C156" s="10" t="s">
        <v>1624</v>
      </c>
      <c r="D156" s="12" t="s">
        <v>1625</v>
      </c>
      <c r="E156" s="10" t="s">
        <v>1626</v>
      </c>
      <c r="F156" s="12" t="s">
        <v>77</v>
      </c>
      <c r="G156" s="12" t="n">
        <v>2</v>
      </c>
      <c r="H156" s="26" t="n">
        <v>13.84</v>
      </c>
      <c r="I156" s="10" t="s">
        <v>1539</v>
      </c>
      <c r="J156" s="30" t="s">
        <v>1627</v>
      </c>
      <c r="K156" s="10" t="s">
        <v>1628</v>
      </c>
    </row>
    <row r="157" customFormat="false" ht="35.05" hidden="false" customHeight="false" outlineLevel="0" collapsed="false">
      <c r="A157" s="12" t="s">
        <v>31</v>
      </c>
      <c r="B157" s="12" t="s">
        <v>173</v>
      </c>
      <c r="C157" s="10" t="s">
        <v>1629</v>
      </c>
      <c r="D157" s="12" t="s">
        <v>1630</v>
      </c>
      <c r="E157" s="10" t="s">
        <v>1631</v>
      </c>
      <c r="F157" s="12" t="s">
        <v>77</v>
      </c>
      <c r="G157" s="12" t="n">
        <v>3</v>
      </c>
      <c r="H157" s="26" t="n">
        <v>13.97</v>
      </c>
      <c r="I157" s="10" t="s">
        <v>1116</v>
      </c>
      <c r="J157" s="30" t="s">
        <v>1196</v>
      </c>
      <c r="K157" s="10" t="s">
        <v>1632</v>
      </c>
    </row>
    <row r="158" customFormat="false" ht="46.25" hidden="false" customHeight="false" outlineLevel="0" collapsed="false">
      <c r="A158" s="12" t="s">
        <v>31</v>
      </c>
      <c r="B158" s="12" t="s">
        <v>191</v>
      </c>
      <c r="C158" s="10" t="s">
        <v>191</v>
      </c>
      <c r="D158" s="12" t="s">
        <v>1355</v>
      </c>
      <c r="E158" s="10" t="s">
        <v>1633</v>
      </c>
      <c r="F158" s="12" t="s">
        <v>77</v>
      </c>
      <c r="G158" s="12" t="n">
        <v>10</v>
      </c>
      <c r="H158" s="26" t="n">
        <v>27.26</v>
      </c>
      <c r="I158" s="10" t="s">
        <v>1116</v>
      </c>
      <c r="J158" s="30" t="s">
        <v>1485</v>
      </c>
      <c r="K158" s="10" t="s">
        <v>1486</v>
      </c>
    </row>
    <row r="159" customFormat="false" ht="46.25" hidden="false" customHeight="false" outlineLevel="0" collapsed="false">
      <c r="A159" s="12" t="s">
        <v>31</v>
      </c>
      <c r="B159" s="12" t="s">
        <v>191</v>
      </c>
      <c r="C159" s="10" t="s">
        <v>191</v>
      </c>
      <c r="D159" s="12" t="s">
        <v>1487</v>
      </c>
      <c r="E159" s="10" t="s">
        <v>1634</v>
      </c>
      <c r="F159" s="12" t="s">
        <v>77</v>
      </c>
      <c r="G159" s="12" t="n">
        <v>1</v>
      </c>
      <c r="H159" s="26" t="n">
        <v>14</v>
      </c>
      <c r="I159" s="10" t="s">
        <v>1116</v>
      </c>
      <c r="J159" s="30" t="s">
        <v>1485</v>
      </c>
      <c r="K159" s="10" t="s">
        <v>1489</v>
      </c>
    </row>
    <row r="160" customFormat="false" ht="46.25" hidden="false" customHeight="false" outlineLevel="0" collapsed="false">
      <c r="A160" s="12" t="s">
        <v>31</v>
      </c>
      <c r="B160" s="12" t="s">
        <v>446</v>
      </c>
      <c r="C160" s="10" t="s">
        <v>1635</v>
      </c>
      <c r="D160" s="12" t="s">
        <v>1636</v>
      </c>
      <c r="E160" s="10" t="s">
        <v>1637</v>
      </c>
      <c r="F160" s="12" t="s">
        <v>77</v>
      </c>
      <c r="G160" s="12" t="n">
        <v>4</v>
      </c>
      <c r="H160" s="26" t="n">
        <v>118.45</v>
      </c>
      <c r="I160" s="10" t="s">
        <v>1116</v>
      </c>
      <c r="J160" s="30" t="s">
        <v>1196</v>
      </c>
      <c r="K160" s="10" t="s">
        <v>1638</v>
      </c>
    </row>
    <row r="161" customFormat="false" ht="23.85" hidden="false" customHeight="false" outlineLevel="0" collapsed="false">
      <c r="A161" s="12" t="s">
        <v>31</v>
      </c>
      <c r="B161" s="12" t="s">
        <v>429</v>
      </c>
      <c r="C161" s="10" t="s">
        <v>1639</v>
      </c>
      <c r="D161" s="12" t="s">
        <v>1640</v>
      </c>
      <c r="E161" s="10" t="s">
        <v>1641</v>
      </c>
      <c r="F161" s="12" t="s">
        <v>77</v>
      </c>
      <c r="G161" s="12"/>
      <c r="H161" s="26" t="n">
        <v>73.63</v>
      </c>
      <c r="I161" s="10" t="s">
        <v>1642</v>
      </c>
      <c r="J161" s="30" t="s">
        <v>1643</v>
      </c>
      <c r="K161" s="10" t="s">
        <v>1644</v>
      </c>
    </row>
    <row r="162" customFormat="false" ht="46.25" hidden="false" customHeight="false" outlineLevel="0" collapsed="false">
      <c r="A162" s="12" t="s">
        <v>31</v>
      </c>
      <c r="B162" s="12" t="s">
        <v>449</v>
      </c>
      <c r="C162" s="10" t="s">
        <v>1645</v>
      </c>
      <c r="D162" s="12" t="s">
        <v>1646</v>
      </c>
      <c r="E162" s="10" t="s">
        <v>1647</v>
      </c>
      <c r="F162" s="12" t="s">
        <v>196</v>
      </c>
      <c r="G162" s="12" t="n">
        <v>10</v>
      </c>
      <c r="H162" s="26" t="n">
        <v>21.16</v>
      </c>
      <c r="I162" s="10" t="s">
        <v>1116</v>
      </c>
      <c r="J162" s="30" t="s">
        <v>1196</v>
      </c>
      <c r="K162" s="10" t="s">
        <v>1648</v>
      </c>
    </row>
    <row r="163" customFormat="false" ht="35.05" hidden="false" customHeight="false" outlineLevel="0" collapsed="false">
      <c r="A163" s="12" t="s">
        <v>31</v>
      </c>
      <c r="B163" s="12" t="s">
        <v>396</v>
      </c>
      <c r="C163" s="10" t="s">
        <v>1649</v>
      </c>
      <c r="D163" s="12" t="s">
        <v>1650</v>
      </c>
      <c r="E163" s="10" t="s">
        <v>1522</v>
      </c>
      <c r="F163" s="12" t="s">
        <v>77</v>
      </c>
      <c r="G163" s="12" t="n">
        <v>1</v>
      </c>
      <c r="H163" s="26" t="n">
        <v>20.12</v>
      </c>
      <c r="I163" s="10" t="s">
        <v>1116</v>
      </c>
      <c r="J163" s="30" t="s">
        <v>1196</v>
      </c>
      <c r="K163" s="10" t="s">
        <v>1651</v>
      </c>
    </row>
    <row r="164" customFormat="false" ht="46.25" hidden="false" customHeight="false" outlineLevel="0" collapsed="false">
      <c r="A164" s="12" t="s">
        <v>31</v>
      </c>
      <c r="B164" s="12" t="s">
        <v>396</v>
      </c>
      <c r="C164" s="10" t="s">
        <v>1649</v>
      </c>
      <c r="D164" s="12" t="s">
        <v>1652</v>
      </c>
      <c r="E164" s="10" t="s">
        <v>1241</v>
      </c>
      <c r="F164" s="12" t="s">
        <v>77</v>
      </c>
      <c r="G164" s="12" t="n">
        <v>5</v>
      </c>
      <c r="H164" s="26" t="n">
        <v>100.61</v>
      </c>
      <c r="I164" s="10" t="s">
        <v>1116</v>
      </c>
      <c r="J164" s="30" t="s">
        <v>1196</v>
      </c>
      <c r="K164" s="10" t="s">
        <v>1653</v>
      </c>
    </row>
    <row r="165" customFormat="false" ht="35.05" hidden="false" customHeight="false" outlineLevel="0" collapsed="false">
      <c r="A165" s="12" t="s">
        <v>25</v>
      </c>
      <c r="B165" s="12" t="s">
        <v>74</v>
      </c>
      <c r="C165" s="10" t="s">
        <v>1654</v>
      </c>
      <c r="D165" s="12" t="s">
        <v>1153</v>
      </c>
      <c r="E165" s="10" t="s">
        <v>1422</v>
      </c>
      <c r="F165" s="12" t="s">
        <v>77</v>
      </c>
      <c r="G165" s="12"/>
      <c r="H165" s="26" t="n">
        <v>360.71</v>
      </c>
      <c r="I165" s="10" t="s">
        <v>1116</v>
      </c>
      <c r="J165" s="30" t="s">
        <v>1155</v>
      </c>
      <c r="K165" s="10" t="s">
        <v>1156</v>
      </c>
    </row>
    <row r="166" customFormat="false" ht="35.05" hidden="false" customHeight="false" outlineLevel="0" collapsed="false">
      <c r="A166" s="12" t="s">
        <v>25</v>
      </c>
      <c r="B166" s="12" t="s">
        <v>74</v>
      </c>
      <c r="C166" s="10" t="s">
        <v>1654</v>
      </c>
      <c r="D166" s="12" t="s">
        <v>1158</v>
      </c>
      <c r="E166" s="10" t="s">
        <v>1154</v>
      </c>
      <c r="F166" s="12" t="s">
        <v>77</v>
      </c>
      <c r="G166" s="12"/>
      <c r="H166" s="26" t="n">
        <v>397.421</v>
      </c>
      <c r="I166" s="10" t="s">
        <v>1116</v>
      </c>
      <c r="J166" s="30" t="s">
        <v>1159</v>
      </c>
      <c r="K166" s="10" t="s">
        <v>1655</v>
      </c>
    </row>
    <row r="167" customFormat="false" ht="15" hidden="false" customHeight="false" outlineLevel="0" collapsed="false">
      <c r="A167" s="12" t="s">
        <v>25</v>
      </c>
      <c r="B167" s="12" t="s">
        <v>74</v>
      </c>
      <c r="C167" s="10" t="s">
        <v>74</v>
      </c>
      <c r="D167" s="12" t="s">
        <v>1656</v>
      </c>
      <c r="E167" s="10" t="s">
        <v>1657</v>
      </c>
      <c r="F167" s="12" t="s">
        <v>77</v>
      </c>
      <c r="G167" s="12"/>
      <c r="H167" s="26" t="n">
        <v>398.335</v>
      </c>
      <c r="I167" s="10" t="s">
        <v>1116</v>
      </c>
      <c r="J167" s="30" t="s">
        <v>1145</v>
      </c>
      <c r="K167" s="10" t="s">
        <v>1658</v>
      </c>
    </row>
    <row r="168" customFormat="false" ht="46.25" hidden="false" customHeight="false" outlineLevel="0" collapsed="false">
      <c r="A168" s="12" t="s">
        <v>25</v>
      </c>
      <c r="B168" s="12" t="s">
        <v>74</v>
      </c>
      <c r="C168" s="10" t="s">
        <v>1659</v>
      </c>
      <c r="D168" s="12" t="s">
        <v>1162</v>
      </c>
      <c r="E168" s="10" t="s">
        <v>1163</v>
      </c>
      <c r="F168" s="12" t="s">
        <v>77</v>
      </c>
      <c r="G168" s="12"/>
      <c r="H168" s="26" t="n">
        <v>10.241</v>
      </c>
      <c r="I168" s="10" t="s">
        <v>1116</v>
      </c>
      <c r="J168" s="30" t="s">
        <v>1164</v>
      </c>
      <c r="K168" s="10" t="s">
        <v>1660</v>
      </c>
    </row>
    <row r="169" customFormat="false" ht="46.25" hidden="false" customHeight="false" outlineLevel="0" collapsed="false">
      <c r="A169" s="12" t="s">
        <v>25</v>
      </c>
      <c r="B169" s="12" t="s">
        <v>74</v>
      </c>
      <c r="C169" s="10" t="s">
        <v>1661</v>
      </c>
      <c r="D169" s="12" t="s">
        <v>1662</v>
      </c>
      <c r="E169" s="10" t="s">
        <v>1663</v>
      </c>
      <c r="F169" s="12" t="s">
        <v>77</v>
      </c>
      <c r="G169" s="12" t="n">
        <v>30</v>
      </c>
      <c r="H169" s="26" t="n">
        <v>129.54</v>
      </c>
      <c r="I169" s="10" t="s">
        <v>1116</v>
      </c>
      <c r="J169" s="30" t="s">
        <v>1196</v>
      </c>
      <c r="K169" s="10" t="s">
        <v>1664</v>
      </c>
    </row>
    <row r="170" customFormat="false" ht="57.45" hidden="false" customHeight="false" outlineLevel="0" collapsed="false">
      <c r="A170" s="12" t="s">
        <v>25</v>
      </c>
      <c r="B170" s="12" t="s">
        <v>460</v>
      </c>
      <c r="C170" s="10" t="s">
        <v>460</v>
      </c>
      <c r="D170" s="12" t="s">
        <v>1665</v>
      </c>
      <c r="E170" s="10" t="s">
        <v>1666</v>
      </c>
      <c r="F170" s="12" t="s">
        <v>77</v>
      </c>
      <c r="G170" s="12"/>
      <c r="H170" s="26" t="n">
        <v>31.16</v>
      </c>
      <c r="I170" s="10" t="s">
        <v>1116</v>
      </c>
      <c r="J170" s="30" t="s">
        <v>1667</v>
      </c>
      <c r="K170" s="10" t="s">
        <v>1668</v>
      </c>
    </row>
    <row r="171" customFormat="false" ht="46.25" hidden="false" customHeight="false" outlineLevel="0" collapsed="false">
      <c r="A171" s="12" t="s">
        <v>25</v>
      </c>
      <c r="B171" s="12" t="s">
        <v>87</v>
      </c>
      <c r="C171" s="10" t="s">
        <v>87</v>
      </c>
      <c r="D171" s="12" t="s">
        <v>1166</v>
      </c>
      <c r="E171" s="10" t="s">
        <v>1669</v>
      </c>
      <c r="F171" s="12" t="s">
        <v>77</v>
      </c>
      <c r="G171" s="12"/>
      <c r="H171" s="26" t="n">
        <v>22.25</v>
      </c>
      <c r="I171" s="10" t="s">
        <v>1116</v>
      </c>
      <c r="J171" s="30" t="s">
        <v>1168</v>
      </c>
      <c r="K171" s="10" t="s">
        <v>1169</v>
      </c>
    </row>
    <row r="172" customFormat="false" ht="35.05" hidden="false" customHeight="false" outlineLevel="0" collapsed="false">
      <c r="A172" s="12" t="s">
        <v>25</v>
      </c>
      <c r="B172" s="12" t="s">
        <v>87</v>
      </c>
      <c r="C172" s="10" t="s">
        <v>1670</v>
      </c>
      <c r="D172" s="12" t="s">
        <v>1171</v>
      </c>
      <c r="E172" s="10" t="s">
        <v>1172</v>
      </c>
      <c r="F172" s="12" t="s">
        <v>77</v>
      </c>
      <c r="G172" s="12"/>
      <c r="H172" s="26" t="n">
        <v>1007.87</v>
      </c>
      <c r="I172" s="10" t="s">
        <v>1116</v>
      </c>
      <c r="J172" s="30" t="s">
        <v>1671</v>
      </c>
      <c r="K172" s="10" t="s">
        <v>1672</v>
      </c>
    </row>
    <row r="173" customFormat="false" ht="35.05" hidden="false" customHeight="false" outlineLevel="0" collapsed="false">
      <c r="A173" s="12" t="s">
        <v>25</v>
      </c>
      <c r="B173" s="12" t="s">
        <v>87</v>
      </c>
      <c r="C173" s="10" t="s">
        <v>87</v>
      </c>
      <c r="D173" s="12" t="s">
        <v>1176</v>
      </c>
      <c r="E173" s="10" t="s">
        <v>1172</v>
      </c>
      <c r="F173" s="12" t="s">
        <v>77</v>
      </c>
      <c r="G173" s="12"/>
      <c r="H173" s="26" t="n">
        <v>1444.1174</v>
      </c>
      <c r="I173" s="10" t="s">
        <v>1116</v>
      </c>
      <c r="J173" s="30" t="s">
        <v>1159</v>
      </c>
      <c r="K173" s="10" t="s">
        <v>1673</v>
      </c>
    </row>
    <row r="174" customFormat="false" ht="15" hidden="false" customHeight="false" outlineLevel="0" collapsed="false">
      <c r="A174" s="12" t="s">
        <v>25</v>
      </c>
      <c r="B174" s="12" t="s">
        <v>87</v>
      </c>
      <c r="C174" s="10" t="s">
        <v>87</v>
      </c>
      <c r="D174" s="12" t="s">
        <v>1674</v>
      </c>
      <c r="E174" s="10" t="s">
        <v>1675</v>
      </c>
      <c r="F174" s="12" t="s">
        <v>77</v>
      </c>
      <c r="G174" s="12"/>
      <c r="H174" s="26" t="n">
        <v>981.694</v>
      </c>
      <c r="I174" s="10" t="s">
        <v>1116</v>
      </c>
      <c r="J174" s="30" t="s">
        <v>1145</v>
      </c>
      <c r="K174" s="10" t="s">
        <v>1676</v>
      </c>
    </row>
    <row r="175" customFormat="false" ht="23.85" hidden="false" customHeight="false" outlineLevel="0" collapsed="false">
      <c r="A175" s="12" t="s">
        <v>25</v>
      </c>
      <c r="B175" s="12" t="s">
        <v>87</v>
      </c>
      <c r="C175" s="10" t="s">
        <v>1677</v>
      </c>
      <c r="D175" s="12" t="s">
        <v>1535</v>
      </c>
      <c r="E175" s="10" t="s">
        <v>1678</v>
      </c>
      <c r="F175" s="12" t="s">
        <v>77</v>
      </c>
      <c r="G175" s="12" t="n">
        <v>10</v>
      </c>
      <c r="H175" s="26" t="n">
        <v>102.85</v>
      </c>
      <c r="I175" s="10" t="s">
        <v>1539</v>
      </c>
      <c r="J175" s="30" t="s">
        <v>1679</v>
      </c>
      <c r="K175" s="10" t="s">
        <v>1680</v>
      </c>
    </row>
    <row r="176" customFormat="false" ht="35.05" hidden="false" customHeight="false" outlineLevel="0" collapsed="false">
      <c r="A176" s="12" t="s">
        <v>25</v>
      </c>
      <c r="B176" s="12" t="s">
        <v>166</v>
      </c>
      <c r="C176" s="10" t="s">
        <v>1188</v>
      </c>
      <c r="D176" s="12" t="s">
        <v>1189</v>
      </c>
      <c r="E176" s="10" t="s">
        <v>1681</v>
      </c>
      <c r="F176" s="12" t="s">
        <v>83</v>
      </c>
      <c r="G176" s="12" t="n">
        <v>1</v>
      </c>
      <c r="H176" s="26" t="n">
        <v>127.38</v>
      </c>
      <c r="I176" s="10" t="s">
        <v>1569</v>
      </c>
      <c r="J176" s="30" t="s">
        <v>1570</v>
      </c>
      <c r="K176" s="10" t="s">
        <v>1682</v>
      </c>
    </row>
    <row r="177" customFormat="false" ht="35.05" hidden="false" customHeight="false" outlineLevel="0" collapsed="false">
      <c r="A177" s="12" t="s">
        <v>25</v>
      </c>
      <c r="B177" s="12" t="s">
        <v>166</v>
      </c>
      <c r="C177" s="10" t="s">
        <v>1683</v>
      </c>
      <c r="D177" s="12" t="s">
        <v>1684</v>
      </c>
      <c r="E177" s="10" t="s">
        <v>1596</v>
      </c>
      <c r="F177" s="12" t="s">
        <v>77</v>
      </c>
      <c r="G177" s="12" t="n">
        <v>1</v>
      </c>
      <c r="H177" s="26" t="n">
        <v>127.38</v>
      </c>
      <c r="I177" s="10" t="s">
        <v>1569</v>
      </c>
      <c r="J177" s="30" t="s">
        <v>1570</v>
      </c>
      <c r="K177" s="10" t="s">
        <v>1682</v>
      </c>
    </row>
    <row r="178" customFormat="false" ht="35.05" hidden="false" customHeight="false" outlineLevel="0" collapsed="false">
      <c r="A178" s="12" t="s">
        <v>25</v>
      </c>
      <c r="B178" s="12" t="s">
        <v>125</v>
      </c>
      <c r="C178" s="10" t="s">
        <v>125</v>
      </c>
      <c r="D178" s="12" t="s">
        <v>1221</v>
      </c>
      <c r="E178" s="10" t="s">
        <v>1685</v>
      </c>
      <c r="F178" s="12" t="s">
        <v>77</v>
      </c>
      <c r="G178" s="12" t="n">
        <v>5</v>
      </c>
      <c r="H178" s="26" t="n">
        <v>216.12</v>
      </c>
      <c r="I178" s="10" t="s">
        <v>1116</v>
      </c>
      <c r="J178" s="30" t="s">
        <v>1223</v>
      </c>
      <c r="K178" s="10" t="s">
        <v>1224</v>
      </c>
    </row>
    <row r="179" customFormat="false" ht="35.05" hidden="false" customHeight="false" outlineLevel="0" collapsed="false">
      <c r="A179" s="12" t="s">
        <v>25</v>
      </c>
      <c r="B179" s="12" t="s">
        <v>125</v>
      </c>
      <c r="C179" s="10" t="s">
        <v>125</v>
      </c>
      <c r="D179" s="12" t="s">
        <v>1225</v>
      </c>
      <c r="E179" s="10" t="s">
        <v>1686</v>
      </c>
      <c r="F179" s="12" t="s">
        <v>77</v>
      </c>
      <c r="G179" s="12" t="n">
        <v>10</v>
      </c>
      <c r="H179" s="26" t="n">
        <v>427.8</v>
      </c>
      <c r="I179" s="10" t="s">
        <v>1116</v>
      </c>
      <c r="J179" s="30" t="s">
        <v>1223</v>
      </c>
      <c r="K179" s="10" t="s">
        <v>1227</v>
      </c>
    </row>
    <row r="180" customFormat="false" ht="35.05" hidden="false" customHeight="false" outlineLevel="0" collapsed="false">
      <c r="A180" s="12" t="s">
        <v>25</v>
      </c>
      <c r="B180" s="12" t="s">
        <v>125</v>
      </c>
      <c r="C180" s="10" t="s">
        <v>125</v>
      </c>
      <c r="D180" s="12" t="s">
        <v>1228</v>
      </c>
      <c r="E180" s="10" t="s">
        <v>1687</v>
      </c>
      <c r="F180" s="12" t="s">
        <v>77</v>
      </c>
      <c r="G180" s="12" t="n">
        <v>2.5</v>
      </c>
      <c r="H180" s="26" t="n">
        <v>58.2</v>
      </c>
      <c r="I180" s="10" t="s">
        <v>1116</v>
      </c>
      <c r="J180" s="30" t="s">
        <v>1223</v>
      </c>
      <c r="K180" s="10" t="s">
        <v>1230</v>
      </c>
    </row>
    <row r="181" customFormat="false" ht="79.85" hidden="false" customHeight="false" outlineLevel="0" collapsed="false">
      <c r="A181" s="12" t="s">
        <v>25</v>
      </c>
      <c r="B181" s="12" t="s">
        <v>125</v>
      </c>
      <c r="C181" s="10" t="s">
        <v>1688</v>
      </c>
      <c r="D181" s="12" t="s">
        <v>1689</v>
      </c>
      <c r="E181" s="10" t="s">
        <v>1522</v>
      </c>
      <c r="F181" s="12" t="s">
        <v>77</v>
      </c>
      <c r="G181" s="12" t="n">
        <v>1</v>
      </c>
      <c r="H181" s="26" t="n">
        <v>4.9946</v>
      </c>
      <c r="I181" s="10" t="s">
        <v>1116</v>
      </c>
      <c r="J181" s="30" t="s">
        <v>1690</v>
      </c>
      <c r="K181" s="10" t="s">
        <v>1691</v>
      </c>
    </row>
    <row r="182" customFormat="false" ht="35.05" hidden="false" customHeight="false" outlineLevel="0" collapsed="false">
      <c r="A182" s="12" t="s">
        <v>25</v>
      </c>
      <c r="B182" s="12" t="s">
        <v>104</v>
      </c>
      <c r="C182" s="10" t="s">
        <v>1692</v>
      </c>
      <c r="D182" s="12" t="s">
        <v>1543</v>
      </c>
      <c r="E182" s="10" t="s">
        <v>1237</v>
      </c>
      <c r="F182" s="12" t="s">
        <v>77</v>
      </c>
      <c r="G182" s="12"/>
      <c r="H182" s="26" t="n">
        <v>81.96</v>
      </c>
      <c r="I182" s="10" t="s">
        <v>1116</v>
      </c>
      <c r="J182" s="30" t="s">
        <v>1693</v>
      </c>
      <c r="K182" s="10" t="s">
        <v>1546</v>
      </c>
    </row>
    <row r="183" customFormat="false" ht="23.85" hidden="false" customHeight="false" outlineLevel="0" collapsed="false">
      <c r="A183" s="12" t="s">
        <v>25</v>
      </c>
      <c r="B183" s="12" t="s">
        <v>104</v>
      </c>
      <c r="C183" s="10" t="s">
        <v>1694</v>
      </c>
      <c r="D183" s="12" t="s">
        <v>1236</v>
      </c>
      <c r="E183" s="10" t="s">
        <v>1237</v>
      </c>
      <c r="F183" s="12" t="s">
        <v>77</v>
      </c>
      <c r="G183" s="12"/>
      <c r="H183" s="26" t="n">
        <v>100.4344</v>
      </c>
      <c r="I183" s="10" t="s">
        <v>1116</v>
      </c>
      <c r="J183" s="12"/>
      <c r="K183" s="10" t="s">
        <v>1695</v>
      </c>
    </row>
    <row r="184" customFormat="false" ht="15" hidden="false" customHeight="false" outlineLevel="0" collapsed="false">
      <c r="A184" s="12" t="s">
        <v>25</v>
      </c>
      <c r="B184" s="12" t="s">
        <v>104</v>
      </c>
      <c r="C184" s="10" t="s">
        <v>104</v>
      </c>
      <c r="D184" s="12" t="s">
        <v>1348</v>
      </c>
      <c r="E184" s="10" t="s">
        <v>1696</v>
      </c>
      <c r="F184" s="12" t="s">
        <v>77</v>
      </c>
      <c r="G184" s="12"/>
      <c r="H184" s="26" t="n">
        <v>113.645</v>
      </c>
      <c r="I184" s="10" t="s">
        <v>1116</v>
      </c>
      <c r="J184" s="30" t="s">
        <v>1697</v>
      </c>
      <c r="K184" s="10" t="s">
        <v>1698</v>
      </c>
    </row>
    <row r="185" customFormat="false" ht="23.85" hidden="false" customHeight="false" outlineLevel="0" collapsed="false">
      <c r="A185" s="12" t="s">
        <v>25</v>
      </c>
      <c r="B185" s="12" t="s">
        <v>104</v>
      </c>
      <c r="C185" s="10" t="s">
        <v>1699</v>
      </c>
      <c r="D185" s="12" t="s">
        <v>1550</v>
      </c>
      <c r="E185" s="10" t="s">
        <v>1551</v>
      </c>
      <c r="F185" s="12" t="s">
        <v>77</v>
      </c>
      <c r="G185" s="12"/>
      <c r="H185" s="26"/>
      <c r="I185" s="10" t="s">
        <v>1275</v>
      </c>
      <c r="J185" s="12"/>
      <c r="K185" s="10" t="s">
        <v>1276</v>
      </c>
    </row>
    <row r="186" customFormat="false" ht="23.85" hidden="false" customHeight="false" outlineLevel="0" collapsed="false">
      <c r="A186" s="12" t="s">
        <v>25</v>
      </c>
      <c r="B186" s="12" t="s">
        <v>104</v>
      </c>
      <c r="C186" s="10" t="s">
        <v>1699</v>
      </c>
      <c r="D186" s="12" t="s">
        <v>1282</v>
      </c>
      <c r="E186" s="10" t="s">
        <v>1283</v>
      </c>
      <c r="F186" s="12" t="s">
        <v>77</v>
      </c>
      <c r="G186" s="12"/>
      <c r="H186" s="26"/>
      <c r="I186" s="10" t="s">
        <v>1275</v>
      </c>
      <c r="J186" s="12"/>
      <c r="K186" s="10" t="s">
        <v>1276</v>
      </c>
    </row>
    <row r="187" customFormat="false" ht="46.25" hidden="false" customHeight="false" outlineLevel="0" collapsed="false">
      <c r="A187" s="12" t="s">
        <v>25</v>
      </c>
      <c r="B187" s="12" t="s">
        <v>456</v>
      </c>
      <c r="C187" s="10" t="s">
        <v>1700</v>
      </c>
      <c r="D187" s="12" t="s">
        <v>1701</v>
      </c>
      <c r="E187" s="10" t="s">
        <v>1702</v>
      </c>
      <c r="F187" s="12" t="s">
        <v>77</v>
      </c>
      <c r="G187" s="12" t="n">
        <v>10</v>
      </c>
      <c r="H187" s="26" t="n">
        <v>133.8</v>
      </c>
      <c r="I187" s="10" t="s">
        <v>1116</v>
      </c>
      <c r="J187" s="30" t="s">
        <v>1703</v>
      </c>
      <c r="K187" s="10" t="s">
        <v>1704</v>
      </c>
    </row>
    <row r="188" customFormat="false" ht="35.05" hidden="false" customHeight="false" outlineLevel="0" collapsed="false">
      <c r="A188" s="12" t="s">
        <v>25</v>
      </c>
      <c r="B188" s="12" t="s">
        <v>285</v>
      </c>
      <c r="C188" s="10" t="s">
        <v>285</v>
      </c>
      <c r="D188" s="12" t="s">
        <v>1119</v>
      </c>
      <c r="E188" s="10" t="s">
        <v>1120</v>
      </c>
      <c r="F188" s="12" t="s">
        <v>83</v>
      </c>
      <c r="G188" s="12" t="n">
        <v>2</v>
      </c>
      <c r="H188" s="26" t="n">
        <v>10.14</v>
      </c>
      <c r="I188" s="10" t="s">
        <v>1121</v>
      </c>
      <c r="J188" s="30" t="s">
        <v>1122</v>
      </c>
      <c r="K188" s="10" t="s">
        <v>1123</v>
      </c>
    </row>
    <row r="189" customFormat="false" ht="46.25" hidden="false" customHeight="false" outlineLevel="0" collapsed="false">
      <c r="A189" s="12" t="s">
        <v>25</v>
      </c>
      <c r="B189" s="12" t="s">
        <v>405</v>
      </c>
      <c r="C189" s="10" t="s">
        <v>1243</v>
      </c>
      <c r="D189" s="12" t="s">
        <v>1244</v>
      </c>
      <c r="E189" s="10" t="s">
        <v>1705</v>
      </c>
      <c r="F189" s="12" t="s">
        <v>77</v>
      </c>
      <c r="G189" s="12" t="n">
        <v>1</v>
      </c>
      <c r="H189" s="26" t="n">
        <v>5.35</v>
      </c>
      <c r="I189" s="10" t="s">
        <v>1116</v>
      </c>
      <c r="J189" s="30" t="s">
        <v>1246</v>
      </c>
      <c r="K189" s="10" t="s">
        <v>1247</v>
      </c>
    </row>
    <row r="190" customFormat="false" ht="35.05" hidden="false" customHeight="false" outlineLevel="0" collapsed="false">
      <c r="A190" s="12" t="s">
        <v>25</v>
      </c>
      <c r="B190" s="12" t="s">
        <v>133</v>
      </c>
      <c r="C190" s="10" t="s">
        <v>1706</v>
      </c>
      <c r="D190" s="12" t="s">
        <v>1707</v>
      </c>
      <c r="E190" s="10" t="s">
        <v>1708</v>
      </c>
      <c r="F190" s="12" t="s">
        <v>77</v>
      </c>
      <c r="G190" s="12" t="n">
        <v>2</v>
      </c>
      <c r="H190" s="26" t="n">
        <v>301.8</v>
      </c>
      <c r="I190" s="10" t="s">
        <v>1116</v>
      </c>
      <c r="J190" s="30" t="s">
        <v>1709</v>
      </c>
      <c r="K190" s="10" t="s">
        <v>1710</v>
      </c>
    </row>
    <row r="191" customFormat="false" ht="35.05" hidden="false" customHeight="false" outlineLevel="0" collapsed="false">
      <c r="A191" s="12" t="s">
        <v>25</v>
      </c>
      <c r="B191" s="12" t="s">
        <v>133</v>
      </c>
      <c r="C191" s="10" t="s">
        <v>133</v>
      </c>
      <c r="D191" s="12" t="s">
        <v>1711</v>
      </c>
      <c r="E191" s="10" t="s">
        <v>1712</v>
      </c>
      <c r="F191" s="12" t="s">
        <v>77</v>
      </c>
      <c r="G191" s="12" t="n">
        <v>2</v>
      </c>
      <c r="H191" s="26" t="n">
        <v>429.52</v>
      </c>
      <c r="I191" s="10" t="s">
        <v>1116</v>
      </c>
      <c r="J191" s="30" t="s">
        <v>1713</v>
      </c>
      <c r="K191" s="10" t="s">
        <v>1714</v>
      </c>
    </row>
    <row r="192" customFormat="false" ht="46.25" hidden="false" customHeight="false" outlineLevel="0" collapsed="false">
      <c r="A192" s="12" t="s">
        <v>25</v>
      </c>
      <c r="B192" s="12" t="s">
        <v>133</v>
      </c>
      <c r="C192" s="10" t="s">
        <v>1715</v>
      </c>
      <c r="D192" s="12" t="s">
        <v>1716</v>
      </c>
      <c r="E192" s="10" t="s">
        <v>1717</v>
      </c>
      <c r="F192" s="12" t="s">
        <v>77</v>
      </c>
      <c r="G192" s="12" t="n">
        <v>2</v>
      </c>
      <c r="H192" s="26" t="n">
        <v>471.2665</v>
      </c>
      <c r="I192" s="10" t="s">
        <v>1116</v>
      </c>
      <c r="J192" s="30" t="s">
        <v>1159</v>
      </c>
      <c r="K192" s="10" t="s">
        <v>1718</v>
      </c>
    </row>
    <row r="193" customFormat="false" ht="23.85" hidden="false" customHeight="false" outlineLevel="0" collapsed="false">
      <c r="A193" s="12" t="s">
        <v>25</v>
      </c>
      <c r="B193" s="12" t="s">
        <v>133</v>
      </c>
      <c r="C193" s="10" t="s">
        <v>1706</v>
      </c>
      <c r="D193" s="12" t="s">
        <v>1719</v>
      </c>
      <c r="E193" s="10" t="s">
        <v>1720</v>
      </c>
      <c r="F193" s="12" t="s">
        <v>77</v>
      </c>
      <c r="G193" s="12" t="n">
        <v>2</v>
      </c>
      <c r="H193" s="26" t="n">
        <v>378</v>
      </c>
      <c r="I193" s="10" t="s">
        <v>1116</v>
      </c>
      <c r="J193" s="30" t="s">
        <v>1263</v>
      </c>
      <c r="K193" s="10" t="s">
        <v>1721</v>
      </c>
    </row>
    <row r="194" customFormat="false" ht="46.25" hidden="false" customHeight="false" outlineLevel="0" collapsed="false">
      <c r="A194" s="12" t="s">
        <v>25</v>
      </c>
      <c r="B194" s="12" t="s">
        <v>133</v>
      </c>
      <c r="C194" s="10" t="s">
        <v>1722</v>
      </c>
      <c r="D194" s="12" t="s">
        <v>1723</v>
      </c>
      <c r="E194" s="10" t="s">
        <v>1622</v>
      </c>
      <c r="F194" s="12" t="s">
        <v>77</v>
      </c>
      <c r="G194" s="12" t="n">
        <v>2</v>
      </c>
      <c r="H194" s="26" t="n">
        <v>113.715</v>
      </c>
      <c r="I194" s="10" t="s">
        <v>1116</v>
      </c>
      <c r="J194" s="30" t="s">
        <v>1181</v>
      </c>
      <c r="K194" s="10" t="s">
        <v>1724</v>
      </c>
    </row>
    <row r="195" customFormat="false" ht="46.25" hidden="false" customHeight="false" outlineLevel="0" collapsed="false">
      <c r="A195" s="12" t="s">
        <v>25</v>
      </c>
      <c r="B195" s="12" t="s">
        <v>133</v>
      </c>
      <c r="C195" s="10" t="s">
        <v>1725</v>
      </c>
      <c r="D195" s="12" t="s">
        <v>1726</v>
      </c>
      <c r="E195" s="10" t="s">
        <v>1727</v>
      </c>
      <c r="F195" s="12" t="s">
        <v>77</v>
      </c>
      <c r="G195" s="12" t="n">
        <v>2</v>
      </c>
      <c r="H195" s="26" t="n">
        <v>308.77</v>
      </c>
      <c r="I195" s="10" t="s">
        <v>1116</v>
      </c>
      <c r="J195" s="30" t="s">
        <v>1196</v>
      </c>
      <c r="K195" s="10" t="s">
        <v>1728</v>
      </c>
    </row>
    <row r="196" customFormat="false" ht="23.85" hidden="false" customHeight="false" outlineLevel="0" collapsed="false">
      <c r="A196" s="12" t="s">
        <v>25</v>
      </c>
      <c r="B196" s="12" t="s">
        <v>148</v>
      </c>
      <c r="C196" s="10" t="s">
        <v>148</v>
      </c>
      <c r="D196" s="12" t="s">
        <v>1261</v>
      </c>
      <c r="E196" s="10" t="s">
        <v>1265</v>
      </c>
      <c r="F196" s="12" t="s">
        <v>77</v>
      </c>
      <c r="G196" s="12"/>
      <c r="H196" s="26" t="n">
        <v>36.5855</v>
      </c>
      <c r="I196" s="10" t="s">
        <v>1116</v>
      </c>
      <c r="J196" s="30" t="s">
        <v>1263</v>
      </c>
      <c r="K196" s="10" t="s">
        <v>1729</v>
      </c>
    </row>
    <row r="197" customFormat="false" ht="35.05" hidden="false" customHeight="false" outlineLevel="0" collapsed="false">
      <c r="A197" s="12" t="s">
        <v>25</v>
      </c>
      <c r="B197" s="12" t="s">
        <v>466</v>
      </c>
      <c r="C197" s="10" t="s">
        <v>1730</v>
      </c>
      <c r="D197" s="12" t="s">
        <v>1731</v>
      </c>
      <c r="E197" s="10" t="s">
        <v>1702</v>
      </c>
      <c r="F197" s="12" t="s">
        <v>77</v>
      </c>
      <c r="G197" s="12" t="n">
        <v>10</v>
      </c>
      <c r="H197" s="26" t="n">
        <v>28.679</v>
      </c>
      <c r="I197" s="10" t="s">
        <v>1116</v>
      </c>
      <c r="J197" s="30" t="s">
        <v>1164</v>
      </c>
      <c r="K197" s="10" t="s">
        <v>1732</v>
      </c>
    </row>
    <row r="198" customFormat="false" ht="35.05" hidden="false" customHeight="false" outlineLevel="0" collapsed="false">
      <c r="A198" s="12" t="s">
        <v>25</v>
      </c>
      <c r="B198" s="12" t="s">
        <v>466</v>
      </c>
      <c r="C198" s="10" t="s">
        <v>1730</v>
      </c>
      <c r="D198" s="12" t="s">
        <v>1733</v>
      </c>
      <c r="E198" s="10" t="s">
        <v>1734</v>
      </c>
      <c r="F198" s="12" t="s">
        <v>77</v>
      </c>
      <c r="G198" s="12" t="n">
        <v>20</v>
      </c>
      <c r="H198" s="26" t="n">
        <v>57.358</v>
      </c>
      <c r="I198" s="10" t="s">
        <v>1116</v>
      </c>
      <c r="J198" s="30" t="s">
        <v>1164</v>
      </c>
      <c r="K198" s="10" t="s">
        <v>1735</v>
      </c>
    </row>
    <row r="199" customFormat="false" ht="46.25" hidden="false" customHeight="false" outlineLevel="0" collapsed="false">
      <c r="A199" s="12" t="s">
        <v>25</v>
      </c>
      <c r="B199" s="12" t="s">
        <v>466</v>
      </c>
      <c r="C199" s="10" t="s">
        <v>1730</v>
      </c>
      <c r="D199" s="12" t="s">
        <v>1736</v>
      </c>
      <c r="E199" s="10" t="s">
        <v>1622</v>
      </c>
      <c r="F199" s="12" t="s">
        <v>77</v>
      </c>
      <c r="G199" s="12" t="n">
        <v>2</v>
      </c>
      <c r="H199" s="26" t="n">
        <v>5.733</v>
      </c>
      <c r="I199" s="10" t="s">
        <v>1116</v>
      </c>
      <c r="J199" s="30" t="s">
        <v>1737</v>
      </c>
      <c r="K199" s="10" t="s">
        <v>1738</v>
      </c>
    </row>
    <row r="200" customFormat="false" ht="46.25" hidden="false" customHeight="false" outlineLevel="0" collapsed="false">
      <c r="A200" s="12" t="s">
        <v>25</v>
      </c>
      <c r="B200" s="12" t="s">
        <v>112</v>
      </c>
      <c r="C200" s="10" t="s">
        <v>112</v>
      </c>
      <c r="D200" s="12" t="s">
        <v>1124</v>
      </c>
      <c r="E200" s="10" t="s">
        <v>1739</v>
      </c>
      <c r="F200" s="12" t="s">
        <v>83</v>
      </c>
      <c r="G200" s="12" t="n">
        <v>5</v>
      </c>
      <c r="H200" s="26" t="n">
        <v>29.97</v>
      </c>
      <c r="I200" s="10" t="s">
        <v>1116</v>
      </c>
      <c r="J200" s="30" t="s">
        <v>1126</v>
      </c>
      <c r="K200" s="10" t="s">
        <v>1127</v>
      </c>
    </row>
    <row r="201" customFormat="false" ht="35.05" hidden="false" customHeight="false" outlineLevel="0" collapsed="false">
      <c r="A201" s="12" t="s">
        <v>25</v>
      </c>
      <c r="B201" s="12" t="s">
        <v>112</v>
      </c>
      <c r="C201" s="10" t="s">
        <v>1740</v>
      </c>
      <c r="D201" s="12" t="s">
        <v>1307</v>
      </c>
      <c r="E201" s="10" t="s">
        <v>1308</v>
      </c>
      <c r="F201" s="12" t="s">
        <v>83</v>
      </c>
      <c r="G201" s="12" t="n">
        <v>5</v>
      </c>
      <c r="H201" s="26" t="n">
        <v>345.31</v>
      </c>
      <c r="I201" s="10" t="s">
        <v>1116</v>
      </c>
      <c r="J201" s="30" t="s">
        <v>1741</v>
      </c>
      <c r="K201" s="10" t="s">
        <v>1742</v>
      </c>
    </row>
    <row r="202" customFormat="false" ht="46.25" hidden="false" customHeight="false" outlineLevel="0" collapsed="false">
      <c r="A202" s="12" t="s">
        <v>25</v>
      </c>
      <c r="B202" s="12" t="s">
        <v>112</v>
      </c>
      <c r="C202" s="10" t="s">
        <v>1743</v>
      </c>
      <c r="D202" s="12" t="s">
        <v>1312</v>
      </c>
      <c r="E202" s="10" t="s">
        <v>1313</v>
      </c>
      <c r="F202" s="12" t="s">
        <v>83</v>
      </c>
      <c r="G202" s="12" t="n">
        <v>5</v>
      </c>
      <c r="H202" s="26" t="n">
        <v>531.8684</v>
      </c>
      <c r="I202" s="10" t="s">
        <v>1116</v>
      </c>
      <c r="J202" s="30" t="s">
        <v>1159</v>
      </c>
      <c r="K202" s="10" t="s">
        <v>1744</v>
      </c>
    </row>
    <row r="203" customFormat="false" ht="23.85" hidden="false" customHeight="false" outlineLevel="0" collapsed="false">
      <c r="A203" s="12" t="s">
        <v>25</v>
      </c>
      <c r="B203" s="12" t="s">
        <v>112</v>
      </c>
      <c r="C203" s="10" t="s">
        <v>1745</v>
      </c>
      <c r="D203" s="12" t="s">
        <v>1746</v>
      </c>
      <c r="E203" s="10" t="s">
        <v>1313</v>
      </c>
      <c r="F203" s="12" t="s">
        <v>83</v>
      </c>
      <c r="G203" s="12" t="n">
        <v>5</v>
      </c>
      <c r="H203" s="26" t="n">
        <v>87.27</v>
      </c>
      <c r="I203" s="10" t="s">
        <v>1539</v>
      </c>
      <c r="J203" s="30" t="s">
        <v>1747</v>
      </c>
      <c r="K203" s="10" t="s">
        <v>1748</v>
      </c>
    </row>
    <row r="204" customFormat="false" ht="46.25" hidden="false" customHeight="false" outlineLevel="0" collapsed="false">
      <c r="A204" s="12" t="s">
        <v>25</v>
      </c>
      <c r="B204" s="12" t="s">
        <v>358</v>
      </c>
      <c r="C204" s="10" t="s">
        <v>1749</v>
      </c>
      <c r="D204" s="12" t="s">
        <v>1750</v>
      </c>
      <c r="E204" s="10" t="s">
        <v>1751</v>
      </c>
      <c r="F204" s="12" t="s">
        <v>83</v>
      </c>
      <c r="G204" s="12"/>
      <c r="H204" s="26" t="n">
        <v>46.3526</v>
      </c>
      <c r="I204" s="10" t="s">
        <v>1116</v>
      </c>
      <c r="J204" s="30" t="s">
        <v>1752</v>
      </c>
      <c r="K204" s="10" t="s">
        <v>1753</v>
      </c>
    </row>
    <row r="205" customFormat="false" ht="23.85" hidden="false" customHeight="false" outlineLevel="0" collapsed="false">
      <c r="A205" s="12" t="s">
        <v>25</v>
      </c>
      <c r="B205" s="12" t="s">
        <v>367</v>
      </c>
      <c r="C205" s="10" t="s">
        <v>1384</v>
      </c>
      <c r="D205" s="12" t="s">
        <v>1385</v>
      </c>
      <c r="E205" s="10" t="s">
        <v>1754</v>
      </c>
      <c r="F205" s="12" t="s">
        <v>83</v>
      </c>
      <c r="G205" s="12" t="n">
        <v>2</v>
      </c>
      <c r="H205" s="26" t="n">
        <v>13.87</v>
      </c>
      <c r="I205" s="10" t="s">
        <v>1569</v>
      </c>
      <c r="J205" s="30" t="s">
        <v>1570</v>
      </c>
      <c r="K205" s="10" t="s">
        <v>1755</v>
      </c>
    </row>
    <row r="206" customFormat="false" ht="46.25" hidden="false" customHeight="false" outlineLevel="0" collapsed="false">
      <c r="A206" s="12" t="s">
        <v>25</v>
      </c>
      <c r="B206" s="12" t="s">
        <v>463</v>
      </c>
      <c r="C206" s="10" t="s">
        <v>1756</v>
      </c>
      <c r="D206" s="12" t="s">
        <v>1757</v>
      </c>
      <c r="E206" s="10" t="s">
        <v>1758</v>
      </c>
      <c r="F206" s="12" t="s">
        <v>83</v>
      </c>
      <c r="G206" s="12" t="n">
        <v>3</v>
      </c>
      <c r="H206" s="26" t="n">
        <v>13.38</v>
      </c>
      <c r="I206" s="10" t="s">
        <v>1116</v>
      </c>
      <c r="J206" s="30" t="s">
        <v>1759</v>
      </c>
      <c r="K206" s="10" t="s">
        <v>1760</v>
      </c>
    </row>
    <row r="207" customFormat="false" ht="35.05" hidden="false" customHeight="false" outlineLevel="0" collapsed="false">
      <c r="A207" s="12" t="s">
        <v>25</v>
      </c>
      <c r="B207" s="12" t="s">
        <v>463</v>
      </c>
      <c r="C207" s="10" t="s">
        <v>1756</v>
      </c>
      <c r="D207" s="12" t="s">
        <v>1761</v>
      </c>
      <c r="E207" s="10" t="s">
        <v>1762</v>
      </c>
      <c r="F207" s="12" t="s">
        <v>77</v>
      </c>
      <c r="G207" s="12" t="n">
        <v>10</v>
      </c>
      <c r="H207" s="26" t="n">
        <v>19.55</v>
      </c>
      <c r="I207" s="10" t="s">
        <v>1116</v>
      </c>
      <c r="J207" s="30" t="s">
        <v>1759</v>
      </c>
      <c r="K207" s="10" t="s">
        <v>1763</v>
      </c>
    </row>
    <row r="208" customFormat="false" ht="35.05" hidden="false" customHeight="false" outlineLevel="0" collapsed="false">
      <c r="A208" s="12" t="s">
        <v>25</v>
      </c>
      <c r="B208" s="12" t="s">
        <v>463</v>
      </c>
      <c r="C208" s="10" t="s">
        <v>1756</v>
      </c>
      <c r="D208" s="12" t="s">
        <v>1764</v>
      </c>
      <c r="E208" s="10" t="s">
        <v>1765</v>
      </c>
      <c r="F208" s="12" t="s">
        <v>77</v>
      </c>
      <c r="G208" s="12" t="n">
        <v>10</v>
      </c>
      <c r="H208" s="26" t="n">
        <v>20.45</v>
      </c>
      <c r="I208" s="10" t="s">
        <v>1116</v>
      </c>
      <c r="J208" s="30" t="s">
        <v>1759</v>
      </c>
      <c r="K208" s="10" t="s">
        <v>1766</v>
      </c>
    </row>
    <row r="209" customFormat="false" ht="46.25" hidden="false" customHeight="false" outlineLevel="0" collapsed="false">
      <c r="A209" s="12" t="s">
        <v>25</v>
      </c>
      <c r="B209" s="12" t="s">
        <v>393</v>
      </c>
      <c r="C209" s="10" t="s">
        <v>1416</v>
      </c>
      <c r="D209" s="12" t="s">
        <v>1417</v>
      </c>
      <c r="E209" s="10" t="s">
        <v>1767</v>
      </c>
      <c r="F209" s="12" t="s">
        <v>77</v>
      </c>
      <c r="G209" s="12" t="n">
        <v>5</v>
      </c>
      <c r="H209" s="26" t="n">
        <v>9.74</v>
      </c>
      <c r="I209" s="10" t="s">
        <v>1116</v>
      </c>
      <c r="J209" s="30" t="s">
        <v>1419</v>
      </c>
      <c r="K209" s="10" t="s">
        <v>1420</v>
      </c>
    </row>
    <row r="210" customFormat="false" ht="46.25" hidden="false" customHeight="false" outlineLevel="0" collapsed="false">
      <c r="A210" s="12" t="s">
        <v>25</v>
      </c>
      <c r="B210" s="12" t="s">
        <v>393</v>
      </c>
      <c r="C210" s="10" t="s">
        <v>1768</v>
      </c>
      <c r="D210" s="12" t="s">
        <v>1769</v>
      </c>
      <c r="E210" s="10" t="s">
        <v>1241</v>
      </c>
      <c r="F210" s="12" t="s">
        <v>77</v>
      </c>
      <c r="G210" s="12" t="n">
        <v>5</v>
      </c>
      <c r="H210" s="26" t="n">
        <v>96.9427</v>
      </c>
      <c r="I210" s="10" t="s">
        <v>1116</v>
      </c>
      <c r="J210" s="30" t="s">
        <v>1159</v>
      </c>
      <c r="K210" s="10" t="s">
        <v>1770</v>
      </c>
    </row>
    <row r="211" customFormat="false" ht="46.25" hidden="false" customHeight="false" outlineLevel="0" collapsed="false">
      <c r="A211" s="12" t="s">
        <v>25</v>
      </c>
      <c r="B211" s="12" t="s">
        <v>393</v>
      </c>
      <c r="C211" s="10" t="s">
        <v>1771</v>
      </c>
      <c r="D211" s="12" t="s">
        <v>1600</v>
      </c>
      <c r="E211" s="10" t="s">
        <v>1601</v>
      </c>
      <c r="F211" s="12" t="s">
        <v>77</v>
      </c>
      <c r="G211" s="12" t="n">
        <v>5</v>
      </c>
      <c r="H211" s="26" t="n">
        <v>6.937</v>
      </c>
      <c r="I211" s="10" t="s">
        <v>1116</v>
      </c>
      <c r="J211" s="30" t="s">
        <v>1164</v>
      </c>
      <c r="K211" s="10" t="s">
        <v>1772</v>
      </c>
    </row>
    <row r="212" customFormat="false" ht="23.85" hidden="false" customHeight="false" outlineLevel="0" collapsed="false">
      <c r="A212" s="12" t="s">
        <v>25</v>
      </c>
      <c r="B212" s="12" t="s">
        <v>203</v>
      </c>
      <c r="C212" s="10" t="s">
        <v>203</v>
      </c>
      <c r="D212" s="12" t="s">
        <v>1136</v>
      </c>
      <c r="E212" s="10" t="s">
        <v>1773</v>
      </c>
      <c r="F212" s="12" t="s">
        <v>95</v>
      </c>
      <c r="G212" s="12" t="n">
        <v>0.5</v>
      </c>
      <c r="H212" s="26"/>
      <c r="I212" s="10" t="s">
        <v>1275</v>
      </c>
      <c r="J212" s="12"/>
      <c r="K212" s="10" t="s">
        <v>1276</v>
      </c>
    </row>
    <row r="213" customFormat="false" ht="46.25" hidden="false" customHeight="false" outlineLevel="0" collapsed="false">
      <c r="A213" s="12" t="s">
        <v>25</v>
      </c>
      <c r="B213" s="12" t="s">
        <v>203</v>
      </c>
      <c r="C213" s="10" t="s">
        <v>203</v>
      </c>
      <c r="D213" s="12" t="s">
        <v>1606</v>
      </c>
      <c r="E213" s="10" t="s">
        <v>1773</v>
      </c>
      <c r="F213" s="12" t="s">
        <v>95</v>
      </c>
      <c r="G213" s="12" t="n">
        <v>1</v>
      </c>
      <c r="H213" s="26" t="n">
        <v>16.96</v>
      </c>
      <c r="I213" s="10" t="s">
        <v>1116</v>
      </c>
      <c r="J213" s="30" t="s">
        <v>1774</v>
      </c>
      <c r="K213" s="10" t="s">
        <v>1775</v>
      </c>
    </row>
    <row r="214" customFormat="false" ht="46.25" hidden="false" customHeight="false" outlineLevel="0" collapsed="false">
      <c r="A214" s="12" t="s">
        <v>25</v>
      </c>
      <c r="B214" s="12" t="s">
        <v>109</v>
      </c>
      <c r="C214" s="10" t="s">
        <v>109</v>
      </c>
      <c r="D214" s="12" t="s">
        <v>1430</v>
      </c>
      <c r="E214" s="10" t="s">
        <v>1431</v>
      </c>
      <c r="F214" s="12" t="s">
        <v>77</v>
      </c>
      <c r="G214" s="12" t="n">
        <v>1.2</v>
      </c>
      <c r="H214" s="26" t="n">
        <v>343.8</v>
      </c>
      <c r="I214" s="10" t="s">
        <v>1116</v>
      </c>
      <c r="J214" s="30" t="s">
        <v>1432</v>
      </c>
      <c r="K214" s="10" t="s">
        <v>1433</v>
      </c>
    </row>
    <row r="215" customFormat="false" ht="35.05" hidden="false" customHeight="false" outlineLevel="0" collapsed="false">
      <c r="A215" s="12" t="s">
        <v>25</v>
      </c>
      <c r="B215" s="12" t="s">
        <v>409</v>
      </c>
      <c r="C215" s="10" t="s">
        <v>409</v>
      </c>
      <c r="D215" s="12" t="s">
        <v>1451</v>
      </c>
      <c r="E215" s="10" t="s">
        <v>1776</v>
      </c>
      <c r="F215" s="12" t="s">
        <v>83</v>
      </c>
      <c r="G215" s="12" t="n">
        <v>5</v>
      </c>
      <c r="H215" s="26" t="n">
        <v>10.03</v>
      </c>
      <c r="I215" s="10" t="s">
        <v>1121</v>
      </c>
      <c r="J215" s="30" t="s">
        <v>1122</v>
      </c>
      <c r="K215" s="10" t="s">
        <v>1453</v>
      </c>
    </row>
    <row r="216" customFormat="false" ht="23.85" hidden="false" customHeight="false" outlineLevel="0" collapsed="false">
      <c r="A216" s="12" t="s">
        <v>25</v>
      </c>
      <c r="B216" s="12" t="s">
        <v>260</v>
      </c>
      <c r="C216" s="10" t="s">
        <v>1777</v>
      </c>
      <c r="D216" s="12" t="s">
        <v>1778</v>
      </c>
      <c r="E216" s="10" t="s">
        <v>1779</v>
      </c>
      <c r="F216" s="12" t="s">
        <v>77</v>
      </c>
      <c r="G216" s="12" t="n">
        <v>10</v>
      </c>
      <c r="H216" s="26"/>
      <c r="I216" s="10" t="s">
        <v>1275</v>
      </c>
      <c r="J216" s="12"/>
      <c r="K216" s="10" t="s">
        <v>1276</v>
      </c>
    </row>
    <row r="217" customFormat="false" ht="23.85" hidden="false" customHeight="false" outlineLevel="0" collapsed="false">
      <c r="A217" s="12" t="s">
        <v>25</v>
      </c>
      <c r="B217" s="12" t="s">
        <v>260</v>
      </c>
      <c r="C217" s="10" t="s">
        <v>1777</v>
      </c>
      <c r="D217" s="12" t="s">
        <v>1320</v>
      </c>
      <c r="E217" s="10" t="s">
        <v>1780</v>
      </c>
      <c r="F217" s="12" t="s">
        <v>77</v>
      </c>
      <c r="G217" s="12" t="n">
        <v>10</v>
      </c>
      <c r="H217" s="26" t="n">
        <v>22.7605</v>
      </c>
      <c r="I217" s="10" t="s">
        <v>1116</v>
      </c>
      <c r="J217" s="30" t="s">
        <v>1263</v>
      </c>
      <c r="K217" s="10" t="s">
        <v>1781</v>
      </c>
    </row>
    <row r="218" customFormat="false" ht="46.25" hidden="false" customHeight="false" outlineLevel="0" collapsed="false">
      <c r="A218" s="12" t="s">
        <v>25</v>
      </c>
      <c r="B218" s="12" t="s">
        <v>116</v>
      </c>
      <c r="C218" s="10" t="s">
        <v>1782</v>
      </c>
      <c r="D218" s="12" t="s">
        <v>1783</v>
      </c>
      <c r="E218" s="10" t="s">
        <v>1784</v>
      </c>
      <c r="F218" s="12" t="s">
        <v>77</v>
      </c>
      <c r="G218" s="12" t="n">
        <v>2</v>
      </c>
      <c r="H218" s="26" t="n">
        <v>21.78</v>
      </c>
      <c r="I218" s="10" t="s">
        <v>1116</v>
      </c>
      <c r="J218" s="30" t="s">
        <v>1785</v>
      </c>
      <c r="K218" s="10" t="s">
        <v>1786</v>
      </c>
    </row>
    <row r="219" customFormat="false" ht="46.25" hidden="false" customHeight="false" outlineLevel="0" collapsed="false">
      <c r="A219" s="12" t="s">
        <v>25</v>
      </c>
      <c r="B219" s="12" t="s">
        <v>116</v>
      </c>
      <c r="C219" s="10" t="s">
        <v>1782</v>
      </c>
      <c r="D219" s="12" t="s">
        <v>1787</v>
      </c>
      <c r="E219" s="10" t="s">
        <v>1788</v>
      </c>
      <c r="F219" s="12" t="s">
        <v>77</v>
      </c>
      <c r="G219" s="12" t="n">
        <v>5</v>
      </c>
      <c r="H219" s="26" t="n">
        <v>48.28</v>
      </c>
      <c r="I219" s="10" t="s">
        <v>1116</v>
      </c>
      <c r="J219" s="30" t="s">
        <v>1785</v>
      </c>
      <c r="K219" s="10" t="s">
        <v>1789</v>
      </c>
    </row>
    <row r="220" customFormat="false" ht="35.05" hidden="false" customHeight="false" outlineLevel="0" collapsed="false">
      <c r="A220" s="12" t="s">
        <v>25</v>
      </c>
      <c r="B220" s="12" t="s">
        <v>116</v>
      </c>
      <c r="C220" s="10" t="s">
        <v>116</v>
      </c>
      <c r="D220" s="12" t="s">
        <v>1500</v>
      </c>
      <c r="E220" s="10" t="s">
        <v>1626</v>
      </c>
      <c r="F220" s="12" t="s">
        <v>77</v>
      </c>
      <c r="G220" s="12" t="n">
        <v>2</v>
      </c>
      <c r="H220" s="26" t="n">
        <v>78.84</v>
      </c>
      <c r="I220" s="10" t="s">
        <v>1116</v>
      </c>
      <c r="J220" s="30" t="s">
        <v>1790</v>
      </c>
      <c r="K220" s="10" t="s">
        <v>1791</v>
      </c>
    </row>
    <row r="221" customFormat="false" ht="46.25" hidden="false" customHeight="false" outlineLevel="0" collapsed="false">
      <c r="A221" s="12" t="s">
        <v>25</v>
      </c>
      <c r="B221" s="12" t="s">
        <v>116</v>
      </c>
      <c r="C221" s="10" t="s">
        <v>116</v>
      </c>
      <c r="D221" s="12" t="s">
        <v>1792</v>
      </c>
      <c r="E221" s="10" t="s">
        <v>1626</v>
      </c>
      <c r="F221" s="12" t="s">
        <v>77</v>
      </c>
      <c r="G221" s="12" t="n">
        <v>2</v>
      </c>
      <c r="H221" s="26" t="n">
        <v>92.0498</v>
      </c>
      <c r="I221" s="10" t="s">
        <v>1116</v>
      </c>
      <c r="J221" s="30" t="s">
        <v>1159</v>
      </c>
      <c r="K221" s="10" t="s">
        <v>1793</v>
      </c>
    </row>
    <row r="222" customFormat="false" ht="46.25" hidden="false" customHeight="false" outlineLevel="0" collapsed="false">
      <c r="A222" s="12" t="s">
        <v>25</v>
      </c>
      <c r="B222" s="12" t="s">
        <v>116</v>
      </c>
      <c r="C222" s="10" t="s">
        <v>116</v>
      </c>
      <c r="D222" s="12" t="s">
        <v>1792</v>
      </c>
      <c r="E222" s="10" t="s">
        <v>1626</v>
      </c>
      <c r="F222" s="12" t="s">
        <v>77</v>
      </c>
      <c r="G222" s="12" t="n">
        <v>2</v>
      </c>
      <c r="H222" s="26" t="n">
        <v>92.0498</v>
      </c>
      <c r="I222" s="10" t="s">
        <v>1116</v>
      </c>
      <c r="J222" s="30" t="s">
        <v>1159</v>
      </c>
      <c r="K222" s="10" t="s">
        <v>1793</v>
      </c>
    </row>
    <row r="223" customFormat="false" ht="23.85" hidden="false" customHeight="false" outlineLevel="0" collapsed="false">
      <c r="A223" s="12" t="s">
        <v>25</v>
      </c>
      <c r="B223" s="12" t="s">
        <v>116</v>
      </c>
      <c r="C223" s="10" t="s">
        <v>1794</v>
      </c>
      <c r="D223" s="12" t="s">
        <v>1621</v>
      </c>
      <c r="E223" s="10" t="s">
        <v>1622</v>
      </c>
      <c r="F223" s="12" t="s">
        <v>77</v>
      </c>
      <c r="G223" s="12" t="n">
        <v>2</v>
      </c>
      <c r="H223" s="26"/>
      <c r="I223" s="10" t="s">
        <v>1275</v>
      </c>
      <c r="J223" s="12"/>
      <c r="K223" s="10" t="s">
        <v>1276</v>
      </c>
    </row>
    <row r="224" customFormat="false" ht="23.85" hidden="false" customHeight="false" outlineLevel="0" collapsed="false">
      <c r="A224" s="12" t="s">
        <v>25</v>
      </c>
      <c r="B224" s="12" t="s">
        <v>116</v>
      </c>
      <c r="C224" s="10" t="s">
        <v>1795</v>
      </c>
      <c r="D224" s="12" t="s">
        <v>1623</v>
      </c>
      <c r="E224" s="10" t="s">
        <v>1601</v>
      </c>
      <c r="F224" s="12" t="s">
        <v>77</v>
      </c>
      <c r="G224" s="12" t="n">
        <v>5</v>
      </c>
      <c r="H224" s="26"/>
      <c r="I224" s="10" t="s">
        <v>1275</v>
      </c>
      <c r="J224" s="12"/>
      <c r="K224" s="10" t="s">
        <v>1276</v>
      </c>
    </row>
    <row r="225" customFormat="false" ht="23.85" hidden="false" customHeight="false" outlineLevel="0" collapsed="false">
      <c r="A225" s="12" t="s">
        <v>25</v>
      </c>
      <c r="B225" s="12" t="s">
        <v>116</v>
      </c>
      <c r="C225" s="10" t="s">
        <v>1796</v>
      </c>
      <c r="D225" s="12" t="s">
        <v>1625</v>
      </c>
      <c r="E225" s="10" t="s">
        <v>1626</v>
      </c>
      <c r="F225" s="12" t="s">
        <v>77</v>
      </c>
      <c r="G225" s="12" t="n">
        <v>2</v>
      </c>
      <c r="H225" s="26" t="n">
        <v>6.93</v>
      </c>
      <c r="I225" s="10" t="s">
        <v>1539</v>
      </c>
      <c r="J225" s="30" t="s">
        <v>1797</v>
      </c>
      <c r="K225" s="10" t="s">
        <v>1798</v>
      </c>
    </row>
    <row r="226" customFormat="false" ht="46.25" hidden="false" customHeight="false" outlineLevel="0" collapsed="false">
      <c r="A226" s="12" t="s">
        <v>25</v>
      </c>
      <c r="B226" s="12" t="s">
        <v>160</v>
      </c>
      <c r="C226" s="10" t="s">
        <v>160</v>
      </c>
      <c r="D226" s="12" t="s">
        <v>1799</v>
      </c>
      <c r="E226" s="10" t="s">
        <v>1800</v>
      </c>
      <c r="F226" s="12" t="s">
        <v>77</v>
      </c>
      <c r="G226" s="12"/>
      <c r="H226" s="26" t="n">
        <v>154.8</v>
      </c>
      <c r="I226" s="10" t="s">
        <v>1116</v>
      </c>
      <c r="J226" s="30" t="s">
        <v>1801</v>
      </c>
      <c r="K226" s="10" t="s">
        <v>1802</v>
      </c>
    </row>
    <row r="227" customFormat="false" ht="35.05" hidden="false" customHeight="false" outlineLevel="0" collapsed="false">
      <c r="A227" s="12" t="s">
        <v>25</v>
      </c>
      <c r="B227" s="12" t="s">
        <v>305</v>
      </c>
      <c r="C227" s="10" t="s">
        <v>305</v>
      </c>
      <c r="D227" s="12" t="s">
        <v>1606</v>
      </c>
      <c r="E227" s="10" t="s">
        <v>1140</v>
      </c>
      <c r="F227" s="12" t="s">
        <v>95</v>
      </c>
      <c r="G227" s="12"/>
      <c r="H227" s="26" t="n">
        <v>3.94</v>
      </c>
      <c r="I227" s="10" t="s">
        <v>1121</v>
      </c>
      <c r="J227" s="30" t="s">
        <v>1122</v>
      </c>
      <c r="K227" s="10" t="s">
        <v>1803</v>
      </c>
    </row>
    <row r="228" customFormat="false" ht="35.05" hidden="false" customHeight="false" outlineLevel="0" collapsed="false">
      <c r="A228" s="12" t="s">
        <v>25</v>
      </c>
      <c r="B228" s="12" t="s">
        <v>305</v>
      </c>
      <c r="C228" s="10" t="s">
        <v>305</v>
      </c>
      <c r="D228" s="12" t="s">
        <v>1139</v>
      </c>
      <c r="E228" s="10" t="s">
        <v>1140</v>
      </c>
      <c r="F228" s="12" t="s">
        <v>95</v>
      </c>
      <c r="G228" s="12"/>
      <c r="H228" s="26" t="n">
        <v>3.15</v>
      </c>
      <c r="I228" s="10" t="s">
        <v>1121</v>
      </c>
      <c r="J228" s="30" t="s">
        <v>1122</v>
      </c>
      <c r="K228" s="10" t="s">
        <v>1141</v>
      </c>
    </row>
    <row r="229" customFormat="false" ht="35.05" hidden="false" customHeight="false" outlineLevel="0" collapsed="false">
      <c r="A229" s="12" t="s">
        <v>21</v>
      </c>
      <c r="B229" s="12" t="s">
        <v>484</v>
      </c>
      <c r="C229" s="10" t="s">
        <v>1804</v>
      </c>
      <c r="D229" s="12" t="s">
        <v>1805</v>
      </c>
      <c r="E229" s="10" t="s">
        <v>1422</v>
      </c>
      <c r="F229" s="12" t="s">
        <v>77</v>
      </c>
      <c r="G229" s="12"/>
      <c r="H229" s="26" t="n">
        <v>19.51</v>
      </c>
      <c r="I229" s="10" t="s">
        <v>1116</v>
      </c>
      <c r="J229" s="30" t="s">
        <v>1806</v>
      </c>
      <c r="K229" s="10" t="s">
        <v>1807</v>
      </c>
    </row>
    <row r="230" customFormat="false" ht="102.2" hidden="false" customHeight="false" outlineLevel="0" collapsed="false">
      <c r="A230" s="12" t="s">
        <v>21</v>
      </c>
      <c r="B230" s="12" t="s">
        <v>484</v>
      </c>
      <c r="C230" s="10" t="s">
        <v>1804</v>
      </c>
      <c r="D230" s="12" t="s">
        <v>1343</v>
      </c>
      <c r="E230" s="10" t="s">
        <v>1808</v>
      </c>
      <c r="F230" s="12" t="s">
        <v>77</v>
      </c>
      <c r="G230" s="12"/>
      <c r="H230" s="26" t="n">
        <v>16.1025</v>
      </c>
      <c r="I230" s="10" t="s">
        <v>1116</v>
      </c>
      <c r="J230" s="30" t="s">
        <v>1809</v>
      </c>
      <c r="K230" s="10" t="s">
        <v>1810</v>
      </c>
    </row>
    <row r="231" customFormat="false" ht="35.05" hidden="false" customHeight="false" outlineLevel="0" collapsed="false">
      <c r="A231" s="12" t="s">
        <v>21</v>
      </c>
      <c r="B231" s="12" t="s">
        <v>136</v>
      </c>
      <c r="C231" s="10" t="s">
        <v>136</v>
      </c>
      <c r="D231" s="12" t="s">
        <v>1811</v>
      </c>
      <c r="E231" s="10" t="s">
        <v>1812</v>
      </c>
      <c r="F231" s="12" t="s">
        <v>77</v>
      </c>
      <c r="G231" s="12" t="n">
        <v>2</v>
      </c>
      <c r="H231" s="26" t="n">
        <v>15.86</v>
      </c>
      <c r="I231" s="10" t="s">
        <v>1116</v>
      </c>
      <c r="J231" s="30" t="s">
        <v>1813</v>
      </c>
      <c r="K231" s="10" t="s">
        <v>1814</v>
      </c>
    </row>
    <row r="232" customFormat="false" ht="57.45" hidden="false" customHeight="false" outlineLevel="0" collapsed="false">
      <c r="A232" s="12" t="s">
        <v>21</v>
      </c>
      <c r="B232" s="12" t="s">
        <v>136</v>
      </c>
      <c r="C232" s="10" t="s">
        <v>1815</v>
      </c>
      <c r="D232" s="12" t="s">
        <v>1816</v>
      </c>
      <c r="E232" s="10" t="s">
        <v>1812</v>
      </c>
      <c r="F232" s="12" t="s">
        <v>77</v>
      </c>
      <c r="G232" s="12" t="n">
        <v>2</v>
      </c>
      <c r="H232" s="26" t="n">
        <v>5.6839</v>
      </c>
      <c r="I232" s="10" t="s">
        <v>1116</v>
      </c>
      <c r="J232" s="30" t="s">
        <v>1214</v>
      </c>
      <c r="K232" s="10" t="s">
        <v>1817</v>
      </c>
    </row>
    <row r="233" customFormat="false" ht="23.85" hidden="false" customHeight="false" outlineLevel="0" collapsed="false">
      <c r="A233" s="12" t="s">
        <v>21</v>
      </c>
      <c r="B233" s="12" t="s">
        <v>136</v>
      </c>
      <c r="C233" s="10" t="s">
        <v>1818</v>
      </c>
      <c r="D233" s="12" t="s">
        <v>1819</v>
      </c>
      <c r="E233" s="10" t="s">
        <v>1820</v>
      </c>
      <c r="F233" s="12" t="s">
        <v>77</v>
      </c>
      <c r="G233" s="12" t="n">
        <v>2</v>
      </c>
      <c r="H233" s="26" t="n">
        <v>62.4008</v>
      </c>
      <c r="I233" s="10" t="s">
        <v>1116</v>
      </c>
      <c r="J233" s="30" t="s">
        <v>1502</v>
      </c>
      <c r="K233" s="10" t="s">
        <v>1821</v>
      </c>
    </row>
    <row r="234" customFormat="false" ht="23.85" hidden="false" customHeight="false" outlineLevel="0" collapsed="false">
      <c r="A234" s="12" t="s">
        <v>21</v>
      </c>
      <c r="B234" s="12" t="s">
        <v>136</v>
      </c>
      <c r="C234" s="10" t="s">
        <v>1822</v>
      </c>
      <c r="D234" s="12" t="s">
        <v>1823</v>
      </c>
      <c r="E234" s="10" t="s">
        <v>1622</v>
      </c>
      <c r="F234" s="12" t="s">
        <v>77</v>
      </c>
      <c r="G234" s="12" t="n">
        <v>2</v>
      </c>
      <c r="H234" s="26"/>
      <c r="I234" s="10" t="s">
        <v>1275</v>
      </c>
      <c r="J234" s="12"/>
      <c r="K234" s="10" t="s">
        <v>1276</v>
      </c>
    </row>
    <row r="235" customFormat="false" ht="46.25" hidden="false" customHeight="false" outlineLevel="0" collapsed="false">
      <c r="A235" s="12" t="s">
        <v>21</v>
      </c>
      <c r="B235" s="12" t="s">
        <v>348</v>
      </c>
      <c r="C235" s="10" t="s">
        <v>1824</v>
      </c>
      <c r="D235" s="12" t="s">
        <v>1204</v>
      </c>
      <c r="E235" s="10" t="s">
        <v>1825</v>
      </c>
      <c r="F235" s="12" t="s">
        <v>77</v>
      </c>
      <c r="G235" s="12"/>
      <c r="H235" s="26" t="n">
        <v>9.04</v>
      </c>
      <c r="I235" s="10" t="s">
        <v>1116</v>
      </c>
      <c r="J235" s="30" t="s">
        <v>1826</v>
      </c>
      <c r="K235" s="10" t="s">
        <v>1827</v>
      </c>
    </row>
    <row r="236" customFormat="false" ht="35.05" hidden="false" customHeight="false" outlineLevel="0" collapsed="false">
      <c r="A236" s="12" t="s">
        <v>21</v>
      </c>
      <c r="B236" s="12" t="s">
        <v>74</v>
      </c>
      <c r="C236" s="10" t="s">
        <v>1828</v>
      </c>
      <c r="D236" s="12" t="s">
        <v>1153</v>
      </c>
      <c r="E236" s="10" t="s">
        <v>1154</v>
      </c>
      <c r="F236" s="12" t="s">
        <v>77</v>
      </c>
      <c r="G236" s="12"/>
      <c r="H236" s="26" t="n">
        <v>424.36</v>
      </c>
      <c r="I236" s="10" t="s">
        <v>1116</v>
      </c>
      <c r="J236" s="30" t="s">
        <v>1829</v>
      </c>
      <c r="K236" s="10" t="s">
        <v>1830</v>
      </c>
    </row>
    <row r="237" customFormat="false" ht="23.85" hidden="false" customHeight="false" outlineLevel="0" collapsed="false">
      <c r="A237" s="12" t="s">
        <v>21</v>
      </c>
      <c r="B237" s="12" t="s">
        <v>74</v>
      </c>
      <c r="C237" s="10" t="s">
        <v>1831</v>
      </c>
      <c r="D237" s="12" t="s">
        <v>1158</v>
      </c>
      <c r="E237" s="10" t="s">
        <v>1154</v>
      </c>
      <c r="F237" s="12" t="s">
        <v>77</v>
      </c>
      <c r="G237" s="12"/>
      <c r="H237" s="26" t="n">
        <v>397.421</v>
      </c>
      <c r="I237" s="10" t="s">
        <v>1116</v>
      </c>
      <c r="J237" s="30" t="s">
        <v>1159</v>
      </c>
      <c r="K237" s="10" t="s">
        <v>1832</v>
      </c>
    </row>
    <row r="238" customFormat="false" ht="68.65" hidden="false" customHeight="false" outlineLevel="0" collapsed="false">
      <c r="A238" s="12" t="s">
        <v>21</v>
      </c>
      <c r="B238" s="12" t="s">
        <v>87</v>
      </c>
      <c r="C238" s="10" t="s">
        <v>1833</v>
      </c>
      <c r="D238" s="12" t="s">
        <v>1176</v>
      </c>
      <c r="E238" s="10" t="s">
        <v>1172</v>
      </c>
      <c r="F238" s="12" t="s">
        <v>77</v>
      </c>
      <c r="G238" s="12"/>
      <c r="H238" s="26" t="n">
        <v>1444.1174</v>
      </c>
      <c r="I238" s="10" t="s">
        <v>1116</v>
      </c>
      <c r="J238" s="30" t="s">
        <v>1159</v>
      </c>
      <c r="K238" s="10" t="s">
        <v>1834</v>
      </c>
    </row>
    <row r="239" customFormat="false" ht="23.85" hidden="false" customHeight="false" outlineLevel="0" collapsed="false">
      <c r="A239" s="12" t="s">
        <v>21</v>
      </c>
      <c r="B239" s="12" t="s">
        <v>87</v>
      </c>
      <c r="C239" s="10" t="s">
        <v>87</v>
      </c>
      <c r="D239" s="12" t="s">
        <v>1674</v>
      </c>
      <c r="E239" s="10" t="s">
        <v>1835</v>
      </c>
      <c r="F239" s="12" t="s">
        <v>77</v>
      </c>
      <c r="G239" s="12" t="n">
        <v>10</v>
      </c>
      <c r="H239" s="26" t="n">
        <v>981.694</v>
      </c>
      <c r="I239" s="10" t="s">
        <v>1116</v>
      </c>
      <c r="J239" s="30" t="s">
        <v>1263</v>
      </c>
      <c r="K239" s="10" t="s">
        <v>1836</v>
      </c>
    </row>
    <row r="240" customFormat="false" ht="35.05" hidden="false" customHeight="false" outlineLevel="0" collapsed="false">
      <c r="A240" s="12" t="s">
        <v>21</v>
      </c>
      <c r="B240" s="12" t="s">
        <v>481</v>
      </c>
      <c r="C240" s="10" t="s">
        <v>1837</v>
      </c>
      <c r="D240" s="12" t="s">
        <v>1838</v>
      </c>
      <c r="E240" s="10" t="s">
        <v>1839</v>
      </c>
      <c r="F240" s="12" t="s">
        <v>77</v>
      </c>
      <c r="G240" s="12" t="n">
        <v>10</v>
      </c>
      <c r="H240" s="26" t="n">
        <v>23.975</v>
      </c>
      <c r="I240" s="10" t="s">
        <v>1116</v>
      </c>
      <c r="J240" s="30" t="s">
        <v>1263</v>
      </c>
      <c r="K240" s="10" t="s">
        <v>1840</v>
      </c>
    </row>
    <row r="241" customFormat="false" ht="23.85" hidden="false" customHeight="false" outlineLevel="0" collapsed="false">
      <c r="A241" s="12" t="s">
        <v>21</v>
      </c>
      <c r="B241" s="12" t="s">
        <v>125</v>
      </c>
      <c r="C241" s="10" t="s">
        <v>125</v>
      </c>
      <c r="D241" s="12" t="s">
        <v>1841</v>
      </c>
      <c r="E241" s="10" t="s">
        <v>1842</v>
      </c>
      <c r="F241" s="12" t="s">
        <v>77</v>
      </c>
      <c r="G241" s="12" t="n">
        <v>100</v>
      </c>
      <c r="H241" s="26" t="n">
        <v>80.5</v>
      </c>
      <c r="I241" s="10" t="s">
        <v>1116</v>
      </c>
      <c r="J241" s="30" t="s">
        <v>1263</v>
      </c>
      <c r="K241" s="10" t="s">
        <v>1843</v>
      </c>
    </row>
    <row r="242" customFormat="false" ht="23.85" hidden="false" customHeight="false" outlineLevel="0" collapsed="false">
      <c r="A242" s="12" t="s">
        <v>21</v>
      </c>
      <c r="B242" s="12" t="s">
        <v>125</v>
      </c>
      <c r="C242" s="10" t="s">
        <v>125</v>
      </c>
      <c r="D242" s="12" t="s">
        <v>1844</v>
      </c>
      <c r="E242" s="10" t="s">
        <v>1845</v>
      </c>
      <c r="F242" s="12" t="s">
        <v>77</v>
      </c>
      <c r="G242" s="12" t="n">
        <v>100</v>
      </c>
      <c r="H242" s="26" t="n">
        <v>105</v>
      </c>
      <c r="I242" s="10" t="s">
        <v>1116</v>
      </c>
      <c r="J242" s="30" t="s">
        <v>1263</v>
      </c>
      <c r="K242" s="10" t="s">
        <v>1846</v>
      </c>
    </row>
    <row r="243" customFormat="false" ht="35.05" hidden="false" customHeight="false" outlineLevel="0" collapsed="false">
      <c r="A243" s="12" t="s">
        <v>21</v>
      </c>
      <c r="B243" s="12" t="s">
        <v>104</v>
      </c>
      <c r="C243" s="10" t="s">
        <v>1847</v>
      </c>
      <c r="D243" s="12" t="s">
        <v>1543</v>
      </c>
      <c r="E243" s="10" t="s">
        <v>1848</v>
      </c>
      <c r="F243" s="12" t="s">
        <v>77</v>
      </c>
      <c r="G243" s="12"/>
      <c r="H243" s="26" t="n">
        <v>81.96</v>
      </c>
      <c r="I243" s="10" t="s">
        <v>1116</v>
      </c>
      <c r="J243" s="30" t="s">
        <v>1849</v>
      </c>
      <c r="K243" s="10" t="s">
        <v>1546</v>
      </c>
    </row>
    <row r="244" customFormat="false" ht="35.05" hidden="false" customHeight="false" outlineLevel="0" collapsed="false">
      <c r="A244" s="12" t="s">
        <v>21</v>
      </c>
      <c r="B244" s="12" t="s">
        <v>104</v>
      </c>
      <c r="C244" s="10" t="s">
        <v>1850</v>
      </c>
      <c r="D244" s="12" t="s">
        <v>1236</v>
      </c>
      <c r="E244" s="10" t="s">
        <v>1237</v>
      </c>
      <c r="F244" s="12" t="s">
        <v>77</v>
      </c>
      <c r="G244" s="12"/>
      <c r="H244" s="26" t="n">
        <v>93.7335</v>
      </c>
      <c r="I244" s="10" t="s">
        <v>1116</v>
      </c>
      <c r="J244" s="30" t="s">
        <v>1159</v>
      </c>
      <c r="K244" s="10" t="s">
        <v>1851</v>
      </c>
    </row>
    <row r="245" customFormat="false" ht="57.45" hidden="false" customHeight="false" outlineLevel="0" collapsed="false">
      <c r="A245" s="12" t="s">
        <v>21</v>
      </c>
      <c r="B245" s="12" t="s">
        <v>133</v>
      </c>
      <c r="C245" s="10" t="s">
        <v>1852</v>
      </c>
      <c r="D245" s="12" t="s">
        <v>1853</v>
      </c>
      <c r="E245" s="10" t="s">
        <v>1727</v>
      </c>
      <c r="F245" s="12" t="s">
        <v>77</v>
      </c>
      <c r="G245" s="12" t="n">
        <v>2</v>
      </c>
      <c r="H245" s="26" t="n">
        <v>404.5852</v>
      </c>
      <c r="I245" s="10" t="s">
        <v>1116</v>
      </c>
      <c r="J245" s="30" t="s">
        <v>1854</v>
      </c>
      <c r="K245" s="10" t="s">
        <v>1855</v>
      </c>
    </row>
    <row r="246" customFormat="false" ht="46.25" hidden="false" customHeight="false" outlineLevel="0" collapsed="false">
      <c r="A246" s="12" t="s">
        <v>21</v>
      </c>
      <c r="B246" s="12" t="s">
        <v>477</v>
      </c>
      <c r="C246" s="10" t="s">
        <v>1856</v>
      </c>
      <c r="D246" s="12" t="s">
        <v>1857</v>
      </c>
      <c r="E246" s="10" t="s">
        <v>1858</v>
      </c>
      <c r="F246" s="12" t="s">
        <v>77</v>
      </c>
      <c r="G246" s="12"/>
      <c r="H246" s="26" t="n">
        <v>7.2772</v>
      </c>
      <c r="I246" s="10" t="s">
        <v>1116</v>
      </c>
      <c r="J246" s="30" t="s">
        <v>1159</v>
      </c>
      <c r="K246" s="10" t="s">
        <v>1859</v>
      </c>
    </row>
    <row r="247" customFormat="false" ht="23.85" hidden="false" customHeight="false" outlineLevel="0" collapsed="false">
      <c r="A247" s="12" t="s">
        <v>21</v>
      </c>
      <c r="B247" s="12" t="s">
        <v>176</v>
      </c>
      <c r="C247" s="10" t="s">
        <v>1860</v>
      </c>
      <c r="D247" s="12" t="s">
        <v>1861</v>
      </c>
      <c r="E247" s="10" t="s">
        <v>1862</v>
      </c>
      <c r="F247" s="12" t="s">
        <v>77</v>
      </c>
      <c r="G247" s="12" t="n">
        <v>1</v>
      </c>
      <c r="H247" s="26" t="n">
        <v>8.4133</v>
      </c>
      <c r="I247" s="10" t="s">
        <v>1116</v>
      </c>
      <c r="J247" s="12"/>
      <c r="K247" s="10" t="s">
        <v>1695</v>
      </c>
    </row>
    <row r="248" customFormat="false" ht="23.85" hidden="false" customHeight="false" outlineLevel="0" collapsed="false">
      <c r="A248" s="12" t="s">
        <v>21</v>
      </c>
      <c r="B248" s="12" t="s">
        <v>176</v>
      </c>
      <c r="C248" s="10" t="s">
        <v>1860</v>
      </c>
      <c r="D248" s="12" t="s">
        <v>1863</v>
      </c>
      <c r="E248" s="10" t="s">
        <v>1864</v>
      </c>
      <c r="F248" s="12" t="s">
        <v>77</v>
      </c>
      <c r="G248" s="12" t="n">
        <v>5</v>
      </c>
      <c r="H248" s="26" t="n">
        <v>42.0665</v>
      </c>
      <c r="I248" s="10" t="s">
        <v>1116</v>
      </c>
      <c r="J248" s="12"/>
      <c r="K248" s="10" t="s">
        <v>1695</v>
      </c>
    </row>
    <row r="249" customFormat="false" ht="35.05" hidden="false" customHeight="false" outlineLevel="0" collapsed="false">
      <c r="A249" s="12" t="s">
        <v>21</v>
      </c>
      <c r="B249" s="12" t="s">
        <v>129</v>
      </c>
      <c r="C249" s="10" t="s">
        <v>129</v>
      </c>
      <c r="D249" s="12" t="s">
        <v>1865</v>
      </c>
      <c r="E249" s="10" t="s">
        <v>1866</v>
      </c>
      <c r="F249" s="12" t="s">
        <v>77</v>
      </c>
      <c r="G249" s="12" t="n">
        <v>10</v>
      </c>
      <c r="H249" s="26" t="n">
        <v>138.81</v>
      </c>
      <c r="I249" s="10" t="s">
        <v>1116</v>
      </c>
      <c r="J249" s="30" t="s">
        <v>1867</v>
      </c>
      <c r="K249" s="10" t="s">
        <v>1868</v>
      </c>
    </row>
    <row r="250" customFormat="false" ht="68.65" hidden="false" customHeight="false" outlineLevel="0" collapsed="false">
      <c r="A250" s="12" t="s">
        <v>21</v>
      </c>
      <c r="B250" s="12" t="s">
        <v>129</v>
      </c>
      <c r="C250" s="10" t="s">
        <v>1869</v>
      </c>
      <c r="D250" s="12" t="s">
        <v>1339</v>
      </c>
      <c r="E250" s="10" t="s">
        <v>1866</v>
      </c>
      <c r="F250" s="12" t="s">
        <v>77</v>
      </c>
      <c r="G250" s="12" t="n">
        <v>10</v>
      </c>
      <c r="H250" s="26" t="n">
        <v>189.1846</v>
      </c>
      <c r="I250" s="10" t="s">
        <v>1116</v>
      </c>
      <c r="J250" s="30" t="s">
        <v>1159</v>
      </c>
      <c r="K250" s="10" t="s">
        <v>1870</v>
      </c>
    </row>
    <row r="251" customFormat="false" ht="68.65" hidden="false" customHeight="false" outlineLevel="0" collapsed="false">
      <c r="A251" s="12" t="s">
        <v>21</v>
      </c>
      <c r="B251" s="12" t="s">
        <v>129</v>
      </c>
      <c r="C251" s="10" t="s">
        <v>1871</v>
      </c>
      <c r="D251" s="12" t="s">
        <v>1339</v>
      </c>
      <c r="E251" s="10" t="s">
        <v>1866</v>
      </c>
      <c r="F251" s="12" t="s">
        <v>77</v>
      </c>
      <c r="G251" s="12" t="n">
        <v>10</v>
      </c>
      <c r="H251" s="26" t="n">
        <v>189.1846</v>
      </c>
      <c r="I251" s="10" t="s">
        <v>1116</v>
      </c>
      <c r="J251" s="30" t="s">
        <v>1159</v>
      </c>
      <c r="K251" s="10" t="s">
        <v>1870</v>
      </c>
    </row>
    <row r="252" customFormat="false" ht="23.85" hidden="false" customHeight="false" outlineLevel="0" collapsed="false">
      <c r="A252" s="12" t="s">
        <v>21</v>
      </c>
      <c r="B252" s="12" t="s">
        <v>129</v>
      </c>
      <c r="C252" s="10" t="s">
        <v>129</v>
      </c>
      <c r="D252" s="12" t="s">
        <v>1872</v>
      </c>
      <c r="E252" s="10" t="s">
        <v>1873</v>
      </c>
      <c r="F252" s="12" t="s">
        <v>77</v>
      </c>
      <c r="G252" s="12" t="n">
        <v>10</v>
      </c>
      <c r="H252" s="26" t="n">
        <v>265.643</v>
      </c>
      <c r="I252" s="10" t="s">
        <v>1116</v>
      </c>
      <c r="J252" s="30" t="s">
        <v>1263</v>
      </c>
      <c r="K252" s="10" t="s">
        <v>1874</v>
      </c>
    </row>
    <row r="253" customFormat="false" ht="23.85" hidden="false" customHeight="false" outlineLevel="0" collapsed="false">
      <c r="A253" s="12" t="s">
        <v>21</v>
      </c>
      <c r="B253" s="12" t="s">
        <v>129</v>
      </c>
      <c r="C253" s="10" t="s">
        <v>1875</v>
      </c>
      <c r="D253" s="12" t="s">
        <v>1876</v>
      </c>
      <c r="E253" s="10" t="s">
        <v>1877</v>
      </c>
      <c r="F253" s="12" t="s">
        <v>77</v>
      </c>
      <c r="G253" s="12"/>
      <c r="H253" s="26"/>
      <c r="I253" s="10" t="s">
        <v>1275</v>
      </c>
      <c r="J253" s="12"/>
      <c r="K253" s="10" t="s">
        <v>1276</v>
      </c>
    </row>
    <row r="254" customFormat="false" ht="35.05" hidden="false" customHeight="false" outlineLevel="0" collapsed="false">
      <c r="A254" s="12" t="s">
        <v>21</v>
      </c>
      <c r="B254" s="12" t="s">
        <v>214</v>
      </c>
      <c r="C254" s="10" t="s">
        <v>214</v>
      </c>
      <c r="D254" s="12" t="s">
        <v>1878</v>
      </c>
      <c r="E254" s="10" t="s">
        <v>1879</v>
      </c>
      <c r="F254" s="12" t="s">
        <v>77</v>
      </c>
      <c r="G254" s="12" t="n">
        <v>10</v>
      </c>
      <c r="H254" s="26" t="n">
        <v>23.67</v>
      </c>
      <c r="I254" s="10" t="s">
        <v>1116</v>
      </c>
      <c r="J254" s="30" t="s">
        <v>1880</v>
      </c>
      <c r="K254" s="10" t="s">
        <v>1881</v>
      </c>
    </row>
    <row r="255" customFormat="false" ht="57.45" hidden="false" customHeight="false" outlineLevel="0" collapsed="false">
      <c r="A255" s="12" t="s">
        <v>21</v>
      </c>
      <c r="B255" s="12" t="s">
        <v>214</v>
      </c>
      <c r="C255" s="10" t="s">
        <v>1882</v>
      </c>
      <c r="D255" s="12" t="s">
        <v>1883</v>
      </c>
      <c r="E255" s="10" t="s">
        <v>1879</v>
      </c>
      <c r="F255" s="12" t="s">
        <v>77</v>
      </c>
      <c r="G255" s="12" t="n">
        <v>10</v>
      </c>
      <c r="H255" s="26" t="n">
        <v>21.0971</v>
      </c>
      <c r="I255" s="10" t="s">
        <v>1116</v>
      </c>
      <c r="J255" s="30" t="s">
        <v>1884</v>
      </c>
      <c r="K255" s="10" t="s">
        <v>1885</v>
      </c>
    </row>
    <row r="256" customFormat="false" ht="23.85" hidden="false" customHeight="false" outlineLevel="0" collapsed="false">
      <c r="A256" s="12" t="s">
        <v>21</v>
      </c>
      <c r="B256" s="12" t="s">
        <v>463</v>
      </c>
      <c r="C256" s="10" t="s">
        <v>1756</v>
      </c>
      <c r="D256" s="12" t="s">
        <v>1719</v>
      </c>
      <c r="E256" s="10" t="s">
        <v>1886</v>
      </c>
      <c r="F256" s="12" t="s">
        <v>77</v>
      </c>
      <c r="G256" s="12" t="n">
        <v>10</v>
      </c>
      <c r="H256" s="26" t="n">
        <v>7.56</v>
      </c>
      <c r="I256" s="10" t="s">
        <v>1116</v>
      </c>
      <c r="J256" s="30" t="s">
        <v>1263</v>
      </c>
      <c r="K256" s="10" t="s">
        <v>1887</v>
      </c>
    </row>
    <row r="257" customFormat="false" ht="23.85" hidden="false" customHeight="false" outlineLevel="0" collapsed="false">
      <c r="A257" s="12" t="s">
        <v>21</v>
      </c>
      <c r="B257" s="12" t="s">
        <v>463</v>
      </c>
      <c r="C257" s="10" t="s">
        <v>1756</v>
      </c>
      <c r="D257" s="12" t="s">
        <v>1878</v>
      </c>
      <c r="E257" s="10" t="s">
        <v>1886</v>
      </c>
      <c r="F257" s="12" t="s">
        <v>77</v>
      </c>
      <c r="G257" s="12" t="n">
        <v>10</v>
      </c>
      <c r="H257" s="26" t="n">
        <v>8.393</v>
      </c>
      <c r="I257" s="10" t="s">
        <v>1116</v>
      </c>
      <c r="J257" s="30" t="s">
        <v>1263</v>
      </c>
      <c r="K257" s="10" t="s">
        <v>1888</v>
      </c>
    </row>
    <row r="258" customFormat="false" ht="46.25" hidden="false" customHeight="false" outlineLevel="0" collapsed="false">
      <c r="A258" s="12" t="s">
        <v>21</v>
      </c>
      <c r="B258" s="12" t="s">
        <v>216</v>
      </c>
      <c r="C258" s="10" t="s">
        <v>1889</v>
      </c>
      <c r="D258" s="12" t="s">
        <v>1399</v>
      </c>
      <c r="E258" s="10" t="s">
        <v>1890</v>
      </c>
      <c r="F258" s="12" t="s">
        <v>196</v>
      </c>
      <c r="G258" s="12" t="n">
        <v>2</v>
      </c>
      <c r="H258" s="26" t="n">
        <v>5.3223</v>
      </c>
      <c r="I258" s="10" t="s">
        <v>1116</v>
      </c>
      <c r="J258" s="30" t="s">
        <v>1159</v>
      </c>
      <c r="K258" s="10" t="s">
        <v>1891</v>
      </c>
    </row>
    <row r="259" customFormat="false" ht="35.05" hidden="false" customHeight="false" outlineLevel="0" collapsed="false">
      <c r="A259" s="12" t="s">
        <v>21</v>
      </c>
      <c r="B259" s="12" t="s">
        <v>179</v>
      </c>
      <c r="C259" s="10" t="s">
        <v>179</v>
      </c>
      <c r="D259" s="12" t="s">
        <v>1421</v>
      </c>
      <c r="E259" s="10" t="s">
        <v>1892</v>
      </c>
      <c r="F259" s="12" t="s">
        <v>77</v>
      </c>
      <c r="G259" s="12"/>
      <c r="H259" s="26" t="n">
        <v>6.61</v>
      </c>
      <c r="I259" s="10" t="s">
        <v>1116</v>
      </c>
      <c r="J259" s="30" t="s">
        <v>1423</v>
      </c>
      <c r="K259" s="10" t="s">
        <v>1893</v>
      </c>
    </row>
    <row r="260" customFormat="false" ht="57.45" hidden="false" customHeight="false" outlineLevel="0" collapsed="false">
      <c r="A260" s="12" t="s">
        <v>21</v>
      </c>
      <c r="B260" s="12" t="s">
        <v>139</v>
      </c>
      <c r="C260" s="10" t="s">
        <v>1894</v>
      </c>
      <c r="D260" s="12" t="s">
        <v>1895</v>
      </c>
      <c r="E260" s="10" t="s">
        <v>1896</v>
      </c>
      <c r="F260" s="12" t="s">
        <v>77</v>
      </c>
      <c r="G260" s="12"/>
      <c r="H260" s="26" t="n">
        <v>452.12</v>
      </c>
      <c r="I260" s="10" t="s">
        <v>1116</v>
      </c>
      <c r="J260" s="30" t="s">
        <v>1897</v>
      </c>
      <c r="K260" s="10" t="s">
        <v>1898</v>
      </c>
    </row>
    <row r="261" customFormat="false" ht="57.45" hidden="false" customHeight="false" outlineLevel="0" collapsed="false">
      <c r="A261" s="12" t="s">
        <v>21</v>
      </c>
      <c r="B261" s="12" t="s">
        <v>139</v>
      </c>
      <c r="C261" s="10" t="s">
        <v>1899</v>
      </c>
      <c r="D261" s="12" t="s">
        <v>1900</v>
      </c>
      <c r="E261" s="10" t="s">
        <v>1901</v>
      </c>
      <c r="F261" s="12" t="s">
        <v>77</v>
      </c>
      <c r="G261" s="12"/>
      <c r="H261" s="26" t="n">
        <v>15.0064</v>
      </c>
      <c r="I261" s="10" t="s">
        <v>1116</v>
      </c>
      <c r="J261" s="30" t="s">
        <v>1902</v>
      </c>
      <c r="K261" s="10" t="s">
        <v>1903</v>
      </c>
    </row>
    <row r="262" customFormat="false" ht="23.85" hidden="false" customHeight="false" outlineLevel="0" collapsed="false">
      <c r="A262" s="12" t="s">
        <v>21</v>
      </c>
      <c r="B262" s="12" t="s">
        <v>139</v>
      </c>
      <c r="C262" s="10" t="s">
        <v>1904</v>
      </c>
      <c r="D262" s="12" t="s">
        <v>1905</v>
      </c>
      <c r="E262" s="10" t="s">
        <v>1906</v>
      </c>
      <c r="F262" s="12" t="s">
        <v>77</v>
      </c>
      <c r="G262" s="12" t="n">
        <v>20</v>
      </c>
      <c r="H262" s="26" t="n">
        <v>91</v>
      </c>
      <c r="I262" s="10" t="s">
        <v>1116</v>
      </c>
      <c r="J262" s="30" t="s">
        <v>1263</v>
      </c>
      <c r="K262" s="10" t="s">
        <v>1907</v>
      </c>
    </row>
    <row r="263" customFormat="false" ht="23.85" hidden="false" customHeight="false" outlineLevel="0" collapsed="false">
      <c r="A263" s="12" t="s">
        <v>21</v>
      </c>
      <c r="B263" s="12" t="s">
        <v>139</v>
      </c>
      <c r="C263" s="10" t="s">
        <v>1908</v>
      </c>
      <c r="D263" s="12" t="s">
        <v>1909</v>
      </c>
      <c r="E263" s="10" t="s">
        <v>1910</v>
      </c>
      <c r="F263" s="12" t="s">
        <v>77</v>
      </c>
      <c r="G263" s="12"/>
      <c r="H263" s="26"/>
      <c r="I263" s="10" t="s">
        <v>1275</v>
      </c>
      <c r="J263" s="12"/>
      <c r="K263" s="10" t="s">
        <v>1276</v>
      </c>
    </row>
    <row r="264" customFormat="false" ht="35.05" hidden="false" customHeight="false" outlineLevel="0" collapsed="false">
      <c r="A264" s="12" t="s">
        <v>21</v>
      </c>
      <c r="B264" s="12" t="s">
        <v>109</v>
      </c>
      <c r="C264" s="10" t="s">
        <v>109</v>
      </c>
      <c r="D264" s="12" t="s">
        <v>1320</v>
      </c>
      <c r="E264" s="10" t="s">
        <v>1434</v>
      </c>
      <c r="F264" s="12" t="s">
        <v>77</v>
      </c>
      <c r="G264" s="12" t="n">
        <v>1.2</v>
      </c>
      <c r="H264" s="26" t="n">
        <v>5023.6</v>
      </c>
      <c r="I264" s="10" t="s">
        <v>1116</v>
      </c>
      <c r="J264" s="30" t="s">
        <v>1911</v>
      </c>
      <c r="K264" s="10" t="s">
        <v>1912</v>
      </c>
    </row>
    <row r="265" customFormat="false" ht="46.25" hidden="false" customHeight="false" outlineLevel="0" collapsed="false">
      <c r="A265" s="12" t="s">
        <v>21</v>
      </c>
      <c r="B265" s="12" t="s">
        <v>109</v>
      </c>
      <c r="C265" s="10" t="s">
        <v>1913</v>
      </c>
      <c r="D265" s="12" t="s">
        <v>1438</v>
      </c>
      <c r="E265" s="10" t="s">
        <v>1434</v>
      </c>
      <c r="F265" s="12" t="s">
        <v>77</v>
      </c>
      <c r="G265" s="12" t="n">
        <v>1.2</v>
      </c>
      <c r="H265" s="26" t="n">
        <v>7322.4226</v>
      </c>
      <c r="I265" s="10" t="s">
        <v>1116</v>
      </c>
      <c r="J265" s="30" t="s">
        <v>1159</v>
      </c>
      <c r="K265" s="10" t="s">
        <v>1914</v>
      </c>
    </row>
    <row r="266" customFormat="false" ht="23.85" hidden="false" customHeight="false" outlineLevel="0" collapsed="false">
      <c r="A266" s="12" t="s">
        <v>21</v>
      </c>
      <c r="B266" s="12" t="s">
        <v>471</v>
      </c>
      <c r="C266" s="10" t="s">
        <v>471</v>
      </c>
      <c r="D266" s="12" t="s">
        <v>1915</v>
      </c>
      <c r="E266" s="10" t="s">
        <v>1916</v>
      </c>
      <c r="F266" s="12" t="s">
        <v>77</v>
      </c>
      <c r="G266" s="12" t="n">
        <v>20</v>
      </c>
      <c r="H266" s="26" t="n">
        <v>6.44</v>
      </c>
      <c r="I266" s="10" t="s">
        <v>1116</v>
      </c>
      <c r="J266" s="30" t="s">
        <v>1263</v>
      </c>
      <c r="K266" s="10" t="s">
        <v>1917</v>
      </c>
    </row>
    <row r="267" customFormat="false" ht="35.05" hidden="false" customHeight="false" outlineLevel="0" collapsed="false">
      <c r="A267" s="12" t="s">
        <v>21</v>
      </c>
      <c r="B267" s="12" t="s">
        <v>116</v>
      </c>
      <c r="C267" s="10" t="s">
        <v>116</v>
      </c>
      <c r="D267" s="12" t="s">
        <v>1500</v>
      </c>
      <c r="E267" s="10" t="s">
        <v>1626</v>
      </c>
      <c r="F267" s="12" t="s">
        <v>77</v>
      </c>
      <c r="G267" s="12" t="n">
        <v>2</v>
      </c>
      <c r="H267" s="26" t="n">
        <v>56.77</v>
      </c>
      <c r="I267" s="10" t="s">
        <v>1116</v>
      </c>
      <c r="J267" s="30" t="s">
        <v>1918</v>
      </c>
      <c r="K267" s="10" t="s">
        <v>1919</v>
      </c>
    </row>
    <row r="268" customFormat="false" ht="35.05" hidden="false" customHeight="false" outlineLevel="0" collapsed="false">
      <c r="A268" s="12" t="s">
        <v>21</v>
      </c>
      <c r="B268" s="12" t="s">
        <v>116</v>
      </c>
      <c r="C268" s="10" t="s">
        <v>1920</v>
      </c>
      <c r="D268" s="12" t="s">
        <v>1792</v>
      </c>
      <c r="E268" s="10" t="s">
        <v>1626</v>
      </c>
      <c r="F268" s="12" t="s">
        <v>77</v>
      </c>
      <c r="G268" s="12" t="n">
        <v>2</v>
      </c>
      <c r="H268" s="26" t="n">
        <v>92.0498</v>
      </c>
      <c r="I268" s="10" t="s">
        <v>1116</v>
      </c>
      <c r="J268" s="30" t="s">
        <v>1159</v>
      </c>
      <c r="K268" s="10" t="s">
        <v>1921</v>
      </c>
    </row>
    <row r="269" customFormat="false" ht="35.05" hidden="false" customHeight="false" outlineLevel="0" collapsed="false">
      <c r="A269" s="12" t="s">
        <v>39</v>
      </c>
      <c r="B269" s="12" t="s">
        <v>74</v>
      </c>
      <c r="C269" s="10" t="s">
        <v>1922</v>
      </c>
      <c r="D269" s="12" t="s">
        <v>1158</v>
      </c>
      <c r="E269" s="10" t="s">
        <v>1154</v>
      </c>
      <c r="F269" s="12" t="s">
        <v>77</v>
      </c>
      <c r="G269" s="12"/>
      <c r="H269" s="26" t="n">
        <v>397.421</v>
      </c>
      <c r="I269" s="10" t="s">
        <v>1116</v>
      </c>
      <c r="J269" s="30" t="s">
        <v>1159</v>
      </c>
      <c r="K269" s="10" t="s">
        <v>1923</v>
      </c>
    </row>
    <row r="270" customFormat="false" ht="79.85" hidden="false" customHeight="false" outlineLevel="0" collapsed="false">
      <c r="A270" s="12" t="s">
        <v>39</v>
      </c>
      <c r="B270" s="12" t="s">
        <v>87</v>
      </c>
      <c r="C270" s="10" t="s">
        <v>1924</v>
      </c>
      <c r="D270" s="12" t="s">
        <v>1455</v>
      </c>
      <c r="E270" s="10" t="s">
        <v>1925</v>
      </c>
      <c r="F270" s="12" t="s">
        <v>77</v>
      </c>
      <c r="G270" s="12"/>
      <c r="H270" s="26" t="n">
        <v>162.9686</v>
      </c>
      <c r="I270" s="10" t="s">
        <v>1116</v>
      </c>
      <c r="J270" s="30" t="s">
        <v>1690</v>
      </c>
      <c r="K270" s="10" t="s">
        <v>1926</v>
      </c>
    </row>
    <row r="271" customFormat="false" ht="35.05" hidden="false" customHeight="false" outlineLevel="0" collapsed="false">
      <c r="A271" s="12" t="s">
        <v>39</v>
      </c>
      <c r="B271" s="12" t="s">
        <v>87</v>
      </c>
      <c r="C271" s="10" t="s">
        <v>1927</v>
      </c>
      <c r="D271" s="12" t="s">
        <v>1928</v>
      </c>
      <c r="E271" s="10" t="s">
        <v>1596</v>
      </c>
      <c r="F271" s="12" t="s">
        <v>77</v>
      </c>
      <c r="G271" s="12" t="n">
        <v>1</v>
      </c>
      <c r="H271" s="26" t="n">
        <v>17.444</v>
      </c>
      <c r="I271" s="10" t="s">
        <v>1116</v>
      </c>
      <c r="J271" s="30" t="s">
        <v>1181</v>
      </c>
      <c r="K271" s="10" t="s">
        <v>1929</v>
      </c>
    </row>
    <row r="272" customFormat="false" ht="35.05" hidden="false" customHeight="false" outlineLevel="0" collapsed="false">
      <c r="A272" s="12" t="s">
        <v>39</v>
      </c>
      <c r="B272" s="12" t="s">
        <v>87</v>
      </c>
      <c r="C272" s="10" t="s">
        <v>1927</v>
      </c>
      <c r="D272" s="12" t="s">
        <v>1930</v>
      </c>
      <c r="E272" s="10" t="s">
        <v>1931</v>
      </c>
      <c r="F272" s="12" t="s">
        <v>77</v>
      </c>
      <c r="G272" s="12" t="n">
        <v>1.4</v>
      </c>
      <c r="H272" s="26" t="n">
        <v>14.329</v>
      </c>
      <c r="I272" s="10" t="s">
        <v>1116</v>
      </c>
      <c r="J272" s="30" t="s">
        <v>1181</v>
      </c>
      <c r="K272" s="10" t="s">
        <v>1932</v>
      </c>
    </row>
    <row r="273" customFormat="false" ht="35.05" hidden="false" customHeight="false" outlineLevel="0" collapsed="false">
      <c r="A273" s="12" t="s">
        <v>39</v>
      </c>
      <c r="B273" s="12" t="s">
        <v>133</v>
      </c>
      <c r="C273" s="10" t="s">
        <v>1706</v>
      </c>
      <c r="D273" s="12" t="s">
        <v>1707</v>
      </c>
      <c r="E273" s="10" t="s">
        <v>1933</v>
      </c>
      <c r="F273" s="12" t="s">
        <v>77</v>
      </c>
      <c r="G273" s="12" t="n">
        <v>2</v>
      </c>
      <c r="H273" s="26" t="n">
        <v>301.8</v>
      </c>
      <c r="I273" s="10" t="s">
        <v>1116</v>
      </c>
      <c r="J273" s="30" t="s">
        <v>1709</v>
      </c>
      <c r="K273" s="10" t="s">
        <v>1710</v>
      </c>
    </row>
    <row r="274" customFormat="false" ht="35.05" hidden="false" customHeight="false" outlineLevel="0" collapsed="false">
      <c r="A274" s="12" t="s">
        <v>39</v>
      </c>
      <c r="B274" s="12" t="s">
        <v>133</v>
      </c>
      <c r="C274" s="10" t="s">
        <v>133</v>
      </c>
      <c r="D274" s="12" t="s">
        <v>1711</v>
      </c>
      <c r="E274" s="10" t="s">
        <v>1422</v>
      </c>
      <c r="F274" s="12" t="s">
        <v>77</v>
      </c>
      <c r="G274" s="12"/>
      <c r="H274" s="26" t="n">
        <v>429.52</v>
      </c>
      <c r="I274" s="10" t="s">
        <v>1116</v>
      </c>
      <c r="J274" s="30" t="s">
        <v>1934</v>
      </c>
      <c r="K274" s="10" t="s">
        <v>1935</v>
      </c>
    </row>
    <row r="275" customFormat="false" ht="46.25" hidden="false" customHeight="false" outlineLevel="0" collapsed="false">
      <c r="A275" s="12" t="s">
        <v>39</v>
      </c>
      <c r="B275" s="12" t="s">
        <v>133</v>
      </c>
      <c r="C275" s="10" t="s">
        <v>1936</v>
      </c>
      <c r="D275" s="12" t="s">
        <v>1716</v>
      </c>
      <c r="E275" s="10" t="s">
        <v>1727</v>
      </c>
      <c r="F275" s="12" t="s">
        <v>77</v>
      </c>
      <c r="G275" s="12" t="n">
        <v>2</v>
      </c>
      <c r="H275" s="26" t="n">
        <v>471.2665</v>
      </c>
      <c r="I275" s="10" t="s">
        <v>1116</v>
      </c>
      <c r="J275" s="30" t="s">
        <v>1159</v>
      </c>
      <c r="K275" s="10" t="s">
        <v>1937</v>
      </c>
    </row>
    <row r="276" customFormat="false" ht="46.25" hidden="false" customHeight="false" outlineLevel="0" collapsed="false">
      <c r="A276" s="12" t="s">
        <v>39</v>
      </c>
      <c r="B276" s="12" t="s">
        <v>112</v>
      </c>
      <c r="C276" s="10" t="s">
        <v>112</v>
      </c>
      <c r="D276" s="12" t="s">
        <v>1124</v>
      </c>
      <c r="E276" s="10" t="s">
        <v>1938</v>
      </c>
      <c r="F276" s="12" t="s">
        <v>83</v>
      </c>
      <c r="G276" s="12" t="n">
        <v>5</v>
      </c>
      <c r="H276" s="26" t="n">
        <v>29.97</v>
      </c>
      <c r="I276" s="10" t="s">
        <v>1116</v>
      </c>
      <c r="J276" s="30" t="s">
        <v>1126</v>
      </c>
      <c r="K276" s="10" t="s">
        <v>1127</v>
      </c>
    </row>
    <row r="277" customFormat="false" ht="79.85" hidden="false" customHeight="false" outlineLevel="0" collapsed="false">
      <c r="A277" s="12" t="s">
        <v>39</v>
      </c>
      <c r="B277" s="12" t="s">
        <v>112</v>
      </c>
      <c r="C277" s="10" t="s">
        <v>112</v>
      </c>
      <c r="D277" s="12" t="s">
        <v>1307</v>
      </c>
      <c r="E277" s="10" t="s">
        <v>1939</v>
      </c>
      <c r="F277" s="12" t="s">
        <v>83</v>
      </c>
      <c r="G277" s="12"/>
      <c r="H277" s="26" t="n">
        <v>345.31</v>
      </c>
      <c r="I277" s="10" t="s">
        <v>1116</v>
      </c>
      <c r="J277" s="30" t="s">
        <v>1309</v>
      </c>
      <c r="K277" s="10" t="s">
        <v>1940</v>
      </c>
    </row>
    <row r="278" customFormat="false" ht="46.25" hidden="false" customHeight="false" outlineLevel="0" collapsed="false">
      <c r="A278" s="12" t="s">
        <v>39</v>
      </c>
      <c r="B278" s="12" t="s">
        <v>112</v>
      </c>
      <c r="C278" s="10" t="s">
        <v>1941</v>
      </c>
      <c r="D278" s="12" t="s">
        <v>1942</v>
      </c>
      <c r="E278" s="10" t="s">
        <v>1943</v>
      </c>
      <c r="F278" s="12" t="s">
        <v>83</v>
      </c>
      <c r="G278" s="12"/>
      <c r="H278" s="26" t="n">
        <v>531.8684</v>
      </c>
      <c r="I278" s="10" t="s">
        <v>1116</v>
      </c>
      <c r="J278" s="30" t="s">
        <v>1159</v>
      </c>
      <c r="K278" s="10" t="s">
        <v>1944</v>
      </c>
    </row>
    <row r="279" customFormat="false" ht="57.45" hidden="false" customHeight="false" outlineLevel="0" collapsed="false">
      <c r="A279" s="12" t="s">
        <v>39</v>
      </c>
      <c r="B279" s="12" t="s">
        <v>109</v>
      </c>
      <c r="C279" s="10" t="s">
        <v>1945</v>
      </c>
      <c r="D279" s="12" t="s">
        <v>1946</v>
      </c>
      <c r="E279" s="10" t="s">
        <v>1947</v>
      </c>
      <c r="F279" s="12" t="s">
        <v>77</v>
      </c>
      <c r="G279" s="12" t="n">
        <v>1.2</v>
      </c>
      <c r="H279" s="26" t="n">
        <v>7322.4226</v>
      </c>
      <c r="I279" s="10" t="s">
        <v>1116</v>
      </c>
      <c r="J279" s="30" t="s">
        <v>1159</v>
      </c>
      <c r="K279" s="10" t="s">
        <v>1948</v>
      </c>
    </row>
    <row r="280" customFormat="false" ht="35.05" hidden="false" customHeight="false" outlineLevel="0" collapsed="false">
      <c r="A280" s="12" t="s">
        <v>39</v>
      </c>
      <c r="B280" s="12" t="s">
        <v>116</v>
      </c>
      <c r="C280" s="10" t="s">
        <v>116</v>
      </c>
      <c r="D280" s="12" t="s">
        <v>1500</v>
      </c>
      <c r="E280" s="10" t="s">
        <v>1949</v>
      </c>
      <c r="F280" s="12" t="s">
        <v>77</v>
      </c>
      <c r="G280" s="12"/>
      <c r="H280" s="26" t="n">
        <v>67.02</v>
      </c>
      <c r="I280" s="10" t="s">
        <v>1116</v>
      </c>
      <c r="J280" s="30" t="s">
        <v>1950</v>
      </c>
      <c r="K280" s="10" t="s">
        <v>1951</v>
      </c>
    </row>
    <row r="281" customFormat="false" ht="46.25" hidden="false" customHeight="false" outlineLevel="0" collapsed="false">
      <c r="A281" s="12" t="s">
        <v>39</v>
      </c>
      <c r="B281" s="12" t="s">
        <v>116</v>
      </c>
      <c r="C281" s="10" t="s">
        <v>1952</v>
      </c>
      <c r="D281" s="12" t="s">
        <v>1792</v>
      </c>
      <c r="E281" s="10" t="s">
        <v>1626</v>
      </c>
      <c r="F281" s="12" t="s">
        <v>77</v>
      </c>
      <c r="G281" s="12" t="n">
        <v>2</v>
      </c>
      <c r="H281" s="26" t="n">
        <v>92.0498</v>
      </c>
      <c r="I281" s="10" t="s">
        <v>1116</v>
      </c>
      <c r="J281" s="30" t="s">
        <v>1159</v>
      </c>
      <c r="K281" s="10" t="s">
        <v>1953</v>
      </c>
    </row>
    <row r="282" customFormat="false" ht="35.05" hidden="false" customHeight="false" outlineLevel="0" collapsed="false">
      <c r="A282" s="12" t="s">
        <v>27</v>
      </c>
      <c r="B282" s="12" t="s">
        <v>74</v>
      </c>
      <c r="C282" s="10" t="s">
        <v>74</v>
      </c>
      <c r="D282" s="12" t="s">
        <v>1153</v>
      </c>
      <c r="E282" s="10" t="s">
        <v>1154</v>
      </c>
      <c r="F282" s="12" t="s">
        <v>77</v>
      </c>
      <c r="G282" s="12"/>
      <c r="H282" s="26" t="n">
        <v>360.71</v>
      </c>
      <c r="I282" s="10" t="s">
        <v>1116</v>
      </c>
      <c r="J282" s="30" t="s">
        <v>1155</v>
      </c>
      <c r="K282" s="10" t="s">
        <v>1156</v>
      </c>
    </row>
    <row r="283" customFormat="false" ht="23.85" hidden="false" customHeight="false" outlineLevel="0" collapsed="false">
      <c r="A283" s="12" t="s">
        <v>27</v>
      </c>
      <c r="B283" s="12" t="s">
        <v>74</v>
      </c>
      <c r="C283" s="10" t="s">
        <v>1954</v>
      </c>
      <c r="D283" s="12"/>
      <c r="E283" s="10"/>
      <c r="F283" s="12" t="s">
        <v>95</v>
      </c>
      <c r="G283" s="12"/>
      <c r="H283" s="26"/>
      <c r="I283" s="10" t="s">
        <v>1275</v>
      </c>
      <c r="J283" s="12"/>
      <c r="K283" s="10" t="s">
        <v>1276</v>
      </c>
    </row>
    <row r="284" customFormat="false" ht="35.05" hidden="false" customHeight="false" outlineLevel="0" collapsed="false">
      <c r="A284" s="12" t="s">
        <v>27</v>
      </c>
      <c r="B284" s="12" t="s">
        <v>87</v>
      </c>
      <c r="C284" s="10" t="s">
        <v>87</v>
      </c>
      <c r="D284" s="12" t="s">
        <v>1166</v>
      </c>
      <c r="E284" s="10" t="s">
        <v>1955</v>
      </c>
      <c r="F284" s="12" t="s">
        <v>77</v>
      </c>
      <c r="G284" s="12"/>
      <c r="H284" s="26" t="n">
        <v>22.25</v>
      </c>
      <c r="I284" s="10" t="s">
        <v>1116</v>
      </c>
      <c r="J284" s="30" t="s">
        <v>1168</v>
      </c>
      <c r="K284" s="10" t="s">
        <v>1956</v>
      </c>
    </row>
    <row r="285" customFormat="false" ht="68.65" hidden="false" customHeight="false" outlineLevel="0" collapsed="false">
      <c r="A285" s="12" t="s">
        <v>27</v>
      </c>
      <c r="B285" s="12" t="s">
        <v>87</v>
      </c>
      <c r="C285" s="10" t="s">
        <v>87</v>
      </c>
      <c r="D285" s="12" t="s">
        <v>1957</v>
      </c>
      <c r="E285" s="10" t="s">
        <v>1958</v>
      </c>
      <c r="F285" s="12" t="s">
        <v>77</v>
      </c>
      <c r="G285" s="12" t="n">
        <v>0.4</v>
      </c>
      <c r="H285" s="26" t="n">
        <v>187.18</v>
      </c>
      <c r="I285" s="10" t="s">
        <v>1116</v>
      </c>
      <c r="J285" s="30" t="s">
        <v>1959</v>
      </c>
      <c r="K285" s="10" t="s">
        <v>1960</v>
      </c>
    </row>
    <row r="286" customFormat="false" ht="35.05" hidden="false" customHeight="false" outlineLevel="0" collapsed="false">
      <c r="A286" s="12" t="s">
        <v>27</v>
      </c>
      <c r="B286" s="12" t="s">
        <v>87</v>
      </c>
      <c r="C286" s="10" t="s">
        <v>1961</v>
      </c>
      <c r="D286" s="12" t="s">
        <v>1962</v>
      </c>
      <c r="E286" s="10" t="s">
        <v>1963</v>
      </c>
      <c r="F286" s="12" t="s">
        <v>77</v>
      </c>
      <c r="G286" s="12" t="n">
        <v>1.4</v>
      </c>
      <c r="H286" s="26" t="n">
        <v>1444.1174</v>
      </c>
      <c r="I286" s="10" t="s">
        <v>1116</v>
      </c>
      <c r="J286" s="30" t="s">
        <v>1159</v>
      </c>
      <c r="K286" s="10" t="s">
        <v>1964</v>
      </c>
    </row>
    <row r="287" customFormat="false" ht="23.85" hidden="false" customHeight="false" outlineLevel="0" collapsed="false">
      <c r="A287" s="12" t="s">
        <v>27</v>
      </c>
      <c r="B287" s="12" t="s">
        <v>87</v>
      </c>
      <c r="C287" s="10" t="s">
        <v>1965</v>
      </c>
      <c r="D287" s="12" t="s">
        <v>1179</v>
      </c>
      <c r="E287" s="10" t="s">
        <v>1180</v>
      </c>
      <c r="F287" s="12" t="s">
        <v>77</v>
      </c>
      <c r="G287" s="12"/>
      <c r="H287" s="26"/>
      <c r="I287" s="10" t="s">
        <v>1275</v>
      </c>
      <c r="J287" s="12"/>
      <c r="K287" s="10" t="s">
        <v>1276</v>
      </c>
    </row>
    <row r="288" customFormat="false" ht="23.85" hidden="false" customHeight="false" outlineLevel="0" collapsed="false">
      <c r="A288" s="12" t="s">
        <v>27</v>
      </c>
      <c r="B288" s="12" t="s">
        <v>87</v>
      </c>
      <c r="C288" s="10" t="s">
        <v>1966</v>
      </c>
      <c r="D288" s="12" t="s">
        <v>1967</v>
      </c>
      <c r="E288" s="10" t="s">
        <v>1522</v>
      </c>
      <c r="F288" s="12" t="s">
        <v>77</v>
      </c>
      <c r="G288" s="12" t="n">
        <v>1</v>
      </c>
      <c r="H288" s="26" t="n">
        <v>118.13</v>
      </c>
      <c r="I288" s="10" t="s">
        <v>1539</v>
      </c>
      <c r="J288" s="30" t="s">
        <v>1968</v>
      </c>
      <c r="K288" s="10" t="s">
        <v>1969</v>
      </c>
    </row>
    <row r="289" customFormat="false" ht="23.85" hidden="false" customHeight="false" outlineLevel="0" collapsed="false">
      <c r="A289" s="12" t="s">
        <v>27</v>
      </c>
      <c r="B289" s="12" t="s">
        <v>87</v>
      </c>
      <c r="C289" s="10" t="s">
        <v>1966</v>
      </c>
      <c r="D289" s="12" t="s">
        <v>1970</v>
      </c>
      <c r="E289" s="10" t="s">
        <v>1536</v>
      </c>
      <c r="F289" s="12" t="s">
        <v>77</v>
      </c>
      <c r="G289" s="12" t="n">
        <v>1.4</v>
      </c>
      <c r="H289" s="26" t="n">
        <v>102.88</v>
      </c>
      <c r="I289" s="10" t="s">
        <v>1539</v>
      </c>
      <c r="J289" s="30" t="s">
        <v>1968</v>
      </c>
      <c r="K289" s="10" t="s">
        <v>1969</v>
      </c>
    </row>
    <row r="290" customFormat="false" ht="23.85" hidden="false" customHeight="false" outlineLevel="0" collapsed="false">
      <c r="A290" s="12" t="s">
        <v>27</v>
      </c>
      <c r="B290" s="12" t="s">
        <v>87</v>
      </c>
      <c r="C290" s="10" t="s">
        <v>1966</v>
      </c>
      <c r="D290" s="12" t="s">
        <v>1971</v>
      </c>
      <c r="E290" s="10" t="s">
        <v>1972</v>
      </c>
      <c r="F290" s="12" t="s">
        <v>77</v>
      </c>
      <c r="G290" s="12" t="n">
        <v>0.4</v>
      </c>
      <c r="H290" s="26" t="n">
        <v>92.78</v>
      </c>
      <c r="I290" s="10" t="s">
        <v>1539</v>
      </c>
      <c r="J290" s="30" t="s">
        <v>1968</v>
      </c>
      <c r="K290" s="10" t="s">
        <v>1969</v>
      </c>
    </row>
    <row r="291" customFormat="false" ht="46.25" hidden="false" customHeight="false" outlineLevel="0" collapsed="false">
      <c r="A291" s="12" t="s">
        <v>27</v>
      </c>
      <c r="B291" s="12" t="s">
        <v>87</v>
      </c>
      <c r="C291" s="10" t="s">
        <v>1966</v>
      </c>
      <c r="D291" s="12" t="s">
        <v>1973</v>
      </c>
      <c r="E291" s="10" t="s">
        <v>1678</v>
      </c>
      <c r="F291" s="12" t="s">
        <v>77</v>
      </c>
      <c r="G291" s="12" t="n">
        <v>10</v>
      </c>
      <c r="H291" s="26" t="n">
        <v>102.88</v>
      </c>
      <c r="I291" s="10" t="s">
        <v>1116</v>
      </c>
      <c r="J291" s="30" t="s">
        <v>1196</v>
      </c>
      <c r="K291" s="10" t="s">
        <v>1974</v>
      </c>
    </row>
    <row r="292" customFormat="false" ht="35.05" hidden="false" customHeight="false" outlineLevel="0" collapsed="false">
      <c r="A292" s="12" t="s">
        <v>27</v>
      </c>
      <c r="B292" s="12" t="s">
        <v>227</v>
      </c>
      <c r="C292" s="10" t="s">
        <v>227</v>
      </c>
      <c r="D292" s="12" t="s">
        <v>1915</v>
      </c>
      <c r="E292" s="10" t="s">
        <v>1975</v>
      </c>
      <c r="F292" s="12" t="s">
        <v>77</v>
      </c>
      <c r="G292" s="12" t="n">
        <v>5</v>
      </c>
      <c r="H292" s="26" t="n">
        <v>29.45</v>
      </c>
      <c r="I292" s="10" t="s">
        <v>1116</v>
      </c>
      <c r="J292" s="30" t="s">
        <v>1976</v>
      </c>
      <c r="K292" s="10" t="s">
        <v>1977</v>
      </c>
    </row>
    <row r="293" customFormat="false" ht="46.25" hidden="false" customHeight="false" outlineLevel="0" collapsed="false">
      <c r="A293" s="12" t="s">
        <v>27</v>
      </c>
      <c r="B293" s="12" t="s">
        <v>227</v>
      </c>
      <c r="C293" s="10" t="s">
        <v>1978</v>
      </c>
      <c r="D293" s="12" t="s">
        <v>1303</v>
      </c>
      <c r="E293" s="10" t="s">
        <v>1975</v>
      </c>
      <c r="F293" s="12" t="s">
        <v>77</v>
      </c>
      <c r="G293" s="12" t="n">
        <v>5</v>
      </c>
      <c r="H293" s="26" t="n">
        <v>48.3866</v>
      </c>
      <c r="I293" s="10" t="s">
        <v>1116</v>
      </c>
      <c r="J293" s="30" t="s">
        <v>1979</v>
      </c>
      <c r="K293" s="10" t="s">
        <v>1980</v>
      </c>
    </row>
    <row r="294" customFormat="false" ht="46.25" hidden="false" customHeight="false" outlineLevel="0" collapsed="false">
      <c r="A294" s="12" t="s">
        <v>27</v>
      </c>
      <c r="B294" s="12" t="s">
        <v>229</v>
      </c>
      <c r="C294" s="10" t="s">
        <v>1216</v>
      </c>
      <c r="D294" s="12" t="s">
        <v>1217</v>
      </c>
      <c r="E294" s="10" t="s">
        <v>1981</v>
      </c>
      <c r="F294" s="12" t="s">
        <v>77</v>
      </c>
      <c r="G294" s="12" t="n">
        <v>1</v>
      </c>
      <c r="H294" s="26" t="n">
        <v>14.96</v>
      </c>
      <c r="I294" s="10" t="s">
        <v>1116</v>
      </c>
      <c r="J294" s="30" t="s">
        <v>1219</v>
      </c>
      <c r="K294" s="10" t="s">
        <v>1982</v>
      </c>
    </row>
    <row r="295" customFormat="false" ht="35.05" hidden="false" customHeight="false" outlineLevel="0" collapsed="false">
      <c r="A295" s="12" t="s">
        <v>27</v>
      </c>
      <c r="B295" s="12" t="s">
        <v>237</v>
      </c>
      <c r="C295" s="10" t="s">
        <v>237</v>
      </c>
      <c r="D295" s="12" t="s">
        <v>1385</v>
      </c>
      <c r="E295" s="10"/>
      <c r="F295" s="12" t="s">
        <v>95</v>
      </c>
      <c r="G295" s="12"/>
      <c r="H295" s="26" t="n">
        <v>0.65</v>
      </c>
      <c r="I295" s="10" t="s">
        <v>1121</v>
      </c>
      <c r="J295" s="30" t="s">
        <v>1122</v>
      </c>
      <c r="K295" s="10" t="s">
        <v>1983</v>
      </c>
    </row>
    <row r="296" customFormat="false" ht="35.05" hidden="false" customHeight="false" outlineLevel="0" collapsed="false">
      <c r="A296" s="12" t="s">
        <v>27</v>
      </c>
      <c r="B296" s="12" t="s">
        <v>104</v>
      </c>
      <c r="C296" s="10" t="s">
        <v>104</v>
      </c>
      <c r="D296" s="12" t="s">
        <v>1543</v>
      </c>
      <c r="E296" s="10" t="s">
        <v>1237</v>
      </c>
      <c r="F296" s="12" t="s">
        <v>77</v>
      </c>
      <c r="G296" s="12"/>
      <c r="H296" s="26" t="n">
        <v>73.77</v>
      </c>
      <c r="I296" s="10" t="s">
        <v>1116</v>
      </c>
      <c r="J296" s="30" t="s">
        <v>1984</v>
      </c>
      <c r="K296" s="10" t="s">
        <v>1985</v>
      </c>
    </row>
    <row r="297" customFormat="false" ht="46.25" hidden="false" customHeight="false" outlineLevel="0" collapsed="false">
      <c r="A297" s="12" t="s">
        <v>27</v>
      </c>
      <c r="B297" s="12" t="s">
        <v>104</v>
      </c>
      <c r="C297" s="10" t="s">
        <v>1986</v>
      </c>
      <c r="D297" s="12" t="s">
        <v>1236</v>
      </c>
      <c r="E297" s="10" t="s">
        <v>1237</v>
      </c>
      <c r="F297" s="12" t="s">
        <v>77</v>
      </c>
      <c r="G297" s="12"/>
      <c r="H297" s="26" t="n">
        <v>93.7335</v>
      </c>
      <c r="I297" s="10" t="s">
        <v>1116</v>
      </c>
      <c r="J297" s="30" t="s">
        <v>1159</v>
      </c>
      <c r="K297" s="10" t="s">
        <v>1987</v>
      </c>
    </row>
    <row r="298" customFormat="false" ht="35.05" hidden="false" customHeight="false" outlineLevel="0" collapsed="false">
      <c r="A298" s="12" t="s">
        <v>27</v>
      </c>
      <c r="B298" s="12" t="s">
        <v>497</v>
      </c>
      <c r="C298" s="10" t="s">
        <v>1988</v>
      </c>
      <c r="D298" s="12" t="s">
        <v>1989</v>
      </c>
      <c r="E298" s="10" t="s">
        <v>1990</v>
      </c>
      <c r="F298" s="12" t="s">
        <v>196</v>
      </c>
      <c r="G298" s="12" t="n">
        <v>5</v>
      </c>
      <c r="H298" s="26" t="n">
        <v>30.23</v>
      </c>
      <c r="I298" s="10" t="s">
        <v>1539</v>
      </c>
      <c r="J298" s="12"/>
      <c r="K298" s="10" t="s">
        <v>1991</v>
      </c>
    </row>
    <row r="299" customFormat="false" ht="35.05" hidden="false" customHeight="false" outlineLevel="0" collapsed="false">
      <c r="A299" s="12" t="s">
        <v>27</v>
      </c>
      <c r="B299" s="12" t="s">
        <v>176</v>
      </c>
      <c r="C299" s="10" t="s">
        <v>1860</v>
      </c>
      <c r="D299" s="12" t="s">
        <v>1992</v>
      </c>
      <c r="E299" s="10"/>
      <c r="F299" s="12" t="s">
        <v>95</v>
      </c>
      <c r="G299" s="12"/>
      <c r="H299" s="26" t="n">
        <v>69.18</v>
      </c>
      <c r="I299" s="10" t="s">
        <v>1569</v>
      </c>
      <c r="J299" s="30" t="s">
        <v>1570</v>
      </c>
      <c r="K299" s="10" t="s">
        <v>1993</v>
      </c>
    </row>
    <row r="300" customFormat="false" ht="35.05" hidden="false" customHeight="false" outlineLevel="0" collapsed="false">
      <c r="A300" s="12" t="s">
        <v>27</v>
      </c>
      <c r="B300" s="12" t="s">
        <v>494</v>
      </c>
      <c r="C300" s="10" t="s">
        <v>1994</v>
      </c>
      <c r="D300" s="12" t="s">
        <v>1995</v>
      </c>
      <c r="E300" s="10" t="s">
        <v>1996</v>
      </c>
      <c r="F300" s="12" t="s">
        <v>77</v>
      </c>
      <c r="G300" s="12" t="n">
        <v>20</v>
      </c>
      <c r="H300" s="26" t="n">
        <v>1.91</v>
      </c>
      <c r="I300" s="10" t="s">
        <v>1569</v>
      </c>
      <c r="J300" s="30" t="s">
        <v>1570</v>
      </c>
      <c r="K300" s="10" t="s">
        <v>1997</v>
      </c>
    </row>
    <row r="301" customFormat="false" ht="46.25" hidden="false" customHeight="false" outlineLevel="0" collapsed="false">
      <c r="A301" s="12" t="s">
        <v>27</v>
      </c>
      <c r="B301" s="12" t="s">
        <v>181</v>
      </c>
      <c r="C301" s="10" t="s">
        <v>181</v>
      </c>
      <c r="D301" s="12" t="s">
        <v>1998</v>
      </c>
      <c r="E301" s="10" t="s">
        <v>1999</v>
      </c>
      <c r="F301" s="12" t="s">
        <v>77</v>
      </c>
      <c r="G301" s="12" t="n">
        <v>50</v>
      </c>
      <c r="H301" s="26" t="n">
        <v>9.12</v>
      </c>
      <c r="I301" s="10" t="s">
        <v>1116</v>
      </c>
      <c r="J301" s="30" t="s">
        <v>2000</v>
      </c>
      <c r="K301" s="10" t="s">
        <v>2001</v>
      </c>
    </row>
    <row r="302" customFormat="false" ht="35.05" hidden="false" customHeight="false" outlineLevel="0" collapsed="false">
      <c r="A302" s="12" t="s">
        <v>27</v>
      </c>
      <c r="B302" s="12" t="s">
        <v>129</v>
      </c>
      <c r="C302" s="10" t="s">
        <v>129</v>
      </c>
      <c r="D302" s="12" t="s">
        <v>1865</v>
      </c>
      <c r="E302" s="10" t="s">
        <v>1866</v>
      </c>
      <c r="F302" s="12" t="s">
        <v>77</v>
      </c>
      <c r="G302" s="12" t="n">
        <v>10</v>
      </c>
      <c r="H302" s="26" t="n">
        <v>35.22</v>
      </c>
      <c r="I302" s="10" t="s">
        <v>1116</v>
      </c>
      <c r="J302" s="30" t="s">
        <v>2002</v>
      </c>
      <c r="K302" s="10" t="s">
        <v>2003</v>
      </c>
    </row>
    <row r="303" customFormat="false" ht="79.85" hidden="false" customHeight="false" outlineLevel="0" collapsed="false">
      <c r="A303" s="12" t="s">
        <v>27</v>
      </c>
      <c r="B303" s="12" t="s">
        <v>129</v>
      </c>
      <c r="C303" s="10" t="s">
        <v>2004</v>
      </c>
      <c r="D303" s="12" t="s">
        <v>1339</v>
      </c>
      <c r="E303" s="10" t="s">
        <v>2005</v>
      </c>
      <c r="F303" s="12" t="s">
        <v>77</v>
      </c>
      <c r="G303" s="12" t="n">
        <v>10</v>
      </c>
      <c r="H303" s="26" t="n">
        <v>147.804</v>
      </c>
      <c r="I303" s="10" t="s">
        <v>1116</v>
      </c>
      <c r="J303" s="30" t="s">
        <v>2006</v>
      </c>
      <c r="K303" s="10" t="s">
        <v>2007</v>
      </c>
    </row>
    <row r="304" customFormat="false" ht="68.65" hidden="false" customHeight="false" outlineLevel="0" collapsed="false">
      <c r="A304" s="12" t="s">
        <v>27</v>
      </c>
      <c r="B304" s="12" t="s">
        <v>129</v>
      </c>
      <c r="C304" s="10" t="s">
        <v>2008</v>
      </c>
      <c r="D304" s="12" t="s">
        <v>1339</v>
      </c>
      <c r="E304" s="10" t="s">
        <v>1866</v>
      </c>
      <c r="F304" s="12" t="s">
        <v>77</v>
      </c>
      <c r="G304" s="12" t="n">
        <v>10</v>
      </c>
      <c r="H304" s="26" t="n">
        <v>95.2025</v>
      </c>
      <c r="I304" s="10" t="s">
        <v>1116</v>
      </c>
      <c r="J304" s="30" t="s">
        <v>1159</v>
      </c>
      <c r="K304" s="10" t="s">
        <v>1341</v>
      </c>
    </row>
    <row r="305" customFormat="false" ht="46.25" hidden="false" customHeight="false" outlineLevel="0" collapsed="false">
      <c r="A305" s="12" t="s">
        <v>27</v>
      </c>
      <c r="B305" s="12" t="s">
        <v>283</v>
      </c>
      <c r="C305" s="10" t="s">
        <v>1128</v>
      </c>
      <c r="D305" s="12" t="s">
        <v>1133</v>
      </c>
      <c r="E305" s="10"/>
      <c r="F305" s="12" t="s">
        <v>95</v>
      </c>
      <c r="G305" s="12" t="n">
        <v>2</v>
      </c>
      <c r="H305" s="26" t="n">
        <v>7.15</v>
      </c>
      <c r="I305" s="10" t="s">
        <v>1116</v>
      </c>
      <c r="J305" s="30" t="s">
        <v>1131</v>
      </c>
      <c r="K305" s="10" t="s">
        <v>2009</v>
      </c>
    </row>
    <row r="306" customFormat="false" ht="46.25" hidden="false" customHeight="false" outlineLevel="0" collapsed="false">
      <c r="A306" s="12" t="s">
        <v>27</v>
      </c>
      <c r="B306" s="12" t="s">
        <v>393</v>
      </c>
      <c r="C306" s="10" t="s">
        <v>2010</v>
      </c>
      <c r="D306" s="12" t="s">
        <v>2011</v>
      </c>
      <c r="E306" s="10" t="s">
        <v>1241</v>
      </c>
      <c r="F306" s="12" t="s">
        <v>77</v>
      </c>
      <c r="G306" s="12" t="n">
        <v>5</v>
      </c>
      <c r="H306" s="26" t="n">
        <v>13.99</v>
      </c>
      <c r="I306" s="10" t="s">
        <v>1116</v>
      </c>
      <c r="J306" s="30" t="s">
        <v>1196</v>
      </c>
      <c r="K306" s="10" t="s">
        <v>2012</v>
      </c>
    </row>
    <row r="307" customFormat="false" ht="35.05" hidden="false" customHeight="false" outlineLevel="0" collapsed="false">
      <c r="A307" s="12" t="s">
        <v>27</v>
      </c>
      <c r="B307" s="12" t="s">
        <v>179</v>
      </c>
      <c r="C307" s="10" t="s">
        <v>179</v>
      </c>
      <c r="D307" s="12" t="s">
        <v>1421</v>
      </c>
      <c r="E307" s="10" t="s">
        <v>1422</v>
      </c>
      <c r="F307" s="12" t="s">
        <v>77</v>
      </c>
      <c r="G307" s="12"/>
      <c r="H307" s="26" t="n">
        <v>6.61</v>
      </c>
      <c r="I307" s="10" t="s">
        <v>1116</v>
      </c>
      <c r="J307" s="30" t="s">
        <v>1423</v>
      </c>
      <c r="K307" s="10" t="s">
        <v>1424</v>
      </c>
    </row>
    <row r="308" customFormat="false" ht="46.25" hidden="false" customHeight="false" outlineLevel="0" collapsed="false">
      <c r="A308" s="12" t="s">
        <v>27</v>
      </c>
      <c r="B308" s="12" t="s">
        <v>179</v>
      </c>
      <c r="C308" s="10" t="s">
        <v>2013</v>
      </c>
      <c r="D308" s="12" t="s">
        <v>1857</v>
      </c>
      <c r="E308" s="10" t="s">
        <v>1892</v>
      </c>
      <c r="F308" s="12" t="s">
        <v>77</v>
      </c>
      <c r="G308" s="12"/>
      <c r="H308" s="26" t="n">
        <v>5.5596</v>
      </c>
      <c r="I308" s="10" t="s">
        <v>1116</v>
      </c>
      <c r="J308" s="30" t="s">
        <v>1159</v>
      </c>
      <c r="K308" s="10" t="s">
        <v>2014</v>
      </c>
    </row>
    <row r="309" customFormat="false" ht="46.25" hidden="false" customHeight="false" outlineLevel="0" collapsed="false">
      <c r="A309" s="12" t="s">
        <v>27</v>
      </c>
      <c r="B309" s="12" t="s">
        <v>109</v>
      </c>
      <c r="C309" s="10" t="s">
        <v>109</v>
      </c>
      <c r="D309" s="12" t="s">
        <v>1430</v>
      </c>
      <c r="E309" s="10" t="s">
        <v>2015</v>
      </c>
      <c r="F309" s="12" t="s">
        <v>77</v>
      </c>
      <c r="G309" s="12" t="n">
        <v>1.2</v>
      </c>
      <c r="H309" s="26" t="n">
        <v>343.8</v>
      </c>
      <c r="I309" s="10" t="s">
        <v>1116</v>
      </c>
      <c r="J309" s="30" t="s">
        <v>1432</v>
      </c>
      <c r="K309" s="10" t="s">
        <v>1433</v>
      </c>
    </row>
    <row r="310" customFormat="false" ht="46.25" hidden="false" customHeight="false" outlineLevel="0" collapsed="false">
      <c r="A310" s="12" t="s">
        <v>27</v>
      </c>
      <c r="B310" s="12" t="s">
        <v>109</v>
      </c>
      <c r="C310" s="10" t="s">
        <v>109</v>
      </c>
      <c r="D310" s="12" t="s">
        <v>1320</v>
      </c>
      <c r="E310" s="10" t="s">
        <v>1434</v>
      </c>
      <c r="F310" s="12" t="s">
        <v>77</v>
      </c>
      <c r="G310" s="12" t="n">
        <v>1.2</v>
      </c>
      <c r="H310" s="26" t="n">
        <v>6345.6</v>
      </c>
      <c r="I310" s="10" t="s">
        <v>1116</v>
      </c>
      <c r="J310" s="30" t="s">
        <v>1435</v>
      </c>
      <c r="K310" s="10" t="s">
        <v>1436</v>
      </c>
    </row>
    <row r="311" customFormat="false" ht="57.45" hidden="false" customHeight="false" outlineLevel="0" collapsed="false">
      <c r="A311" s="12" t="s">
        <v>27</v>
      </c>
      <c r="B311" s="12" t="s">
        <v>109</v>
      </c>
      <c r="C311" s="10" t="s">
        <v>2016</v>
      </c>
      <c r="D311" s="12" t="s">
        <v>1438</v>
      </c>
      <c r="E311" s="10" t="s">
        <v>1434</v>
      </c>
      <c r="F311" s="12" t="s">
        <v>77</v>
      </c>
      <c r="G311" s="12" t="n">
        <v>1.2</v>
      </c>
      <c r="H311" s="26" t="n">
        <v>7322.4226</v>
      </c>
      <c r="I311" s="10" t="s">
        <v>1116</v>
      </c>
      <c r="J311" s="30" t="s">
        <v>1159</v>
      </c>
      <c r="K311" s="10" t="s">
        <v>2017</v>
      </c>
    </row>
    <row r="312" customFormat="false" ht="23.85" hidden="false" customHeight="false" outlineLevel="0" collapsed="false">
      <c r="A312" s="12" t="s">
        <v>27</v>
      </c>
      <c r="B312" s="12" t="s">
        <v>109</v>
      </c>
      <c r="C312" s="10" t="s">
        <v>2018</v>
      </c>
      <c r="D312" s="12" t="s">
        <v>2019</v>
      </c>
      <c r="E312" s="10" t="s">
        <v>1434</v>
      </c>
      <c r="F312" s="12" t="s">
        <v>77</v>
      </c>
      <c r="G312" s="12" t="n">
        <v>1.2</v>
      </c>
      <c r="H312" s="26" t="n">
        <v>3147.91</v>
      </c>
      <c r="I312" s="10" t="s">
        <v>1539</v>
      </c>
      <c r="J312" s="30" t="s">
        <v>2020</v>
      </c>
      <c r="K312" s="10" t="s">
        <v>2021</v>
      </c>
    </row>
    <row r="313" customFormat="false" ht="35.05" hidden="false" customHeight="false" outlineLevel="0" collapsed="false">
      <c r="A313" s="12" t="s">
        <v>27</v>
      </c>
      <c r="B313" s="12" t="s">
        <v>471</v>
      </c>
      <c r="C313" s="10" t="s">
        <v>471</v>
      </c>
      <c r="D313" s="12" t="s">
        <v>1606</v>
      </c>
      <c r="E313" s="10"/>
      <c r="F313" s="12" t="s">
        <v>95</v>
      </c>
      <c r="G313" s="12"/>
      <c r="H313" s="26" t="n">
        <v>1.86</v>
      </c>
      <c r="I313" s="10" t="s">
        <v>1121</v>
      </c>
      <c r="J313" s="30" t="s">
        <v>1122</v>
      </c>
      <c r="K313" s="10" t="s">
        <v>2022</v>
      </c>
    </row>
    <row r="314" customFormat="false" ht="57.45" hidden="false" customHeight="false" outlineLevel="0" collapsed="false">
      <c r="A314" s="12" t="s">
        <v>27</v>
      </c>
      <c r="B314" s="12" t="s">
        <v>488</v>
      </c>
      <c r="C314" s="10" t="s">
        <v>2023</v>
      </c>
      <c r="D314" s="12" t="s">
        <v>2024</v>
      </c>
      <c r="E314" s="10" t="s">
        <v>1975</v>
      </c>
      <c r="F314" s="12" t="s">
        <v>77</v>
      </c>
      <c r="G314" s="12" t="n">
        <v>5</v>
      </c>
      <c r="H314" s="26" t="n">
        <v>6.1698</v>
      </c>
      <c r="I314" s="10" t="s">
        <v>1116</v>
      </c>
      <c r="J314" s="30" t="s">
        <v>1159</v>
      </c>
      <c r="K314" s="10" t="s">
        <v>2025</v>
      </c>
    </row>
    <row r="315" customFormat="false" ht="46.25" hidden="false" customHeight="false" outlineLevel="0" collapsed="false">
      <c r="A315" s="12" t="s">
        <v>27</v>
      </c>
      <c r="B315" s="12" t="s">
        <v>491</v>
      </c>
      <c r="C315" s="10" t="s">
        <v>491</v>
      </c>
      <c r="D315" s="12" t="s">
        <v>2026</v>
      </c>
      <c r="E315" s="10" t="s">
        <v>2027</v>
      </c>
      <c r="F315" s="12" t="s">
        <v>77</v>
      </c>
      <c r="G315" s="12" t="n">
        <v>10</v>
      </c>
      <c r="H315" s="26" t="n">
        <v>6.53</v>
      </c>
      <c r="I315" s="10" t="s">
        <v>1116</v>
      </c>
      <c r="J315" s="30" t="s">
        <v>2028</v>
      </c>
      <c r="K315" s="10" t="s">
        <v>2029</v>
      </c>
    </row>
    <row r="316" customFormat="false" ht="35.05" hidden="false" customHeight="false" outlineLevel="0" collapsed="false">
      <c r="A316" s="12" t="s">
        <v>27</v>
      </c>
      <c r="B316" s="12" t="s">
        <v>260</v>
      </c>
      <c r="C316" s="10" t="s">
        <v>1777</v>
      </c>
      <c r="D316" s="12" t="s">
        <v>1778</v>
      </c>
      <c r="E316" s="10" t="s">
        <v>2030</v>
      </c>
      <c r="F316" s="12" t="s">
        <v>77</v>
      </c>
      <c r="G316" s="12" t="n">
        <v>10</v>
      </c>
      <c r="H316" s="26" t="n">
        <v>5.56</v>
      </c>
      <c r="I316" s="10" t="s">
        <v>1569</v>
      </c>
      <c r="J316" s="30" t="s">
        <v>1570</v>
      </c>
      <c r="K316" s="10" t="s">
        <v>2031</v>
      </c>
    </row>
    <row r="317" customFormat="false" ht="46.25" hidden="false" customHeight="false" outlineLevel="0" collapsed="false">
      <c r="A317" s="12" t="s">
        <v>27</v>
      </c>
      <c r="B317" s="12" t="s">
        <v>116</v>
      </c>
      <c r="C317" s="10" t="s">
        <v>1782</v>
      </c>
      <c r="D317" s="12" t="s">
        <v>1783</v>
      </c>
      <c r="E317" s="10" t="s">
        <v>2032</v>
      </c>
      <c r="F317" s="12" t="s">
        <v>77</v>
      </c>
      <c r="G317" s="12" t="n">
        <v>2</v>
      </c>
      <c r="H317" s="26" t="n">
        <v>21.78</v>
      </c>
      <c r="I317" s="10" t="s">
        <v>1116</v>
      </c>
      <c r="J317" s="30" t="s">
        <v>1785</v>
      </c>
      <c r="K317" s="10" t="s">
        <v>2033</v>
      </c>
    </row>
    <row r="318" customFormat="false" ht="46.25" hidden="false" customHeight="false" outlineLevel="0" collapsed="false">
      <c r="A318" s="12" t="s">
        <v>27</v>
      </c>
      <c r="B318" s="12" t="s">
        <v>116</v>
      </c>
      <c r="C318" s="10" t="s">
        <v>1782</v>
      </c>
      <c r="D318" s="12" t="s">
        <v>1787</v>
      </c>
      <c r="E318" s="10" t="s">
        <v>1788</v>
      </c>
      <c r="F318" s="12" t="s">
        <v>77</v>
      </c>
      <c r="G318" s="12" t="n">
        <v>5</v>
      </c>
      <c r="H318" s="26" t="n">
        <v>48.28</v>
      </c>
      <c r="I318" s="10" t="s">
        <v>1116</v>
      </c>
      <c r="J318" s="30" t="s">
        <v>1785</v>
      </c>
      <c r="K318" s="10" t="s">
        <v>1789</v>
      </c>
    </row>
    <row r="319" customFormat="false" ht="35.05" hidden="false" customHeight="false" outlineLevel="0" collapsed="false">
      <c r="A319" s="12" t="s">
        <v>27</v>
      </c>
      <c r="B319" s="12" t="s">
        <v>116</v>
      </c>
      <c r="C319" s="10" t="s">
        <v>116</v>
      </c>
      <c r="D319" s="12" t="s">
        <v>1500</v>
      </c>
      <c r="E319" s="10" t="s">
        <v>1626</v>
      </c>
      <c r="F319" s="12" t="s">
        <v>77</v>
      </c>
      <c r="G319" s="12" t="n">
        <v>2</v>
      </c>
      <c r="H319" s="26" t="n">
        <v>67.02</v>
      </c>
      <c r="I319" s="10" t="s">
        <v>1116</v>
      </c>
      <c r="J319" s="30" t="s">
        <v>1950</v>
      </c>
      <c r="K319" s="10" t="s">
        <v>1951</v>
      </c>
    </row>
    <row r="320" customFormat="false" ht="57.45" hidden="false" customHeight="false" outlineLevel="0" collapsed="false">
      <c r="A320" s="12" t="s">
        <v>27</v>
      </c>
      <c r="B320" s="12" t="s">
        <v>116</v>
      </c>
      <c r="C320" s="10" t="s">
        <v>2034</v>
      </c>
      <c r="D320" s="12" t="s">
        <v>1792</v>
      </c>
      <c r="E320" s="10" t="s">
        <v>2035</v>
      </c>
      <c r="F320" s="12" t="s">
        <v>95</v>
      </c>
      <c r="G320" s="12" t="n">
        <v>2</v>
      </c>
      <c r="H320" s="26" t="n">
        <v>65.0089</v>
      </c>
      <c r="I320" s="10" t="s">
        <v>1116</v>
      </c>
      <c r="J320" s="30" t="s">
        <v>1618</v>
      </c>
      <c r="K320" s="10" t="s">
        <v>2036</v>
      </c>
    </row>
    <row r="321" customFormat="false" ht="23.85" hidden="false" customHeight="false" outlineLevel="0" collapsed="false">
      <c r="A321" s="12" t="s">
        <v>27</v>
      </c>
      <c r="B321" s="12" t="s">
        <v>116</v>
      </c>
      <c r="C321" s="10" t="s">
        <v>2037</v>
      </c>
      <c r="D321" s="12" t="s">
        <v>2038</v>
      </c>
      <c r="E321" s="10" t="s">
        <v>2039</v>
      </c>
      <c r="F321" s="12" t="s">
        <v>196</v>
      </c>
      <c r="G321" s="12" t="n">
        <v>2</v>
      </c>
      <c r="H321" s="26" t="n">
        <v>8.68</v>
      </c>
      <c r="I321" s="10" t="s">
        <v>1539</v>
      </c>
      <c r="J321" s="30" t="s">
        <v>2040</v>
      </c>
      <c r="K321" s="10" t="s">
        <v>2041</v>
      </c>
    </row>
    <row r="322" customFormat="false" ht="46.25" hidden="false" customHeight="false" outlineLevel="0" collapsed="false">
      <c r="A322" s="12" t="s">
        <v>27</v>
      </c>
      <c r="B322" s="12" t="s">
        <v>173</v>
      </c>
      <c r="C322" s="10" t="s">
        <v>173</v>
      </c>
      <c r="D322" s="12" t="s">
        <v>2042</v>
      </c>
      <c r="E322" s="10" t="s">
        <v>2043</v>
      </c>
      <c r="F322" s="12" t="s">
        <v>77</v>
      </c>
      <c r="G322" s="12"/>
      <c r="H322" s="26" t="n">
        <v>10.85</v>
      </c>
      <c r="I322" s="10" t="s">
        <v>1116</v>
      </c>
      <c r="J322" s="30" t="s">
        <v>1309</v>
      </c>
      <c r="K322" s="10" t="s">
        <v>2044</v>
      </c>
    </row>
    <row r="323" customFormat="false" ht="57.45" hidden="false" customHeight="false" outlineLevel="0" collapsed="false">
      <c r="A323" s="12" t="s">
        <v>27</v>
      </c>
      <c r="B323" s="12" t="s">
        <v>173</v>
      </c>
      <c r="C323" s="10" t="s">
        <v>2045</v>
      </c>
      <c r="D323" s="12" t="s">
        <v>2046</v>
      </c>
      <c r="E323" s="10" t="s">
        <v>2047</v>
      </c>
      <c r="F323" s="12" t="s">
        <v>196</v>
      </c>
      <c r="G323" s="12" t="n">
        <v>3</v>
      </c>
      <c r="H323" s="26" t="n">
        <v>62.2065</v>
      </c>
      <c r="I323" s="10" t="s">
        <v>1116</v>
      </c>
      <c r="J323" s="30" t="s">
        <v>1159</v>
      </c>
      <c r="K323" s="10" t="s">
        <v>2048</v>
      </c>
    </row>
    <row r="324" customFormat="false" ht="35.05" hidden="false" customHeight="false" outlineLevel="0" collapsed="false">
      <c r="A324" s="12" t="s">
        <v>27</v>
      </c>
      <c r="B324" s="12" t="s">
        <v>256</v>
      </c>
      <c r="C324" s="10" t="s">
        <v>1515</v>
      </c>
      <c r="D324" s="12" t="s">
        <v>1516</v>
      </c>
      <c r="E324" s="10" t="s">
        <v>1140</v>
      </c>
      <c r="F324" s="12" t="s">
        <v>95</v>
      </c>
      <c r="G324" s="12"/>
      <c r="H324" s="26" t="n">
        <v>2.67</v>
      </c>
      <c r="I324" s="10" t="s">
        <v>1569</v>
      </c>
      <c r="J324" s="30" t="s">
        <v>1570</v>
      </c>
      <c r="K324" s="10" t="s">
        <v>2049</v>
      </c>
    </row>
    <row r="325" customFormat="false" ht="23.85" hidden="false" customHeight="false" outlineLevel="0" collapsed="false">
      <c r="A325" s="12" t="s">
        <v>19</v>
      </c>
      <c r="B325" s="12" t="s">
        <v>541</v>
      </c>
      <c r="C325" s="10" t="s">
        <v>2050</v>
      </c>
      <c r="D325" s="12" t="s">
        <v>2051</v>
      </c>
      <c r="E325" s="10" t="s">
        <v>2052</v>
      </c>
      <c r="F325" s="12" t="s">
        <v>83</v>
      </c>
      <c r="G325" s="12" t="n">
        <v>10</v>
      </c>
      <c r="H325" s="26"/>
      <c r="I325" s="10" t="s">
        <v>1275</v>
      </c>
      <c r="J325" s="12"/>
      <c r="K325" s="10" t="s">
        <v>1276</v>
      </c>
    </row>
    <row r="326" customFormat="false" ht="46.25" hidden="false" customHeight="false" outlineLevel="0" collapsed="false">
      <c r="A326" s="12" t="s">
        <v>19</v>
      </c>
      <c r="B326" s="12" t="s">
        <v>541</v>
      </c>
      <c r="C326" s="10" t="s">
        <v>2053</v>
      </c>
      <c r="D326" s="12" t="s">
        <v>2054</v>
      </c>
      <c r="E326" s="10" t="s">
        <v>2052</v>
      </c>
      <c r="F326" s="12" t="s">
        <v>83</v>
      </c>
      <c r="G326" s="12" t="n">
        <v>10</v>
      </c>
      <c r="H326" s="26" t="n">
        <v>14.69</v>
      </c>
      <c r="I326" s="10" t="s">
        <v>1116</v>
      </c>
      <c r="J326" s="30" t="s">
        <v>1196</v>
      </c>
      <c r="K326" s="10" t="s">
        <v>2055</v>
      </c>
    </row>
    <row r="327" customFormat="false" ht="23.85" hidden="false" customHeight="false" outlineLevel="0" collapsed="false">
      <c r="A327" s="12" t="s">
        <v>19</v>
      </c>
      <c r="B327" s="12" t="s">
        <v>92</v>
      </c>
      <c r="C327" s="10" t="s">
        <v>2056</v>
      </c>
      <c r="D327" s="12" t="s">
        <v>1343</v>
      </c>
      <c r="E327" s="10"/>
      <c r="F327" s="12" t="s">
        <v>95</v>
      </c>
      <c r="G327" s="12"/>
      <c r="H327" s="26"/>
      <c r="I327" s="10" t="s">
        <v>1293</v>
      </c>
      <c r="J327" s="12"/>
      <c r="K327" s="10" t="s">
        <v>2057</v>
      </c>
    </row>
    <row r="328" customFormat="false" ht="46.25" hidden="false" customHeight="false" outlineLevel="0" collapsed="false">
      <c r="A328" s="12" t="s">
        <v>19</v>
      </c>
      <c r="B328" s="12" t="s">
        <v>345</v>
      </c>
      <c r="C328" s="10" t="s">
        <v>1148</v>
      </c>
      <c r="D328" s="12" t="s">
        <v>1149</v>
      </c>
      <c r="E328" s="10" t="s">
        <v>2058</v>
      </c>
      <c r="F328" s="12" t="s">
        <v>77</v>
      </c>
      <c r="G328" s="12" t="n">
        <v>50</v>
      </c>
      <c r="H328" s="26" t="n">
        <v>90.4</v>
      </c>
      <c r="I328" s="10" t="s">
        <v>1116</v>
      </c>
      <c r="J328" s="30" t="s">
        <v>1151</v>
      </c>
      <c r="K328" s="10" t="s">
        <v>1152</v>
      </c>
    </row>
    <row r="329" customFormat="false" ht="46.25" hidden="false" customHeight="false" outlineLevel="0" collapsed="false">
      <c r="A329" s="12" t="s">
        <v>19</v>
      </c>
      <c r="B329" s="12" t="s">
        <v>558</v>
      </c>
      <c r="C329" s="10" t="s">
        <v>2059</v>
      </c>
      <c r="D329" s="12" t="s">
        <v>1303</v>
      </c>
      <c r="E329" s="10"/>
      <c r="F329" s="12" t="s">
        <v>95</v>
      </c>
      <c r="G329" s="12"/>
      <c r="H329" s="26" t="n">
        <v>5.4805</v>
      </c>
      <c r="I329" s="10" t="s">
        <v>1116</v>
      </c>
      <c r="J329" s="30" t="s">
        <v>2060</v>
      </c>
      <c r="K329" s="10" t="s">
        <v>2061</v>
      </c>
    </row>
    <row r="330" customFormat="false" ht="46.25" hidden="false" customHeight="false" outlineLevel="0" collapsed="false">
      <c r="A330" s="12" t="s">
        <v>19</v>
      </c>
      <c r="B330" s="12" t="s">
        <v>531</v>
      </c>
      <c r="C330" s="10" t="s">
        <v>2062</v>
      </c>
      <c r="D330" s="12" t="s">
        <v>2063</v>
      </c>
      <c r="E330" s="10" t="s">
        <v>2064</v>
      </c>
      <c r="F330" s="12" t="s">
        <v>83</v>
      </c>
      <c r="G330" s="12" t="n">
        <v>5</v>
      </c>
      <c r="H330" s="26" t="n">
        <v>31.1</v>
      </c>
      <c r="I330" s="10" t="s">
        <v>1116</v>
      </c>
      <c r="J330" s="30" t="s">
        <v>2065</v>
      </c>
      <c r="K330" s="10" t="s">
        <v>2066</v>
      </c>
    </row>
    <row r="331" customFormat="false" ht="35.05" hidden="false" customHeight="false" outlineLevel="0" collapsed="false">
      <c r="A331" s="12" t="s">
        <v>19</v>
      </c>
      <c r="B331" s="12" t="s">
        <v>531</v>
      </c>
      <c r="C331" s="10" t="s">
        <v>2062</v>
      </c>
      <c r="D331" s="12" t="s">
        <v>2067</v>
      </c>
      <c r="E331" s="10" t="s">
        <v>2068</v>
      </c>
      <c r="F331" s="12" t="s">
        <v>77</v>
      </c>
      <c r="G331" s="12" t="n">
        <v>1</v>
      </c>
      <c r="H331" s="26" t="n">
        <v>9.25</v>
      </c>
      <c r="I331" s="10" t="s">
        <v>1116</v>
      </c>
      <c r="J331" s="30" t="s">
        <v>2065</v>
      </c>
      <c r="K331" s="10" t="s">
        <v>2069</v>
      </c>
    </row>
    <row r="332" customFormat="false" ht="35.05" hidden="false" customHeight="false" outlineLevel="0" collapsed="false">
      <c r="A332" s="12" t="s">
        <v>19</v>
      </c>
      <c r="B332" s="12" t="s">
        <v>531</v>
      </c>
      <c r="C332" s="10" t="s">
        <v>2062</v>
      </c>
      <c r="D332" s="12" t="s">
        <v>2070</v>
      </c>
      <c r="E332" s="10" t="s">
        <v>2071</v>
      </c>
      <c r="F332" s="12" t="s">
        <v>83</v>
      </c>
      <c r="G332" s="12" t="n">
        <v>5</v>
      </c>
      <c r="H332" s="26" t="n">
        <v>8.8</v>
      </c>
      <c r="I332" s="10" t="s">
        <v>1116</v>
      </c>
      <c r="J332" s="30" t="s">
        <v>2065</v>
      </c>
      <c r="K332" s="10" t="s">
        <v>2072</v>
      </c>
    </row>
    <row r="333" customFormat="false" ht="46.25" hidden="false" customHeight="false" outlineLevel="0" collapsed="false">
      <c r="A333" s="12" t="s">
        <v>19</v>
      </c>
      <c r="B333" s="12" t="s">
        <v>531</v>
      </c>
      <c r="C333" s="10" t="s">
        <v>2062</v>
      </c>
      <c r="D333" s="12" t="s">
        <v>2073</v>
      </c>
      <c r="E333" s="10" t="s">
        <v>2074</v>
      </c>
      <c r="F333" s="12" t="s">
        <v>83</v>
      </c>
      <c r="G333" s="12" t="n">
        <v>10</v>
      </c>
      <c r="H333" s="26" t="n">
        <v>9.18</v>
      </c>
      <c r="I333" s="10" t="s">
        <v>1116</v>
      </c>
      <c r="J333" s="30" t="s">
        <v>2065</v>
      </c>
      <c r="K333" s="10" t="s">
        <v>2075</v>
      </c>
    </row>
    <row r="334" customFormat="false" ht="35.05" hidden="false" customHeight="false" outlineLevel="0" collapsed="false">
      <c r="A334" s="12" t="s">
        <v>19</v>
      </c>
      <c r="B334" s="12" t="s">
        <v>531</v>
      </c>
      <c r="C334" s="10" t="s">
        <v>2062</v>
      </c>
      <c r="D334" s="12" t="s">
        <v>2076</v>
      </c>
      <c r="E334" s="10" t="s">
        <v>2077</v>
      </c>
      <c r="F334" s="12" t="s">
        <v>77</v>
      </c>
      <c r="G334" s="12" t="n">
        <v>1</v>
      </c>
      <c r="H334" s="26" t="n">
        <v>12.74</v>
      </c>
      <c r="I334" s="10" t="s">
        <v>1116</v>
      </c>
      <c r="J334" s="30" t="s">
        <v>2065</v>
      </c>
      <c r="K334" s="10" t="s">
        <v>2078</v>
      </c>
    </row>
    <row r="335" customFormat="false" ht="35.05" hidden="false" customHeight="false" outlineLevel="0" collapsed="false">
      <c r="A335" s="12" t="s">
        <v>19</v>
      </c>
      <c r="B335" s="12" t="s">
        <v>531</v>
      </c>
      <c r="C335" s="10" t="s">
        <v>2062</v>
      </c>
      <c r="D335" s="12" t="s">
        <v>2079</v>
      </c>
      <c r="E335" s="10" t="s">
        <v>2080</v>
      </c>
      <c r="F335" s="12" t="s">
        <v>83</v>
      </c>
      <c r="G335" s="12"/>
      <c r="H335" s="26" t="n">
        <v>16.33</v>
      </c>
      <c r="I335" s="10" t="s">
        <v>1116</v>
      </c>
      <c r="J335" s="30" t="s">
        <v>2081</v>
      </c>
      <c r="K335" s="10" t="s">
        <v>2082</v>
      </c>
    </row>
    <row r="336" customFormat="false" ht="23.85" hidden="false" customHeight="false" outlineLevel="0" collapsed="false">
      <c r="A336" s="12" t="s">
        <v>19</v>
      </c>
      <c r="B336" s="12" t="s">
        <v>531</v>
      </c>
      <c r="C336" s="10" t="s">
        <v>2083</v>
      </c>
      <c r="D336" s="12" t="s">
        <v>2084</v>
      </c>
      <c r="E336" s="10" t="s">
        <v>2085</v>
      </c>
      <c r="F336" s="12" t="s">
        <v>83</v>
      </c>
      <c r="G336" s="12" t="n">
        <v>5</v>
      </c>
      <c r="H336" s="26" t="n">
        <v>22.2384</v>
      </c>
      <c r="I336" s="10" t="s">
        <v>1116</v>
      </c>
      <c r="J336" s="30" t="s">
        <v>2086</v>
      </c>
      <c r="K336" s="10" t="s">
        <v>2087</v>
      </c>
    </row>
    <row r="337" customFormat="false" ht="35.05" hidden="false" customHeight="false" outlineLevel="0" collapsed="false">
      <c r="A337" s="12" t="s">
        <v>19</v>
      </c>
      <c r="B337" s="12" t="s">
        <v>531</v>
      </c>
      <c r="C337" s="10" t="s">
        <v>2088</v>
      </c>
      <c r="D337" s="12" t="s">
        <v>2089</v>
      </c>
      <c r="E337" s="10" t="s">
        <v>2085</v>
      </c>
      <c r="F337" s="12" t="s">
        <v>83</v>
      </c>
      <c r="G337" s="12" t="n">
        <v>5</v>
      </c>
      <c r="H337" s="26" t="n">
        <v>22.2384</v>
      </c>
      <c r="I337" s="10" t="s">
        <v>1116</v>
      </c>
      <c r="J337" s="30" t="s">
        <v>2086</v>
      </c>
      <c r="K337" s="10" t="s">
        <v>2090</v>
      </c>
    </row>
    <row r="338" customFormat="false" ht="35.05" hidden="false" customHeight="false" outlineLevel="0" collapsed="false">
      <c r="A338" s="12" t="s">
        <v>19</v>
      </c>
      <c r="B338" s="12" t="s">
        <v>74</v>
      </c>
      <c r="C338" s="10" t="s">
        <v>2091</v>
      </c>
      <c r="D338" s="12" t="s">
        <v>1153</v>
      </c>
      <c r="E338" s="10" t="s">
        <v>2092</v>
      </c>
      <c r="F338" s="12" t="s">
        <v>77</v>
      </c>
      <c r="G338" s="12"/>
      <c r="H338" s="26" t="n">
        <v>360.71</v>
      </c>
      <c r="I338" s="10" t="s">
        <v>1116</v>
      </c>
      <c r="J338" s="30" t="s">
        <v>1155</v>
      </c>
      <c r="K338" s="10" t="s">
        <v>1156</v>
      </c>
    </row>
    <row r="339" customFormat="false" ht="23.85" hidden="false" customHeight="false" outlineLevel="0" collapsed="false">
      <c r="A339" s="12" t="s">
        <v>19</v>
      </c>
      <c r="B339" s="12" t="s">
        <v>74</v>
      </c>
      <c r="C339" s="10" t="s">
        <v>2091</v>
      </c>
      <c r="D339" s="12" t="s">
        <v>1158</v>
      </c>
      <c r="E339" s="10" t="s">
        <v>1154</v>
      </c>
      <c r="F339" s="12" t="s">
        <v>77</v>
      </c>
      <c r="G339" s="12"/>
      <c r="H339" s="26" t="n">
        <v>397.421</v>
      </c>
      <c r="I339" s="10" t="s">
        <v>1116</v>
      </c>
      <c r="J339" s="30" t="s">
        <v>1159</v>
      </c>
      <c r="K339" s="10" t="s">
        <v>2093</v>
      </c>
    </row>
    <row r="340" customFormat="false" ht="46.25" hidden="false" customHeight="false" outlineLevel="0" collapsed="false">
      <c r="A340" s="12" t="s">
        <v>19</v>
      </c>
      <c r="B340" s="12" t="s">
        <v>74</v>
      </c>
      <c r="C340" s="10" t="s">
        <v>2094</v>
      </c>
      <c r="D340" s="12" t="s">
        <v>1162</v>
      </c>
      <c r="E340" s="10" t="s">
        <v>1163</v>
      </c>
      <c r="F340" s="12" t="s">
        <v>77</v>
      </c>
      <c r="G340" s="12"/>
      <c r="H340" s="26" t="n">
        <v>10.241</v>
      </c>
      <c r="I340" s="10" t="s">
        <v>1116</v>
      </c>
      <c r="J340" s="30" t="s">
        <v>1164</v>
      </c>
      <c r="K340" s="10" t="s">
        <v>1660</v>
      </c>
    </row>
    <row r="341" customFormat="false" ht="57.45" hidden="false" customHeight="false" outlineLevel="0" collapsed="false">
      <c r="A341" s="12" t="s">
        <v>19</v>
      </c>
      <c r="B341" s="12" t="s">
        <v>460</v>
      </c>
      <c r="C341" s="10" t="s">
        <v>460</v>
      </c>
      <c r="D341" s="12" t="s">
        <v>2095</v>
      </c>
      <c r="E341" s="10" t="s">
        <v>2096</v>
      </c>
      <c r="F341" s="12" t="s">
        <v>77</v>
      </c>
      <c r="G341" s="12"/>
      <c r="H341" s="26" t="n">
        <v>31.16</v>
      </c>
      <c r="I341" s="10" t="s">
        <v>1116</v>
      </c>
      <c r="J341" s="30" t="s">
        <v>1667</v>
      </c>
      <c r="K341" s="10" t="s">
        <v>1668</v>
      </c>
    </row>
    <row r="342" customFormat="false" ht="35.05" hidden="false" customHeight="false" outlineLevel="0" collapsed="false">
      <c r="A342" s="12" t="s">
        <v>19</v>
      </c>
      <c r="B342" s="12" t="s">
        <v>460</v>
      </c>
      <c r="C342" s="10" t="s">
        <v>460</v>
      </c>
      <c r="D342" s="12" t="s">
        <v>1307</v>
      </c>
      <c r="E342" s="10" t="s">
        <v>2097</v>
      </c>
      <c r="F342" s="12" t="s">
        <v>77</v>
      </c>
      <c r="G342" s="12"/>
      <c r="H342" s="26" t="n">
        <v>231.35</v>
      </c>
      <c r="I342" s="10" t="s">
        <v>1116</v>
      </c>
      <c r="J342" s="30" t="s">
        <v>2098</v>
      </c>
      <c r="K342" s="10" t="s">
        <v>2099</v>
      </c>
    </row>
    <row r="343" customFormat="false" ht="35.05" hidden="false" customHeight="false" outlineLevel="0" collapsed="false">
      <c r="A343" s="12" t="s">
        <v>19</v>
      </c>
      <c r="B343" s="12" t="s">
        <v>460</v>
      </c>
      <c r="C343" s="10" t="s">
        <v>2100</v>
      </c>
      <c r="D343" s="12" t="s">
        <v>1942</v>
      </c>
      <c r="E343" s="10" t="s">
        <v>2101</v>
      </c>
      <c r="F343" s="12" t="s">
        <v>77</v>
      </c>
      <c r="G343" s="12"/>
      <c r="H343" s="26" t="n">
        <v>503.5393</v>
      </c>
      <c r="I343" s="10" t="s">
        <v>1116</v>
      </c>
      <c r="J343" s="30" t="s">
        <v>1159</v>
      </c>
      <c r="K343" s="10" t="s">
        <v>2102</v>
      </c>
    </row>
    <row r="344" customFormat="false" ht="35.05" hidden="false" customHeight="false" outlineLevel="0" collapsed="false">
      <c r="A344" s="12" t="s">
        <v>19</v>
      </c>
      <c r="B344" s="12" t="s">
        <v>262</v>
      </c>
      <c r="C344" s="10" t="s">
        <v>262</v>
      </c>
      <c r="D344" s="12" t="s">
        <v>2103</v>
      </c>
      <c r="E344" s="10" t="s">
        <v>2104</v>
      </c>
      <c r="F344" s="12" t="s">
        <v>77</v>
      </c>
      <c r="G344" s="12"/>
      <c r="H344" s="26" t="n">
        <v>25.2</v>
      </c>
      <c r="I344" s="10" t="s">
        <v>1116</v>
      </c>
      <c r="J344" s="30" t="s">
        <v>2105</v>
      </c>
      <c r="K344" s="10" t="s">
        <v>2106</v>
      </c>
    </row>
    <row r="345" customFormat="false" ht="35.05" hidden="false" customHeight="false" outlineLevel="0" collapsed="false">
      <c r="A345" s="12" t="s">
        <v>19</v>
      </c>
      <c r="B345" s="12" t="s">
        <v>262</v>
      </c>
      <c r="C345" s="10" t="s">
        <v>2107</v>
      </c>
      <c r="D345" s="12" t="s">
        <v>2103</v>
      </c>
      <c r="E345" s="10" t="s">
        <v>2108</v>
      </c>
      <c r="F345" s="12" t="s">
        <v>77</v>
      </c>
      <c r="G345" s="12"/>
      <c r="H345" s="26" t="n">
        <v>95.0217</v>
      </c>
      <c r="I345" s="10" t="s">
        <v>1116</v>
      </c>
      <c r="J345" s="30" t="s">
        <v>2109</v>
      </c>
      <c r="K345" s="10" t="s">
        <v>2110</v>
      </c>
    </row>
    <row r="346" customFormat="false" ht="46.25" hidden="false" customHeight="false" outlineLevel="0" collapsed="false">
      <c r="A346" s="12" t="s">
        <v>19</v>
      </c>
      <c r="B346" s="12" t="s">
        <v>262</v>
      </c>
      <c r="C346" s="10" t="s">
        <v>2111</v>
      </c>
      <c r="D346" s="12" t="s">
        <v>2112</v>
      </c>
      <c r="E346" s="10" t="s">
        <v>2113</v>
      </c>
      <c r="F346" s="12" t="s">
        <v>77</v>
      </c>
      <c r="G346" s="12"/>
      <c r="H346" s="26" t="n">
        <v>30.583</v>
      </c>
      <c r="I346" s="10" t="s">
        <v>1116</v>
      </c>
      <c r="J346" s="30" t="s">
        <v>1181</v>
      </c>
      <c r="K346" s="10" t="s">
        <v>2114</v>
      </c>
    </row>
    <row r="347" customFormat="false" ht="23.85" hidden="false" customHeight="false" outlineLevel="0" collapsed="false">
      <c r="A347" s="12" t="s">
        <v>19</v>
      </c>
      <c r="B347" s="12" t="s">
        <v>87</v>
      </c>
      <c r="C347" s="10" t="s">
        <v>87</v>
      </c>
      <c r="D347" s="12" t="s">
        <v>2115</v>
      </c>
      <c r="E347" s="10" t="s">
        <v>2116</v>
      </c>
      <c r="F347" s="12" t="s">
        <v>83</v>
      </c>
      <c r="G347" s="12"/>
      <c r="H347" s="26"/>
      <c r="I347" s="10" t="s">
        <v>1275</v>
      </c>
      <c r="J347" s="12"/>
      <c r="K347" s="10" t="s">
        <v>1276</v>
      </c>
    </row>
    <row r="348" customFormat="false" ht="23.85" hidden="false" customHeight="false" outlineLevel="0" collapsed="false">
      <c r="A348" s="12" t="s">
        <v>19</v>
      </c>
      <c r="B348" s="12" t="s">
        <v>87</v>
      </c>
      <c r="C348" s="10" t="s">
        <v>2117</v>
      </c>
      <c r="D348" s="12" t="s">
        <v>1962</v>
      </c>
      <c r="E348" s="10" t="s">
        <v>1963</v>
      </c>
      <c r="F348" s="12" t="s">
        <v>77</v>
      </c>
      <c r="G348" s="12" t="n">
        <v>1.4</v>
      </c>
      <c r="H348" s="26" t="n">
        <v>1444.1174</v>
      </c>
      <c r="I348" s="10" t="s">
        <v>1116</v>
      </c>
      <c r="J348" s="30" t="s">
        <v>1159</v>
      </c>
      <c r="K348" s="10" t="s">
        <v>2118</v>
      </c>
    </row>
    <row r="349" customFormat="false" ht="23.85" hidden="false" customHeight="false" outlineLevel="0" collapsed="false">
      <c r="A349" s="12" t="s">
        <v>19</v>
      </c>
      <c r="B349" s="12" t="s">
        <v>87</v>
      </c>
      <c r="C349" s="10" t="s">
        <v>2117</v>
      </c>
      <c r="D349" s="12" t="s">
        <v>1928</v>
      </c>
      <c r="E349" s="10" t="s">
        <v>1596</v>
      </c>
      <c r="F349" s="12" t="s">
        <v>77</v>
      </c>
      <c r="G349" s="12" t="n">
        <v>1</v>
      </c>
      <c r="H349" s="26"/>
      <c r="I349" s="10" t="s">
        <v>1275</v>
      </c>
      <c r="J349" s="12"/>
      <c r="K349" s="10" t="s">
        <v>1276</v>
      </c>
    </row>
    <row r="350" customFormat="false" ht="23.85" hidden="false" customHeight="false" outlineLevel="0" collapsed="false">
      <c r="A350" s="12" t="s">
        <v>19</v>
      </c>
      <c r="B350" s="12" t="s">
        <v>87</v>
      </c>
      <c r="C350" s="10" t="s">
        <v>2119</v>
      </c>
      <c r="D350" s="12" t="s">
        <v>1930</v>
      </c>
      <c r="E350" s="10" t="s">
        <v>1931</v>
      </c>
      <c r="F350" s="12" t="s">
        <v>77</v>
      </c>
      <c r="G350" s="12" t="n">
        <v>1.4</v>
      </c>
      <c r="H350" s="26"/>
      <c r="I350" s="10" t="s">
        <v>1275</v>
      </c>
      <c r="J350" s="12"/>
      <c r="K350" s="10" t="s">
        <v>1276</v>
      </c>
    </row>
    <row r="351" customFormat="false" ht="23.85" hidden="false" customHeight="false" outlineLevel="0" collapsed="false">
      <c r="A351" s="12" t="s">
        <v>19</v>
      </c>
      <c r="B351" s="12" t="s">
        <v>87</v>
      </c>
      <c r="C351" s="10" t="s">
        <v>2119</v>
      </c>
      <c r="D351" s="12" t="s">
        <v>2120</v>
      </c>
      <c r="E351" s="10" t="s">
        <v>2121</v>
      </c>
      <c r="F351" s="12" t="s">
        <v>77</v>
      </c>
      <c r="G351" s="12"/>
      <c r="H351" s="26"/>
      <c r="I351" s="10" t="s">
        <v>1275</v>
      </c>
      <c r="J351" s="12"/>
      <c r="K351" s="10" t="s">
        <v>1276</v>
      </c>
    </row>
    <row r="352" customFormat="false" ht="23.85" hidden="false" customHeight="false" outlineLevel="0" collapsed="false">
      <c r="A352" s="12" t="s">
        <v>19</v>
      </c>
      <c r="B352" s="12" t="s">
        <v>87</v>
      </c>
      <c r="C352" s="10" t="s">
        <v>2122</v>
      </c>
      <c r="D352" s="12" t="s">
        <v>2123</v>
      </c>
      <c r="E352" s="10" t="s">
        <v>2124</v>
      </c>
      <c r="F352" s="12" t="s">
        <v>77</v>
      </c>
      <c r="G352" s="12"/>
      <c r="H352" s="26" t="n">
        <v>97.6</v>
      </c>
      <c r="I352" s="10" t="s">
        <v>1539</v>
      </c>
      <c r="J352" s="30" t="s">
        <v>2125</v>
      </c>
      <c r="K352" s="10" t="s">
        <v>2126</v>
      </c>
    </row>
    <row r="353" customFormat="false" ht="68.65" hidden="false" customHeight="false" outlineLevel="0" collapsed="false">
      <c r="A353" s="12" t="s">
        <v>19</v>
      </c>
      <c r="B353" s="12" t="s">
        <v>87</v>
      </c>
      <c r="C353" s="10" t="s">
        <v>2122</v>
      </c>
      <c r="D353" s="12" t="s">
        <v>1973</v>
      </c>
      <c r="E353" s="10" t="s">
        <v>1590</v>
      </c>
      <c r="F353" s="12" t="s">
        <v>77</v>
      </c>
      <c r="G353" s="12" t="n">
        <v>10</v>
      </c>
      <c r="H353" s="26" t="n">
        <v>166.1</v>
      </c>
      <c r="I353" s="10" t="s">
        <v>1116</v>
      </c>
      <c r="J353" s="30" t="s">
        <v>1196</v>
      </c>
      <c r="K353" s="10" t="s">
        <v>2127</v>
      </c>
    </row>
    <row r="354" customFormat="false" ht="68.65" hidden="false" customHeight="false" outlineLevel="0" collapsed="false">
      <c r="A354" s="12" t="s">
        <v>19</v>
      </c>
      <c r="B354" s="12" t="s">
        <v>423</v>
      </c>
      <c r="C354" s="10" t="s">
        <v>2128</v>
      </c>
      <c r="D354" s="12" t="s">
        <v>1204</v>
      </c>
      <c r="E354" s="10" t="s">
        <v>2129</v>
      </c>
      <c r="F354" s="12" t="s">
        <v>77</v>
      </c>
      <c r="G354" s="12"/>
      <c r="H354" s="26" t="n">
        <v>9.6502</v>
      </c>
      <c r="I354" s="10" t="s">
        <v>1116</v>
      </c>
      <c r="J354" s="30" t="s">
        <v>1159</v>
      </c>
      <c r="K354" s="10" t="s">
        <v>2130</v>
      </c>
    </row>
    <row r="355" customFormat="false" ht="68.65" hidden="false" customHeight="false" outlineLevel="0" collapsed="false">
      <c r="A355" s="12" t="s">
        <v>19</v>
      </c>
      <c r="B355" s="12" t="s">
        <v>423</v>
      </c>
      <c r="C355" s="10" t="s">
        <v>2131</v>
      </c>
      <c r="D355" s="12" t="s">
        <v>1204</v>
      </c>
      <c r="E355" s="10" t="s">
        <v>2129</v>
      </c>
      <c r="F355" s="12" t="s">
        <v>77</v>
      </c>
      <c r="G355" s="12"/>
      <c r="H355" s="26" t="n">
        <v>9.6502</v>
      </c>
      <c r="I355" s="10" t="s">
        <v>1116</v>
      </c>
      <c r="J355" s="30" t="s">
        <v>1159</v>
      </c>
      <c r="K355" s="10" t="s">
        <v>2130</v>
      </c>
    </row>
    <row r="356" customFormat="false" ht="35.05" hidden="false" customHeight="false" outlineLevel="0" collapsed="false">
      <c r="A356" s="12" t="s">
        <v>19</v>
      </c>
      <c r="B356" s="12" t="s">
        <v>205</v>
      </c>
      <c r="C356" s="10" t="s">
        <v>2132</v>
      </c>
      <c r="D356" s="12" t="s">
        <v>2133</v>
      </c>
      <c r="E356" s="10"/>
      <c r="F356" s="12" t="s">
        <v>95</v>
      </c>
      <c r="G356" s="12"/>
      <c r="H356" s="26" t="n">
        <v>1.56</v>
      </c>
      <c r="I356" s="10" t="s">
        <v>1121</v>
      </c>
      <c r="J356" s="30" t="s">
        <v>1122</v>
      </c>
      <c r="K356" s="10" t="s">
        <v>2134</v>
      </c>
    </row>
    <row r="357" customFormat="false" ht="35.05" hidden="false" customHeight="false" outlineLevel="0" collapsed="false">
      <c r="A357" s="12" t="s">
        <v>19</v>
      </c>
      <c r="B357" s="12" t="s">
        <v>241</v>
      </c>
      <c r="C357" s="10" t="s">
        <v>241</v>
      </c>
      <c r="D357" s="12" t="s">
        <v>2135</v>
      </c>
      <c r="E357" s="10" t="s">
        <v>2136</v>
      </c>
      <c r="F357" s="12" t="s">
        <v>77</v>
      </c>
      <c r="G357" s="12" t="n">
        <v>30</v>
      </c>
      <c r="H357" s="26" t="n">
        <v>39.05</v>
      </c>
      <c r="I357" s="10" t="s">
        <v>1116</v>
      </c>
      <c r="J357" s="30" t="s">
        <v>2137</v>
      </c>
      <c r="K357" s="10" t="s">
        <v>2138</v>
      </c>
    </row>
    <row r="358" customFormat="false" ht="23.85" hidden="false" customHeight="false" outlineLevel="0" collapsed="false">
      <c r="A358" s="12" t="s">
        <v>19</v>
      </c>
      <c r="B358" s="12" t="s">
        <v>241</v>
      </c>
      <c r="C358" s="10" t="s">
        <v>2139</v>
      </c>
      <c r="D358" s="12" t="s">
        <v>2140</v>
      </c>
      <c r="E358" s="10" t="s">
        <v>1601</v>
      </c>
      <c r="F358" s="12" t="s">
        <v>77</v>
      </c>
      <c r="G358" s="12" t="n">
        <v>5</v>
      </c>
      <c r="H358" s="26"/>
      <c r="I358" s="10" t="s">
        <v>1275</v>
      </c>
      <c r="J358" s="12"/>
      <c r="K358" s="10" t="s">
        <v>1276</v>
      </c>
    </row>
    <row r="359" customFormat="false" ht="23.85" hidden="false" customHeight="false" outlineLevel="0" collapsed="false">
      <c r="A359" s="12" t="s">
        <v>19</v>
      </c>
      <c r="B359" s="12" t="s">
        <v>241</v>
      </c>
      <c r="C359" s="10" t="s">
        <v>2139</v>
      </c>
      <c r="D359" s="12" t="s">
        <v>2141</v>
      </c>
      <c r="E359" s="10" t="s">
        <v>2142</v>
      </c>
      <c r="F359" s="12" t="s">
        <v>77</v>
      </c>
      <c r="G359" s="12" t="n">
        <v>25</v>
      </c>
      <c r="H359" s="26"/>
      <c r="I359" s="10" t="s">
        <v>1275</v>
      </c>
      <c r="J359" s="12"/>
      <c r="K359" s="10" t="s">
        <v>1276</v>
      </c>
    </row>
    <row r="360" customFormat="false" ht="23.85" hidden="false" customHeight="false" outlineLevel="0" collapsed="false">
      <c r="A360" s="12" t="s">
        <v>19</v>
      </c>
      <c r="B360" s="12" t="s">
        <v>241</v>
      </c>
      <c r="C360" s="10" t="s">
        <v>2139</v>
      </c>
      <c r="D360" s="12" t="s">
        <v>2143</v>
      </c>
      <c r="E360" s="10" t="s">
        <v>1702</v>
      </c>
      <c r="F360" s="12" t="s">
        <v>77</v>
      </c>
      <c r="G360" s="12" t="n">
        <v>10</v>
      </c>
      <c r="H360" s="26"/>
      <c r="I360" s="10" t="s">
        <v>1275</v>
      </c>
      <c r="J360" s="12"/>
      <c r="K360" s="10" t="s">
        <v>1276</v>
      </c>
    </row>
    <row r="361" customFormat="false" ht="23.85" hidden="false" customHeight="false" outlineLevel="0" collapsed="false">
      <c r="A361" s="12" t="s">
        <v>19</v>
      </c>
      <c r="B361" s="12" t="s">
        <v>241</v>
      </c>
      <c r="C361" s="10" t="s">
        <v>2139</v>
      </c>
      <c r="D361" s="12" t="s">
        <v>2144</v>
      </c>
      <c r="E361" s="10" t="s">
        <v>2145</v>
      </c>
      <c r="F361" s="12" t="s">
        <v>77</v>
      </c>
      <c r="G361" s="12" t="n">
        <v>2.5</v>
      </c>
      <c r="H361" s="26"/>
      <c r="I361" s="10" t="s">
        <v>1275</v>
      </c>
      <c r="J361" s="12"/>
      <c r="K361" s="10" t="s">
        <v>1276</v>
      </c>
    </row>
    <row r="362" customFormat="false" ht="23.85" hidden="false" customHeight="false" outlineLevel="0" collapsed="false">
      <c r="A362" s="12" t="s">
        <v>19</v>
      </c>
      <c r="B362" s="12" t="s">
        <v>241</v>
      </c>
      <c r="C362" s="10" t="s">
        <v>2139</v>
      </c>
      <c r="D362" s="12" t="s">
        <v>2146</v>
      </c>
      <c r="E362" s="10" t="s">
        <v>2147</v>
      </c>
      <c r="F362" s="12" t="s">
        <v>77</v>
      </c>
      <c r="G362" s="12" t="n">
        <v>30</v>
      </c>
      <c r="H362" s="26"/>
      <c r="I362" s="10" t="s">
        <v>1275</v>
      </c>
      <c r="J362" s="12"/>
      <c r="K362" s="10" t="s">
        <v>1276</v>
      </c>
    </row>
    <row r="363" customFormat="false" ht="46.25" hidden="false" customHeight="false" outlineLevel="0" collapsed="false">
      <c r="A363" s="12" t="s">
        <v>19</v>
      </c>
      <c r="B363" s="12" t="s">
        <v>481</v>
      </c>
      <c r="C363" s="10" t="s">
        <v>481</v>
      </c>
      <c r="D363" s="12" t="s">
        <v>2148</v>
      </c>
      <c r="E363" s="10" t="s">
        <v>2149</v>
      </c>
      <c r="F363" s="12" t="s">
        <v>77</v>
      </c>
      <c r="G363" s="12"/>
      <c r="H363" s="26" t="n">
        <v>7.27</v>
      </c>
      <c r="I363" s="10" t="s">
        <v>1116</v>
      </c>
      <c r="J363" s="30" t="s">
        <v>1309</v>
      </c>
      <c r="K363" s="10" t="s">
        <v>2150</v>
      </c>
    </row>
    <row r="364" customFormat="false" ht="57.45" hidden="false" customHeight="false" outlineLevel="0" collapsed="false">
      <c r="A364" s="12" t="s">
        <v>19</v>
      </c>
      <c r="B364" s="12" t="s">
        <v>481</v>
      </c>
      <c r="C364" s="10" t="s">
        <v>2151</v>
      </c>
      <c r="D364" s="12" t="s">
        <v>2152</v>
      </c>
      <c r="E364" s="10" t="s">
        <v>2153</v>
      </c>
      <c r="F364" s="12" t="s">
        <v>77</v>
      </c>
      <c r="G364" s="12"/>
      <c r="H364" s="26" t="n">
        <v>12.2266</v>
      </c>
      <c r="I364" s="10" t="s">
        <v>1116</v>
      </c>
      <c r="J364" s="30" t="s">
        <v>2154</v>
      </c>
      <c r="K364" s="10" t="s">
        <v>2155</v>
      </c>
    </row>
    <row r="365" customFormat="false" ht="68.65" hidden="false" customHeight="false" outlineLevel="0" collapsed="false">
      <c r="A365" s="12" t="s">
        <v>19</v>
      </c>
      <c r="B365" s="12" t="s">
        <v>125</v>
      </c>
      <c r="C365" s="10" t="s">
        <v>2156</v>
      </c>
      <c r="D365" s="12" t="s">
        <v>2157</v>
      </c>
      <c r="E365" s="10" t="s">
        <v>2158</v>
      </c>
      <c r="F365" s="12" t="s">
        <v>77</v>
      </c>
      <c r="G365" s="12"/>
      <c r="H365" s="26" t="n">
        <v>56.21</v>
      </c>
      <c r="I365" s="10" t="s">
        <v>1116</v>
      </c>
      <c r="J365" s="30" t="s">
        <v>2159</v>
      </c>
      <c r="K365" s="10" t="s">
        <v>2160</v>
      </c>
    </row>
    <row r="366" customFormat="false" ht="23.85" hidden="false" customHeight="false" outlineLevel="0" collapsed="false">
      <c r="A366" s="12" t="s">
        <v>19</v>
      </c>
      <c r="B366" s="12" t="s">
        <v>125</v>
      </c>
      <c r="C366" s="10" t="s">
        <v>2161</v>
      </c>
      <c r="D366" s="12" t="s">
        <v>1282</v>
      </c>
      <c r="E366" s="10" t="s">
        <v>1283</v>
      </c>
      <c r="F366" s="12" t="s">
        <v>77</v>
      </c>
      <c r="G366" s="12"/>
      <c r="H366" s="26"/>
      <c r="I366" s="10" t="s">
        <v>1275</v>
      </c>
      <c r="J366" s="12"/>
      <c r="K366" s="10" t="s">
        <v>1276</v>
      </c>
    </row>
    <row r="367" customFormat="false" ht="23.85" hidden="false" customHeight="false" outlineLevel="0" collapsed="false">
      <c r="A367" s="12" t="s">
        <v>19</v>
      </c>
      <c r="B367" s="12" t="s">
        <v>125</v>
      </c>
      <c r="C367" s="10" t="s">
        <v>2161</v>
      </c>
      <c r="D367" s="12" t="s">
        <v>1287</v>
      </c>
      <c r="E367" s="10" t="s">
        <v>1288</v>
      </c>
      <c r="F367" s="12" t="s">
        <v>77</v>
      </c>
      <c r="G367" s="12"/>
      <c r="H367" s="26"/>
      <c r="I367" s="10" t="s">
        <v>1275</v>
      </c>
      <c r="J367" s="12"/>
      <c r="K367" s="10" t="s">
        <v>1276</v>
      </c>
    </row>
    <row r="368" customFormat="false" ht="23.85" hidden="false" customHeight="false" outlineLevel="0" collapsed="false">
      <c r="A368" s="12" t="s">
        <v>19</v>
      </c>
      <c r="B368" s="12" t="s">
        <v>125</v>
      </c>
      <c r="C368" s="10" t="s">
        <v>2156</v>
      </c>
      <c r="D368" s="12" t="s">
        <v>1291</v>
      </c>
      <c r="E368" s="10" t="s">
        <v>1292</v>
      </c>
      <c r="F368" s="12" t="s">
        <v>77</v>
      </c>
      <c r="G368" s="12"/>
      <c r="H368" s="26"/>
      <c r="I368" s="10" t="s">
        <v>1275</v>
      </c>
      <c r="J368" s="12"/>
      <c r="K368" s="10" t="s">
        <v>1276</v>
      </c>
    </row>
    <row r="369" customFormat="false" ht="35.05" hidden="false" customHeight="false" outlineLevel="0" collapsed="false">
      <c r="A369" s="12" t="s">
        <v>19</v>
      </c>
      <c r="B369" s="12" t="s">
        <v>551</v>
      </c>
      <c r="C369" s="10" t="s">
        <v>551</v>
      </c>
      <c r="D369" s="12" t="s">
        <v>1320</v>
      </c>
      <c r="E369" s="10" t="s">
        <v>2162</v>
      </c>
      <c r="F369" s="12" t="s">
        <v>77</v>
      </c>
      <c r="G369" s="12" t="n">
        <v>5</v>
      </c>
      <c r="H369" s="26" t="n">
        <v>5.41</v>
      </c>
      <c r="I369" s="10" t="s">
        <v>1116</v>
      </c>
      <c r="J369" s="30" t="s">
        <v>2163</v>
      </c>
      <c r="K369" s="10" t="s">
        <v>2164</v>
      </c>
    </row>
    <row r="370" customFormat="false" ht="23.85" hidden="false" customHeight="false" outlineLevel="0" collapsed="false">
      <c r="A370" s="12" t="s">
        <v>19</v>
      </c>
      <c r="B370" s="12" t="s">
        <v>551</v>
      </c>
      <c r="C370" s="10" t="s">
        <v>2165</v>
      </c>
      <c r="D370" s="12" t="s">
        <v>2166</v>
      </c>
      <c r="E370" s="10" t="s">
        <v>2167</v>
      </c>
      <c r="F370" s="12" t="s">
        <v>77</v>
      </c>
      <c r="G370" s="12" t="n">
        <v>40</v>
      </c>
      <c r="H370" s="26"/>
      <c r="I370" s="10" t="s">
        <v>1275</v>
      </c>
      <c r="J370" s="12"/>
      <c r="K370" s="10" t="s">
        <v>1276</v>
      </c>
    </row>
    <row r="371" customFormat="false" ht="46.25" hidden="false" customHeight="false" outlineLevel="0" collapsed="false">
      <c r="A371" s="12" t="s">
        <v>19</v>
      </c>
      <c r="B371" s="12" t="s">
        <v>551</v>
      </c>
      <c r="C371" s="10" t="s">
        <v>2168</v>
      </c>
      <c r="D371" s="12" t="s">
        <v>2169</v>
      </c>
      <c r="E371" s="10" t="s">
        <v>1601</v>
      </c>
      <c r="F371" s="12" t="s">
        <v>77</v>
      </c>
      <c r="G371" s="12" t="n">
        <v>5</v>
      </c>
      <c r="H371" s="26" t="n">
        <v>7.98</v>
      </c>
      <c r="I371" s="10" t="s">
        <v>1116</v>
      </c>
      <c r="J371" s="30" t="s">
        <v>1181</v>
      </c>
      <c r="K371" s="10" t="s">
        <v>2170</v>
      </c>
    </row>
    <row r="372" customFormat="false" ht="23.85" hidden="false" customHeight="false" outlineLevel="0" collapsed="false">
      <c r="A372" s="12" t="s">
        <v>19</v>
      </c>
      <c r="B372" s="12" t="s">
        <v>551</v>
      </c>
      <c r="C372" s="10" t="s">
        <v>2165</v>
      </c>
      <c r="D372" s="12" t="s">
        <v>2171</v>
      </c>
      <c r="E372" s="10" t="s">
        <v>1734</v>
      </c>
      <c r="F372" s="12" t="s">
        <v>77</v>
      </c>
      <c r="G372" s="12" t="n">
        <v>20</v>
      </c>
      <c r="H372" s="26"/>
      <c r="I372" s="10" t="s">
        <v>1275</v>
      </c>
      <c r="J372" s="12"/>
      <c r="K372" s="10" t="s">
        <v>1276</v>
      </c>
    </row>
    <row r="373" customFormat="false" ht="23.85" hidden="false" customHeight="false" outlineLevel="0" collapsed="false">
      <c r="A373" s="12" t="s">
        <v>19</v>
      </c>
      <c r="B373" s="12" t="s">
        <v>551</v>
      </c>
      <c r="C373" s="10" t="s">
        <v>2165</v>
      </c>
      <c r="D373" s="12" t="s">
        <v>1623</v>
      </c>
      <c r="E373" s="10" t="s">
        <v>1601</v>
      </c>
      <c r="F373" s="12" t="s">
        <v>77</v>
      </c>
      <c r="G373" s="12" t="n">
        <v>5</v>
      </c>
      <c r="H373" s="26"/>
      <c r="I373" s="10" t="s">
        <v>1275</v>
      </c>
      <c r="J373" s="12"/>
      <c r="K373" s="10" t="s">
        <v>1276</v>
      </c>
    </row>
    <row r="374" customFormat="false" ht="23.85" hidden="false" customHeight="false" outlineLevel="0" collapsed="false">
      <c r="A374" s="12" t="s">
        <v>19</v>
      </c>
      <c r="B374" s="12" t="s">
        <v>551</v>
      </c>
      <c r="C374" s="10" t="s">
        <v>2168</v>
      </c>
      <c r="D374" s="12" t="s">
        <v>2172</v>
      </c>
      <c r="E374" s="10" t="s">
        <v>1622</v>
      </c>
      <c r="F374" s="12" t="s">
        <v>77</v>
      </c>
      <c r="G374" s="12" t="n">
        <v>2</v>
      </c>
      <c r="H374" s="26"/>
      <c r="I374" s="10" t="s">
        <v>1275</v>
      </c>
      <c r="J374" s="12"/>
      <c r="K374" s="10" t="s">
        <v>1276</v>
      </c>
    </row>
    <row r="375" customFormat="false" ht="23.85" hidden="false" customHeight="false" outlineLevel="0" collapsed="false">
      <c r="A375" s="12" t="s">
        <v>19</v>
      </c>
      <c r="B375" s="12" t="s">
        <v>551</v>
      </c>
      <c r="C375" s="10" t="s">
        <v>2165</v>
      </c>
      <c r="D375" s="12" t="s">
        <v>2173</v>
      </c>
      <c r="E375" s="10" t="s">
        <v>1702</v>
      </c>
      <c r="F375" s="12" t="s">
        <v>77</v>
      </c>
      <c r="G375" s="12" t="n">
        <v>10</v>
      </c>
      <c r="H375" s="26"/>
      <c r="I375" s="10" t="s">
        <v>1275</v>
      </c>
      <c r="J375" s="12"/>
      <c r="K375" s="10" t="s">
        <v>1276</v>
      </c>
    </row>
    <row r="376" customFormat="false" ht="23.85" hidden="false" customHeight="false" outlineLevel="0" collapsed="false">
      <c r="A376" s="12" t="s">
        <v>19</v>
      </c>
      <c r="B376" s="12" t="s">
        <v>551</v>
      </c>
      <c r="C376" s="10" t="s">
        <v>2165</v>
      </c>
      <c r="D376" s="12" t="s">
        <v>2174</v>
      </c>
      <c r="E376" s="10" t="s">
        <v>2175</v>
      </c>
      <c r="F376" s="12" t="s">
        <v>77</v>
      </c>
      <c r="G376" s="12" t="n">
        <v>50</v>
      </c>
      <c r="H376" s="26"/>
      <c r="I376" s="10" t="s">
        <v>1275</v>
      </c>
      <c r="J376" s="12"/>
      <c r="K376" s="10" t="s">
        <v>1276</v>
      </c>
    </row>
    <row r="377" customFormat="false" ht="35.05" hidden="false" customHeight="false" outlineLevel="0" collapsed="false">
      <c r="A377" s="12" t="s">
        <v>19</v>
      </c>
      <c r="B377" s="12" t="s">
        <v>104</v>
      </c>
      <c r="C377" s="10" t="s">
        <v>104</v>
      </c>
      <c r="D377" s="12" t="s">
        <v>1543</v>
      </c>
      <c r="E377" s="10" t="s">
        <v>1237</v>
      </c>
      <c r="F377" s="12" t="s">
        <v>77</v>
      </c>
      <c r="G377" s="12"/>
      <c r="H377" s="26" t="n">
        <v>79.32</v>
      </c>
      <c r="I377" s="10" t="s">
        <v>1116</v>
      </c>
      <c r="J377" s="30" t="s">
        <v>2176</v>
      </c>
      <c r="K377" s="10" t="s">
        <v>2177</v>
      </c>
    </row>
    <row r="378" customFormat="false" ht="46.25" hidden="false" customHeight="false" outlineLevel="0" collapsed="false">
      <c r="A378" s="12" t="s">
        <v>19</v>
      </c>
      <c r="B378" s="12" t="s">
        <v>104</v>
      </c>
      <c r="C378" s="10" t="s">
        <v>2178</v>
      </c>
      <c r="D378" s="12" t="s">
        <v>1236</v>
      </c>
      <c r="E378" s="10" t="s">
        <v>1237</v>
      </c>
      <c r="F378" s="12" t="s">
        <v>77</v>
      </c>
      <c r="G378" s="12"/>
      <c r="H378" s="26" t="n">
        <v>93.7335</v>
      </c>
      <c r="I378" s="10" t="s">
        <v>1116</v>
      </c>
      <c r="J378" s="30" t="s">
        <v>1159</v>
      </c>
      <c r="K378" s="10" t="s">
        <v>2179</v>
      </c>
    </row>
    <row r="379" customFormat="false" ht="23.85" hidden="false" customHeight="false" outlineLevel="0" collapsed="false">
      <c r="A379" s="12" t="s">
        <v>19</v>
      </c>
      <c r="B379" s="12" t="s">
        <v>104</v>
      </c>
      <c r="C379" s="10" t="s">
        <v>2180</v>
      </c>
      <c r="D379" s="12" t="s">
        <v>1550</v>
      </c>
      <c r="E379" s="10" t="s">
        <v>1551</v>
      </c>
      <c r="F379" s="12" t="s">
        <v>77</v>
      </c>
      <c r="G379" s="12"/>
      <c r="H379" s="26"/>
      <c r="I379" s="10" t="s">
        <v>1275</v>
      </c>
      <c r="J379" s="12"/>
      <c r="K379" s="10" t="s">
        <v>1276</v>
      </c>
    </row>
    <row r="380" customFormat="false" ht="23.85" hidden="false" customHeight="false" outlineLevel="0" collapsed="false">
      <c r="A380" s="12" t="s">
        <v>19</v>
      </c>
      <c r="B380" s="12" t="s">
        <v>104</v>
      </c>
      <c r="C380" s="10" t="s">
        <v>2180</v>
      </c>
      <c r="D380" s="12" t="s">
        <v>1282</v>
      </c>
      <c r="E380" s="10" t="s">
        <v>1283</v>
      </c>
      <c r="F380" s="12" t="s">
        <v>77</v>
      </c>
      <c r="G380" s="12"/>
      <c r="H380" s="26"/>
      <c r="I380" s="10" t="s">
        <v>1275</v>
      </c>
      <c r="J380" s="12"/>
      <c r="K380" s="10" t="s">
        <v>1276</v>
      </c>
    </row>
    <row r="381" customFormat="false" ht="23.85" hidden="false" customHeight="false" outlineLevel="0" collapsed="false">
      <c r="A381" s="12" t="s">
        <v>19</v>
      </c>
      <c r="B381" s="12" t="s">
        <v>104</v>
      </c>
      <c r="C381" s="10" t="s">
        <v>2181</v>
      </c>
      <c r="D381" s="12" t="s">
        <v>2182</v>
      </c>
      <c r="E381" s="10" t="s">
        <v>2183</v>
      </c>
      <c r="F381" s="12" t="s">
        <v>77</v>
      </c>
      <c r="G381" s="12" t="n">
        <v>20</v>
      </c>
      <c r="H381" s="26" t="n">
        <v>27.22</v>
      </c>
      <c r="I381" s="10" t="s">
        <v>1539</v>
      </c>
      <c r="J381" s="30" t="s">
        <v>2184</v>
      </c>
      <c r="K381" s="10" t="s">
        <v>2185</v>
      </c>
    </row>
    <row r="382" customFormat="false" ht="35.05" hidden="false" customHeight="false" outlineLevel="0" collapsed="false">
      <c r="A382" s="12" t="s">
        <v>19</v>
      </c>
      <c r="B382" s="12" t="s">
        <v>545</v>
      </c>
      <c r="C382" s="10" t="s">
        <v>545</v>
      </c>
      <c r="D382" s="12" t="s">
        <v>2186</v>
      </c>
      <c r="E382" s="10" t="s">
        <v>2187</v>
      </c>
      <c r="F382" s="12" t="s">
        <v>77</v>
      </c>
      <c r="G382" s="12"/>
      <c r="H382" s="26" t="n">
        <v>132.2</v>
      </c>
      <c r="I382" s="10" t="s">
        <v>1116</v>
      </c>
      <c r="J382" s="30" t="s">
        <v>2188</v>
      </c>
      <c r="K382" s="10" t="s">
        <v>2189</v>
      </c>
    </row>
    <row r="383" customFormat="false" ht="46.25" hidden="false" customHeight="false" outlineLevel="0" collapsed="false">
      <c r="A383" s="12" t="s">
        <v>19</v>
      </c>
      <c r="B383" s="12" t="s">
        <v>545</v>
      </c>
      <c r="C383" s="10" t="s">
        <v>2190</v>
      </c>
      <c r="D383" s="12" t="s">
        <v>2191</v>
      </c>
      <c r="E383" s="10" t="s">
        <v>2192</v>
      </c>
      <c r="F383" s="12" t="s">
        <v>77</v>
      </c>
      <c r="G383" s="12" t="n">
        <v>4.2</v>
      </c>
      <c r="H383" s="26" t="n">
        <v>53.0422</v>
      </c>
      <c r="I383" s="10" t="s">
        <v>1116</v>
      </c>
      <c r="J383" s="30" t="s">
        <v>2193</v>
      </c>
      <c r="K383" s="10" t="s">
        <v>2194</v>
      </c>
    </row>
    <row r="384" customFormat="false" ht="15" hidden="false" customHeight="false" outlineLevel="0" collapsed="false">
      <c r="A384" s="12" t="s">
        <v>19</v>
      </c>
      <c r="B384" s="12" t="s">
        <v>510</v>
      </c>
      <c r="C384" s="10" t="s">
        <v>2195</v>
      </c>
      <c r="D384" s="12" t="s">
        <v>2196</v>
      </c>
      <c r="E384" s="10" t="s">
        <v>2197</v>
      </c>
      <c r="F384" s="12" t="s">
        <v>77</v>
      </c>
      <c r="G384" s="12" t="n">
        <v>1.7</v>
      </c>
      <c r="H384" s="26" t="n">
        <v>145.71</v>
      </c>
      <c r="I384" s="10" t="s">
        <v>2198</v>
      </c>
      <c r="J384" s="12"/>
      <c r="K384" s="10" t="s">
        <v>2199</v>
      </c>
    </row>
    <row r="385" customFormat="false" ht="57.45" hidden="false" customHeight="false" outlineLevel="0" collapsed="false">
      <c r="A385" s="12" t="s">
        <v>19</v>
      </c>
      <c r="B385" s="12" t="s">
        <v>510</v>
      </c>
      <c r="C385" s="10" t="s">
        <v>2200</v>
      </c>
      <c r="D385" s="12" t="s">
        <v>2201</v>
      </c>
      <c r="E385" s="10" t="s">
        <v>2202</v>
      </c>
      <c r="F385" s="12" t="s">
        <v>77</v>
      </c>
      <c r="G385" s="12" t="n">
        <v>1.7</v>
      </c>
      <c r="H385" s="26" t="n">
        <v>179.823</v>
      </c>
      <c r="I385" s="10" t="s">
        <v>1116</v>
      </c>
      <c r="J385" s="30" t="s">
        <v>1445</v>
      </c>
      <c r="K385" s="10" t="s">
        <v>2203</v>
      </c>
    </row>
    <row r="386" customFormat="false" ht="46.25" hidden="false" customHeight="false" outlineLevel="0" collapsed="false">
      <c r="A386" s="12" t="s">
        <v>19</v>
      </c>
      <c r="B386" s="12" t="s">
        <v>120</v>
      </c>
      <c r="C386" s="10" t="s">
        <v>2204</v>
      </c>
      <c r="D386" s="12" t="s">
        <v>1240</v>
      </c>
      <c r="E386" s="10" t="s">
        <v>1241</v>
      </c>
      <c r="F386" s="12" t="s">
        <v>77</v>
      </c>
      <c r="G386" s="12" t="n">
        <v>5</v>
      </c>
      <c r="H386" s="26" t="n">
        <v>16.837</v>
      </c>
      <c r="I386" s="10" t="s">
        <v>1116</v>
      </c>
      <c r="J386" s="30" t="s">
        <v>1159</v>
      </c>
      <c r="K386" s="10" t="s">
        <v>2205</v>
      </c>
    </row>
    <row r="387" customFormat="false" ht="15" hidden="false" customHeight="false" outlineLevel="0" collapsed="false">
      <c r="A387" s="12" t="s">
        <v>19</v>
      </c>
      <c r="B387" s="12" t="s">
        <v>120</v>
      </c>
      <c r="C387" s="10" t="s">
        <v>120</v>
      </c>
      <c r="D387" s="12" t="s">
        <v>1394</v>
      </c>
      <c r="E387" s="10" t="s">
        <v>2206</v>
      </c>
      <c r="F387" s="12" t="s">
        <v>77</v>
      </c>
      <c r="G387" s="12" t="n">
        <v>5</v>
      </c>
      <c r="H387" s="26" t="n">
        <v>35</v>
      </c>
      <c r="I387" s="10" t="s">
        <v>1116</v>
      </c>
      <c r="J387" s="30" t="s">
        <v>2207</v>
      </c>
      <c r="K387" s="10" t="s">
        <v>2208</v>
      </c>
    </row>
    <row r="388" customFormat="false" ht="35.05" hidden="false" customHeight="false" outlineLevel="0" collapsed="false">
      <c r="A388" s="12" t="s">
        <v>19</v>
      </c>
      <c r="B388" s="12" t="s">
        <v>120</v>
      </c>
      <c r="C388" s="10" t="s">
        <v>2204</v>
      </c>
      <c r="D388" s="12" t="s">
        <v>2209</v>
      </c>
      <c r="E388" s="10" t="s">
        <v>2210</v>
      </c>
      <c r="F388" s="12" t="s">
        <v>77</v>
      </c>
      <c r="G388" s="12" t="n">
        <v>100</v>
      </c>
      <c r="H388" s="26" t="n">
        <v>54.572</v>
      </c>
      <c r="I388" s="10" t="s">
        <v>1116</v>
      </c>
      <c r="J388" s="30" t="s">
        <v>1181</v>
      </c>
      <c r="K388" s="10" t="s">
        <v>2211</v>
      </c>
    </row>
    <row r="389" customFormat="false" ht="23.85" hidden="false" customHeight="false" outlineLevel="0" collapsed="false">
      <c r="A389" s="12" t="s">
        <v>19</v>
      </c>
      <c r="B389" s="12" t="s">
        <v>120</v>
      </c>
      <c r="C389" s="10" t="s">
        <v>2212</v>
      </c>
      <c r="D389" s="12" t="s">
        <v>2213</v>
      </c>
      <c r="E389" s="10" t="s">
        <v>2214</v>
      </c>
      <c r="F389" s="12" t="s">
        <v>77</v>
      </c>
      <c r="G389" s="12" t="n">
        <v>25</v>
      </c>
      <c r="H389" s="26" t="n">
        <v>17.14</v>
      </c>
      <c r="I389" s="10" t="s">
        <v>1539</v>
      </c>
      <c r="J389" s="30" t="s">
        <v>2215</v>
      </c>
      <c r="K389" s="10" t="s">
        <v>2216</v>
      </c>
    </row>
    <row r="390" customFormat="false" ht="23.85" hidden="false" customHeight="false" outlineLevel="0" collapsed="false">
      <c r="A390" s="12" t="s">
        <v>19</v>
      </c>
      <c r="B390" s="12" t="s">
        <v>120</v>
      </c>
      <c r="C390" s="10" t="s">
        <v>2212</v>
      </c>
      <c r="D390" s="12" t="s">
        <v>2217</v>
      </c>
      <c r="E390" s="10" t="s">
        <v>1304</v>
      </c>
      <c r="F390" s="12" t="s">
        <v>77</v>
      </c>
      <c r="G390" s="12" t="n">
        <v>100</v>
      </c>
      <c r="H390" s="26" t="n">
        <v>105.46</v>
      </c>
      <c r="I390" s="10" t="s">
        <v>1539</v>
      </c>
      <c r="J390" s="30" t="s">
        <v>2215</v>
      </c>
      <c r="K390" s="10" t="s">
        <v>2216</v>
      </c>
    </row>
    <row r="391" customFormat="false" ht="57.45" hidden="false" customHeight="false" outlineLevel="0" collapsed="false">
      <c r="A391" s="12" t="s">
        <v>19</v>
      </c>
      <c r="B391" s="12" t="s">
        <v>120</v>
      </c>
      <c r="C391" s="10" t="s">
        <v>2204</v>
      </c>
      <c r="D391" s="12" t="s">
        <v>2213</v>
      </c>
      <c r="E391" s="10" t="s">
        <v>2214</v>
      </c>
      <c r="F391" s="12" t="s">
        <v>77</v>
      </c>
      <c r="G391" s="12" t="n">
        <v>25</v>
      </c>
      <c r="H391" s="26" t="n">
        <v>18.89</v>
      </c>
      <c r="I391" s="10" t="s">
        <v>1116</v>
      </c>
      <c r="J391" s="30" t="s">
        <v>1196</v>
      </c>
      <c r="K391" s="10" t="s">
        <v>2218</v>
      </c>
    </row>
    <row r="392" customFormat="false" ht="35.05" hidden="false" customHeight="false" outlineLevel="0" collapsed="false">
      <c r="A392" s="12" t="s">
        <v>19</v>
      </c>
      <c r="B392" s="12" t="s">
        <v>528</v>
      </c>
      <c r="C392" s="10" t="s">
        <v>2219</v>
      </c>
      <c r="D392" s="12" t="s">
        <v>2220</v>
      </c>
      <c r="E392" s="10" t="s">
        <v>2052</v>
      </c>
      <c r="F392" s="12" t="s">
        <v>83</v>
      </c>
      <c r="G392" s="12" t="n">
        <v>10</v>
      </c>
      <c r="H392" s="26" t="n">
        <v>28.6681</v>
      </c>
      <c r="I392" s="10" t="s">
        <v>1116</v>
      </c>
      <c r="J392" s="30" t="s">
        <v>2221</v>
      </c>
      <c r="K392" s="10" t="s">
        <v>2222</v>
      </c>
    </row>
    <row r="393" customFormat="false" ht="35.05" hidden="false" customHeight="false" outlineLevel="0" collapsed="false">
      <c r="A393" s="12" t="s">
        <v>19</v>
      </c>
      <c r="B393" s="12" t="s">
        <v>335</v>
      </c>
      <c r="C393" s="10" t="s">
        <v>2223</v>
      </c>
      <c r="D393" s="12" t="s">
        <v>1394</v>
      </c>
      <c r="E393" s="10" t="s">
        <v>1241</v>
      </c>
      <c r="F393" s="12" t="s">
        <v>77</v>
      </c>
      <c r="G393" s="12" t="n">
        <v>5</v>
      </c>
      <c r="H393" s="26" t="n">
        <v>26.68</v>
      </c>
      <c r="I393" s="10" t="s">
        <v>1116</v>
      </c>
      <c r="J393" s="30" t="s">
        <v>2224</v>
      </c>
      <c r="K393" s="10" t="s">
        <v>2225</v>
      </c>
    </row>
    <row r="394" customFormat="false" ht="46.25" hidden="false" customHeight="false" outlineLevel="0" collapsed="false">
      <c r="A394" s="12" t="s">
        <v>19</v>
      </c>
      <c r="B394" s="12" t="s">
        <v>335</v>
      </c>
      <c r="C394" s="10" t="s">
        <v>2226</v>
      </c>
      <c r="D394" s="12" t="s">
        <v>1240</v>
      </c>
      <c r="E394" s="10" t="s">
        <v>1241</v>
      </c>
      <c r="F394" s="12" t="s">
        <v>77</v>
      </c>
      <c r="G394" s="12" t="n">
        <v>5</v>
      </c>
      <c r="H394" s="26" t="n">
        <v>22.2158</v>
      </c>
      <c r="I394" s="10" t="s">
        <v>1116</v>
      </c>
      <c r="J394" s="30" t="s">
        <v>1159</v>
      </c>
      <c r="K394" s="10" t="s">
        <v>2227</v>
      </c>
    </row>
    <row r="395" customFormat="false" ht="46.25" hidden="false" customHeight="false" outlineLevel="0" collapsed="false">
      <c r="A395" s="12" t="s">
        <v>19</v>
      </c>
      <c r="B395" s="12" t="s">
        <v>335</v>
      </c>
      <c r="C395" s="10" t="s">
        <v>2228</v>
      </c>
      <c r="D395" s="12" t="s">
        <v>2143</v>
      </c>
      <c r="E395" s="10" t="s">
        <v>2229</v>
      </c>
      <c r="F395" s="12" t="s">
        <v>77</v>
      </c>
      <c r="G395" s="12" t="n">
        <v>10</v>
      </c>
      <c r="H395" s="26" t="n">
        <v>6.23</v>
      </c>
      <c r="I395" s="10" t="s">
        <v>1116</v>
      </c>
      <c r="J395" s="30" t="s">
        <v>1181</v>
      </c>
      <c r="K395" s="10" t="s">
        <v>2230</v>
      </c>
    </row>
    <row r="396" customFormat="false" ht="46.25" hidden="false" customHeight="false" outlineLevel="0" collapsed="false">
      <c r="A396" s="12" t="s">
        <v>19</v>
      </c>
      <c r="B396" s="12" t="s">
        <v>335</v>
      </c>
      <c r="C396" s="10" t="s">
        <v>2228</v>
      </c>
      <c r="D396" s="12" t="s">
        <v>2141</v>
      </c>
      <c r="E396" s="10" t="s">
        <v>2231</v>
      </c>
      <c r="F396" s="12" t="s">
        <v>77</v>
      </c>
      <c r="G396" s="12" t="n">
        <v>25</v>
      </c>
      <c r="H396" s="26" t="n">
        <v>15.568</v>
      </c>
      <c r="I396" s="10" t="s">
        <v>1116</v>
      </c>
      <c r="J396" s="30" t="s">
        <v>1181</v>
      </c>
      <c r="K396" s="10" t="s">
        <v>2232</v>
      </c>
    </row>
    <row r="397" customFormat="false" ht="35.05" hidden="false" customHeight="false" outlineLevel="0" collapsed="false">
      <c r="A397" s="12" t="s">
        <v>19</v>
      </c>
      <c r="B397" s="12" t="s">
        <v>335</v>
      </c>
      <c r="C397" s="10" t="s">
        <v>2228</v>
      </c>
      <c r="D397" s="12" t="s">
        <v>2209</v>
      </c>
      <c r="E397" s="10" t="s">
        <v>2233</v>
      </c>
      <c r="F397" s="12" t="s">
        <v>77</v>
      </c>
      <c r="G397" s="12" t="n">
        <v>100</v>
      </c>
      <c r="H397" s="26" t="n">
        <v>62.265</v>
      </c>
      <c r="I397" s="10" t="s">
        <v>1116</v>
      </c>
      <c r="J397" s="30" t="s">
        <v>1181</v>
      </c>
      <c r="K397" s="10" t="s">
        <v>2234</v>
      </c>
    </row>
    <row r="398" customFormat="false" ht="46.25" hidden="false" customHeight="false" outlineLevel="0" collapsed="false">
      <c r="A398" s="12" t="s">
        <v>19</v>
      </c>
      <c r="B398" s="12" t="s">
        <v>335</v>
      </c>
      <c r="C398" s="10" t="s">
        <v>2235</v>
      </c>
      <c r="D398" s="12" t="s">
        <v>2236</v>
      </c>
      <c r="E398" s="10" t="s">
        <v>1241</v>
      </c>
      <c r="F398" s="12" t="s">
        <v>77</v>
      </c>
      <c r="G398" s="12" t="n">
        <v>5</v>
      </c>
      <c r="H398" s="26" t="n">
        <v>7.79</v>
      </c>
      <c r="I398" s="10" t="s">
        <v>1116</v>
      </c>
      <c r="J398" s="30" t="s">
        <v>1196</v>
      </c>
      <c r="K398" s="10" t="s">
        <v>2237</v>
      </c>
    </row>
    <row r="399" customFormat="false" ht="46.25" hidden="false" customHeight="false" outlineLevel="0" collapsed="false">
      <c r="A399" s="12" t="s">
        <v>19</v>
      </c>
      <c r="B399" s="12" t="s">
        <v>335</v>
      </c>
      <c r="C399" s="10" t="s">
        <v>2235</v>
      </c>
      <c r="D399" s="12" t="s">
        <v>2236</v>
      </c>
      <c r="E399" s="10" t="s">
        <v>2214</v>
      </c>
      <c r="F399" s="12" t="s">
        <v>77</v>
      </c>
      <c r="G399" s="12" t="n">
        <v>25</v>
      </c>
      <c r="H399" s="26" t="n">
        <v>38.94</v>
      </c>
      <c r="I399" s="10" t="s">
        <v>1116</v>
      </c>
      <c r="J399" s="30" t="s">
        <v>1196</v>
      </c>
      <c r="K399" s="10" t="s">
        <v>2238</v>
      </c>
    </row>
    <row r="400" customFormat="false" ht="46.25" hidden="false" customHeight="false" outlineLevel="0" collapsed="false">
      <c r="A400" s="12" t="s">
        <v>19</v>
      </c>
      <c r="B400" s="12" t="s">
        <v>335</v>
      </c>
      <c r="C400" s="10" t="s">
        <v>2239</v>
      </c>
      <c r="D400" s="12" t="s">
        <v>2236</v>
      </c>
      <c r="E400" s="10" t="s">
        <v>1241</v>
      </c>
      <c r="F400" s="12" t="s">
        <v>77</v>
      </c>
      <c r="G400" s="12" t="n">
        <v>5</v>
      </c>
      <c r="H400" s="26" t="n">
        <v>7.79</v>
      </c>
      <c r="I400" s="10" t="s">
        <v>1116</v>
      </c>
      <c r="J400" s="30" t="s">
        <v>1196</v>
      </c>
      <c r="K400" s="10" t="s">
        <v>2237</v>
      </c>
    </row>
    <row r="401" customFormat="false" ht="46.25" hidden="false" customHeight="false" outlineLevel="0" collapsed="false">
      <c r="A401" s="12" t="s">
        <v>19</v>
      </c>
      <c r="B401" s="12" t="s">
        <v>335</v>
      </c>
      <c r="C401" s="10" t="s">
        <v>2239</v>
      </c>
      <c r="D401" s="12" t="s">
        <v>2236</v>
      </c>
      <c r="E401" s="10" t="s">
        <v>2214</v>
      </c>
      <c r="F401" s="12" t="s">
        <v>77</v>
      </c>
      <c r="G401" s="12" t="n">
        <v>25</v>
      </c>
      <c r="H401" s="26" t="n">
        <v>38.94</v>
      </c>
      <c r="I401" s="10" t="s">
        <v>1116</v>
      </c>
      <c r="J401" s="30" t="s">
        <v>1196</v>
      </c>
      <c r="K401" s="10" t="s">
        <v>2238</v>
      </c>
    </row>
    <row r="402" customFormat="false" ht="57.45" hidden="false" customHeight="false" outlineLevel="0" collapsed="false">
      <c r="A402" s="12" t="s">
        <v>19</v>
      </c>
      <c r="B402" s="12" t="s">
        <v>145</v>
      </c>
      <c r="C402" s="10" t="s">
        <v>2240</v>
      </c>
      <c r="D402" s="12" t="s">
        <v>2241</v>
      </c>
      <c r="E402" s="10" t="s">
        <v>2242</v>
      </c>
      <c r="F402" s="12" t="s">
        <v>77</v>
      </c>
      <c r="G402" s="12" t="n">
        <v>10</v>
      </c>
      <c r="H402" s="26" t="n">
        <v>62.0257</v>
      </c>
      <c r="I402" s="10" t="s">
        <v>1116</v>
      </c>
      <c r="J402" s="30" t="s">
        <v>2243</v>
      </c>
      <c r="K402" s="10" t="s">
        <v>2244</v>
      </c>
    </row>
    <row r="403" customFormat="false" ht="46.25" hidden="false" customHeight="false" outlineLevel="0" collapsed="false">
      <c r="A403" s="12" t="s">
        <v>19</v>
      </c>
      <c r="B403" s="12" t="s">
        <v>133</v>
      </c>
      <c r="C403" s="10" t="s">
        <v>2245</v>
      </c>
      <c r="D403" s="12" t="s">
        <v>1716</v>
      </c>
      <c r="E403" s="10" t="s">
        <v>2246</v>
      </c>
      <c r="F403" s="12" t="s">
        <v>77</v>
      </c>
      <c r="G403" s="12" t="n">
        <v>2</v>
      </c>
      <c r="H403" s="26" t="n">
        <v>471.2665</v>
      </c>
      <c r="I403" s="10" t="s">
        <v>1116</v>
      </c>
      <c r="J403" s="30" t="s">
        <v>1159</v>
      </c>
      <c r="K403" s="10" t="s">
        <v>1718</v>
      </c>
    </row>
    <row r="404" customFormat="false" ht="35.05" hidden="false" customHeight="false" outlineLevel="0" collapsed="false">
      <c r="A404" s="12" t="s">
        <v>19</v>
      </c>
      <c r="B404" s="12" t="s">
        <v>477</v>
      </c>
      <c r="C404" s="10" t="s">
        <v>477</v>
      </c>
      <c r="D404" s="12" t="s">
        <v>1421</v>
      </c>
      <c r="E404" s="10" t="s">
        <v>1422</v>
      </c>
      <c r="F404" s="12" t="s">
        <v>77</v>
      </c>
      <c r="G404" s="12"/>
      <c r="H404" s="26" t="n">
        <v>5.62</v>
      </c>
      <c r="I404" s="10" t="s">
        <v>1116</v>
      </c>
      <c r="J404" s="30" t="s">
        <v>2247</v>
      </c>
      <c r="K404" s="10" t="s">
        <v>2248</v>
      </c>
    </row>
    <row r="405" customFormat="false" ht="46.25" hidden="false" customHeight="false" outlineLevel="0" collapsed="false">
      <c r="A405" s="12" t="s">
        <v>19</v>
      </c>
      <c r="B405" s="12" t="s">
        <v>477</v>
      </c>
      <c r="C405" s="10" t="s">
        <v>2249</v>
      </c>
      <c r="D405" s="12" t="s">
        <v>1857</v>
      </c>
      <c r="E405" s="10" t="s">
        <v>1892</v>
      </c>
      <c r="F405" s="12" t="s">
        <v>77</v>
      </c>
      <c r="G405" s="12"/>
      <c r="H405" s="26" t="n">
        <v>7.2659</v>
      </c>
      <c r="I405" s="10" t="s">
        <v>1116</v>
      </c>
      <c r="J405" s="30" t="s">
        <v>1159</v>
      </c>
      <c r="K405" s="10" t="s">
        <v>2250</v>
      </c>
    </row>
    <row r="406" customFormat="false" ht="57.45" hidden="false" customHeight="false" outlineLevel="0" collapsed="false">
      <c r="A406" s="12" t="s">
        <v>19</v>
      </c>
      <c r="B406" s="12" t="s">
        <v>420</v>
      </c>
      <c r="C406" s="10" t="s">
        <v>2251</v>
      </c>
      <c r="D406" s="12" t="s">
        <v>1343</v>
      </c>
      <c r="E406" s="10" t="s">
        <v>2252</v>
      </c>
      <c r="F406" s="12" t="s">
        <v>77</v>
      </c>
      <c r="G406" s="12"/>
      <c r="H406" s="26" t="n">
        <v>6.0681</v>
      </c>
      <c r="I406" s="10" t="s">
        <v>1116</v>
      </c>
      <c r="J406" s="30" t="s">
        <v>2253</v>
      </c>
      <c r="K406" s="10" t="s">
        <v>2254</v>
      </c>
    </row>
    <row r="407" customFormat="false" ht="35.05" hidden="false" customHeight="false" outlineLevel="0" collapsed="false">
      <c r="A407" s="12" t="s">
        <v>19</v>
      </c>
      <c r="B407" s="12" t="s">
        <v>504</v>
      </c>
      <c r="C407" s="10" t="s">
        <v>504</v>
      </c>
      <c r="D407" s="12" t="s">
        <v>1153</v>
      </c>
      <c r="E407" s="10" t="s">
        <v>1727</v>
      </c>
      <c r="F407" s="12" t="s">
        <v>77</v>
      </c>
      <c r="G407" s="12" t="n">
        <v>2</v>
      </c>
      <c r="H407" s="26" t="n">
        <v>204.91</v>
      </c>
      <c r="I407" s="10" t="s">
        <v>1116</v>
      </c>
      <c r="J407" s="30" t="s">
        <v>2255</v>
      </c>
      <c r="K407" s="10" t="s">
        <v>2256</v>
      </c>
    </row>
    <row r="408" customFormat="false" ht="46.25" hidden="false" customHeight="false" outlineLevel="0" collapsed="false">
      <c r="A408" s="12" t="s">
        <v>19</v>
      </c>
      <c r="B408" s="12" t="s">
        <v>504</v>
      </c>
      <c r="C408" s="10" t="s">
        <v>2257</v>
      </c>
      <c r="D408" s="12" t="s">
        <v>2258</v>
      </c>
      <c r="E408" s="10" t="s">
        <v>1727</v>
      </c>
      <c r="F408" s="12" t="s">
        <v>77</v>
      </c>
      <c r="G408" s="12" t="n">
        <v>2</v>
      </c>
      <c r="H408" s="26" t="n">
        <v>129.159</v>
      </c>
      <c r="I408" s="10" t="s">
        <v>1116</v>
      </c>
      <c r="J408" s="30" t="s">
        <v>1159</v>
      </c>
      <c r="K408" s="10" t="s">
        <v>2259</v>
      </c>
    </row>
    <row r="409" customFormat="false" ht="35.05" hidden="false" customHeight="false" outlineLevel="0" collapsed="false">
      <c r="A409" s="12" t="s">
        <v>19</v>
      </c>
      <c r="B409" s="12" t="s">
        <v>387</v>
      </c>
      <c r="C409" s="10" t="s">
        <v>387</v>
      </c>
      <c r="D409" s="12" t="s">
        <v>2260</v>
      </c>
      <c r="E409" s="10" t="s">
        <v>2242</v>
      </c>
      <c r="F409" s="12" t="s">
        <v>77</v>
      </c>
      <c r="G409" s="12" t="n">
        <v>10</v>
      </c>
      <c r="H409" s="26" t="n">
        <v>8.46</v>
      </c>
      <c r="I409" s="10" t="s">
        <v>1116</v>
      </c>
      <c r="J409" s="30" t="s">
        <v>2261</v>
      </c>
      <c r="K409" s="10" t="s">
        <v>2262</v>
      </c>
    </row>
    <row r="410" customFormat="false" ht="15" hidden="false" customHeight="false" outlineLevel="0" collapsed="false">
      <c r="A410" s="12" t="s">
        <v>19</v>
      </c>
      <c r="B410" s="12" t="s">
        <v>387</v>
      </c>
      <c r="C410" s="10" t="s">
        <v>387</v>
      </c>
      <c r="D410" s="12" t="s">
        <v>2260</v>
      </c>
      <c r="E410" s="10" t="s">
        <v>2263</v>
      </c>
      <c r="F410" s="12" t="s">
        <v>77</v>
      </c>
      <c r="G410" s="12" t="n">
        <v>100</v>
      </c>
      <c r="H410" s="26" t="n">
        <v>112.63</v>
      </c>
      <c r="I410" s="10" t="s">
        <v>1116</v>
      </c>
      <c r="J410" s="30" t="s">
        <v>2264</v>
      </c>
      <c r="K410" s="10" t="s">
        <v>2265</v>
      </c>
    </row>
    <row r="411" customFormat="false" ht="46.25" hidden="false" customHeight="false" outlineLevel="0" collapsed="false">
      <c r="A411" s="12" t="s">
        <v>19</v>
      </c>
      <c r="B411" s="12" t="s">
        <v>112</v>
      </c>
      <c r="C411" s="10" t="s">
        <v>112</v>
      </c>
      <c r="D411" s="12" t="s">
        <v>1124</v>
      </c>
      <c r="E411" s="10" t="s">
        <v>2266</v>
      </c>
      <c r="F411" s="12" t="s">
        <v>83</v>
      </c>
      <c r="G411" s="12" t="n">
        <v>5</v>
      </c>
      <c r="H411" s="26" t="n">
        <v>29.97</v>
      </c>
      <c r="I411" s="10" t="s">
        <v>1116</v>
      </c>
      <c r="J411" s="30" t="s">
        <v>1126</v>
      </c>
      <c r="K411" s="10" t="s">
        <v>1127</v>
      </c>
    </row>
    <row r="412" customFormat="false" ht="46.25" hidden="false" customHeight="false" outlineLevel="0" collapsed="false">
      <c r="A412" s="12" t="s">
        <v>19</v>
      </c>
      <c r="B412" s="12" t="s">
        <v>112</v>
      </c>
      <c r="C412" s="10" t="s">
        <v>112</v>
      </c>
      <c r="D412" s="12" t="s">
        <v>1307</v>
      </c>
      <c r="E412" s="10" t="s">
        <v>1308</v>
      </c>
      <c r="F412" s="12" t="s">
        <v>83</v>
      </c>
      <c r="G412" s="12" t="n">
        <v>5</v>
      </c>
      <c r="H412" s="26" t="n">
        <v>345.31</v>
      </c>
      <c r="I412" s="10" t="s">
        <v>1116</v>
      </c>
      <c r="J412" s="30" t="s">
        <v>1309</v>
      </c>
      <c r="K412" s="10" t="s">
        <v>1310</v>
      </c>
    </row>
    <row r="413" customFormat="false" ht="46.25" hidden="false" customHeight="false" outlineLevel="0" collapsed="false">
      <c r="A413" s="12" t="s">
        <v>19</v>
      </c>
      <c r="B413" s="12" t="s">
        <v>112</v>
      </c>
      <c r="C413" s="10" t="s">
        <v>2267</v>
      </c>
      <c r="D413" s="12" t="s">
        <v>1312</v>
      </c>
      <c r="E413" s="10" t="s">
        <v>1313</v>
      </c>
      <c r="F413" s="12" t="s">
        <v>83</v>
      </c>
      <c r="G413" s="12" t="n">
        <v>5</v>
      </c>
      <c r="H413" s="26" t="n">
        <v>531.8684</v>
      </c>
      <c r="I413" s="10" t="s">
        <v>1116</v>
      </c>
      <c r="J413" s="30" t="s">
        <v>1159</v>
      </c>
      <c r="K413" s="10" t="s">
        <v>2268</v>
      </c>
    </row>
    <row r="414" customFormat="false" ht="23.85" hidden="false" customHeight="false" outlineLevel="0" collapsed="false">
      <c r="A414" s="12" t="s">
        <v>19</v>
      </c>
      <c r="B414" s="12" t="s">
        <v>112</v>
      </c>
      <c r="C414" s="10" t="s">
        <v>2269</v>
      </c>
      <c r="D414" s="12" t="s">
        <v>1316</v>
      </c>
      <c r="E414" s="10" t="s">
        <v>1317</v>
      </c>
      <c r="F414" s="12" t="s">
        <v>83</v>
      </c>
      <c r="G414" s="12" t="n">
        <v>5</v>
      </c>
      <c r="H414" s="26"/>
      <c r="I414" s="10" t="s">
        <v>1275</v>
      </c>
      <c r="J414" s="12"/>
      <c r="K414" s="10" t="s">
        <v>1276</v>
      </c>
    </row>
    <row r="415" customFormat="false" ht="46.25" hidden="false" customHeight="false" outlineLevel="0" collapsed="false">
      <c r="A415" s="12" t="s">
        <v>19</v>
      </c>
      <c r="B415" s="12" t="s">
        <v>112</v>
      </c>
      <c r="C415" s="10" t="s">
        <v>2270</v>
      </c>
      <c r="D415" s="12" t="s">
        <v>1746</v>
      </c>
      <c r="E415" s="10" t="s">
        <v>1313</v>
      </c>
      <c r="F415" s="12" t="s">
        <v>83</v>
      </c>
      <c r="G415" s="12" t="n">
        <v>5</v>
      </c>
      <c r="H415" s="26" t="n">
        <v>78.71</v>
      </c>
      <c r="I415" s="10" t="s">
        <v>1116</v>
      </c>
      <c r="J415" s="30" t="s">
        <v>1196</v>
      </c>
      <c r="K415" s="10" t="s">
        <v>2271</v>
      </c>
    </row>
    <row r="416" customFormat="false" ht="35.05" hidden="false" customHeight="false" outlineLevel="0" collapsed="false">
      <c r="A416" s="12" t="s">
        <v>19</v>
      </c>
      <c r="B416" s="12" t="s">
        <v>497</v>
      </c>
      <c r="C416" s="10" t="s">
        <v>2272</v>
      </c>
      <c r="D416" s="12" t="s">
        <v>2273</v>
      </c>
      <c r="E416" s="10" t="s">
        <v>2274</v>
      </c>
      <c r="F416" s="12" t="s">
        <v>196</v>
      </c>
      <c r="G416" s="12" t="n">
        <v>3</v>
      </c>
      <c r="H416" s="26" t="n">
        <v>1.98</v>
      </c>
      <c r="I416" s="10" t="s">
        <v>1121</v>
      </c>
      <c r="J416" s="30" t="s">
        <v>1122</v>
      </c>
      <c r="K416" s="10" t="s">
        <v>2275</v>
      </c>
    </row>
    <row r="417" customFormat="false" ht="57.45" hidden="false" customHeight="false" outlineLevel="0" collapsed="false">
      <c r="A417" s="12" t="s">
        <v>19</v>
      </c>
      <c r="B417" s="12" t="s">
        <v>560</v>
      </c>
      <c r="C417" s="10" t="s">
        <v>2276</v>
      </c>
      <c r="D417" s="12" t="s">
        <v>2277</v>
      </c>
      <c r="E417" s="10" t="s">
        <v>2278</v>
      </c>
      <c r="F417" s="12" t="s">
        <v>95</v>
      </c>
      <c r="G417" s="12" t="n">
        <v>1</v>
      </c>
      <c r="H417" s="26" t="n">
        <v>9.831</v>
      </c>
      <c r="I417" s="10" t="s">
        <v>1116</v>
      </c>
      <c r="J417" s="30" t="s">
        <v>2279</v>
      </c>
      <c r="K417" s="10" t="s">
        <v>2280</v>
      </c>
    </row>
    <row r="418" customFormat="false" ht="57.45" hidden="false" customHeight="false" outlineLevel="0" collapsed="false">
      <c r="A418" s="12" t="s">
        <v>19</v>
      </c>
      <c r="B418" s="12" t="s">
        <v>358</v>
      </c>
      <c r="C418" s="10" t="s">
        <v>1326</v>
      </c>
      <c r="D418" s="12" t="s">
        <v>1327</v>
      </c>
      <c r="E418" s="10" t="s">
        <v>2281</v>
      </c>
      <c r="F418" s="12" t="s">
        <v>83</v>
      </c>
      <c r="G418" s="12" t="n">
        <v>3</v>
      </c>
      <c r="H418" s="26" t="n">
        <v>125</v>
      </c>
      <c r="I418" s="10" t="s">
        <v>1116</v>
      </c>
      <c r="J418" s="30" t="s">
        <v>1329</v>
      </c>
      <c r="K418" s="10" t="s">
        <v>1330</v>
      </c>
    </row>
    <row r="419" customFormat="false" ht="35.05" hidden="false" customHeight="false" outlineLevel="0" collapsed="false">
      <c r="A419" s="12" t="s">
        <v>19</v>
      </c>
      <c r="B419" s="12" t="s">
        <v>358</v>
      </c>
      <c r="C419" s="10" t="s">
        <v>2282</v>
      </c>
      <c r="D419" s="12" t="s">
        <v>2283</v>
      </c>
      <c r="E419" s="10" t="s">
        <v>2284</v>
      </c>
      <c r="F419" s="12" t="s">
        <v>83</v>
      </c>
      <c r="G419" s="12" t="n">
        <v>3</v>
      </c>
      <c r="H419" s="26" t="n">
        <v>86.46</v>
      </c>
      <c r="I419" s="10" t="s">
        <v>1116</v>
      </c>
      <c r="J419" s="30" t="s">
        <v>2285</v>
      </c>
      <c r="K419" s="10" t="s">
        <v>2286</v>
      </c>
    </row>
    <row r="420" customFormat="false" ht="46.25" hidden="false" customHeight="false" outlineLevel="0" collapsed="false">
      <c r="A420" s="12" t="s">
        <v>19</v>
      </c>
      <c r="B420" s="12" t="s">
        <v>358</v>
      </c>
      <c r="C420" s="10" t="s">
        <v>2282</v>
      </c>
      <c r="D420" s="12" t="s">
        <v>2287</v>
      </c>
      <c r="E420" s="10" t="s">
        <v>2288</v>
      </c>
      <c r="F420" s="12" t="s">
        <v>83</v>
      </c>
      <c r="G420" s="12" t="n">
        <v>3</v>
      </c>
      <c r="H420" s="26" t="n">
        <v>93.8126</v>
      </c>
      <c r="I420" s="10" t="s">
        <v>1116</v>
      </c>
      <c r="J420" s="30" t="s">
        <v>1159</v>
      </c>
      <c r="K420" s="10" t="s">
        <v>2289</v>
      </c>
    </row>
    <row r="421" customFormat="false" ht="79.85" hidden="false" customHeight="false" outlineLevel="0" collapsed="false">
      <c r="A421" s="12" t="s">
        <v>19</v>
      </c>
      <c r="B421" s="12" t="s">
        <v>520</v>
      </c>
      <c r="C421" s="10" t="s">
        <v>2290</v>
      </c>
      <c r="D421" s="12" t="s">
        <v>2291</v>
      </c>
      <c r="E421" s="10" t="s">
        <v>1241</v>
      </c>
      <c r="F421" s="12" t="s">
        <v>77</v>
      </c>
      <c r="G421" s="12" t="n">
        <v>5</v>
      </c>
      <c r="H421" s="26" t="n">
        <v>149.0357</v>
      </c>
      <c r="I421" s="10" t="s">
        <v>1116</v>
      </c>
      <c r="J421" s="30" t="s">
        <v>1159</v>
      </c>
      <c r="K421" s="10" t="s">
        <v>2292</v>
      </c>
    </row>
    <row r="422" customFormat="false" ht="23.85" hidden="false" customHeight="false" outlineLevel="0" collapsed="false">
      <c r="A422" s="12" t="s">
        <v>19</v>
      </c>
      <c r="B422" s="12" t="s">
        <v>513</v>
      </c>
      <c r="C422" s="10" t="s">
        <v>2293</v>
      </c>
      <c r="D422" s="12" t="s">
        <v>2294</v>
      </c>
      <c r="E422" s="10" t="s">
        <v>2295</v>
      </c>
      <c r="F422" s="12" t="s">
        <v>83</v>
      </c>
      <c r="G422" s="12"/>
      <c r="H422" s="26"/>
      <c r="I422" s="10" t="s">
        <v>1275</v>
      </c>
      <c r="J422" s="12"/>
      <c r="K422" s="10" t="s">
        <v>1276</v>
      </c>
    </row>
    <row r="423" customFormat="false" ht="35.05" hidden="false" customHeight="false" outlineLevel="0" collapsed="false">
      <c r="A423" s="12" t="s">
        <v>19</v>
      </c>
      <c r="B423" s="12" t="s">
        <v>513</v>
      </c>
      <c r="C423" s="10" t="s">
        <v>2293</v>
      </c>
      <c r="D423" s="12" t="s">
        <v>2296</v>
      </c>
      <c r="E423" s="10" t="s">
        <v>2297</v>
      </c>
      <c r="F423" s="12" t="s">
        <v>83</v>
      </c>
      <c r="G423" s="12" t="n">
        <v>0.25</v>
      </c>
      <c r="H423" s="26" t="n">
        <v>433.9426</v>
      </c>
      <c r="I423" s="10" t="s">
        <v>1116</v>
      </c>
      <c r="J423" s="30" t="s">
        <v>2298</v>
      </c>
      <c r="K423" s="10" t="s">
        <v>2299</v>
      </c>
    </row>
    <row r="424" customFormat="false" ht="35.05" hidden="false" customHeight="false" outlineLevel="0" collapsed="false">
      <c r="A424" s="12" t="s">
        <v>19</v>
      </c>
      <c r="B424" s="12" t="s">
        <v>494</v>
      </c>
      <c r="C424" s="10" t="s">
        <v>2300</v>
      </c>
      <c r="D424" s="12" t="s">
        <v>2169</v>
      </c>
      <c r="E424" s="10" t="s">
        <v>1574</v>
      </c>
      <c r="F424" s="12" t="s">
        <v>196</v>
      </c>
      <c r="G424" s="12" t="n">
        <v>5</v>
      </c>
      <c r="H424" s="26" t="n">
        <v>1.9</v>
      </c>
      <c r="I424" s="10" t="s">
        <v>1569</v>
      </c>
      <c r="J424" s="30" t="s">
        <v>1570</v>
      </c>
      <c r="K424" s="10" t="s">
        <v>2301</v>
      </c>
    </row>
    <row r="425" customFormat="false" ht="35.05" hidden="false" customHeight="false" outlineLevel="0" collapsed="false">
      <c r="A425" s="12" t="s">
        <v>19</v>
      </c>
      <c r="B425" s="12" t="s">
        <v>494</v>
      </c>
      <c r="C425" s="10" t="s">
        <v>2300</v>
      </c>
      <c r="D425" s="12" t="s">
        <v>2302</v>
      </c>
      <c r="E425" s="10" t="s">
        <v>1734</v>
      </c>
      <c r="F425" s="12" t="s">
        <v>77</v>
      </c>
      <c r="G425" s="12" t="n">
        <v>20</v>
      </c>
      <c r="H425" s="26" t="n">
        <v>1.63</v>
      </c>
      <c r="I425" s="10" t="s">
        <v>1569</v>
      </c>
      <c r="J425" s="30" t="s">
        <v>1570</v>
      </c>
      <c r="K425" s="10" t="s">
        <v>2303</v>
      </c>
    </row>
    <row r="426" customFormat="false" ht="35.05" hidden="false" customHeight="false" outlineLevel="0" collapsed="false">
      <c r="A426" s="12" t="s">
        <v>19</v>
      </c>
      <c r="B426" s="12" t="s">
        <v>494</v>
      </c>
      <c r="C426" s="10" t="s">
        <v>2304</v>
      </c>
      <c r="D426" s="12" t="s">
        <v>2172</v>
      </c>
      <c r="E426" s="10" t="s">
        <v>2305</v>
      </c>
      <c r="F426" s="12" t="s">
        <v>196</v>
      </c>
      <c r="G426" s="12" t="n">
        <v>2</v>
      </c>
      <c r="H426" s="26" t="n">
        <v>1.91</v>
      </c>
      <c r="I426" s="10" t="s">
        <v>1569</v>
      </c>
      <c r="J426" s="30" t="s">
        <v>1570</v>
      </c>
      <c r="K426" s="10" t="s">
        <v>2306</v>
      </c>
    </row>
    <row r="427" customFormat="false" ht="35.05" hidden="false" customHeight="false" outlineLevel="0" collapsed="false">
      <c r="A427" s="12" t="s">
        <v>19</v>
      </c>
      <c r="B427" s="12" t="s">
        <v>494</v>
      </c>
      <c r="C427" s="10" t="s">
        <v>2304</v>
      </c>
      <c r="D427" s="12" t="s">
        <v>2307</v>
      </c>
      <c r="E427" s="10" t="s">
        <v>1734</v>
      </c>
      <c r="F427" s="12" t="s">
        <v>77</v>
      </c>
      <c r="G427" s="12" t="n">
        <v>20</v>
      </c>
      <c r="H427" s="26" t="n">
        <v>1.12</v>
      </c>
      <c r="I427" s="10" t="s">
        <v>1569</v>
      </c>
      <c r="J427" s="30" t="s">
        <v>1570</v>
      </c>
      <c r="K427" s="10" t="s">
        <v>2308</v>
      </c>
    </row>
    <row r="428" customFormat="false" ht="23.85" hidden="false" customHeight="false" outlineLevel="0" collapsed="false">
      <c r="A428" s="12" t="s">
        <v>19</v>
      </c>
      <c r="B428" s="12" t="s">
        <v>129</v>
      </c>
      <c r="C428" s="10" t="s">
        <v>129</v>
      </c>
      <c r="D428" s="12" t="s">
        <v>1865</v>
      </c>
      <c r="E428" s="10" t="s">
        <v>2309</v>
      </c>
      <c r="F428" s="12" t="s">
        <v>77</v>
      </c>
      <c r="G428" s="12" t="n">
        <v>1</v>
      </c>
      <c r="H428" s="26"/>
      <c r="I428" s="10" t="s">
        <v>1275</v>
      </c>
      <c r="J428" s="12"/>
      <c r="K428" s="10" t="s">
        <v>1276</v>
      </c>
    </row>
    <row r="429" customFormat="false" ht="79.85" hidden="false" customHeight="false" outlineLevel="0" collapsed="false">
      <c r="A429" s="12" t="s">
        <v>19</v>
      </c>
      <c r="B429" s="12" t="s">
        <v>129</v>
      </c>
      <c r="C429" s="10" t="s">
        <v>2310</v>
      </c>
      <c r="D429" s="12" t="s">
        <v>1339</v>
      </c>
      <c r="E429" s="10" t="s">
        <v>1866</v>
      </c>
      <c r="F429" s="12" t="s">
        <v>77</v>
      </c>
      <c r="G429" s="12" t="n">
        <v>10</v>
      </c>
      <c r="H429" s="26" t="n">
        <v>147.804</v>
      </c>
      <c r="I429" s="10" t="s">
        <v>1116</v>
      </c>
      <c r="J429" s="30" t="s">
        <v>2006</v>
      </c>
      <c r="K429" s="10" t="s">
        <v>2311</v>
      </c>
    </row>
    <row r="430" customFormat="false" ht="35.05" hidden="false" customHeight="false" outlineLevel="0" collapsed="false">
      <c r="A430" s="12" t="s">
        <v>19</v>
      </c>
      <c r="B430" s="12" t="s">
        <v>283</v>
      </c>
      <c r="C430" s="10" t="s">
        <v>283</v>
      </c>
      <c r="D430" s="12" t="s">
        <v>1153</v>
      </c>
      <c r="E430" s="10" t="s">
        <v>1727</v>
      </c>
      <c r="F430" s="12" t="s">
        <v>77</v>
      </c>
      <c r="G430" s="12" t="n">
        <v>2</v>
      </c>
      <c r="H430" s="26" t="n">
        <v>96.02</v>
      </c>
      <c r="I430" s="10" t="s">
        <v>1116</v>
      </c>
      <c r="J430" s="30" t="s">
        <v>2312</v>
      </c>
      <c r="K430" s="10" t="s">
        <v>2313</v>
      </c>
    </row>
    <row r="431" customFormat="false" ht="15" hidden="false" customHeight="false" outlineLevel="0" collapsed="false">
      <c r="A431" s="12" t="s">
        <v>19</v>
      </c>
      <c r="B431" s="12" t="s">
        <v>283</v>
      </c>
      <c r="C431" s="10" t="s">
        <v>283</v>
      </c>
      <c r="D431" s="12" t="s">
        <v>1153</v>
      </c>
      <c r="E431" s="10" t="s">
        <v>2314</v>
      </c>
      <c r="F431" s="12" t="s">
        <v>77</v>
      </c>
      <c r="G431" s="12" t="n">
        <v>2</v>
      </c>
      <c r="H431" s="26" t="n">
        <v>11.2</v>
      </c>
      <c r="I431" s="10" t="s">
        <v>1116</v>
      </c>
      <c r="J431" s="30" t="s">
        <v>1145</v>
      </c>
      <c r="K431" s="10" t="s">
        <v>2315</v>
      </c>
    </row>
    <row r="432" customFormat="false" ht="23.85" hidden="false" customHeight="false" outlineLevel="0" collapsed="false">
      <c r="A432" s="12" t="s">
        <v>19</v>
      </c>
      <c r="B432" s="12" t="s">
        <v>283</v>
      </c>
      <c r="C432" s="10" t="s">
        <v>283</v>
      </c>
      <c r="D432" s="12" t="s">
        <v>1153</v>
      </c>
      <c r="E432" s="10" t="s">
        <v>2316</v>
      </c>
      <c r="F432" s="12" t="s">
        <v>77</v>
      </c>
      <c r="G432" s="12" t="n">
        <v>2</v>
      </c>
      <c r="H432" s="26" t="n">
        <v>6.244</v>
      </c>
      <c r="I432" s="10" t="s">
        <v>1116</v>
      </c>
      <c r="J432" s="30" t="s">
        <v>2317</v>
      </c>
      <c r="K432" s="10" t="s">
        <v>2318</v>
      </c>
    </row>
    <row r="433" customFormat="false" ht="23.85" hidden="false" customHeight="false" outlineLevel="0" collapsed="false">
      <c r="A433" s="12" t="s">
        <v>19</v>
      </c>
      <c r="B433" s="12" t="s">
        <v>283</v>
      </c>
      <c r="C433" s="10" t="s">
        <v>283</v>
      </c>
      <c r="D433" s="12" t="s">
        <v>1153</v>
      </c>
      <c r="E433" s="10" t="s">
        <v>2319</v>
      </c>
      <c r="F433" s="12" t="s">
        <v>77</v>
      </c>
      <c r="G433" s="12" t="n">
        <v>20</v>
      </c>
      <c r="H433" s="26" t="n">
        <v>87.5</v>
      </c>
      <c r="I433" s="10" t="s">
        <v>1116</v>
      </c>
      <c r="J433" s="30" t="s">
        <v>1263</v>
      </c>
      <c r="K433" s="10" t="s">
        <v>2320</v>
      </c>
    </row>
    <row r="434" customFormat="false" ht="23.85" hidden="false" customHeight="false" outlineLevel="0" collapsed="false">
      <c r="A434" s="12" t="s">
        <v>19</v>
      </c>
      <c r="B434" s="12" t="s">
        <v>283</v>
      </c>
      <c r="C434" s="10" t="s">
        <v>283</v>
      </c>
      <c r="D434" s="12" t="s">
        <v>1153</v>
      </c>
      <c r="E434" s="10" t="s">
        <v>2321</v>
      </c>
      <c r="F434" s="12" t="s">
        <v>77</v>
      </c>
      <c r="G434" s="12" t="n">
        <v>40</v>
      </c>
      <c r="H434" s="26" t="n">
        <v>157.5</v>
      </c>
      <c r="I434" s="10" t="s">
        <v>1116</v>
      </c>
      <c r="J434" s="30" t="s">
        <v>1263</v>
      </c>
      <c r="K434" s="10" t="s">
        <v>2322</v>
      </c>
    </row>
    <row r="435" customFormat="false" ht="15" hidden="false" customHeight="false" outlineLevel="0" collapsed="false">
      <c r="A435" s="12" t="s">
        <v>19</v>
      </c>
      <c r="B435" s="12" t="s">
        <v>283</v>
      </c>
      <c r="C435" s="10" t="s">
        <v>2323</v>
      </c>
      <c r="D435" s="12" t="s">
        <v>2324</v>
      </c>
      <c r="E435" s="10" t="s">
        <v>2325</v>
      </c>
      <c r="F435" s="12" t="s">
        <v>83</v>
      </c>
      <c r="G435" s="12" t="n">
        <v>0.2</v>
      </c>
      <c r="H435" s="26" t="n">
        <v>10.374</v>
      </c>
      <c r="I435" s="10" t="s">
        <v>1116</v>
      </c>
      <c r="J435" s="30" t="s">
        <v>2326</v>
      </c>
      <c r="K435" s="10" t="s">
        <v>2327</v>
      </c>
    </row>
    <row r="436" customFormat="false" ht="15" hidden="false" customHeight="false" outlineLevel="0" collapsed="false">
      <c r="A436" s="12" t="s">
        <v>19</v>
      </c>
      <c r="B436" s="12" t="s">
        <v>283</v>
      </c>
      <c r="C436" s="10" t="s">
        <v>2323</v>
      </c>
      <c r="D436" s="12" t="s">
        <v>2328</v>
      </c>
      <c r="E436" s="10" t="s">
        <v>2329</v>
      </c>
      <c r="F436" s="12" t="s">
        <v>83</v>
      </c>
      <c r="G436" s="12" t="n">
        <v>0.25</v>
      </c>
      <c r="H436" s="26" t="n">
        <v>10.92</v>
      </c>
      <c r="I436" s="10" t="s">
        <v>1116</v>
      </c>
      <c r="J436" s="30" t="s">
        <v>2330</v>
      </c>
      <c r="K436" s="10" t="s">
        <v>2331</v>
      </c>
    </row>
    <row r="437" customFormat="false" ht="46.25" hidden="false" customHeight="false" outlineLevel="0" collapsed="false">
      <c r="A437" s="12" t="s">
        <v>19</v>
      </c>
      <c r="B437" s="12" t="s">
        <v>283</v>
      </c>
      <c r="C437" s="10" t="s">
        <v>2332</v>
      </c>
      <c r="D437" s="12" t="s">
        <v>2173</v>
      </c>
      <c r="E437" s="10" t="s">
        <v>2229</v>
      </c>
      <c r="F437" s="12" t="s">
        <v>77</v>
      </c>
      <c r="G437" s="12" t="n">
        <v>10</v>
      </c>
      <c r="H437" s="26" t="n">
        <v>26.369</v>
      </c>
      <c r="I437" s="10" t="s">
        <v>1116</v>
      </c>
      <c r="J437" s="30" t="s">
        <v>1181</v>
      </c>
      <c r="K437" s="10" t="s">
        <v>2333</v>
      </c>
    </row>
    <row r="438" customFormat="false" ht="15" hidden="false" customHeight="false" outlineLevel="0" collapsed="false">
      <c r="A438" s="12" t="s">
        <v>19</v>
      </c>
      <c r="B438" s="12" t="s">
        <v>547</v>
      </c>
      <c r="C438" s="10" t="s">
        <v>2334</v>
      </c>
      <c r="D438" s="12" t="s">
        <v>2335</v>
      </c>
      <c r="E438" s="10" t="s">
        <v>2336</v>
      </c>
      <c r="F438" s="12" t="s">
        <v>83</v>
      </c>
      <c r="G438" s="12" t="n">
        <v>10</v>
      </c>
      <c r="H438" s="26" t="n">
        <v>17.5</v>
      </c>
      <c r="I438" s="10" t="s">
        <v>1116</v>
      </c>
      <c r="J438" s="30" t="s">
        <v>2337</v>
      </c>
      <c r="K438" s="10" t="s">
        <v>1598</v>
      </c>
    </row>
    <row r="439" customFormat="false" ht="23.85" hidden="false" customHeight="false" outlineLevel="0" collapsed="false">
      <c r="A439" s="12" t="s">
        <v>19</v>
      </c>
      <c r="B439" s="12" t="s">
        <v>547</v>
      </c>
      <c r="C439" s="10" t="s">
        <v>2334</v>
      </c>
      <c r="D439" s="12" t="s">
        <v>2338</v>
      </c>
      <c r="E439" s="10" t="s">
        <v>2339</v>
      </c>
      <c r="F439" s="12" t="s">
        <v>83</v>
      </c>
      <c r="G439" s="12" t="n">
        <v>5</v>
      </c>
      <c r="H439" s="26"/>
      <c r="I439" s="10" t="s">
        <v>1275</v>
      </c>
      <c r="J439" s="12"/>
      <c r="K439" s="10" t="s">
        <v>1276</v>
      </c>
    </row>
    <row r="440" customFormat="false" ht="57.45" hidden="false" customHeight="false" outlineLevel="0" collapsed="false">
      <c r="A440" s="12" t="s">
        <v>19</v>
      </c>
      <c r="B440" s="12" t="s">
        <v>547</v>
      </c>
      <c r="C440" s="10" t="s">
        <v>2340</v>
      </c>
      <c r="D440" s="12" t="s">
        <v>2341</v>
      </c>
      <c r="E440" s="10" t="s">
        <v>2274</v>
      </c>
      <c r="F440" s="12" t="s">
        <v>196</v>
      </c>
      <c r="G440" s="12" t="n">
        <v>3</v>
      </c>
      <c r="H440" s="26" t="n">
        <v>5.152</v>
      </c>
      <c r="I440" s="10" t="s">
        <v>1116</v>
      </c>
      <c r="J440" s="30" t="s">
        <v>1164</v>
      </c>
      <c r="K440" s="10" t="s">
        <v>2342</v>
      </c>
    </row>
    <row r="441" customFormat="false" ht="35.05" hidden="false" customHeight="false" outlineLevel="0" collapsed="false">
      <c r="A441" s="12" t="s">
        <v>19</v>
      </c>
      <c r="B441" s="12" t="s">
        <v>417</v>
      </c>
      <c r="C441" s="10" t="s">
        <v>417</v>
      </c>
      <c r="D441" s="12" t="s">
        <v>1421</v>
      </c>
      <c r="E441" s="10" t="s">
        <v>1892</v>
      </c>
      <c r="F441" s="12" t="s">
        <v>77</v>
      </c>
      <c r="G441" s="12"/>
      <c r="H441" s="26" t="n">
        <v>100.33</v>
      </c>
      <c r="I441" s="10" t="s">
        <v>1116</v>
      </c>
      <c r="J441" s="30" t="s">
        <v>2343</v>
      </c>
      <c r="K441" s="10" t="s">
        <v>2344</v>
      </c>
    </row>
    <row r="442" customFormat="false" ht="35.05" hidden="false" customHeight="false" outlineLevel="0" collapsed="false">
      <c r="A442" s="12" t="s">
        <v>19</v>
      </c>
      <c r="B442" s="12" t="s">
        <v>417</v>
      </c>
      <c r="C442" s="10" t="s">
        <v>2345</v>
      </c>
      <c r="D442" s="12" t="s">
        <v>2346</v>
      </c>
      <c r="E442" s="10" t="s">
        <v>2347</v>
      </c>
      <c r="F442" s="12" t="s">
        <v>77</v>
      </c>
      <c r="G442" s="12"/>
      <c r="H442" s="26" t="n">
        <v>27.9449</v>
      </c>
      <c r="I442" s="10" t="s">
        <v>1116</v>
      </c>
      <c r="J442" s="30" t="s">
        <v>1159</v>
      </c>
      <c r="K442" s="10" t="s">
        <v>2348</v>
      </c>
    </row>
    <row r="443" customFormat="false" ht="15" hidden="false" customHeight="false" outlineLevel="0" collapsed="false">
      <c r="A443" s="12" t="s">
        <v>19</v>
      </c>
      <c r="B443" s="12" t="s">
        <v>417</v>
      </c>
      <c r="C443" s="10" t="s">
        <v>417</v>
      </c>
      <c r="D443" s="12" t="s">
        <v>2349</v>
      </c>
      <c r="E443" s="10" t="s">
        <v>2350</v>
      </c>
      <c r="F443" s="12" t="s">
        <v>77</v>
      </c>
      <c r="G443" s="12"/>
      <c r="H443" s="26" t="n">
        <v>264.04</v>
      </c>
      <c r="I443" s="10" t="s">
        <v>1116</v>
      </c>
      <c r="J443" s="30" t="s">
        <v>1502</v>
      </c>
      <c r="K443" s="10" t="s">
        <v>2351</v>
      </c>
    </row>
    <row r="444" customFormat="false" ht="46.25" hidden="false" customHeight="false" outlineLevel="0" collapsed="false">
      <c r="A444" s="12" t="s">
        <v>19</v>
      </c>
      <c r="B444" s="12" t="s">
        <v>535</v>
      </c>
      <c r="C444" s="10" t="s">
        <v>2352</v>
      </c>
      <c r="D444" s="12" t="s">
        <v>1240</v>
      </c>
      <c r="E444" s="10" t="s">
        <v>1241</v>
      </c>
      <c r="F444" s="12" t="s">
        <v>77</v>
      </c>
      <c r="G444" s="12" t="n">
        <v>5</v>
      </c>
      <c r="H444" s="26" t="n">
        <v>122.2095</v>
      </c>
      <c r="I444" s="10" t="s">
        <v>1116</v>
      </c>
      <c r="J444" s="30" t="s">
        <v>1159</v>
      </c>
      <c r="K444" s="10" t="s">
        <v>2353</v>
      </c>
    </row>
    <row r="445" customFormat="false" ht="23.85" hidden="false" customHeight="false" outlineLevel="0" collapsed="false">
      <c r="A445" s="12" t="s">
        <v>19</v>
      </c>
      <c r="B445" s="12" t="s">
        <v>367</v>
      </c>
      <c r="C445" s="10" t="s">
        <v>1384</v>
      </c>
      <c r="D445" s="12" t="s">
        <v>1387</v>
      </c>
      <c r="E445" s="10"/>
      <c r="F445" s="12" t="s">
        <v>95</v>
      </c>
      <c r="G445" s="12"/>
      <c r="H445" s="26"/>
      <c r="I445" s="10" t="s">
        <v>1275</v>
      </c>
      <c r="J445" s="12"/>
      <c r="K445" s="10" t="s">
        <v>1276</v>
      </c>
    </row>
    <row r="446" customFormat="false" ht="23.85" hidden="false" customHeight="false" outlineLevel="0" collapsed="false">
      <c r="A446" s="12" t="s">
        <v>19</v>
      </c>
      <c r="B446" s="12" t="s">
        <v>367</v>
      </c>
      <c r="C446" s="10" t="s">
        <v>1384</v>
      </c>
      <c r="D446" s="12" t="s">
        <v>1385</v>
      </c>
      <c r="E446" s="10"/>
      <c r="F446" s="12" t="s">
        <v>95</v>
      </c>
      <c r="G446" s="12"/>
      <c r="H446" s="26"/>
      <c r="I446" s="10" t="s">
        <v>1275</v>
      </c>
      <c r="J446" s="12"/>
      <c r="K446" s="10" t="s">
        <v>1276</v>
      </c>
    </row>
    <row r="447" customFormat="false" ht="46.25" hidden="false" customHeight="false" outlineLevel="0" collapsed="false">
      <c r="A447" s="12" t="s">
        <v>19</v>
      </c>
      <c r="B447" s="12" t="s">
        <v>367</v>
      </c>
      <c r="C447" s="10" t="s">
        <v>367</v>
      </c>
      <c r="D447" s="12" t="s">
        <v>2354</v>
      </c>
      <c r="E447" s="10" t="s">
        <v>2355</v>
      </c>
      <c r="F447" s="12" t="s">
        <v>83</v>
      </c>
      <c r="G447" s="12"/>
      <c r="H447" s="26" t="n">
        <v>5.42</v>
      </c>
      <c r="I447" s="10" t="s">
        <v>1116</v>
      </c>
      <c r="J447" s="30" t="s">
        <v>2356</v>
      </c>
      <c r="K447" s="10" t="s">
        <v>2357</v>
      </c>
    </row>
    <row r="448" customFormat="false" ht="46.25" hidden="false" customHeight="false" outlineLevel="0" collapsed="false">
      <c r="A448" s="12" t="s">
        <v>19</v>
      </c>
      <c r="B448" s="12" t="s">
        <v>216</v>
      </c>
      <c r="C448" s="10" t="s">
        <v>2358</v>
      </c>
      <c r="D448" s="12" t="s">
        <v>2359</v>
      </c>
      <c r="E448" s="10" t="s">
        <v>2360</v>
      </c>
      <c r="F448" s="12" t="s">
        <v>77</v>
      </c>
      <c r="G448" s="12" t="n">
        <v>20</v>
      </c>
      <c r="H448" s="26" t="n">
        <v>6.32</v>
      </c>
      <c r="I448" s="10" t="s">
        <v>1116</v>
      </c>
      <c r="J448" s="30" t="s">
        <v>2361</v>
      </c>
      <c r="K448" s="10" t="s">
        <v>2362</v>
      </c>
    </row>
    <row r="449" customFormat="false" ht="35.05" hidden="false" customHeight="false" outlineLevel="0" collapsed="false">
      <c r="A449" s="12" t="s">
        <v>19</v>
      </c>
      <c r="B449" s="12" t="s">
        <v>216</v>
      </c>
      <c r="C449" s="10" t="s">
        <v>216</v>
      </c>
      <c r="D449" s="12" t="s">
        <v>2363</v>
      </c>
      <c r="E449" s="10" t="s">
        <v>2364</v>
      </c>
      <c r="F449" s="12" t="s">
        <v>83</v>
      </c>
      <c r="G449" s="12" t="n">
        <v>4</v>
      </c>
      <c r="H449" s="26" t="n">
        <v>79.25</v>
      </c>
      <c r="I449" s="10" t="s">
        <v>1116</v>
      </c>
      <c r="J449" s="30" t="s">
        <v>2365</v>
      </c>
      <c r="K449" s="10" t="s">
        <v>2366</v>
      </c>
    </row>
    <row r="450" customFormat="false" ht="46.25" hidden="false" customHeight="false" outlineLevel="0" collapsed="false">
      <c r="A450" s="12" t="s">
        <v>19</v>
      </c>
      <c r="B450" s="12" t="s">
        <v>216</v>
      </c>
      <c r="C450" s="10" t="s">
        <v>2367</v>
      </c>
      <c r="D450" s="12" t="s">
        <v>1399</v>
      </c>
      <c r="E450" s="10" t="s">
        <v>1400</v>
      </c>
      <c r="F450" s="12" t="s">
        <v>196</v>
      </c>
      <c r="G450" s="12" t="n">
        <v>2</v>
      </c>
      <c r="H450" s="26" t="n">
        <v>5.3223</v>
      </c>
      <c r="I450" s="10" t="s">
        <v>1116</v>
      </c>
      <c r="J450" s="30" t="s">
        <v>1159</v>
      </c>
      <c r="K450" s="10" t="s">
        <v>2368</v>
      </c>
    </row>
    <row r="451" customFormat="false" ht="46.25" hidden="false" customHeight="false" outlineLevel="0" collapsed="false">
      <c r="A451" s="12" t="s">
        <v>19</v>
      </c>
      <c r="B451" s="12" t="s">
        <v>216</v>
      </c>
      <c r="C451" s="10" t="s">
        <v>2367</v>
      </c>
      <c r="D451" s="12" t="s">
        <v>1399</v>
      </c>
      <c r="E451" s="10" t="s">
        <v>1400</v>
      </c>
      <c r="F451" s="12" t="s">
        <v>196</v>
      </c>
      <c r="G451" s="12" t="n">
        <v>2</v>
      </c>
      <c r="H451" s="26" t="n">
        <v>5.3223</v>
      </c>
      <c r="I451" s="10" t="s">
        <v>1116</v>
      </c>
      <c r="J451" s="30" t="s">
        <v>1159</v>
      </c>
      <c r="K451" s="10" t="s">
        <v>2368</v>
      </c>
    </row>
    <row r="452" customFormat="false" ht="23.85" hidden="false" customHeight="false" outlineLevel="0" collapsed="false">
      <c r="A452" s="12" t="s">
        <v>19</v>
      </c>
      <c r="B452" s="12" t="s">
        <v>216</v>
      </c>
      <c r="C452" s="10" t="s">
        <v>2367</v>
      </c>
      <c r="D452" s="12" t="s">
        <v>2369</v>
      </c>
      <c r="E452" s="10" t="s">
        <v>2370</v>
      </c>
      <c r="F452" s="12" t="s">
        <v>83</v>
      </c>
      <c r="G452" s="12" t="n">
        <v>2</v>
      </c>
      <c r="H452" s="26"/>
      <c r="I452" s="10" t="s">
        <v>1275</v>
      </c>
      <c r="J452" s="12"/>
      <c r="K452" s="10" t="s">
        <v>1276</v>
      </c>
    </row>
    <row r="453" customFormat="false" ht="23.85" hidden="false" customHeight="false" outlineLevel="0" collapsed="false">
      <c r="A453" s="12" t="s">
        <v>19</v>
      </c>
      <c r="B453" s="12" t="s">
        <v>216</v>
      </c>
      <c r="C453" s="10" t="s">
        <v>2367</v>
      </c>
      <c r="D453" s="12" t="s">
        <v>2371</v>
      </c>
      <c r="E453" s="10" t="s">
        <v>2372</v>
      </c>
      <c r="F453" s="12" t="s">
        <v>83</v>
      </c>
      <c r="G453" s="12" t="n">
        <v>4</v>
      </c>
      <c r="H453" s="26"/>
      <c r="I453" s="10" t="s">
        <v>1275</v>
      </c>
      <c r="J453" s="12"/>
      <c r="K453" s="10" t="s">
        <v>1276</v>
      </c>
    </row>
    <row r="454" customFormat="false" ht="23.85" hidden="false" customHeight="false" outlineLevel="0" collapsed="false">
      <c r="A454" s="12" t="s">
        <v>19</v>
      </c>
      <c r="B454" s="12" t="s">
        <v>98</v>
      </c>
      <c r="C454" s="10" t="s">
        <v>98</v>
      </c>
      <c r="D454" s="12" t="s">
        <v>2373</v>
      </c>
      <c r="E454" s="10" t="s">
        <v>2374</v>
      </c>
      <c r="F454" s="12" t="s">
        <v>77</v>
      </c>
      <c r="G454" s="12" t="n">
        <v>5</v>
      </c>
      <c r="H454" s="26" t="n">
        <v>261.8</v>
      </c>
      <c r="I454" s="10" t="s">
        <v>1116</v>
      </c>
      <c r="J454" s="30" t="s">
        <v>1502</v>
      </c>
      <c r="K454" s="10" t="s">
        <v>2375</v>
      </c>
    </row>
    <row r="455" customFormat="false" ht="35.05" hidden="false" customHeight="false" outlineLevel="0" collapsed="false">
      <c r="A455" s="12" t="s">
        <v>19</v>
      </c>
      <c r="B455" s="12" t="s">
        <v>393</v>
      </c>
      <c r="C455" s="10" t="s">
        <v>2376</v>
      </c>
      <c r="D455" s="12" t="s">
        <v>2377</v>
      </c>
      <c r="E455" s="10" t="s">
        <v>2378</v>
      </c>
      <c r="F455" s="12" t="s">
        <v>77</v>
      </c>
      <c r="G455" s="12" t="n">
        <v>6</v>
      </c>
      <c r="H455" s="26" t="n">
        <v>70.2</v>
      </c>
      <c r="I455" s="10" t="s">
        <v>1116</v>
      </c>
      <c r="J455" s="30" t="s">
        <v>2379</v>
      </c>
      <c r="K455" s="10" t="s">
        <v>2380</v>
      </c>
    </row>
    <row r="456" customFormat="false" ht="46.25" hidden="false" customHeight="false" outlineLevel="0" collapsed="false">
      <c r="A456" s="12" t="s">
        <v>19</v>
      </c>
      <c r="B456" s="12" t="s">
        <v>393</v>
      </c>
      <c r="C456" s="10" t="s">
        <v>2376</v>
      </c>
      <c r="D456" s="12" t="s">
        <v>1769</v>
      </c>
      <c r="E456" s="10" t="s">
        <v>1241</v>
      </c>
      <c r="F456" s="12" t="s">
        <v>77</v>
      </c>
      <c r="G456" s="12" t="n">
        <v>5</v>
      </c>
      <c r="H456" s="26" t="n">
        <v>96.9427</v>
      </c>
      <c r="I456" s="10" t="s">
        <v>1116</v>
      </c>
      <c r="J456" s="30" t="s">
        <v>1159</v>
      </c>
      <c r="K456" s="10" t="s">
        <v>2381</v>
      </c>
    </row>
    <row r="457" customFormat="false" ht="46.25" hidden="false" customHeight="false" outlineLevel="0" collapsed="false">
      <c r="A457" s="12" t="s">
        <v>19</v>
      </c>
      <c r="B457" s="12" t="s">
        <v>393</v>
      </c>
      <c r="C457" s="10" t="s">
        <v>2382</v>
      </c>
      <c r="D457" s="12" t="s">
        <v>2011</v>
      </c>
      <c r="E457" s="10" t="s">
        <v>1241</v>
      </c>
      <c r="F457" s="12" t="s">
        <v>77</v>
      </c>
      <c r="G457" s="12" t="n">
        <v>5</v>
      </c>
      <c r="H457" s="26" t="n">
        <v>15.39</v>
      </c>
      <c r="I457" s="10" t="s">
        <v>1116</v>
      </c>
      <c r="J457" s="30" t="s">
        <v>1196</v>
      </c>
      <c r="K457" s="10" t="s">
        <v>2383</v>
      </c>
    </row>
    <row r="458" customFormat="false" ht="35.05" hidden="false" customHeight="false" outlineLevel="0" collapsed="false">
      <c r="A458" s="12" t="s">
        <v>19</v>
      </c>
      <c r="B458" s="12" t="s">
        <v>179</v>
      </c>
      <c r="C458" s="10" t="s">
        <v>179</v>
      </c>
      <c r="D458" s="12" t="s">
        <v>1421</v>
      </c>
      <c r="E458" s="10" t="s">
        <v>1422</v>
      </c>
      <c r="F458" s="12" t="s">
        <v>77</v>
      </c>
      <c r="G458" s="12"/>
      <c r="H458" s="26" t="n">
        <v>6.61</v>
      </c>
      <c r="I458" s="10" t="s">
        <v>1116</v>
      </c>
      <c r="J458" s="30" t="s">
        <v>1423</v>
      </c>
      <c r="K458" s="10" t="s">
        <v>1424</v>
      </c>
    </row>
    <row r="459" customFormat="false" ht="46.25" hidden="false" customHeight="false" outlineLevel="0" collapsed="false">
      <c r="A459" s="12" t="s">
        <v>19</v>
      </c>
      <c r="B459" s="12" t="s">
        <v>179</v>
      </c>
      <c r="C459" s="10" t="s">
        <v>2384</v>
      </c>
      <c r="D459" s="12" t="s">
        <v>1857</v>
      </c>
      <c r="E459" s="10" t="s">
        <v>1892</v>
      </c>
      <c r="F459" s="12" t="s">
        <v>77</v>
      </c>
      <c r="G459" s="12"/>
      <c r="H459" s="26" t="n">
        <v>5.5596</v>
      </c>
      <c r="I459" s="10" t="s">
        <v>1116</v>
      </c>
      <c r="J459" s="30" t="s">
        <v>1159</v>
      </c>
      <c r="K459" s="10" t="s">
        <v>2014</v>
      </c>
    </row>
    <row r="460" customFormat="false" ht="46.25" hidden="false" customHeight="false" outlineLevel="0" collapsed="false">
      <c r="A460" s="12" t="s">
        <v>19</v>
      </c>
      <c r="B460" s="12" t="s">
        <v>554</v>
      </c>
      <c r="C460" s="10" t="s">
        <v>554</v>
      </c>
      <c r="D460" s="12" t="s">
        <v>2385</v>
      </c>
      <c r="E460" s="10" t="s">
        <v>2386</v>
      </c>
      <c r="F460" s="12" t="s">
        <v>77</v>
      </c>
      <c r="G460" s="12" t="n">
        <v>1</v>
      </c>
      <c r="H460" s="26" t="n">
        <v>9.13</v>
      </c>
      <c r="I460" s="10" t="s">
        <v>1116</v>
      </c>
      <c r="J460" s="30" t="s">
        <v>2387</v>
      </c>
      <c r="K460" s="10" t="s">
        <v>2388</v>
      </c>
    </row>
    <row r="461" customFormat="false" ht="46.25" hidden="false" customHeight="false" outlineLevel="0" collapsed="false">
      <c r="A461" s="12" t="s">
        <v>19</v>
      </c>
      <c r="B461" s="12" t="s">
        <v>554</v>
      </c>
      <c r="C461" s="10" t="s">
        <v>554</v>
      </c>
      <c r="D461" s="12" t="s">
        <v>2389</v>
      </c>
      <c r="E461" s="10" t="s">
        <v>2390</v>
      </c>
      <c r="F461" s="12" t="s">
        <v>77</v>
      </c>
      <c r="G461" s="12" t="n">
        <v>2</v>
      </c>
      <c r="H461" s="26" t="n">
        <v>17.95</v>
      </c>
      <c r="I461" s="10" t="s">
        <v>1116</v>
      </c>
      <c r="J461" s="30" t="s">
        <v>2387</v>
      </c>
      <c r="K461" s="10" t="s">
        <v>2391</v>
      </c>
    </row>
    <row r="462" customFormat="false" ht="23.85" hidden="false" customHeight="false" outlineLevel="0" collapsed="false">
      <c r="A462" s="12" t="s">
        <v>19</v>
      </c>
      <c r="B462" s="12" t="s">
        <v>81</v>
      </c>
      <c r="C462" s="10" t="s">
        <v>2392</v>
      </c>
      <c r="D462" s="12" t="s">
        <v>2393</v>
      </c>
      <c r="E462" s="10" t="s">
        <v>2394</v>
      </c>
      <c r="F462" s="12" t="s">
        <v>83</v>
      </c>
      <c r="G462" s="12" t="n">
        <v>0.6</v>
      </c>
      <c r="H462" s="26" t="n">
        <v>907.38</v>
      </c>
      <c r="I462" s="10" t="s">
        <v>2198</v>
      </c>
      <c r="J462" s="12"/>
      <c r="K462" s="10" t="s">
        <v>2395</v>
      </c>
    </row>
    <row r="463" customFormat="false" ht="23.85" hidden="false" customHeight="false" outlineLevel="0" collapsed="false">
      <c r="A463" s="12" t="s">
        <v>19</v>
      </c>
      <c r="B463" s="12" t="s">
        <v>437</v>
      </c>
      <c r="C463" s="10" t="s">
        <v>2396</v>
      </c>
      <c r="D463" s="12" t="s">
        <v>1521</v>
      </c>
      <c r="E463" s="10" t="s">
        <v>1596</v>
      </c>
      <c r="F463" s="12" t="s">
        <v>77</v>
      </c>
      <c r="G463" s="12" t="n">
        <v>1</v>
      </c>
      <c r="H463" s="26"/>
      <c r="I463" s="10" t="s">
        <v>1275</v>
      </c>
      <c r="J463" s="12"/>
      <c r="K463" s="10" t="s">
        <v>1276</v>
      </c>
    </row>
    <row r="464" customFormat="false" ht="23.85" hidden="false" customHeight="false" outlineLevel="0" collapsed="false">
      <c r="A464" s="12" t="s">
        <v>19</v>
      </c>
      <c r="B464" s="12" t="s">
        <v>437</v>
      </c>
      <c r="C464" s="10" t="s">
        <v>2397</v>
      </c>
      <c r="D464" s="12" t="s">
        <v>1650</v>
      </c>
      <c r="E464" s="10" t="s">
        <v>2242</v>
      </c>
      <c r="F464" s="12" t="s">
        <v>77</v>
      </c>
      <c r="G464" s="12" t="n">
        <v>10</v>
      </c>
      <c r="H464" s="26" t="n">
        <v>32.6</v>
      </c>
      <c r="I464" s="10" t="s">
        <v>1539</v>
      </c>
      <c r="J464" s="30" t="s">
        <v>2398</v>
      </c>
      <c r="K464" s="10" t="s">
        <v>2399</v>
      </c>
    </row>
    <row r="465" customFormat="false" ht="35.05" hidden="false" customHeight="false" outlineLevel="0" collapsed="false">
      <c r="A465" s="12" t="s">
        <v>19</v>
      </c>
      <c r="B465" s="12" t="s">
        <v>563</v>
      </c>
      <c r="C465" s="10" t="s">
        <v>2400</v>
      </c>
      <c r="D465" s="12" t="s">
        <v>2401</v>
      </c>
      <c r="E465" s="10"/>
      <c r="F465" s="12" t="s">
        <v>95</v>
      </c>
      <c r="G465" s="12" t="n">
        <v>2</v>
      </c>
      <c r="H465" s="26" t="n">
        <v>1.03</v>
      </c>
      <c r="I465" s="10" t="s">
        <v>1121</v>
      </c>
      <c r="J465" s="30" t="s">
        <v>1122</v>
      </c>
      <c r="K465" s="10" t="s">
        <v>2402</v>
      </c>
    </row>
    <row r="466" customFormat="false" ht="35.05" hidden="false" customHeight="false" outlineLevel="0" collapsed="false">
      <c r="A466" s="12" t="s">
        <v>19</v>
      </c>
      <c r="B466" s="12" t="s">
        <v>109</v>
      </c>
      <c r="C466" s="10" t="s">
        <v>109</v>
      </c>
      <c r="D466" s="12" t="s">
        <v>1320</v>
      </c>
      <c r="E466" s="10" t="s">
        <v>1434</v>
      </c>
      <c r="F466" s="12" t="s">
        <v>77</v>
      </c>
      <c r="G466" s="12" t="n">
        <v>1.2</v>
      </c>
      <c r="H466" s="26" t="n">
        <v>6455.02</v>
      </c>
      <c r="I466" s="10" t="s">
        <v>1116</v>
      </c>
      <c r="J466" s="30" t="s">
        <v>2403</v>
      </c>
      <c r="K466" s="10" t="s">
        <v>2404</v>
      </c>
    </row>
    <row r="467" customFormat="false" ht="46.25" hidden="false" customHeight="false" outlineLevel="0" collapsed="false">
      <c r="A467" s="12" t="s">
        <v>19</v>
      </c>
      <c r="B467" s="12" t="s">
        <v>109</v>
      </c>
      <c r="C467" s="10" t="s">
        <v>2405</v>
      </c>
      <c r="D467" s="12" t="s">
        <v>1438</v>
      </c>
      <c r="E467" s="10" t="s">
        <v>1434</v>
      </c>
      <c r="F467" s="12" t="s">
        <v>77</v>
      </c>
      <c r="G467" s="12" t="n">
        <v>1.2</v>
      </c>
      <c r="H467" s="26" t="n">
        <v>7322.4226</v>
      </c>
      <c r="I467" s="10" t="s">
        <v>1116</v>
      </c>
      <c r="J467" s="30" t="s">
        <v>1159</v>
      </c>
      <c r="K467" s="10" t="s">
        <v>2406</v>
      </c>
    </row>
    <row r="468" customFormat="false" ht="57.45" hidden="false" customHeight="false" outlineLevel="0" collapsed="false">
      <c r="A468" s="12" t="s">
        <v>19</v>
      </c>
      <c r="B468" s="12" t="s">
        <v>109</v>
      </c>
      <c r="C468" s="10" t="s">
        <v>2405</v>
      </c>
      <c r="D468" s="12" t="s">
        <v>1443</v>
      </c>
      <c r="E468" s="10" t="s">
        <v>1444</v>
      </c>
      <c r="F468" s="12" t="s">
        <v>77</v>
      </c>
      <c r="G468" s="12" t="n">
        <v>1.2</v>
      </c>
      <c r="H468" s="26" t="n">
        <v>559.566</v>
      </c>
      <c r="I468" s="10" t="s">
        <v>1116</v>
      </c>
      <c r="J468" s="30" t="s">
        <v>1445</v>
      </c>
      <c r="K468" s="10" t="s">
        <v>2407</v>
      </c>
    </row>
    <row r="469" customFormat="false" ht="35.05" hidden="false" customHeight="false" outlineLevel="0" collapsed="false">
      <c r="A469" s="12" t="s">
        <v>19</v>
      </c>
      <c r="B469" s="12" t="s">
        <v>380</v>
      </c>
      <c r="C469" s="10" t="s">
        <v>380</v>
      </c>
      <c r="D469" s="12" t="s">
        <v>1447</v>
      </c>
      <c r="E469" s="10"/>
      <c r="F469" s="12" t="s">
        <v>95</v>
      </c>
      <c r="G469" s="12"/>
      <c r="H469" s="26" t="n">
        <v>6.23</v>
      </c>
      <c r="I469" s="10" t="s">
        <v>1121</v>
      </c>
      <c r="J469" s="30" t="s">
        <v>1122</v>
      </c>
      <c r="K469" s="10" t="s">
        <v>2408</v>
      </c>
    </row>
    <row r="470" customFormat="false" ht="23.85" hidden="false" customHeight="false" outlineLevel="0" collapsed="false">
      <c r="A470" s="12" t="s">
        <v>19</v>
      </c>
      <c r="B470" s="12" t="s">
        <v>517</v>
      </c>
      <c r="C470" s="10" t="s">
        <v>2409</v>
      </c>
      <c r="D470" s="12" t="s">
        <v>1915</v>
      </c>
      <c r="E470" s="10" t="s">
        <v>2410</v>
      </c>
      <c r="F470" s="12" t="s">
        <v>77</v>
      </c>
      <c r="G470" s="12" t="n">
        <v>0.23</v>
      </c>
      <c r="H470" s="26" t="n">
        <v>655.58</v>
      </c>
      <c r="I470" s="10" t="s">
        <v>1116</v>
      </c>
      <c r="J470" s="12"/>
      <c r="K470" s="10" t="s">
        <v>1695</v>
      </c>
    </row>
    <row r="471" customFormat="false" ht="35.05" hidden="false" customHeight="false" outlineLevel="0" collapsed="false">
      <c r="A471" s="12" t="s">
        <v>19</v>
      </c>
      <c r="B471" s="12" t="s">
        <v>409</v>
      </c>
      <c r="C471" s="10" t="s">
        <v>409</v>
      </c>
      <c r="D471" s="12" t="s">
        <v>1451</v>
      </c>
      <c r="E471" s="10" t="s">
        <v>2411</v>
      </c>
      <c r="F471" s="12" t="s">
        <v>83</v>
      </c>
      <c r="G471" s="12" t="n">
        <v>5</v>
      </c>
      <c r="H471" s="26" t="n">
        <v>10.03</v>
      </c>
      <c r="I471" s="10" t="s">
        <v>1121</v>
      </c>
      <c r="J471" s="30" t="s">
        <v>1122</v>
      </c>
      <c r="K471" s="10" t="s">
        <v>1453</v>
      </c>
    </row>
    <row r="472" customFormat="false" ht="46.25" hidden="false" customHeight="false" outlineLevel="0" collapsed="false">
      <c r="A472" s="12" t="s">
        <v>19</v>
      </c>
      <c r="B472" s="12" t="s">
        <v>488</v>
      </c>
      <c r="C472" s="10" t="s">
        <v>2412</v>
      </c>
      <c r="D472" s="12" t="s">
        <v>2024</v>
      </c>
      <c r="E472" s="10" t="s">
        <v>2413</v>
      </c>
      <c r="F472" s="12" t="s">
        <v>196</v>
      </c>
      <c r="G472" s="12" t="n">
        <v>5</v>
      </c>
      <c r="H472" s="26" t="n">
        <v>5.0963</v>
      </c>
      <c r="I472" s="10" t="s">
        <v>1116</v>
      </c>
      <c r="J472" s="30" t="s">
        <v>1159</v>
      </c>
      <c r="K472" s="10" t="s">
        <v>2414</v>
      </c>
    </row>
    <row r="473" customFormat="false" ht="35.05" hidden="false" customHeight="false" outlineLevel="0" collapsed="false">
      <c r="A473" s="12" t="s">
        <v>19</v>
      </c>
      <c r="B473" s="12" t="s">
        <v>260</v>
      </c>
      <c r="C473" s="10" t="s">
        <v>2415</v>
      </c>
      <c r="D473" s="12" t="s">
        <v>1736</v>
      </c>
      <c r="E473" s="10" t="s">
        <v>2370</v>
      </c>
      <c r="F473" s="12" t="s">
        <v>83</v>
      </c>
      <c r="G473" s="12" t="n">
        <v>2</v>
      </c>
      <c r="H473" s="26" t="n">
        <v>5.12</v>
      </c>
      <c r="I473" s="10" t="s">
        <v>1569</v>
      </c>
      <c r="J473" s="30" t="s">
        <v>1570</v>
      </c>
      <c r="K473" s="10" t="s">
        <v>2416</v>
      </c>
    </row>
    <row r="474" customFormat="false" ht="35.05" hidden="false" customHeight="false" outlineLevel="0" collapsed="false">
      <c r="A474" s="12" t="s">
        <v>19</v>
      </c>
      <c r="B474" s="12" t="s">
        <v>116</v>
      </c>
      <c r="C474" s="10" t="s">
        <v>116</v>
      </c>
      <c r="D474" s="12" t="s">
        <v>1500</v>
      </c>
      <c r="E474" s="10" t="s">
        <v>1949</v>
      </c>
      <c r="F474" s="12" t="s">
        <v>77</v>
      </c>
      <c r="G474" s="12"/>
      <c r="H474" s="26" t="n">
        <v>67.02</v>
      </c>
      <c r="I474" s="10" t="s">
        <v>1116</v>
      </c>
      <c r="J474" s="30" t="s">
        <v>1950</v>
      </c>
      <c r="K474" s="10" t="s">
        <v>1951</v>
      </c>
    </row>
    <row r="475" customFormat="false" ht="46.25" hidden="false" customHeight="false" outlineLevel="0" collapsed="false">
      <c r="A475" s="12" t="s">
        <v>19</v>
      </c>
      <c r="B475" s="12" t="s">
        <v>116</v>
      </c>
      <c r="C475" s="10" t="s">
        <v>2417</v>
      </c>
      <c r="D475" s="12" t="s">
        <v>1792</v>
      </c>
      <c r="E475" s="10" t="s">
        <v>1626</v>
      </c>
      <c r="F475" s="12" t="s">
        <v>77</v>
      </c>
      <c r="G475" s="12" t="n">
        <v>2</v>
      </c>
      <c r="H475" s="26" t="n">
        <v>92.0498</v>
      </c>
      <c r="I475" s="10" t="s">
        <v>1116</v>
      </c>
      <c r="J475" s="30" t="s">
        <v>1159</v>
      </c>
      <c r="K475" s="10" t="s">
        <v>2418</v>
      </c>
    </row>
    <row r="476" customFormat="false" ht="23.85" hidden="false" customHeight="false" outlineLevel="0" collapsed="false">
      <c r="A476" s="12" t="s">
        <v>19</v>
      </c>
      <c r="B476" s="12" t="s">
        <v>116</v>
      </c>
      <c r="C476" s="10" t="s">
        <v>2417</v>
      </c>
      <c r="D476" s="12" t="s">
        <v>1621</v>
      </c>
      <c r="E476" s="10" t="s">
        <v>1622</v>
      </c>
      <c r="F476" s="12" t="s">
        <v>77</v>
      </c>
      <c r="G476" s="12" t="n">
        <v>2</v>
      </c>
      <c r="H476" s="26"/>
      <c r="I476" s="10" t="s">
        <v>1275</v>
      </c>
      <c r="J476" s="12"/>
      <c r="K476" s="10" t="s">
        <v>1276</v>
      </c>
    </row>
    <row r="477" customFormat="false" ht="23.85" hidden="false" customHeight="false" outlineLevel="0" collapsed="false">
      <c r="A477" s="12" t="s">
        <v>19</v>
      </c>
      <c r="B477" s="12" t="s">
        <v>116</v>
      </c>
      <c r="C477" s="10" t="s">
        <v>2417</v>
      </c>
      <c r="D477" s="12" t="s">
        <v>1623</v>
      </c>
      <c r="E477" s="10" t="s">
        <v>1601</v>
      </c>
      <c r="F477" s="12" t="s">
        <v>77</v>
      </c>
      <c r="G477" s="12" t="n">
        <v>5</v>
      </c>
      <c r="H477" s="26"/>
      <c r="I477" s="10" t="s">
        <v>1275</v>
      </c>
      <c r="J477" s="12"/>
      <c r="K477" s="10" t="s">
        <v>1276</v>
      </c>
    </row>
    <row r="478" customFormat="false" ht="35.05" hidden="false" customHeight="false" outlineLevel="0" collapsed="false">
      <c r="A478" s="12" t="s">
        <v>19</v>
      </c>
      <c r="B478" s="12" t="s">
        <v>173</v>
      </c>
      <c r="C478" s="10" t="s">
        <v>2419</v>
      </c>
      <c r="D478" s="12" t="s">
        <v>2420</v>
      </c>
      <c r="E478" s="10" t="s">
        <v>2421</v>
      </c>
      <c r="F478" s="12" t="s">
        <v>77</v>
      </c>
      <c r="G478" s="12"/>
      <c r="H478" s="26" t="n">
        <v>35.2673</v>
      </c>
      <c r="I478" s="10" t="s">
        <v>1116</v>
      </c>
      <c r="J478" s="30" t="s">
        <v>1214</v>
      </c>
      <c r="K478" s="10" t="s">
        <v>2422</v>
      </c>
    </row>
    <row r="479" customFormat="false" ht="35.05" hidden="false" customHeight="false" outlineLevel="0" collapsed="false">
      <c r="A479" s="12" t="s">
        <v>19</v>
      </c>
      <c r="B479" s="12" t="s">
        <v>524</v>
      </c>
      <c r="C479" s="10" t="s">
        <v>2423</v>
      </c>
      <c r="D479" s="12" t="s">
        <v>1876</v>
      </c>
      <c r="E479" s="10" t="s">
        <v>2424</v>
      </c>
      <c r="F479" s="12" t="s">
        <v>77</v>
      </c>
      <c r="G479" s="12"/>
      <c r="H479" s="26" t="n">
        <v>23.95</v>
      </c>
      <c r="I479" s="10" t="s">
        <v>1121</v>
      </c>
      <c r="J479" s="30" t="s">
        <v>1122</v>
      </c>
      <c r="K479" s="10" t="s">
        <v>2425</v>
      </c>
    </row>
    <row r="480" customFormat="false" ht="23.85" hidden="false" customHeight="false" outlineLevel="0" collapsed="false">
      <c r="A480" s="12" t="s">
        <v>19</v>
      </c>
      <c r="B480" s="12" t="s">
        <v>507</v>
      </c>
      <c r="C480" s="10" t="s">
        <v>2426</v>
      </c>
      <c r="D480" s="12" t="s">
        <v>2427</v>
      </c>
      <c r="E480" s="10" t="s">
        <v>2428</v>
      </c>
      <c r="F480" s="12" t="s">
        <v>83</v>
      </c>
      <c r="G480" s="12" t="n">
        <v>0.5</v>
      </c>
      <c r="H480" s="26" t="n">
        <v>2838.33</v>
      </c>
      <c r="I480" s="10" t="s">
        <v>2198</v>
      </c>
      <c r="J480" s="12"/>
      <c r="K480" s="10" t="s">
        <v>2429</v>
      </c>
    </row>
    <row r="481" customFormat="false" ht="57.45" hidden="false" customHeight="false" outlineLevel="0" collapsed="false">
      <c r="A481" s="12" t="s">
        <v>19</v>
      </c>
      <c r="B481" s="12" t="s">
        <v>567</v>
      </c>
      <c r="C481" s="10" t="s">
        <v>2430</v>
      </c>
      <c r="D481" s="12" t="s">
        <v>2431</v>
      </c>
      <c r="E481" s="10" t="s">
        <v>1727</v>
      </c>
      <c r="F481" s="12" t="s">
        <v>77</v>
      </c>
      <c r="G481" s="12" t="n">
        <v>2</v>
      </c>
      <c r="H481" s="26" t="n">
        <v>9.93</v>
      </c>
      <c r="I481" s="10" t="s">
        <v>1116</v>
      </c>
      <c r="J481" s="30" t="s">
        <v>1196</v>
      </c>
      <c r="K481" s="10" t="s">
        <v>2432</v>
      </c>
    </row>
    <row r="482" customFormat="false" ht="35.05" hidden="false" customHeight="false" outlineLevel="0" collapsed="false">
      <c r="A482" s="12" t="s">
        <v>19</v>
      </c>
      <c r="B482" s="12" t="s">
        <v>396</v>
      </c>
      <c r="C482" s="10" t="s">
        <v>2433</v>
      </c>
      <c r="D482" s="12" t="s">
        <v>2024</v>
      </c>
      <c r="E482" s="10" t="s">
        <v>1241</v>
      </c>
      <c r="F482" s="12" t="s">
        <v>77</v>
      </c>
      <c r="G482" s="12" t="n">
        <v>5</v>
      </c>
      <c r="H482" s="26" t="n">
        <v>113.7345</v>
      </c>
      <c r="I482" s="10" t="s">
        <v>1116</v>
      </c>
      <c r="J482" s="30" t="s">
        <v>1159</v>
      </c>
      <c r="K482" s="10" t="s">
        <v>2434</v>
      </c>
    </row>
    <row r="483" customFormat="false" ht="35.05" hidden="false" customHeight="false" outlineLevel="0" collapsed="false">
      <c r="A483" s="12" t="s">
        <v>19</v>
      </c>
      <c r="B483" s="12" t="s">
        <v>396</v>
      </c>
      <c r="C483" s="10" t="s">
        <v>2435</v>
      </c>
      <c r="D483" s="12" t="s">
        <v>2024</v>
      </c>
      <c r="E483" s="10" t="s">
        <v>1241</v>
      </c>
      <c r="F483" s="12" t="s">
        <v>77</v>
      </c>
      <c r="G483" s="12" t="n">
        <v>5</v>
      </c>
      <c r="H483" s="26" t="n">
        <v>113.7345</v>
      </c>
      <c r="I483" s="10" t="s">
        <v>1116</v>
      </c>
      <c r="J483" s="30" t="s">
        <v>1159</v>
      </c>
      <c r="K483" s="10" t="s">
        <v>2434</v>
      </c>
    </row>
    <row r="484" customFormat="false" ht="68.65" hidden="false" customHeight="false" outlineLevel="0" collapsed="false">
      <c r="A484" s="12" t="s">
        <v>53</v>
      </c>
      <c r="B484" s="12" t="s">
        <v>267</v>
      </c>
      <c r="C484" s="10" t="s">
        <v>2436</v>
      </c>
      <c r="D484" s="12" t="s">
        <v>2437</v>
      </c>
      <c r="E484" s="10" t="s">
        <v>2438</v>
      </c>
      <c r="F484" s="12" t="s">
        <v>196</v>
      </c>
      <c r="G484" s="12" t="n">
        <v>10</v>
      </c>
      <c r="H484" s="26" t="n">
        <v>24.71</v>
      </c>
      <c r="I484" s="10" t="s">
        <v>1116</v>
      </c>
      <c r="J484" s="30" t="s">
        <v>2439</v>
      </c>
      <c r="K484" s="10" t="s">
        <v>2440</v>
      </c>
    </row>
    <row r="485" customFormat="false" ht="23.85" hidden="false" customHeight="false" outlineLevel="0" collapsed="false">
      <c r="A485" s="12" t="s">
        <v>53</v>
      </c>
      <c r="B485" s="12" t="s">
        <v>579</v>
      </c>
      <c r="C485" s="10" t="s">
        <v>2441</v>
      </c>
      <c r="D485" s="12" t="s">
        <v>1287</v>
      </c>
      <c r="E485" s="10" t="s">
        <v>1288</v>
      </c>
      <c r="F485" s="12" t="s">
        <v>77</v>
      </c>
      <c r="G485" s="12"/>
      <c r="H485" s="26" t="n">
        <v>0.57</v>
      </c>
      <c r="I485" s="10" t="s">
        <v>1642</v>
      </c>
      <c r="J485" s="30" t="s">
        <v>2442</v>
      </c>
      <c r="K485" s="10" t="s">
        <v>2443</v>
      </c>
    </row>
    <row r="486" customFormat="false" ht="35.05" hidden="false" customHeight="false" outlineLevel="0" collapsed="false">
      <c r="A486" s="12" t="s">
        <v>53</v>
      </c>
      <c r="B486" s="12" t="s">
        <v>241</v>
      </c>
      <c r="C486" s="10" t="s">
        <v>2444</v>
      </c>
      <c r="D486" s="12" t="s">
        <v>2140</v>
      </c>
      <c r="E486" s="10" t="s">
        <v>1601</v>
      </c>
      <c r="F486" s="12" t="s">
        <v>77</v>
      </c>
      <c r="G486" s="12" t="n">
        <v>5</v>
      </c>
      <c r="H486" s="26" t="n">
        <v>7.47</v>
      </c>
      <c r="I486" s="10" t="s">
        <v>1569</v>
      </c>
      <c r="J486" s="30" t="s">
        <v>1570</v>
      </c>
      <c r="K486" s="10" t="s">
        <v>2445</v>
      </c>
    </row>
    <row r="487" customFormat="false" ht="35.05" hidden="false" customHeight="false" outlineLevel="0" collapsed="false">
      <c r="A487" s="12" t="s">
        <v>53</v>
      </c>
      <c r="B487" s="12" t="s">
        <v>241</v>
      </c>
      <c r="C487" s="10" t="s">
        <v>2444</v>
      </c>
      <c r="D487" s="12" t="s">
        <v>2146</v>
      </c>
      <c r="E487" s="10" t="s">
        <v>2147</v>
      </c>
      <c r="F487" s="12" t="s">
        <v>77</v>
      </c>
      <c r="G487" s="12" t="n">
        <v>30</v>
      </c>
      <c r="H487" s="26" t="n">
        <v>58.29</v>
      </c>
      <c r="I487" s="10" t="s">
        <v>1510</v>
      </c>
      <c r="J487" s="30" t="s">
        <v>2446</v>
      </c>
      <c r="K487" s="10" t="s">
        <v>2447</v>
      </c>
    </row>
    <row r="488" customFormat="false" ht="35.05" hidden="false" customHeight="false" outlineLevel="0" collapsed="false">
      <c r="A488" s="12" t="s">
        <v>53</v>
      </c>
      <c r="B488" s="12" t="s">
        <v>104</v>
      </c>
      <c r="C488" s="10" t="s">
        <v>2448</v>
      </c>
      <c r="D488" s="12" t="s">
        <v>1550</v>
      </c>
      <c r="E488" s="10" t="s">
        <v>1551</v>
      </c>
      <c r="F488" s="12" t="s">
        <v>77</v>
      </c>
      <c r="G488" s="12"/>
      <c r="H488" s="26" t="n">
        <v>9.45</v>
      </c>
      <c r="I488" s="10" t="s">
        <v>1121</v>
      </c>
      <c r="J488" s="30" t="s">
        <v>1122</v>
      </c>
      <c r="K488" s="10" t="s">
        <v>2449</v>
      </c>
    </row>
    <row r="489" customFormat="false" ht="35.05" hidden="false" customHeight="false" outlineLevel="0" collapsed="false">
      <c r="A489" s="12" t="s">
        <v>53</v>
      </c>
      <c r="B489" s="12" t="s">
        <v>104</v>
      </c>
      <c r="C489" s="10" t="s">
        <v>2448</v>
      </c>
      <c r="D489" s="12" t="s">
        <v>1282</v>
      </c>
      <c r="E489" s="10" t="s">
        <v>1283</v>
      </c>
      <c r="F489" s="12" t="s">
        <v>77</v>
      </c>
      <c r="G489" s="12"/>
      <c r="H489" s="26" t="n">
        <v>13.5</v>
      </c>
      <c r="I489" s="10" t="s">
        <v>1121</v>
      </c>
      <c r="J489" s="30" t="s">
        <v>1122</v>
      </c>
      <c r="K489" s="10" t="s">
        <v>2450</v>
      </c>
    </row>
    <row r="490" customFormat="false" ht="35.05" hidden="false" customHeight="false" outlineLevel="0" collapsed="false">
      <c r="A490" s="12" t="s">
        <v>53</v>
      </c>
      <c r="B490" s="12" t="s">
        <v>285</v>
      </c>
      <c r="C490" s="10" t="s">
        <v>285</v>
      </c>
      <c r="D490" s="12" t="s">
        <v>1119</v>
      </c>
      <c r="E490" s="10"/>
      <c r="F490" s="12" t="s">
        <v>95</v>
      </c>
      <c r="G490" s="12" t="n">
        <v>2</v>
      </c>
      <c r="H490" s="26" t="n">
        <v>10.14</v>
      </c>
      <c r="I490" s="10" t="s">
        <v>1121</v>
      </c>
      <c r="J490" s="30" t="s">
        <v>1122</v>
      </c>
      <c r="K490" s="10" t="s">
        <v>1123</v>
      </c>
    </row>
    <row r="491" customFormat="false" ht="35.05" hidden="false" customHeight="false" outlineLevel="0" collapsed="false">
      <c r="A491" s="12" t="s">
        <v>53</v>
      </c>
      <c r="B491" s="12" t="s">
        <v>587</v>
      </c>
      <c r="C491" s="10" t="s">
        <v>2451</v>
      </c>
      <c r="D491" s="12" t="s">
        <v>1928</v>
      </c>
      <c r="E491" s="10" t="s">
        <v>2452</v>
      </c>
      <c r="F491" s="12" t="s">
        <v>196</v>
      </c>
      <c r="G491" s="12" t="n">
        <v>1</v>
      </c>
      <c r="H491" s="26" t="n">
        <v>5.35</v>
      </c>
      <c r="I491" s="10" t="s">
        <v>1121</v>
      </c>
      <c r="J491" s="30" t="s">
        <v>1122</v>
      </c>
      <c r="K491" s="10" t="s">
        <v>2453</v>
      </c>
    </row>
    <row r="492" customFormat="false" ht="35.05" hidden="false" customHeight="false" outlineLevel="0" collapsed="false">
      <c r="A492" s="12" t="s">
        <v>53</v>
      </c>
      <c r="B492" s="12" t="s">
        <v>587</v>
      </c>
      <c r="C492" s="10" t="s">
        <v>2454</v>
      </c>
      <c r="D492" s="12" t="s">
        <v>2455</v>
      </c>
      <c r="E492" s="10" t="s">
        <v>2456</v>
      </c>
      <c r="F492" s="12" t="s">
        <v>196</v>
      </c>
      <c r="G492" s="12" t="n">
        <v>2</v>
      </c>
      <c r="H492" s="26" t="n">
        <v>5.35</v>
      </c>
      <c r="I492" s="10" t="s">
        <v>1121</v>
      </c>
      <c r="J492" s="30" t="s">
        <v>1122</v>
      </c>
      <c r="K492" s="10" t="s">
        <v>2453</v>
      </c>
    </row>
    <row r="493" customFormat="false" ht="46.25" hidden="false" customHeight="false" outlineLevel="0" collapsed="false">
      <c r="A493" s="12" t="s">
        <v>53</v>
      </c>
      <c r="B493" s="12" t="s">
        <v>573</v>
      </c>
      <c r="C493" s="10" t="s">
        <v>2457</v>
      </c>
      <c r="D493" s="12" t="s">
        <v>2019</v>
      </c>
      <c r="E493" s="10" t="s">
        <v>2458</v>
      </c>
      <c r="F493" s="12" t="s">
        <v>196</v>
      </c>
      <c r="G493" s="12" t="n">
        <v>5</v>
      </c>
      <c r="H493" s="26" t="n">
        <v>7.55</v>
      </c>
      <c r="I493" s="10" t="s">
        <v>1116</v>
      </c>
      <c r="J493" s="30" t="s">
        <v>1196</v>
      </c>
      <c r="K493" s="10" t="s">
        <v>2459</v>
      </c>
    </row>
    <row r="494" customFormat="false" ht="35.05" hidden="false" customHeight="false" outlineLevel="0" collapsed="false">
      <c r="A494" s="12" t="s">
        <v>53</v>
      </c>
      <c r="B494" s="12" t="s">
        <v>405</v>
      </c>
      <c r="C494" s="10" t="s">
        <v>2460</v>
      </c>
      <c r="D494" s="12" t="s">
        <v>2461</v>
      </c>
      <c r="E494" s="10" t="s">
        <v>2462</v>
      </c>
      <c r="F494" s="12" t="s">
        <v>196</v>
      </c>
      <c r="G494" s="12"/>
      <c r="H494" s="26" t="n">
        <v>3.53</v>
      </c>
      <c r="I494" s="10" t="s">
        <v>1569</v>
      </c>
      <c r="J494" s="30" t="s">
        <v>1570</v>
      </c>
      <c r="K494" s="10" t="s">
        <v>2463</v>
      </c>
    </row>
    <row r="495" customFormat="false" ht="46.25" hidden="false" customHeight="false" outlineLevel="0" collapsed="false">
      <c r="A495" s="12" t="s">
        <v>53</v>
      </c>
      <c r="B495" s="12" t="s">
        <v>148</v>
      </c>
      <c r="C495" s="10" t="s">
        <v>2464</v>
      </c>
      <c r="D495" s="12" t="s">
        <v>1267</v>
      </c>
      <c r="E495" s="10" t="s">
        <v>1198</v>
      </c>
      <c r="F495" s="12" t="s">
        <v>77</v>
      </c>
      <c r="G495" s="12" t="n">
        <v>20</v>
      </c>
      <c r="H495" s="26" t="n">
        <v>21.3</v>
      </c>
      <c r="I495" s="10" t="s">
        <v>1116</v>
      </c>
      <c r="J495" s="30" t="s">
        <v>1196</v>
      </c>
      <c r="K495" s="10" t="s">
        <v>2465</v>
      </c>
    </row>
    <row r="496" customFormat="false" ht="35.05" hidden="false" customHeight="false" outlineLevel="0" collapsed="false">
      <c r="A496" s="12" t="s">
        <v>53</v>
      </c>
      <c r="B496" s="12" t="s">
        <v>583</v>
      </c>
      <c r="C496" s="10" t="s">
        <v>583</v>
      </c>
      <c r="D496" s="12" t="s">
        <v>1606</v>
      </c>
      <c r="E496" s="10"/>
      <c r="F496" s="12" t="s">
        <v>95</v>
      </c>
      <c r="G496" s="12"/>
      <c r="H496" s="26" t="n">
        <v>0.72</v>
      </c>
      <c r="I496" s="10" t="s">
        <v>1121</v>
      </c>
      <c r="J496" s="30" t="s">
        <v>1122</v>
      </c>
      <c r="K496" s="10" t="s">
        <v>2466</v>
      </c>
    </row>
    <row r="497" customFormat="false" ht="35.05" hidden="false" customHeight="false" outlineLevel="0" collapsed="false">
      <c r="A497" s="12" t="s">
        <v>53</v>
      </c>
      <c r="B497" s="12" t="s">
        <v>271</v>
      </c>
      <c r="C497" s="10" t="s">
        <v>2467</v>
      </c>
      <c r="D497" s="12" t="s">
        <v>2468</v>
      </c>
      <c r="E497" s="10" t="s">
        <v>2438</v>
      </c>
      <c r="F497" s="12" t="s">
        <v>196</v>
      </c>
      <c r="G497" s="12" t="n">
        <v>10</v>
      </c>
      <c r="H497" s="26" t="n">
        <v>6.81</v>
      </c>
      <c r="I497" s="10" t="s">
        <v>1121</v>
      </c>
      <c r="J497" s="30" t="s">
        <v>1122</v>
      </c>
      <c r="K497" s="10" t="s">
        <v>2469</v>
      </c>
    </row>
    <row r="498" customFormat="false" ht="35.05" hidden="false" customHeight="false" outlineLevel="0" collapsed="false">
      <c r="A498" s="12" t="s">
        <v>53</v>
      </c>
      <c r="B498" s="12" t="s">
        <v>271</v>
      </c>
      <c r="C498" s="10" t="s">
        <v>2467</v>
      </c>
      <c r="D498" s="12" t="s">
        <v>2470</v>
      </c>
      <c r="E498" s="10" t="s">
        <v>2456</v>
      </c>
      <c r="F498" s="12" t="s">
        <v>196</v>
      </c>
      <c r="G498" s="12" t="n">
        <v>2</v>
      </c>
      <c r="H498" s="26" t="n">
        <v>1.36</v>
      </c>
      <c r="I498" s="10" t="s">
        <v>1121</v>
      </c>
      <c r="J498" s="30" t="s">
        <v>1122</v>
      </c>
      <c r="K498" s="10" t="s">
        <v>2471</v>
      </c>
    </row>
    <row r="499" customFormat="false" ht="35.05" hidden="false" customHeight="false" outlineLevel="0" collapsed="false">
      <c r="A499" s="12" t="s">
        <v>53</v>
      </c>
      <c r="B499" s="12" t="s">
        <v>56</v>
      </c>
      <c r="C499" s="10" t="s">
        <v>2472</v>
      </c>
      <c r="D499" s="12" t="s">
        <v>1282</v>
      </c>
      <c r="E499" s="10" t="s">
        <v>1283</v>
      </c>
      <c r="F499" s="12" t="s">
        <v>77</v>
      </c>
      <c r="G499" s="12"/>
      <c r="H499" s="26" t="n">
        <v>9.107</v>
      </c>
      <c r="I499" s="10" t="s">
        <v>1116</v>
      </c>
      <c r="J499" s="30" t="s">
        <v>2473</v>
      </c>
      <c r="K499" s="10" t="s">
        <v>2474</v>
      </c>
    </row>
    <row r="500" customFormat="false" ht="35.05" hidden="false" customHeight="false" outlineLevel="0" collapsed="false">
      <c r="A500" s="12" t="s">
        <v>53</v>
      </c>
      <c r="B500" s="12" t="s">
        <v>56</v>
      </c>
      <c r="C500" s="10" t="s">
        <v>2472</v>
      </c>
      <c r="D500" s="12" t="s">
        <v>2475</v>
      </c>
      <c r="E500" s="10" t="s">
        <v>2476</v>
      </c>
      <c r="F500" s="12" t="s">
        <v>77</v>
      </c>
      <c r="G500" s="12"/>
      <c r="H500" s="26" t="n">
        <v>23.422</v>
      </c>
      <c r="I500" s="10" t="s">
        <v>1116</v>
      </c>
      <c r="J500" s="30" t="s">
        <v>2477</v>
      </c>
      <c r="K500" s="10" t="s">
        <v>2478</v>
      </c>
    </row>
    <row r="501" customFormat="false" ht="23.85" hidden="false" customHeight="false" outlineLevel="0" collapsed="false">
      <c r="A501" s="12" t="s">
        <v>53</v>
      </c>
      <c r="B501" s="12" t="s">
        <v>56</v>
      </c>
      <c r="C501" s="10" t="s">
        <v>2479</v>
      </c>
      <c r="D501" s="12" t="s">
        <v>2480</v>
      </c>
      <c r="E501" s="10" t="s">
        <v>2481</v>
      </c>
      <c r="F501" s="12" t="s">
        <v>77</v>
      </c>
      <c r="G501" s="12" t="n">
        <v>30</v>
      </c>
      <c r="H501" s="26" t="n">
        <v>5.94</v>
      </c>
      <c r="I501" s="10" t="s">
        <v>1539</v>
      </c>
      <c r="J501" s="30" t="s">
        <v>2482</v>
      </c>
      <c r="K501" s="10" t="s">
        <v>2483</v>
      </c>
    </row>
    <row r="502" customFormat="false" ht="23.85" hidden="false" customHeight="false" outlineLevel="0" collapsed="false">
      <c r="A502" s="12" t="s">
        <v>53</v>
      </c>
      <c r="B502" s="12" t="s">
        <v>56</v>
      </c>
      <c r="C502" s="10" t="s">
        <v>2479</v>
      </c>
      <c r="D502" s="12" t="s">
        <v>2480</v>
      </c>
      <c r="E502" s="10" t="s">
        <v>1663</v>
      </c>
      <c r="F502" s="12" t="s">
        <v>77</v>
      </c>
      <c r="G502" s="12" t="n">
        <v>30</v>
      </c>
      <c r="H502" s="26" t="n">
        <v>5.94</v>
      </c>
      <c r="I502" s="10" t="s">
        <v>1539</v>
      </c>
      <c r="J502" s="30" t="s">
        <v>2482</v>
      </c>
      <c r="K502" s="10" t="s">
        <v>2483</v>
      </c>
    </row>
    <row r="503" customFormat="false" ht="35.05" hidden="false" customHeight="false" outlineLevel="0" collapsed="false">
      <c r="A503" s="12" t="s">
        <v>53</v>
      </c>
      <c r="B503" s="12" t="s">
        <v>214</v>
      </c>
      <c r="C503" s="10" t="s">
        <v>2484</v>
      </c>
      <c r="D503" s="12" t="s">
        <v>2485</v>
      </c>
      <c r="E503" s="10" t="s">
        <v>2486</v>
      </c>
      <c r="F503" s="12" t="s">
        <v>196</v>
      </c>
      <c r="G503" s="12" t="n">
        <v>10</v>
      </c>
      <c r="H503" s="26" t="n">
        <v>2.29</v>
      </c>
      <c r="I503" s="10" t="s">
        <v>1121</v>
      </c>
      <c r="J503" s="30" t="s">
        <v>1122</v>
      </c>
      <c r="K503" s="10" t="s">
        <v>2487</v>
      </c>
    </row>
    <row r="504" customFormat="false" ht="35.05" hidden="false" customHeight="false" outlineLevel="0" collapsed="false">
      <c r="A504" s="12" t="s">
        <v>53</v>
      </c>
      <c r="B504" s="12" t="s">
        <v>576</v>
      </c>
      <c r="C504" s="10" t="s">
        <v>2488</v>
      </c>
      <c r="D504" s="12" t="s">
        <v>2489</v>
      </c>
      <c r="E504" s="10" t="s">
        <v>2490</v>
      </c>
      <c r="F504" s="12" t="s">
        <v>77</v>
      </c>
      <c r="G504" s="12"/>
      <c r="H504" s="26" t="n">
        <v>18.277</v>
      </c>
      <c r="I504" s="10" t="s">
        <v>1116</v>
      </c>
      <c r="J504" s="30" t="s">
        <v>2491</v>
      </c>
      <c r="K504" s="10" t="s">
        <v>2492</v>
      </c>
    </row>
    <row r="505" customFormat="false" ht="46.25" hidden="false" customHeight="false" outlineLevel="0" collapsed="false">
      <c r="A505" s="12" t="s">
        <v>53</v>
      </c>
      <c r="B505" s="12" t="s">
        <v>570</v>
      </c>
      <c r="C505" s="10" t="s">
        <v>2493</v>
      </c>
      <c r="D505" s="12" t="s">
        <v>2494</v>
      </c>
      <c r="E505" s="10" t="s">
        <v>2452</v>
      </c>
      <c r="F505" s="12" t="s">
        <v>196</v>
      </c>
      <c r="G505" s="12" t="n">
        <v>1</v>
      </c>
      <c r="H505" s="26" t="n">
        <v>8.113</v>
      </c>
      <c r="I505" s="10" t="s">
        <v>1116</v>
      </c>
      <c r="J505" s="30" t="s">
        <v>2495</v>
      </c>
      <c r="K505" s="10" t="s">
        <v>2496</v>
      </c>
    </row>
    <row r="506" customFormat="false" ht="23.85" hidden="false" customHeight="false" outlineLevel="0" collapsed="false">
      <c r="A506" s="12" t="s">
        <v>53</v>
      </c>
      <c r="B506" s="12" t="s">
        <v>269</v>
      </c>
      <c r="C506" s="10" t="s">
        <v>2497</v>
      </c>
      <c r="D506" s="12" t="s">
        <v>2236</v>
      </c>
      <c r="E506" s="10" t="s">
        <v>2498</v>
      </c>
      <c r="F506" s="12" t="s">
        <v>77</v>
      </c>
      <c r="G506" s="12" t="n">
        <v>5</v>
      </c>
      <c r="H506" s="26" t="n">
        <v>7.18</v>
      </c>
      <c r="I506" s="10" t="s">
        <v>1539</v>
      </c>
      <c r="J506" s="30" t="s">
        <v>2499</v>
      </c>
      <c r="K506" s="10" t="s">
        <v>2500</v>
      </c>
    </row>
    <row r="507" customFormat="false" ht="23.85" hidden="false" customHeight="false" outlineLevel="0" collapsed="false">
      <c r="A507" s="12" t="s">
        <v>53</v>
      </c>
      <c r="B507" s="12" t="s">
        <v>269</v>
      </c>
      <c r="C507" s="10" t="s">
        <v>2497</v>
      </c>
      <c r="D507" s="12" t="s">
        <v>2501</v>
      </c>
      <c r="E507" s="10" t="s">
        <v>2502</v>
      </c>
      <c r="F507" s="12" t="s">
        <v>77</v>
      </c>
      <c r="G507" s="12" t="n">
        <v>10</v>
      </c>
      <c r="H507" s="26" t="n">
        <v>20.69</v>
      </c>
      <c r="I507" s="10" t="s">
        <v>1539</v>
      </c>
      <c r="J507" s="30" t="s">
        <v>2499</v>
      </c>
      <c r="K507" s="10" t="s">
        <v>2500</v>
      </c>
    </row>
    <row r="508" customFormat="false" ht="46.25" hidden="false" customHeight="false" outlineLevel="0" collapsed="false">
      <c r="A508" s="12" t="s">
        <v>53</v>
      </c>
      <c r="B508" s="12" t="s">
        <v>116</v>
      </c>
      <c r="C508" s="10" t="s">
        <v>1782</v>
      </c>
      <c r="D508" s="12" t="s">
        <v>1783</v>
      </c>
      <c r="E508" s="10" t="s">
        <v>2503</v>
      </c>
      <c r="F508" s="12" t="s">
        <v>77</v>
      </c>
      <c r="G508" s="12" t="n">
        <v>2</v>
      </c>
      <c r="H508" s="26" t="n">
        <v>21.78</v>
      </c>
      <c r="I508" s="10" t="s">
        <v>1116</v>
      </c>
      <c r="J508" s="30" t="s">
        <v>1785</v>
      </c>
      <c r="K508" s="10" t="s">
        <v>1786</v>
      </c>
    </row>
    <row r="509" customFormat="false" ht="46.25" hidden="false" customHeight="false" outlineLevel="0" collapsed="false">
      <c r="A509" s="12" t="s">
        <v>53</v>
      </c>
      <c r="B509" s="12" t="s">
        <v>116</v>
      </c>
      <c r="C509" s="10" t="s">
        <v>1782</v>
      </c>
      <c r="D509" s="12" t="s">
        <v>1787</v>
      </c>
      <c r="E509" s="10" t="s">
        <v>2504</v>
      </c>
      <c r="F509" s="12" t="s">
        <v>77</v>
      </c>
      <c r="G509" s="12" t="n">
        <v>5</v>
      </c>
      <c r="H509" s="26" t="n">
        <v>48.28</v>
      </c>
      <c r="I509" s="10" t="s">
        <v>1116</v>
      </c>
      <c r="J509" s="30" t="s">
        <v>1785</v>
      </c>
      <c r="K509" s="10" t="s">
        <v>2505</v>
      </c>
    </row>
    <row r="510" customFormat="false" ht="23.85" hidden="false" customHeight="false" outlineLevel="0" collapsed="false">
      <c r="A510" s="12" t="s">
        <v>53</v>
      </c>
      <c r="B510" s="12" t="s">
        <v>116</v>
      </c>
      <c r="C510" s="10" t="s">
        <v>2506</v>
      </c>
      <c r="D510" s="12" t="s">
        <v>1621</v>
      </c>
      <c r="E510" s="10" t="s">
        <v>1622</v>
      </c>
      <c r="F510" s="12" t="s">
        <v>77</v>
      </c>
      <c r="G510" s="12" t="n">
        <v>2</v>
      </c>
      <c r="H510" s="26"/>
      <c r="I510" s="10" t="s">
        <v>1275</v>
      </c>
      <c r="J510" s="12"/>
      <c r="K510" s="10" t="s">
        <v>1276</v>
      </c>
    </row>
    <row r="511" customFormat="false" ht="23.85" hidden="false" customHeight="false" outlineLevel="0" collapsed="false">
      <c r="A511" s="12" t="s">
        <v>53</v>
      </c>
      <c r="B511" s="12" t="s">
        <v>116</v>
      </c>
      <c r="C511" s="10" t="s">
        <v>2507</v>
      </c>
      <c r="D511" s="12" t="s">
        <v>1623</v>
      </c>
      <c r="E511" s="10" t="s">
        <v>1601</v>
      </c>
      <c r="F511" s="12" t="s">
        <v>77</v>
      </c>
      <c r="G511" s="12" t="n">
        <v>5</v>
      </c>
      <c r="H511" s="26"/>
      <c r="I511" s="10" t="s">
        <v>1275</v>
      </c>
      <c r="J511" s="12"/>
      <c r="K511" s="10" t="s">
        <v>1276</v>
      </c>
    </row>
    <row r="512" customFormat="false" ht="35.05" hidden="false" customHeight="false" outlineLevel="0" collapsed="false">
      <c r="A512" s="12" t="s">
        <v>53</v>
      </c>
      <c r="B512" s="12" t="s">
        <v>173</v>
      </c>
      <c r="C512" s="10" t="s">
        <v>2508</v>
      </c>
      <c r="D512" s="12" t="s">
        <v>2509</v>
      </c>
      <c r="E512" s="10" t="s">
        <v>2510</v>
      </c>
      <c r="F512" s="12" t="s">
        <v>196</v>
      </c>
      <c r="G512" s="12"/>
      <c r="H512" s="26" t="n">
        <v>75.992</v>
      </c>
      <c r="I512" s="10" t="s">
        <v>1116</v>
      </c>
      <c r="J512" s="30" t="s">
        <v>2511</v>
      </c>
      <c r="K512" s="10" t="s">
        <v>2512</v>
      </c>
    </row>
    <row r="513" customFormat="false" ht="46.25" hidden="false" customHeight="false" outlineLevel="0" collapsed="false">
      <c r="A513" s="12" t="s">
        <v>53</v>
      </c>
      <c r="B513" s="12" t="s">
        <v>173</v>
      </c>
      <c r="C513" s="10" t="s">
        <v>2513</v>
      </c>
      <c r="D513" s="12" t="s">
        <v>2514</v>
      </c>
      <c r="E513" s="10" t="s">
        <v>2515</v>
      </c>
      <c r="F513" s="12" t="s">
        <v>196</v>
      </c>
      <c r="G513" s="12" t="n">
        <v>3.2</v>
      </c>
      <c r="H513" s="26" t="n">
        <v>8.52</v>
      </c>
      <c r="I513" s="10" t="s">
        <v>1116</v>
      </c>
      <c r="J513" s="30" t="s">
        <v>1196</v>
      </c>
      <c r="K513" s="10" t="s">
        <v>2516</v>
      </c>
    </row>
    <row r="514" customFormat="false" ht="46.25" hidden="false" customHeight="false" outlineLevel="0" collapsed="false">
      <c r="A514" s="12" t="s">
        <v>53</v>
      </c>
      <c r="B514" s="12" t="s">
        <v>173</v>
      </c>
      <c r="C514" s="10" t="s">
        <v>2517</v>
      </c>
      <c r="D514" s="12" t="s">
        <v>1630</v>
      </c>
      <c r="E514" s="10" t="s">
        <v>2515</v>
      </c>
      <c r="F514" s="12" t="s">
        <v>196</v>
      </c>
      <c r="G514" s="12" t="n">
        <v>3.2</v>
      </c>
      <c r="H514" s="26" t="n">
        <v>12.78</v>
      </c>
      <c r="I514" s="10" t="s">
        <v>1116</v>
      </c>
      <c r="J514" s="30" t="s">
        <v>1196</v>
      </c>
      <c r="K514" s="10" t="s">
        <v>2518</v>
      </c>
    </row>
    <row r="515" customFormat="false" ht="46.25" hidden="false" customHeight="false" outlineLevel="0" collapsed="false">
      <c r="A515" s="12" t="s">
        <v>53</v>
      </c>
      <c r="B515" s="12" t="s">
        <v>446</v>
      </c>
      <c r="C515" s="10" t="s">
        <v>2519</v>
      </c>
      <c r="D515" s="12" t="s">
        <v>1636</v>
      </c>
      <c r="E515" s="10" t="s">
        <v>1637</v>
      </c>
      <c r="F515" s="12" t="s">
        <v>77</v>
      </c>
      <c r="G515" s="12" t="n">
        <v>4</v>
      </c>
      <c r="H515" s="26" t="n">
        <v>125.38</v>
      </c>
      <c r="I515" s="10" t="s">
        <v>1116</v>
      </c>
      <c r="J515" s="30" t="s">
        <v>1196</v>
      </c>
      <c r="K515" s="10" t="s">
        <v>2520</v>
      </c>
    </row>
    <row r="516" customFormat="false" ht="35.05" hidden="false" customHeight="false" outlineLevel="0" collapsed="false">
      <c r="A516" s="12" t="s">
        <v>35</v>
      </c>
      <c r="B516" s="12" t="s">
        <v>87</v>
      </c>
      <c r="C516" s="10" t="s">
        <v>87</v>
      </c>
      <c r="D516" s="12" t="s">
        <v>1166</v>
      </c>
      <c r="E516" s="10" t="s">
        <v>2521</v>
      </c>
      <c r="F516" s="12" t="s">
        <v>77</v>
      </c>
      <c r="G516" s="12"/>
      <c r="H516" s="26" t="n">
        <v>22.25</v>
      </c>
      <c r="I516" s="10" t="s">
        <v>1116</v>
      </c>
      <c r="J516" s="30" t="s">
        <v>1168</v>
      </c>
      <c r="K516" s="10" t="s">
        <v>1956</v>
      </c>
    </row>
    <row r="517" customFormat="false" ht="35.05" hidden="false" customHeight="false" outlineLevel="0" collapsed="false">
      <c r="A517" s="12" t="s">
        <v>35</v>
      </c>
      <c r="B517" s="12" t="s">
        <v>87</v>
      </c>
      <c r="C517" s="10" t="s">
        <v>87</v>
      </c>
      <c r="D517" s="12" t="s">
        <v>1171</v>
      </c>
      <c r="E517" s="10" t="s">
        <v>1172</v>
      </c>
      <c r="F517" s="12" t="s">
        <v>77</v>
      </c>
      <c r="G517" s="12"/>
      <c r="H517" s="26" t="n">
        <v>698.02</v>
      </c>
      <c r="I517" s="10" t="s">
        <v>1116</v>
      </c>
      <c r="J517" s="30" t="s">
        <v>2522</v>
      </c>
      <c r="K517" s="10" t="s">
        <v>2523</v>
      </c>
    </row>
    <row r="518" customFormat="false" ht="35.05" hidden="false" customHeight="false" outlineLevel="0" collapsed="false">
      <c r="A518" s="12" t="s">
        <v>35</v>
      </c>
      <c r="B518" s="12" t="s">
        <v>87</v>
      </c>
      <c r="C518" s="10" t="s">
        <v>2524</v>
      </c>
      <c r="D518" s="12" t="s">
        <v>1176</v>
      </c>
      <c r="E518" s="10" t="s">
        <v>1172</v>
      </c>
      <c r="F518" s="12" t="s">
        <v>77</v>
      </c>
      <c r="G518" s="12"/>
      <c r="H518" s="26" t="n">
        <v>705.4703</v>
      </c>
      <c r="I518" s="10" t="s">
        <v>1116</v>
      </c>
      <c r="J518" s="30" t="s">
        <v>2525</v>
      </c>
      <c r="K518" s="10" t="s">
        <v>2526</v>
      </c>
    </row>
    <row r="519" customFormat="false" ht="35.05" hidden="false" customHeight="false" outlineLevel="0" collapsed="false">
      <c r="A519" s="12" t="s">
        <v>35</v>
      </c>
      <c r="B519" s="12" t="s">
        <v>87</v>
      </c>
      <c r="C519" s="10" t="s">
        <v>2527</v>
      </c>
      <c r="D519" s="12" t="s">
        <v>1179</v>
      </c>
      <c r="E519" s="10" t="s">
        <v>1180</v>
      </c>
      <c r="F519" s="12" t="s">
        <v>77</v>
      </c>
      <c r="G519" s="12"/>
      <c r="H519" s="26" t="n">
        <v>14.329</v>
      </c>
      <c r="I519" s="10" t="s">
        <v>1116</v>
      </c>
      <c r="J519" s="30" t="s">
        <v>1181</v>
      </c>
      <c r="K519" s="10" t="s">
        <v>2528</v>
      </c>
    </row>
    <row r="520" customFormat="false" ht="46.25" hidden="false" customHeight="false" outlineLevel="0" collapsed="false">
      <c r="A520" s="12" t="s">
        <v>35</v>
      </c>
      <c r="B520" s="12" t="s">
        <v>227</v>
      </c>
      <c r="C520" s="10" t="s">
        <v>227</v>
      </c>
      <c r="D520" s="12" t="s">
        <v>2529</v>
      </c>
      <c r="E520" s="10" t="s">
        <v>2530</v>
      </c>
      <c r="F520" s="12" t="s">
        <v>77</v>
      </c>
      <c r="G520" s="12" t="n">
        <v>5</v>
      </c>
      <c r="H520" s="26" t="n">
        <v>51.79</v>
      </c>
      <c r="I520" s="10" t="s">
        <v>1116</v>
      </c>
      <c r="J520" s="30" t="s">
        <v>2531</v>
      </c>
      <c r="K520" s="10" t="s">
        <v>2532</v>
      </c>
    </row>
    <row r="521" customFormat="false" ht="46.25" hidden="false" customHeight="false" outlineLevel="0" collapsed="false">
      <c r="A521" s="12" t="s">
        <v>35</v>
      </c>
      <c r="B521" s="12" t="s">
        <v>229</v>
      </c>
      <c r="C521" s="10" t="s">
        <v>1216</v>
      </c>
      <c r="D521" s="12" t="s">
        <v>1217</v>
      </c>
      <c r="E521" s="10" t="s">
        <v>2533</v>
      </c>
      <c r="F521" s="12" t="s">
        <v>77</v>
      </c>
      <c r="G521" s="12" t="n">
        <v>1</v>
      </c>
      <c r="H521" s="26" t="n">
        <v>14.96</v>
      </c>
      <c r="I521" s="10" t="s">
        <v>1116</v>
      </c>
      <c r="J521" s="30" t="s">
        <v>1219</v>
      </c>
      <c r="K521" s="10" t="s">
        <v>1982</v>
      </c>
    </row>
    <row r="522" customFormat="false" ht="46.25" hidden="false" customHeight="false" outlineLevel="0" collapsed="false">
      <c r="A522" s="12" t="s">
        <v>35</v>
      </c>
      <c r="B522" s="12" t="s">
        <v>223</v>
      </c>
      <c r="C522" s="10" t="s">
        <v>223</v>
      </c>
      <c r="D522" s="12" t="s">
        <v>1217</v>
      </c>
      <c r="E522" s="10" t="s">
        <v>2534</v>
      </c>
      <c r="F522" s="12" t="s">
        <v>77</v>
      </c>
      <c r="G522" s="12" t="n">
        <v>5</v>
      </c>
      <c r="H522" s="26" t="n">
        <v>54.55</v>
      </c>
      <c r="I522" s="10" t="s">
        <v>1116</v>
      </c>
      <c r="J522" s="30" t="s">
        <v>1300</v>
      </c>
      <c r="K522" s="10" t="s">
        <v>2535</v>
      </c>
    </row>
    <row r="523" customFormat="false" ht="35.05" hidden="false" customHeight="false" outlineLevel="0" collapsed="false">
      <c r="A523" s="12" t="s">
        <v>35</v>
      </c>
      <c r="B523" s="12" t="s">
        <v>225</v>
      </c>
      <c r="C523" s="10" t="s">
        <v>225</v>
      </c>
      <c r="D523" s="12" t="s">
        <v>2536</v>
      </c>
      <c r="E523" s="10" t="s">
        <v>2537</v>
      </c>
      <c r="F523" s="12" t="s">
        <v>77</v>
      </c>
      <c r="G523" s="12" t="n">
        <v>2</v>
      </c>
      <c r="H523" s="26" t="n">
        <v>66.93</v>
      </c>
      <c r="I523" s="10" t="s">
        <v>1116</v>
      </c>
      <c r="J523" s="30" t="s">
        <v>2538</v>
      </c>
      <c r="K523" s="10" t="s">
        <v>2539</v>
      </c>
    </row>
    <row r="524" customFormat="false" ht="23.85" hidden="false" customHeight="false" outlineLevel="0" collapsed="false">
      <c r="A524" s="12" t="s">
        <v>35</v>
      </c>
      <c r="B524" s="12" t="s">
        <v>225</v>
      </c>
      <c r="C524" s="10" t="s">
        <v>2540</v>
      </c>
      <c r="D524" s="12" t="s">
        <v>2541</v>
      </c>
      <c r="E524" s="10"/>
      <c r="F524" s="12" t="s">
        <v>95</v>
      </c>
      <c r="G524" s="12"/>
      <c r="H524" s="26"/>
      <c r="I524" s="10" t="s">
        <v>1275</v>
      </c>
      <c r="J524" s="12"/>
      <c r="K524" s="10" t="s">
        <v>1276</v>
      </c>
    </row>
    <row r="525" customFormat="false" ht="46.25" hidden="false" customHeight="false" outlineLevel="0" collapsed="false">
      <c r="A525" s="12" t="s">
        <v>35</v>
      </c>
      <c r="B525" s="12" t="s">
        <v>109</v>
      </c>
      <c r="C525" s="10" t="s">
        <v>109</v>
      </c>
      <c r="D525" s="12" t="s">
        <v>1430</v>
      </c>
      <c r="E525" s="10" t="s">
        <v>1431</v>
      </c>
      <c r="F525" s="12" t="s">
        <v>77</v>
      </c>
      <c r="G525" s="12" t="n">
        <v>1.2</v>
      </c>
      <c r="H525" s="26" t="n">
        <v>343.8</v>
      </c>
      <c r="I525" s="10" t="s">
        <v>1116</v>
      </c>
      <c r="J525" s="30" t="s">
        <v>1432</v>
      </c>
      <c r="K525" s="10" t="s">
        <v>1433</v>
      </c>
    </row>
    <row r="526" customFormat="false" ht="46.25" hidden="false" customHeight="false" outlineLevel="0" collapsed="false">
      <c r="A526" s="12" t="s">
        <v>35</v>
      </c>
      <c r="B526" s="12" t="s">
        <v>116</v>
      </c>
      <c r="C526" s="10" t="s">
        <v>1782</v>
      </c>
      <c r="D526" s="12" t="s">
        <v>1783</v>
      </c>
      <c r="E526" s="10" t="s">
        <v>2542</v>
      </c>
      <c r="F526" s="12" t="s">
        <v>77</v>
      </c>
      <c r="G526" s="12" t="n">
        <v>2</v>
      </c>
      <c r="H526" s="26" t="n">
        <v>21.78</v>
      </c>
      <c r="I526" s="10" t="s">
        <v>1116</v>
      </c>
      <c r="J526" s="30" t="s">
        <v>1785</v>
      </c>
      <c r="K526" s="10" t="s">
        <v>1786</v>
      </c>
    </row>
    <row r="527" customFormat="false" ht="46.25" hidden="false" customHeight="false" outlineLevel="0" collapsed="false">
      <c r="A527" s="12" t="s">
        <v>35</v>
      </c>
      <c r="B527" s="12" t="s">
        <v>116</v>
      </c>
      <c r="C527" s="10" t="s">
        <v>1782</v>
      </c>
      <c r="D527" s="12" t="s">
        <v>1787</v>
      </c>
      <c r="E527" s="10" t="s">
        <v>2504</v>
      </c>
      <c r="F527" s="12" t="s">
        <v>77</v>
      </c>
      <c r="G527" s="12" t="n">
        <v>5</v>
      </c>
      <c r="H527" s="26" t="n">
        <v>48.28</v>
      </c>
      <c r="I527" s="10" t="s">
        <v>1116</v>
      </c>
      <c r="J527" s="30" t="s">
        <v>1785</v>
      </c>
      <c r="K527" s="10" t="s">
        <v>2505</v>
      </c>
    </row>
    <row r="528" customFormat="false" ht="35.05" hidden="false" customHeight="false" outlineLevel="0" collapsed="false">
      <c r="A528" s="12" t="s">
        <v>35</v>
      </c>
      <c r="B528" s="12" t="s">
        <v>116</v>
      </c>
      <c r="C528" s="10" t="s">
        <v>116</v>
      </c>
      <c r="D528" s="12" t="s">
        <v>1500</v>
      </c>
      <c r="E528" s="10" t="s">
        <v>1626</v>
      </c>
      <c r="F528" s="12" t="s">
        <v>77</v>
      </c>
      <c r="G528" s="12" t="n">
        <v>2</v>
      </c>
      <c r="H528" s="26" t="n">
        <v>55.26</v>
      </c>
      <c r="I528" s="10" t="s">
        <v>1116</v>
      </c>
      <c r="J528" s="30" t="s">
        <v>2543</v>
      </c>
      <c r="K528" s="10" t="s">
        <v>2544</v>
      </c>
    </row>
    <row r="529" customFormat="false" ht="23.85" hidden="false" customHeight="false" outlineLevel="0" collapsed="false">
      <c r="A529" s="12" t="s">
        <v>35</v>
      </c>
      <c r="B529" s="12" t="s">
        <v>116</v>
      </c>
      <c r="C529" s="10" t="s">
        <v>2545</v>
      </c>
      <c r="D529" s="12" t="s">
        <v>1621</v>
      </c>
      <c r="E529" s="10" t="s">
        <v>1622</v>
      </c>
      <c r="F529" s="12" t="s">
        <v>77</v>
      </c>
      <c r="G529" s="12" t="n">
        <v>2</v>
      </c>
      <c r="H529" s="26"/>
      <c r="I529" s="10" t="s">
        <v>1275</v>
      </c>
      <c r="J529" s="12"/>
      <c r="K529" s="10" t="s">
        <v>1276</v>
      </c>
    </row>
    <row r="530" customFormat="false" ht="23.85" hidden="false" customHeight="false" outlineLevel="0" collapsed="false">
      <c r="A530" s="12" t="s">
        <v>35</v>
      </c>
      <c r="B530" s="12" t="s">
        <v>116</v>
      </c>
      <c r="C530" s="10" t="s">
        <v>2545</v>
      </c>
      <c r="D530" s="12" t="s">
        <v>1623</v>
      </c>
      <c r="E530" s="10" t="s">
        <v>1601</v>
      </c>
      <c r="F530" s="12" t="s">
        <v>77</v>
      </c>
      <c r="G530" s="12" t="n">
        <v>5</v>
      </c>
      <c r="H530" s="26"/>
      <c r="I530" s="10" t="s">
        <v>1275</v>
      </c>
      <c r="J530" s="12"/>
      <c r="K530" s="10" t="s">
        <v>1276</v>
      </c>
    </row>
    <row r="531" customFormat="false" ht="46.25" hidden="false" customHeight="false" outlineLevel="0" collapsed="false">
      <c r="A531" s="12" t="s">
        <v>43</v>
      </c>
      <c r="B531" s="12" t="s">
        <v>227</v>
      </c>
      <c r="C531" s="10" t="s">
        <v>227</v>
      </c>
      <c r="D531" s="12" t="s">
        <v>2529</v>
      </c>
      <c r="E531" s="10" t="s">
        <v>2546</v>
      </c>
      <c r="F531" s="12" t="s">
        <v>77</v>
      </c>
      <c r="G531" s="12" t="n">
        <v>5</v>
      </c>
      <c r="H531" s="26" t="n">
        <v>51.79</v>
      </c>
      <c r="I531" s="10" t="s">
        <v>1116</v>
      </c>
      <c r="J531" s="30" t="s">
        <v>2531</v>
      </c>
      <c r="K531" s="10" t="s">
        <v>2532</v>
      </c>
    </row>
    <row r="532" customFormat="false" ht="79.85" hidden="false" customHeight="false" outlineLevel="0" collapsed="false">
      <c r="A532" s="12" t="s">
        <v>43</v>
      </c>
      <c r="B532" s="12" t="s">
        <v>250</v>
      </c>
      <c r="C532" s="10" t="s">
        <v>2547</v>
      </c>
      <c r="D532" s="12" t="s">
        <v>2548</v>
      </c>
      <c r="E532" s="10" t="s">
        <v>2549</v>
      </c>
      <c r="F532" s="12" t="s">
        <v>77</v>
      </c>
      <c r="G532" s="12" t="n">
        <v>3</v>
      </c>
      <c r="H532" s="26" t="n">
        <v>69.3707</v>
      </c>
      <c r="I532" s="10" t="s">
        <v>1116</v>
      </c>
      <c r="J532" s="30" t="s">
        <v>2550</v>
      </c>
      <c r="K532" s="10" t="s">
        <v>2551</v>
      </c>
    </row>
    <row r="533" customFormat="false" ht="79.85" hidden="false" customHeight="false" outlineLevel="0" collapsed="false">
      <c r="A533" s="12" t="s">
        <v>43</v>
      </c>
      <c r="B533" s="12" t="s">
        <v>250</v>
      </c>
      <c r="C533" s="10" t="s">
        <v>2547</v>
      </c>
      <c r="D533" s="12" t="s">
        <v>2548</v>
      </c>
      <c r="E533" s="10" t="s">
        <v>2552</v>
      </c>
      <c r="F533" s="12" t="s">
        <v>77</v>
      </c>
      <c r="G533" s="12" t="n">
        <v>3</v>
      </c>
      <c r="H533" s="26" t="n">
        <v>69.3707</v>
      </c>
      <c r="I533" s="10" t="s">
        <v>1116</v>
      </c>
      <c r="J533" s="30" t="s">
        <v>2550</v>
      </c>
      <c r="K533" s="10" t="s">
        <v>2551</v>
      </c>
    </row>
    <row r="534" customFormat="false" ht="46.25" hidden="false" customHeight="false" outlineLevel="0" collapsed="false">
      <c r="A534" s="12" t="s">
        <v>43</v>
      </c>
      <c r="B534" s="12" t="s">
        <v>166</v>
      </c>
      <c r="C534" s="10" t="s">
        <v>1188</v>
      </c>
      <c r="D534" s="12" t="s">
        <v>1189</v>
      </c>
      <c r="E534" s="10" t="s">
        <v>1190</v>
      </c>
      <c r="F534" s="12" t="s">
        <v>77</v>
      </c>
      <c r="G534" s="12" t="n">
        <v>1</v>
      </c>
      <c r="H534" s="26" t="n">
        <v>30.01</v>
      </c>
      <c r="I534" s="10" t="s">
        <v>1116</v>
      </c>
      <c r="J534" s="30" t="s">
        <v>1191</v>
      </c>
      <c r="K534" s="10" t="s">
        <v>1192</v>
      </c>
    </row>
    <row r="535" customFormat="false" ht="35.05" hidden="false" customHeight="false" outlineLevel="0" collapsed="false">
      <c r="A535" s="12" t="s">
        <v>43</v>
      </c>
      <c r="B535" s="12" t="s">
        <v>252</v>
      </c>
      <c r="C535" s="10" t="s">
        <v>2553</v>
      </c>
      <c r="D535" s="12" t="s">
        <v>2554</v>
      </c>
      <c r="E535" s="10" t="s">
        <v>1568</v>
      </c>
      <c r="F535" s="12" t="s">
        <v>196</v>
      </c>
      <c r="G535" s="12" t="n">
        <v>1</v>
      </c>
      <c r="H535" s="26" t="n">
        <v>30.352</v>
      </c>
      <c r="I535" s="10" t="s">
        <v>1116</v>
      </c>
      <c r="J535" s="30" t="s">
        <v>2555</v>
      </c>
      <c r="K535" s="10" t="s">
        <v>2556</v>
      </c>
    </row>
    <row r="536" customFormat="false" ht="35.05" hidden="false" customHeight="false" outlineLevel="0" collapsed="false">
      <c r="A536" s="12" t="s">
        <v>43</v>
      </c>
      <c r="B536" s="12" t="s">
        <v>258</v>
      </c>
      <c r="C536" s="10" t="s">
        <v>2557</v>
      </c>
      <c r="D536" s="12" t="s">
        <v>1447</v>
      </c>
      <c r="E536" s="10" t="s">
        <v>1702</v>
      </c>
      <c r="F536" s="12" t="s">
        <v>77</v>
      </c>
      <c r="G536" s="12" t="n">
        <v>10</v>
      </c>
      <c r="H536" s="26" t="n">
        <v>18</v>
      </c>
      <c r="I536" s="10" t="s">
        <v>1116</v>
      </c>
      <c r="J536" s="30" t="s">
        <v>2558</v>
      </c>
      <c r="K536" s="10" t="s">
        <v>2559</v>
      </c>
    </row>
    <row r="537" customFormat="false" ht="46.25" hidden="false" customHeight="false" outlineLevel="0" collapsed="false">
      <c r="A537" s="12" t="s">
        <v>43</v>
      </c>
      <c r="B537" s="12" t="s">
        <v>176</v>
      </c>
      <c r="C537" s="10" t="s">
        <v>1860</v>
      </c>
      <c r="D537" s="12" t="s">
        <v>1992</v>
      </c>
      <c r="E537" s="10" t="s">
        <v>2560</v>
      </c>
      <c r="F537" s="12" t="s">
        <v>95</v>
      </c>
      <c r="G537" s="12" t="n">
        <v>1</v>
      </c>
      <c r="H537" s="26" t="n">
        <v>51.18</v>
      </c>
      <c r="I537" s="10" t="s">
        <v>1116</v>
      </c>
      <c r="J537" s="30" t="s">
        <v>2561</v>
      </c>
      <c r="K537" s="10" t="s">
        <v>2562</v>
      </c>
    </row>
    <row r="538" customFormat="false" ht="23.85" hidden="false" customHeight="false" outlineLevel="0" collapsed="false">
      <c r="A538" s="12" t="s">
        <v>43</v>
      </c>
      <c r="B538" s="12" t="s">
        <v>176</v>
      </c>
      <c r="C538" s="10" t="s">
        <v>2563</v>
      </c>
      <c r="D538" s="12" t="s">
        <v>1573</v>
      </c>
      <c r="E538" s="10" t="s">
        <v>1574</v>
      </c>
      <c r="F538" s="12" t="s">
        <v>196</v>
      </c>
      <c r="G538" s="12" t="n">
        <v>5</v>
      </c>
      <c r="H538" s="26"/>
      <c r="I538" s="10" t="s">
        <v>1275</v>
      </c>
      <c r="J538" s="12"/>
      <c r="K538" s="10" t="s">
        <v>1276</v>
      </c>
    </row>
    <row r="539" customFormat="false" ht="23.85" hidden="false" customHeight="false" outlineLevel="0" collapsed="false">
      <c r="A539" s="12" t="s">
        <v>43</v>
      </c>
      <c r="B539" s="12" t="s">
        <v>176</v>
      </c>
      <c r="C539" s="10" t="s">
        <v>2563</v>
      </c>
      <c r="D539" s="12" t="s">
        <v>1567</v>
      </c>
      <c r="E539" s="10" t="s">
        <v>1568</v>
      </c>
      <c r="F539" s="12" t="s">
        <v>196</v>
      </c>
      <c r="G539" s="12" t="n">
        <v>1</v>
      </c>
      <c r="H539" s="26"/>
      <c r="I539" s="10" t="s">
        <v>1275</v>
      </c>
      <c r="J539" s="12"/>
      <c r="K539" s="10" t="s">
        <v>1276</v>
      </c>
    </row>
    <row r="540" customFormat="false" ht="23.85" hidden="false" customHeight="false" outlineLevel="0" collapsed="false">
      <c r="A540" s="12" t="s">
        <v>43</v>
      </c>
      <c r="B540" s="12" t="s">
        <v>249</v>
      </c>
      <c r="C540" s="10" t="s">
        <v>2564</v>
      </c>
      <c r="D540" s="12" t="s">
        <v>1623</v>
      </c>
      <c r="E540" s="10" t="s">
        <v>1601</v>
      </c>
      <c r="F540" s="12" t="s">
        <v>77</v>
      </c>
      <c r="G540" s="12" t="n">
        <v>5</v>
      </c>
      <c r="H540" s="26" t="n">
        <v>90.209</v>
      </c>
      <c r="I540" s="10" t="s">
        <v>1116</v>
      </c>
      <c r="J540" s="30" t="s">
        <v>2565</v>
      </c>
      <c r="K540" s="10" t="s">
        <v>2566</v>
      </c>
    </row>
    <row r="541" customFormat="false" ht="35.05" hidden="false" customHeight="false" outlineLevel="0" collapsed="false">
      <c r="A541" s="12" t="s">
        <v>43</v>
      </c>
      <c r="B541" s="12" t="s">
        <v>254</v>
      </c>
      <c r="C541" s="10" t="s">
        <v>2567</v>
      </c>
      <c r="D541" s="12" t="s">
        <v>2568</v>
      </c>
      <c r="E541" s="10" t="s">
        <v>2569</v>
      </c>
      <c r="F541" s="12" t="s">
        <v>77</v>
      </c>
      <c r="G541" s="12" t="n">
        <v>2</v>
      </c>
      <c r="H541" s="26" t="n">
        <v>22.55</v>
      </c>
      <c r="I541" s="10" t="s">
        <v>1116</v>
      </c>
      <c r="J541" s="30" t="s">
        <v>2570</v>
      </c>
      <c r="K541" s="10" t="s">
        <v>2571</v>
      </c>
    </row>
    <row r="542" customFormat="false" ht="35.05" hidden="false" customHeight="false" outlineLevel="0" collapsed="false">
      <c r="A542" s="12" t="s">
        <v>43</v>
      </c>
      <c r="B542" s="12" t="s">
        <v>260</v>
      </c>
      <c r="C542" s="10" t="s">
        <v>1777</v>
      </c>
      <c r="D542" s="12" t="s">
        <v>1778</v>
      </c>
      <c r="E542" s="10" t="s">
        <v>2572</v>
      </c>
      <c r="F542" s="12" t="s">
        <v>77</v>
      </c>
      <c r="G542" s="12" t="n">
        <v>10</v>
      </c>
      <c r="H542" s="26" t="n">
        <v>5.56</v>
      </c>
      <c r="I542" s="10" t="s">
        <v>1569</v>
      </c>
      <c r="J542" s="30" t="s">
        <v>1570</v>
      </c>
      <c r="K542" s="10" t="s">
        <v>2031</v>
      </c>
    </row>
    <row r="543" customFormat="false" ht="35.05" hidden="false" customHeight="false" outlineLevel="0" collapsed="false">
      <c r="A543" s="12" t="s">
        <v>43</v>
      </c>
      <c r="B543" s="12" t="s">
        <v>256</v>
      </c>
      <c r="C543" s="10" t="s">
        <v>1515</v>
      </c>
      <c r="D543" s="12" t="s">
        <v>2573</v>
      </c>
      <c r="E543" s="10" t="s">
        <v>1622</v>
      </c>
      <c r="F543" s="12" t="s">
        <v>77</v>
      </c>
      <c r="G543" s="12" t="n">
        <v>2</v>
      </c>
      <c r="H543" s="26" t="n">
        <v>13.63</v>
      </c>
      <c r="I543" s="10" t="s">
        <v>1116</v>
      </c>
      <c r="J543" s="30" t="s">
        <v>1518</v>
      </c>
      <c r="K543" s="10" t="s">
        <v>2574</v>
      </c>
    </row>
    <row r="544" customFormat="false" ht="35.05" hidden="false" customHeight="false" outlineLevel="0" collapsed="false">
      <c r="A544" s="12" t="s">
        <v>43</v>
      </c>
      <c r="B544" s="12" t="s">
        <v>256</v>
      </c>
      <c r="C544" s="10" t="s">
        <v>1515</v>
      </c>
      <c r="D544" s="12" t="s">
        <v>2575</v>
      </c>
      <c r="E544" s="10" t="s">
        <v>2576</v>
      </c>
      <c r="F544" s="12" t="s">
        <v>77</v>
      </c>
      <c r="G544" s="12" t="n">
        <v>4</v>
      </c>
      <c r="H544" s="26" t="n">
        <v>6.62</v>
      </c>
      <c r="I544" s="10" t="s">
        <v>1116</v>
      </c>
      <c r="J544" s="30" t="s">
        <v>1518</v>
      </c>
      <c r="K544" s="10" t="s">
        <v>2577</v>
      </c>
    </row>
    <row r="545" customFormat="false" ht="46.25" hidden="false" customHeight="false" outlineLevel="0" collapsed="false">
      <c r="A545" s="12" t="s">
        <v>49</v>
      </c>
      <c r="B545" s="12" t="s">
        <v>277</v>
      </c>
      <c r="C545" s="10" t="s">
        <v>2578</v>
      </c>
      <c r="D545" s="12" t="s">
        <v>2579</v>
      </c>
      <c r="E545" s="10" t="s">
        <v>2580</v>
      </c>
      <c r="F545" s="12" t="s">
        <v>77</v>
      </c>
      <c r="G545" s="12" t="n">
        <v>10</v>
      </c>
      <c r="H545" s="26" t="n">
        <v>6.47</v>
      </c>
      <c r="I545" s="10" t="s">
        <v>1116</v>
      </c>
      <c r="J545" s="30" t="s">
        <v>2581</v>
      </c>
      <c r="K545" s="10" t="s">
        <v>2582</v>
      </c>
    </row>
    <row r="546" customFormat="false" ht="46.25" hidden="false" customHeight="false" outlineLevel="0" collapsed="false">
      <c r="A546" s="12" t="s">
        <v>49</v>
      </c>
      <c r="B546" s="12" t="s">
        <v>277</v>
      </c>
      <c r="C546" s="10" t="s">
        <v>2578</v>
      </c>
      <c r="D546" s="12" t="s">
        <v>2583</v>
      </c>
      <c r="E546" s="10" t="s">
        <v>2584</v>
      </c>
      <c r="F546" s="12" t="s">
        <v>77</v>
      </c>
      <c r="G546" s="12" t="n">
        <v>10</v>
      </c>
      <c r="H546" s="26" t="n">
        <v>6.28</v>
      </c>
      <c r="I546" s="10" t="s">
        <v>1116</v>
      </c>
      <c r="J546" s="30" t="s">
        <v>2581</v>
      </c>
      <c r="K546" s="10" t="s">
        <v>2585</v>
      </c>
    </row>
    <row r="547" customFormat="false" ht="46.25" hidden="false" customHeight="false" outlineLevel="0" collapsed="false">
      <c r="A547" s="12" t="s">
        <v>49</v>
      </c>
      <c r="B547" s="12" t="s">
        <v>166</v>
      </c>
      <c r="C547" s="10" t="s">
        <v>1188</v>
      </c>
      <c r="D547" s="12" t="s">
        <v>1189</v>
      </c>
      <c r="E547" s="10" t="s">
        <v>1190</v>
      </c>
      <c r="F547" s="12" t="s">
        <v>77</v>
      </c>
      <c r="G547" s="12" t="n">
        <v>1</v>
      </c>
      <c r="H547" s="26" t="n">
        <v>30.01</v>
      </c>
      <c r="I547" s="10" t="s">
        <v>1116</v>
      </c>
      <c r="J547" s="30" t="s">
        <v>1191</v>
      </c>
      <c r="K547" s="10" t="s">
        <v>1192</v>
      </c>
    </row>
    <row r="548" customFormat="false" ht="57.45" hidden="false" customHeight="false" outlineLevel="0" collapsed="false">
      <c r="A548" s="12" t="s">
        <v>49</v>
      </c>
      <c r="B548" s="12" t="s">
        <v>56</v>
      </c>
      <c r="C548" s="10" t="s">
        <v>2586</v>
      </c>
      <c r="D548" s="12" t="s">
        <v>1343</v>
      </c>
      <c r="E548" s="10" t="s">
        <v>1344</v>
      </c>
      <c r="F548" s="12" t="s">
        <v>77</v>
      </c>
      <c r="G548" s="12"/>
      <c r="H548" s="26" t="n">
        <v>12.0797</v>
      </c>
      <c r="I548" s="10" t="s">
        <v>1116</v>
      </c>
      <c r="J548" s="30" t="s">
        <v>2587</v>
      </c>
      <c r="K548" s="10" t="s">
        <v>2588</v>
      </c>
    </row>
    <row r="549" customFormat="false" ht="68.65" hidden="false" customHeight="false" outlineLevel="0" collapsed="false">
      <c r="A549" s="12" t="s">
        <v>49</v>
      </c>
      <c r="B549" s="12" t="s">
        <v>56</v>
      </c>
      <c r="C549" s="10" t="s">
        <v>2586</v>
      </c>
      <c r="D549" s="12" t="s">
        <v>2589</v>
      </c>
      <c r="E549" s="10" t="s">
        <v>2590</v>
      </c>
      <c r="F549" s="12" t="s">
        <v>77</v>
      </c>
      <c r="G549" s="12"/>
      <c r="H549" s="26" t="n">
        <v>44.7141</v>
      </c>
      <c r="I549" s="10" t="s">
        <v>1116</v>
      </c>
      <c r="J549" s="30" t="s">
        <v>1159</v>
      </c>
      <c r="K549" s="10" t="s">
        <v>2591</v>
      </c>
    </row>
    <row r="550" customFormat="false" ht="57.45" hidden="false" customHeight="false" outlineLevel="0" collapsed="false">
      <c r="A550" s="12" t="s">
        <v>49</v>
      </c>
      <c r="B550" s="12" t="s">
        <v>56</v>
      </c>
      <c r="C550" s="10" t="s">
        <v>2586</v>
      </c>
      <c r="D550" s="12" t="s">
        <v>1343</v>
      </c>
      <c r="E550" s="10" t="s">
        <v>1344</v>
      </c>
      <c r="F550" s="12" t="s">
        <v>77</v>
      </c>
      <c r="G550" s="12"/>
      <c r="H550" s="26" t="n">
        <v>15.5149</v>
      </c>
      <c r="I550" s="10" t="s">
        <v>1116</v>
      </c>
      <c r="J550" s="30" t="s">
        <v>2587</v>
      </c>
      <c r="K550" s="10" t="s">
        <v>2588</v>
      </c>
    </row>
    <row r="551" customFormat="false" ht="35.05" hidden="false" customHeight="false" outlineLevel="0" collapsed="false">
      <c r="A551" s="12" t="s">
        <v>49</v>
      </c>
      <c r="B551" s="12" t="s">
        <v>279</v>
      </c>
      <c r="C551" s="10" t="s">
        <v>2592</v>
      </c>
      <c r="D551" s="12" t="s">
        <v>2593</v>
      </c>
      <c r="E551" s="10" t="s">
        <v>2594</v>
      </c>
      <c r="F551" s="12" t="s">
        <v>77</v>
      </c>
      <c r="G551" s="12"/>
      <c r="H551" s="26" t="n">
        <v>54.62</v>
      </c>
      <c r="I551" s="10" t="s">
        <v>1569</v>
      </c>
      <c r="J551" s="30" t="s">
        <v>1570</v>
      </c>
      <c r="K551" s="10" t="s">
        <v>2595</v>
      </c>
    </row>
    <row r="552" customFormat="false" ht="46.25" hidden="false" customHeight="false" outlineLevel="0" collapsed="false">
      <c r="A552" s="12" t="s">
        <v>49</v>
      </c>
      <c r="B552" s="12" t="s">
        <v>281</v>
      </c>
      <c r="C552" s="10" t="s">
        <v>1377</v>
      </c>
      <c r="D552" s="12" t="s">
        <v>1257</v>
      </c>
      <c r="E552" s="10" t="s">
        <v>2596</v>
      </c>
      <c r="F552" s="12" t="s">
        <v>77</v>
      </c>
      <c r="G552" s="12"/>
      <c r="H552" s="26" t="n">
        <v>8.76</v>
      </c>
      <c r="I552" s="10" t="s">
        <v>1116</v>
      </c>
      <c r="J552" s="30" t="s">
        <v>1379</v>
      </c>
      <c r="K552" s="10" t="s">
        <v>1380</v>
      </c>
    </row>
    <row r="553" customFormat="false" ht="46.25" hidden="false" customHeight="false" outlineLevel="0" collapsed="false">
      <c r="A553" s="12" t="s">
        <v>49</v>
      </c>
      <c r="B553" s="12" t="s">
        <v>281</v>
      </c>
      <c r="C553" s="10" t="s">
        <v>1377</v>
      </c>
      <c r="D553" s="12" t="s">
        <v>1381</v>
      </c>
      <c r="E553" s="10" t="s">
        <v>2597</v>
      </c>
      <c r="F553" s="12" t="s">
        <v>77</v>
      </c>
      <c r="G553" s="12"/>
      <c r="H553" s="26" t="n">
        <v>6.06</v>
      </c>
      <c r="I553" s="10" t="s">
        <v>1116</v>
      </c>
      <c r="J553" s="30" t="s">
        <v>1379</v>
      </c>
      <c r="K553" s="10" t="s">
        <v>1383</v>
      </c>
    </row>
    <row r="554" customFormat="false" ht="35.05" hidden="false" customHeight="false" outlineLevel="0" collapsed="false">
      <c r="A554" s="12" t="s">
        <v>47</v>
      </c>
      <c r="B554" s="12" t="s">
        <v>267</v>
      </c>
      <c r="C554" s="10" t="s">
        <v>2598</v>
      </c>
      <c r="D554" s="12"/>
      <c r="E554" s="10" t="s">
        <v>2599</v>
      </c>
      <c r="F554" s="12" t="s">
        <v>196</v>
      </c>
      <c r="G554" s="12" t="n">
        <v>2</v>
      </c>
      <c r="H554" s="26" t="n">
        <v>634</v>
      </c>
      <c r="I554" s="10" t="s">
        <v>1539</v>
      </c>
      <c r="J554" s="30" t="s">
        <v>2600</v>
      </c>
      <c r="K554" s="10" t="s">
        <v>2601</v>
      </c>
    </row>
    <row r="555" customFormat="false" ht="23.85" hidden="false" customHeight="false" outlineLevel="0" collapsed="false">
      <c r="A555" s="12" t="s">
        <v>47</v>
      </c>
      <c r="B555" s="12" t="s">
        <v>267</v>
      </c>
      <c r="C555" s="10" t="s">
        <v>2602</v>
      </c>
      <c r="D555" s="12" t="s">
        <v>2603</v>
      </c>
      <c r="E555" s="10" t="s">
        <v>2604</v>
      </c>
      <c r="F555" s="12" t="s">
        <v>196</v>
      </c>
      <c r="G555" s="12" t="n">
        <v>10</v>
      </c>
      <c r="H555" s="26" t="n">
        <v>7.2659</v>
      </c>
      <c r="I555" s="10" t="s">
        <v>1116</v>
      </c>
      <c r="J555" s="30" t="s">
        <v>2605</v>
      </c>
      <c r="K555" s="10" t="s">
        <v>2606</v>
      </c>
    </row>
    <row r="556" customFormat="false" ht="35.05" hidden="false" customHeight="false" outlineLevel="0" collapsed="false">
      <c r="A556" s="12" t="s">
        <v>47</v>
      </c>
      <c r="B556" s="12" t="s">
        <v>267</v>
      </c>
      <c r="C556" s="10" t="s">
        <v>2598</v>
      </c>
      <c r="D556" s="12" t="s">
        <v>1723</v>
      </c>
      <c r="E556" s="10" t="s">
        <v>2305</v>
      </c>
      <c r="F556" s="12" t="s">
        <v>196</v>
      </c>
      <c r="G556" s="12" t="n">
        <v>2</v>
      </c>
      <c r="H556" s="26" t="n">
        <v>5.579</v>
      </c>
      <c r="I556" s="10" t="s">
        <v>1116</v>
      </c>
      <c r="J556" s="30" t="s">
        <v>2439</v>
      </c>
      <c r="K556" s="10" t="s">
        <v>2607</v>
      </c>
    </row>
    <row r="557" customFormat="false" ht="23.85" hidden="false" customHeight="false" outlineLevel="0" collapsed="false">
      <c r="A557" s="12" t="s">
        <v>47</v>
      </c>
      <c r="B557" s="12" t="s">
        <v>267</v>
      </c>
      <c r="C557" s="10" t="s">
        <v>2598</v>
      </c>
      <c r="D557" s="12" t="s">
        <v>2608</v>
      </c>
      <c r="E557" s="10" t="s">
        <v>1890</v>
      </c>
      <c r="F557" s="12" t="s">
        <v>196</v>
      </c>
      <c r="G557" s="12" t="n">
        <v>2</v>
      </c>
      <c r="H557" s="26" t="n">
        <v>7.18</v>
      </c>
      <c r="I557" s="10" t="s">
        <v>1539</v>
      </c>
      <c r="J557" s="30" t="s">
        <v>2600</v>
      </c>
      <c r="K557" s="10" t="s">
        <v>2601</v>
      </c>
    </row>
    <row r="558" customFormat="false" ht="23.85" hidden="false" customHeight="false" outlineLevel="0" collapsed="false">
      <c r="A558" s="12" t="s">
        <v>47</v>
      </c>
      <c r="B558" s="12" t="s">
        <v>265</v>
      </c>
      <c r="C558" s="10" t="s">
        <v>2609</v>
      </c>
      <c r="D558" s="12" t="s">
        <v>2610</v>
      </c>
      <c r="E558" s="10" t="s">
        <v>2611</v>
      </c>
      <c r="F558" s="12" t="s">
        <v>83</v>
      </c>
      <c r="G558" s="12" t="n">
        <v>1</v>
      </c>
      <c r="H558" s="26" t="n">
        <v>59.3</v>
      </c>
      <c r="I558" s="10" t="s">
        <v>1569</v>
      </c>
      <c r="J558" s="30" t="s">
        <v>1570</v>
      </c>
      <c r="K558" s="10" t="s">
        <v>2612</v>
      </c>
    </row>
    <row r="559" customFormat="false" ht="15" hidden="false" customHeight="false" outlineLevel="0" collapsed="false">
      <c r="A559" s="12" t="s">
        <v>47</v>
      </c>
      <c r="B559" s="12" t="s">
        <v>265</v>
      </c>
      <c r="C559" s="10" t="s">
        <v>2609</v>
      </c>
      <c r="D559" s="12" t="s">
        <v>1394</v>
      </c>
      <c r="E559" s="10" t="s">
        <v>2080</v>
      </c>
      <c r="F559" s="12" t="s">
        <v>83</v>
      </c>
      <c r="G559" s="12"/>
      <c r="H559" s="26"/>
      <c r="I559" s="10" t="s">
        <v>1293</v>
      </c>
      <c r="J559" s="12"/>
      <c r="K559" s="10" t="s">
        <v>1294</v>
      </c>
    </row>
    <row r="560" customFormat="false" ht="46.25" hidden="false" customHeight="false" outlineLevel="0" collapsed="false">
      <c r="A560" s="12" t="s">
        <v>47</v>
      </c>
      <c r="B560" s="12" t="s">
        <v>241</v>
      </c>
      <c r="C560" s="10" t="s">
        <v>2613</v>
      </c>
      <c r="D560" s="12" t="s">
        <v>2359</v>
      </c>
      <c r="E560" s="10" t="s">
        <v>2614</v>
      </c>
      <c r="F560" s="12" t="s">
        <v>77</v>
      </c>
      <c r="G560" s="12" t="n">
        <v>5</v>
      </c>
      <c r="H560" s="26" t="n">
        <v>6.66</v>
      </c>
      <c r="I560" s="10" t="s">
        <v>1116</v>
      </c>
      <c r="J560" s="30" t="s">
        <v>2615</v>
      </c>
      <c r="K560" s="10" t="s">
        <v>2616</v>
      </c>
    </row>
    <row r="561" customFormat="false" ht="46.25" hidden="false" customHeight="false" outlineLevel="0" collapsed="false">
      <c r="A561" s="12" t="s">
        <v>47</v>
      </c>
      <c r="B561" s="12" t="s">
        <v>241</v>
      </c>
      <c r="C561" s="10" t="s">
        <v>2613</v>
      </c>
      <c r="D561" s="12" t="s">
        <v>2617</v>
      </c>
      <c r="E561" s="10" t="s">
        <v>1296</v>
      </c>
      <c r="F561" s="12" t="s">
        <v>77</v>
      </c>
      <c r="G561" s="12" t="n">
        <v>20</v>
      </c>
      <c r="H561" s="26" t="n">
        <v>38.11</v>
      </c>
      <c r="I561" s="10" t="s">
        <v>1116</v>
      </c>
      <c r="J561" s="30" t="s">
        <v>2615</v>
      </c>
      <c r="K561" s="10" t="s">
        <v>2618</v>
      </c>
    </row>
    <row r="562" customFormat="false" ht="57.45" hidden="false" customHeight="false" outlineLevel="0" collapsed="false">
      <c r="A562" s="12" t="s">
        <v>47</v>
      </c>
      <c r="B562" s="12" t="s">
        <v>274</v>
      </c>
      <c r="C562" s="10" t="s">
        <v>2619</v>
      </c>
      <c r="D562" s="12" t="s">
        <v>2620</v>
      </c>
      <c r="E562" s="10" t="s">
        <v>2604</v>
      </c>
      <c r="F562" s="12" t="s">
        <v>196</v>
      </c>
      <c r="G562" s="12" t="n">
        <v>10</v>
      </c>
      <c r="H562" s="26" t="n">
        <v>6.0342</v>
      </c>
      <c r="I562" s="10" t="s">
        <v>1116</v>
      </c>
      <c r="J562" s="30" t="s">
        <v>2621</v>
      </c>
      <c r="K562" s="10" t="s">
        <v>2622</v>
      </c>
    </row>
    <row r="563" customFormat="false" ht="46.25" hidden="false" customHeight="false" outlineLevel="0" collapsed="false">
      <c r="A563" s="12" t="s">
        <v>47</v>
      </c>
      <c r="B563" s="12" t="s">
        <v>274</v>
      </c>
      <c r="C563" s="10" t="s">
        <v>2619</v>
      </c>
      <c r="D563" s="12" t="s">
        <v>2236</v>
      </c>
      <c r="E563" s="10" t="s">
        <v>2604</v>
      </c>
      <c r="F563" s="12" t="s">
        <v>196</v>
      </c>
      <c r="G563" s="12" t="n">
        <v>10</v>
      </c>
      <c r="H563" s="26" t="n">
        <v>11.39</v>
      </c>
      <c r="I563" s="10" t="s">
        <v>1116</v>
      </c>
      <c r="J563" s="30" t="s">
        <v>1196</v>
      </c>
      <c r="K563" s="10" t="s">
        <v>2623</v>
      </c>
    </row>
    <row r="564" customFormat="false" ht="23.85" hidden="false" customHeight="false" outlineLevel="0" collapsed="false">
      <c r="A564" s="12" t="s">
        <v>47</v>
      </c>
      <c r="B564" s="12" t="s">
        <v>271</v>
      </c>
      <c r="C564" s="10" t="s">
        <v>2624</v>
      </c>
      <c r="D564" s="12" t="s">
        <v>2625</v>
      </c>
      <c r="E564" s="10" t="s">
        <v>1890</v>
      </c>
      <c r="F564" s="12" t="s">
        <v>196</v>
      </c>
      <c r="G564" s="12" t="n">
        <v>2</v>
      </c>
      <c r="H564" s="26" t="n">
        <v>5.27</v>
      </c>
      <c r="I564" s="10" t="s">
        <v>1539</v>
      </c>
      <c r="J564" s="30" t="s">
        <v>2626</v>
      </c>
      <c r="K564" s="10" t="s">
        <v>2627</v>
      </c>
    </row>
    <row r="565" customFormat="false" ht="23.85" hidden="false" customHeight="false" outlineLevel="0" collapsed="false">
      <c r="A565" s="12" t="s">
        <v>47</v>
      </c>
      <c r="B565" s="12" t="s">
        <v>271</v>
      </c>
      <c r="C565" s="10" t="s">
        <v>2624</v>
      </c>
      <c r="D565" s="12" t="s">
        <v>2625</v>
      </c>
      <c r="E565" s="10" t="s">
        <v>2604</v>
      </c>
      <c r="F565" s="12" t="s">
        <v>196</v>
      </c>
      <c r="G565" s="12" t="n">
        <v>10</v>
      </c>
      <c r="H565" s="26" t="n">
        <v>26.33</v>
      </c>
      <c r="I565" s="10" t="s">
        <v>1539</v>
      </c>
      <c r="J565" s="30" t="s">
        <v>2626</v>
      </c>
      <c r="K565" s="10" t="s">
        <v>2627</v>
      </c>
    </row>
    <row r="566" customFormat="false" ht="35.05" hidden="false" customHeight="false" outlineLevel="0" collapsed="false">
      <c r="A566" s="12" t="s">
        <v>47</v>
      </c>
      <c r="B566" s="12" t="s">
        <v>269</v>
      </c>
      <c r="C566" s="10" t="s">
        <v>2628</v>
      </c>
      <c r="D566" s="12" t="s">
        <v>1455</v>
      </c>
      <c r="E566" s="10"/>
      <c r="F566" s="12" t="s">
        <v>95</v>
      </c>
      <c r="G566" s="12"/>
      <c r="H566" s="26" t="n">
        <v>42.21</v>
      </c>
      <c r="I566" s="10" t="s">
        <v>1569</v>
      </c>
      <c r="J566" s="30" t="s">
        <v>1570</v>
      </c>
      <c r="K566" s="10" t="s">
        <v>2629</v>
      </c>
    </row>
    <row r="567" customFormat="false" ht="35.05" hidden="false" customHeight="false" outlineLevel="0" collapsed="false">
      <c r="A567" s="12" t="s">
        <v>47</v>
      </c>
      <c r="B567" s="12" t="s">
        <v>116</v>
      </c>
      <c r="C567" s="10" t="s">
        <v>116</v>
      </c>
      <c r="D567" s="12" t="s">
        <v>1500</v>
      </c>
      <c r="E567" s="10" t="s">
        <v>1626</v>
      </c>
      <c r="F567" s="12" t="s">
        <v>77</v>
      </c>
      <c r="G567" s="12" t="n">
        <v>2</v>
      </c>
      <c r="H567" s="26" t="n">
        <v>67.02</v>
      </c>
      <c r="I567" s="10" t="s">
        <v>1116</v>
      </c>
      <c r="J567" s="30" t="s">
        <v>1950</v>
      </c>
      <c r="K567" s="10" t="s">
        <v>1951</v>
      </c>
    </row>
    <row r="568" customFormat="false" ht="35.05" hidden="false" customHeight="false" outlineLevel="0" collapsed="false">
      <c r="A568" s="12" t="s">
        <v>47</v>
      </c>
      <c r="B568" s="12" t="s">
        <v>116</v>
      </c>
      <c r="C568" s="10" t="s">
        <v>2630</v>
      </c>
      <c r="D568" s="12" t="s">
        <v>1792</v>
      </c>
      <c r="E568" s="10" t="s">
        <v>1626</v>
      </c>
      <c r="F568" s="12" t="s">
        <v>77</v>
      </c>
      <c r="G568" s="12" t="n">
        <v>2</v>
      </c>
      <c r="H568" s="26" t="n">
        <v>92.0498</v>
      </c>
      <c r="I568" s="10" t="s">
        <v>1116</v>
      </c>
      <c r="J568" s="30" t="s">
        <v>1159</v>
      </c>
      <c r="K568" s="10" t="s">
        <v>2631</v>
      </c>
    </row>
    <row r="569" customFormat="false" ht="35.05" hidden="false" customHeight="false" outlineLevel="0" collapsed="false">
      <c r="A569" s="12" t="s">
        <v>55</v>
      </c>
      <c r="B569" s="12" t="s">
        <v>423</v>
      </c>
      <c r="C569" s="10" t="s">
        <v>2632</v>
      </c>
      <c r="D569" s="12" t="s">
        <v>2475</v>
      </c>
      <c r="E569" s="10" t="s">
        <v>2476</v>
      </c>
      <c r="F569" s="12" t="s">
        <v>77</v>
      </c>
      <c r="G569" s="12"/>
      <c r="H569" s="26" t="n">
        <v>8.323</v>
      </c>
      <c r="I569" s="10" t="s">
        <v>1116</v>
      </c>
      <c r="J569" s="30" t="s">
        <v>2633</v>
      </c>
      <c r="K569" s="10" t="s">
        <v>2634</v>
      </c>
    </row>
    <row r="570" customFormat="false" ht="35.05" hidden="false" customHeight="false" outlineLevel="0" collapsed="false">
      <c r="A570" s="12" t="s">
        <v>55</v>
      </c>
      <c r="B570" s="12" t="s">
        <v>423</v>
      </c>
      <c r="C570" s="10" t="s">
        <v>2632</v>
      </c>
      <c r="D570" s="12" t="s">
        <v>2635</v>
      </c>
      <c r="E570" s="10" t="s">
        <v>2636</v>
      </c>
      <c r="F570" s="12" t="s">
        <v>77</v>
      </c>
      <c r="G570" s="12"/>
      <c r="H570" s="26" t="n">
        <v>17.738</v>
      </c>
      <c r="I570" s="10" t="s">
        <v>1116</v>
      </c>
      <c r="J570" s="30" t="s">
        <v>2637</v>
      </c>
      <c r="K570" s="10" t="s">
        <v>2638</v>
      </c>
    </row>
    <row r="571" customFormat="false" ht="57.45" hidden="false" customHeight="false" outlineLevel="0" collapsed="false">
      <c r="A571" s="12" t="s">
        <v>55</v>
      </c>
      <c r="B571" s="12" t="s">
        <v>211</v>
      </c>
      <c r="C571" s="10" t="s">
        <v>2639</v>
      </c>
      <c r="D571" s="12" t="s">
        <v>2635</v>
      </c>
      <c r="E571" s="10" t="s">
        <v>2636</v>
      </c>
      <c r="F571" s="12" t="s">
        <v>77</v>
      </c>
      <c r="G571" s="12"/>
      <c r="H571" s="26" t="n">
        <v>30.73</v>
      </c>
      <c r="I571" s="10" t="s">
        <v>1116</v>
      </c>
      <c r="J571" s="30" t="s">
        <v>2640</v>
      </c>
      <c r="K571" s="10" t="s">
        <v>2641</v>
      </c>
    </row>
    <row r="572" customFormat="false" ht="46.25" hidden="false" customHeight="false" outlineLevel="0" collapsed="false">
      <c r="A572" s="12" t="s">
        <v>55</v>
      </c>
      <c r="B572" s="12" t="s">
        <v>211</v>
      </c>
      <c r="C572" s="10" t="s">
        <v>2639</v>
      </c>
      <c r="D572" s="12" t="s">
        <v>2475</v>
      </c>
      <c r="E572" s="10" t="s">
        <v>2476</v>
      </c>
      <c r="F572" s="12" t="s">
        <v>77</v>
      </c>
      <c r="G572" s="12"/>
      <c r="H572" s="26" t="n">
        <v>15.365</v>
      </c>
      <c r="I572" s="10" t="s">
        <v>1116</v>
      </c>
      <c r="J572" s="30" t="s">
        <v>2640</v>
      </c>
      <c r="K572" s="10" t="s">
        <v>2642</v>
      </c>
    </row>
    <row r="573" customFormat="false" ht="23.85" hidden="false" customHeight="false" outlineLevel="0" collapsed="false">
      <c r="A573" s="12" t="s">
        <v>55</v>
      </c>
      <c r="B573" s="12" t="s">
        <v>201</v>
      </c>
      <c r="C573" s="10" t="s">
        <v>2643</v>
      </c>
      <c r="D573" s="12" t="s">
        <v>2644</v>
      </c>
      <c r="E573" s="10" t="s">
        <v>2645</v>
      </c>
      <c r="F573" s="12" t="s">
        <v>77</v>
      </c>
      <c r="G573" s="12" t="n">
        <v>5</v>
      </c>
      <c r="H573" s="26" t="n">
        <v>6.9411728505</v>
      </c>
      <c r="I573" s="10" t="s">
        <v>1539</v>
      </c>
      <c r="J573" s="30" t="s">
        <v>2646</v>
      </c>
      <c r="K573" s="10" t="s">
        <v>2647</v>
      </c>
    </row>
    <row r="574" customFormat="false" ht="91" hidden="false" customHeight="false" outlineLevel="0" collapsed="false">
      <c r="A574" s="12" t="s">
        <v>55</v>
      </c>
      <c r="B574" s="12" t="s">
        <v>56</v>
      </c>
      <c r="C574" s="10" t="s">
        <v>56</v>
      </c>
      <c r="D574" s="12" t="s">
        <v>1805</v>
      </c>
      <c r="E574" s="10" t="s">
        <v>2648</v>
      </c>
      <c r="F574" s="12" t="s">
        <v>77</v>
      </c>
      <c r="G574" s="12"/>
      <c r="H574" s="26" t="n">
        <v>10.97</v>
      </c>
      <c r="I574" s="10" t="s">
        <v>1116</v>
      </c>
      <c r="J574" s="30" t="s">
        <v>2649</v>
      </c>
      <c r="K574" s="10" t="s">
        <v>2650</v>
      </c>
    </row>
    <row r="575" customFormat="false" ht="57.45" hidden="false" customHeight="false" outlineLevel="0" collapsed="false">
      <c r="A575" s="12" t="s">
        <v>55</v>
      </c>
      <c r="B575" s="12" t="s">
        <v>56</v>
      </c>
      <c r="C575" s="10" t="s">
        <v>2651</v>
      </c>
      <c r="D575" s="12" t="s">
        <v>1343</v>
      </c>
      <c r="E575" s="10" t="s">
        <v>2652</v>
      </c>
      <c r="F575" s="12" t="s">
        <v>77</v>
      </c>
      <c r="G575" s="12"/>
      <c r="H575" s="26" t="n">
        <v>12.0797</v>
      </c>
      <c r="I575" s="10" t="s">
        <v>1116</v>
      </c>
      <c r="J575" s="30" t="s">
        <v>1159</v>
      </c>
      <c r="K575" s="10" t="s">
        <v>2653</v>
      </c>
    </row>
    <row r="576" customFormat="false" ht="57.45" hidden="false" customHeight="false" outlineLevel="0" collapsed="false">
      <c r="A576" s="12" t="s">
        <v>55</v>
      </c>
      <c r="B576" s="12" t="s">
        <v>56</v>
      </c>
      <c r="C576" s="10" t="s">
        <v>2651</v>
      </c>
      <c r="D576" s="12" t="s">
        <v>1343</v>
      </c>
      <c r="E576" s="10" t="s">
        <v>2652</v>
      </c>
      <c r="F576" s="12" t="s">
        <v>77</v>
      </c>
      <c r="G576" s="12"/>
      <c r="H576" s="26" t="n">
        <v>12.0797</v>
      </c>
      <c r="I576" s="10" t="s">
        <v>1116</v>
      </c>
      <c r="J576" s="30" t="s">
        <v>1159</v>
      </c>
      <c r="K576" s="10" t="s">
        <v>2653</v>
      </c>
    </row>
    <row r="577" customFormat="false" ht="46.25" hidden="false" customHeight="false" outlineLevel="0" collapsed="false">
      <c r="A577" s="12" t="s">
        <v>55</v>
      </c>
      <c r="B577" s="12" t="s">
        <v>599</v>
      </c>
      <c r="C577" s="10" t="s">
        <v>2654</v>
      </c>
      <c r="D577" s="12" t="s">
        <v>2655</v>
      </c>
      <c r="E577" s="10" t="s">
        <v>2656</v>
      </c>
      <c r="F577" s="12" t="s">
        <v>77</v>
      </c>
      <c r="G577" s="12"/>
      <c r="H577" s="26" t="n">
        <v>13.489</v>
      </c>
      <c r="I577" s="10" t="s">
        <v>1116</v>
      </c>
      <c r="J577" s="30" t="s">
        <v>2657</v>
      </c>
      <c r="K577" s="10" t="s">
        <v>2658</v>
      </c>
    </row>
    <row r="578" customFormat="false" ht="35.05" hidden="false" customHeight="false" outlineLevel="0" collapsed="false">
      <c r="A578" s="12" t="s">
        <v>55</v>
      </c>
      <c r="B578" s="12" t="s">
        <v>599</v>
      </c>
      <c r="C578" s="10" t="s">
        <v>2659</v>
      </c>
      <c r="D578" s="12" t="s">
        <v>2660</v>
      </c>
      <c r="E578" s="10" t="s">
        <v>2661</v>
      </c>
      <c r="F578" s="12" t="s">
        <v>77</v>
      </c>
      <c r="G578" s="12"/>
      <c r="H578" s="26" t="n">
        <v>26.971</v>
      </c>
      <c r="I578" s="10" t="s">
        <v>1116</v>
      </c>
      <c r="J578" s="30" t="s">
        <v>2657</v>
      </c>
      <c r="K578" s="10" t="s">
        <v>2662</v>
      </c>
    </row>
    <row r="579" customFormat="false" ht="23.85" hidden="false" customHeight="false" outlineLevel="0" collapsed="false">
      <c r="A579" s="12" t="s">
        <v>29</v>
      </c>
      <c r="B579" s="12" t="s">
        <v>188</v>
      </c>
      <c r="C579" s="10" t="s">
        <v>188</v>
      </c>
      <c r="D579" s="12" t="s">
        <v>1895</v>
      </c>
      <c r="E579" s="10" t="s">
        <v>2663</v>
      </c>
      <c r="F579" s="12" t="s">
        <v>77</v>
      </c>
      <c r="G579" s="12" t="n">
        <v>2</v>
      </c>
      <c r="H579" s="26"/>
      <c r="I579" s="10" t="s">
        <v>1275</v>
      </c>
      <c r="J579" s="12"/>
      <c r="K579" s="10" t="s">
        <v>1276</v>
      </c>
    </row>
    <row r="580" customFormat="false" ht="46.25" hidden="false" customHeight="false" outlineLevel="0" collapsed="false">
      <c r="A580" s="12" t="s">
        <v>29</v>
      </c>
      <c r="B580" s="12" t="s">
        <v>188</v>
      </c>
      <c r="C580" s="10" t="s">
        <v>2664</v>
      </c>
      <c r="D580" s="12" t="s">
        <v>1909</v>
      </c>
      <c r="E580" s="10" t="s">
        <v>2665</v>
      </c>
      <c r="F580" s="12" t="s">
        <v>77</v>
      </c>
      <c r="G580" s="12"/>
      <c r="H580" s="26" t="n">
        <v>176.652</v>
      </c>
      <c r="I580" s="10" t="s">
        <v>1116</v>
      </c>
      <c r="J580" s="30" t="s">
        <v>1164</v>
      </c>
      <c r="K580" s="10" t="s">
        <v>2666</v>
      </c>
    </row>
    <row r="581" customFormat="false" ht="35.05" hidden="false" customHeight="false" outlineLevel="0" collapsed="false">
      <c r="A581" s="12" t="s">
        <v>29</v>
      </c>
      <c r="B581" s="12" t="s">
        <v>188</v>
      </c>
      <c r="C581" s="10" t="s">
        <v>2664</v>
      </c>
      <c r="D581" s="12" t="s">
        <v>2509</v>
      </c>
      <c r="E581" s="10" t="s">
        <v>2667</v>
      </c>
      <c r="F581" s="12" t="s">
        <v>77</v>
      </c>
      <c r="G581" s="12"/>
      <c r="H581" s="26" t="n">
        <v>220.822</v>
      </c>
      <c r="I581" s="10" t="s">
        <v>1116</v>
      </c>
      <c r="J581" s="30" t="s">
        <v>1164</v>
      </c>
      <c r="K581" s="10" t="s">
        <v>2668</v>
      </c>
    </row>
    <row r="582" customFormat="false" ht="35.05" hidden="false" customHeight="false" outlineLevel="0" collapsed="false">
      <c r="A582" s="12" t="s">
        <v>29</v>
      </c>
      <c r="B582" s="12" t="s">
        <v>87</v>
      </c>
      <c r="C582" s="10" t="s">
        <v>2669</v>
      </c>
      <c r="D582" s="12" t="s">
        <v>1171</v>
      </c>
      <c r="E582" s="10" t="s">
        <v>1172</v>
      </c>
      <c r="F582" s="12" t="s">
        <v>77</v>
      </c>
      <c r="G582" s="12"/>
      <c r="H582" s="26" t="n">
        <v>1007.36</v>
      </c>
      <c r="I582" s="10" t="s">
        <v>1116</v>
      </c>
      <c r="J582" s="30" t="s">
        <v>2670</v>
      </c>
      <c r="K582" s="10" t="s">
        <v>2671</v>
      </c>
    </row>
    <row r="583" customFormat="false" ht="23.85" hidden="false" customHeight="false" outlineLevel="0" collapsed="false">
      <c r="A583" s="12" t="s">
        <v>29</v>
      </c>
      <c r="B583" s="12" t="s">
        <v>87</v>
      </c>
      <c r="C583" s="10" t="s">
        <v>2669</v>
      </c>
      <c r="D583" s="12" t="s">
        <v>1176</v>
      </c>
      <c r="E583" s="10" t="s">
        <v>1172</v>
      </c>
      <c r="F583" s="12" t="s">
        <v>77</v>
      </c>
      <c r="G583" s="12"/>
      <c r="H583" s="26" t="n">
        <v>1444.1174</v>
      </c>
      <c r="I583" s="10" t="s">
        <v>1116</v>
      </c>
      <c r="J583" s="30" t="s">
        <v>1159</v>
      </c>
      <c r="K583" s="10" t="s">
        <v>2672</v>
      </c>
    </row>
    <row r="584" customFormat="false" ht="23.85" hidden="false" customHeight="false" outlineLevel="0" collapsed="false">
      <c r="A584" s="12" t="s">
        <v>29</v>
      </c>
      <c r="B584" s="12" t="s">
        <v>87</v>
      </c>
      <c r="C584" s="10" t="s">
        <v>2673</v>
      </c>
      <c r="D584" s="12" t="s">
        <v>1674</v>
      </c>
      <c r="E584" s="10" t="s">
        <v>2674</v>
      </c>
      <c r="F584" s="12" t="s">
        <v>77</v>
      </c>
      <c r="G584" s="12" t="n">
        <v>10</v>
      </c>
      <c r="H584" s="26" t="n">
        <v>981.694</v>
      </c>
      <c r="I584" s="10" t="s">
        <v>1116</v>
      </c>
      <c r="J584" s="30" t="s">
        <v>1263</v>
      </c>
      <c r="K584" s="10" t="s">
        <v>2675</v>
      </c>
    </row>
    <row r="585" customFormat="false" ht="23.85" hidden="false" customHeight="false" outlineLevel="0" collapsed="false">
      <c r="A585" s="12" t="s">
        <v>29</v>
      </c>
      <c r="B585" s="12" t="s">
        <v>87</v>
      </c>
      <c r="C585" s="10" t="s">
        <v>2676</v>
      </c>
      <c r="D585" s="12" t="s">
        <v>1535</v>
      </c>
      <c r="E585" s="10" t="s">
        <v>1678</v>
      </c>
      <c r="F585" s="12" t="s">
        <v>77</v>
      </c>
      <c r="G585" s="12" t="n">
        <v>10</v>
      </c>
      <c r="H585" s="26" t="n">
        <v>116.14</v>
      </c>
      <c r="I585" s="10" t="s">
        <v>1539</v>
      </c>
      <c r="J585" s="30" t="s">
        <v>2677</v>
      </c>
      <c r="K585" s="10" t="s">
        <v>2678</v>
      </c>
    </row>
    <row r="586" customFormat="false" ht="46.25" hidden="false" customHeight="false" outlineLevel="0" collapsed="false">
      <c r="A586" s="12" t="s">
        <v>29</v>
      </c>
      <c r="B586" s="12" t="s">
        <v>604</v>
      </c>
      <c r="C586" s="10" t="s">
        <v>2679</v>
      </c>
      <c r="D586" s="12" t="s">
        <v>2680</v>
      </c>
      <c r="E586" s="10" t="s">
        <v>2681</v>
      </c>
      <c r="F586" s="12" t="s">
        <v>77</v>
      </c>
      <c r="G586" s="12" t="n">
        <v>18</v>
      </c>
      <c r="H586" s="26" t="n">
        <v>29.39</v>
      </c>
      <c r="I586" s="10" t="s">
        <v>1116</v>
      </c>
      <c r="J586" s="30" t="s">
        <v>2682</v>
      </c>
      <c r="K586" s="10" t="s">
        <v>2683</v>
      </c>
    </row>
    <row r="587" customFormat="false" ht="35.05" hidden="false" customHeight="false" outlineLevel="0" collapsed="false">
      <c r="A587" s="12" t="s">
        <v>29</v>
      </c>
      <c r="B587" s="12" t="s">
        <v>120</v>
      </c>
      <c r="C587" s="10" t="s">
        <v>2684</v>
      </c>
      <c r="D587" s="12" t="s">
        <v>1252</v>
      </c>
      <c r="E587" s="10" t="s">
        <v>2685</v>
      </c>
      <c r="F587" s="12" t="s">
        <v>77</v>
      </c>
      <c r="G587" s="12" t="n">
        <v>25</v>
      </c>
      <c r="H587" s="26" t="n">
        <v>15.95</v>
      </c>
      <c r="I587" s="10" t="s">
        <v>1116</v>
      </c>
      <c r="J587" s="30" t="s">
        <v>2686</v>
      </c>
      <c r="K587" s="10" t="s">
        <v>2687</v>
      </c>
    </row>
    <row r="588" customFormat="false" ht="46.25" hidden="false" customHeight="false" outlineLevel="0" collapsed="false">
      <c r="A588" s="12" t="s">
        <v>29</v>
      </c>
      <c r="B588" s="12" t="s">
        <v>477</v>
      </c>
      <c r="C588" s="10" t="s">
        <v>2688</v>
      </c>
      <c r="D588" s="12" t="s">
        <v>1857</v>
      </c>
      <c r="E588" s="10" t="s">
        <v>1892</v>
      </c>
      <c r="F588" s="12" t="s">
        <v>77</v>
      </c>
      <c r="G588" s="12"/>
      <c r="H588" s="26" t="n">
        <v>7.2659</v>
      </c>
      <c r="I588" s="10" t="s">
        <v>1116</v>
      </c>
      <c r="J588" s="30" t="s">
        <v>1159</v>
      </c>
      <c r="K588" s="10" t="s">
        <v>2689</v>
      </c>
    </row>
    <row r="589" customFormat="false" ht="23.85" hidden="false" customHeight="false" outlineLevel="0" collapsed="false">
      <c r="A589" s="12" t="s">
        <v>29</v>
      </c>
      <c r="B589" s="12" t="s">
        <v>477</v>
      </c>
      <c r="C589" s="10" t="s">
        <v>2690</v>
      </c>
      <c r="D589" s="12" t="s">
        <v>2691</v>
      </c>
      <c r="E589" s="10" t="s">
        <v>2692</v>
      </c>
      <c r="F589" s="12" t="s">
        <v>77</v>
      </c>
      <c r="G589" s="12"/>
      <c r="H589" s="26"/>
      <c r="I589" s="10" t="s">
        <v>1275</v>
      </c>
      <c r="J589" s="12"/>
      <c r="K589" s="10" t="s">
        <v>1276</v>
      </c>
    </row>
    <row r="590" customFormat="false" ht="46.25" hidden="false" customHeight="false" outlineLevel="0" collapsed="false">
      <c r="A590" s="12" t="s">
        <v>29</v>
      </c>
      <c r="B590" s="12" t="s">
        <v>112</v>
      </c>
      <c r="C590" s="10" t="s">
        <v>2693</v>
      </c>
      <c r="D590" s="12" t="s">
        <v>1307</v>
      </c>
      <c r="E590" s="10" t="s">
        <v>1308</v>
      </c>
      <c r="F590" s="12" t="s">
        <v>83</v>
      </c>
      <c r="G590" s="12" t="n">
        <v>5</v>
      </c>
      <c r="H590" s="26" t="n">
        <v>345.31</v>
      </c>
      <c r="I590" s="10" t="s">
        <v>1116</v>
      </c>
      <c r="J590" s="30" t="s">
        <v>2694</v>
      </c>
      <c r="K590" s="10" t="s">
        <v>1310</v>
      </c>
    </row>
    <row r="591" customFormat="false" ht="57.45" hidden="false" customHeight="false" outlineLevel="0" collapsed="false">
      <c r="A591" s="12" t="s">
        <v>29</v>
      </c>
      <c r="B591" s="12" t="s">
        <v>112</v>
      </c>
      <c r="C591" s="10" t="s">
        <v>2693</v>
      </c>
      <c r="D591" s="12" t="s">
        <v>1942</v>
      </c>
      <c r="E591" s="10" t="s">
        <v>1313</v>
      </c>
      <c r="F591" s="12" t="s">
        <v>83</v>
      </c>
      <c r="G591" s="12" t="n">
        <v>5</v>
      </c>
      <c r="H591" s="26" t="n">
        <v>531.8684</v>
      </c>
      <c r="I591" s="10" t="s">
        <v>1116</v>
      </c>
      <c r="J591" s="30" t="s">
        <v>1159</v>
      </c>
      <c r="K591" s="10" t="s">
        <v>2695</v>
      </c>
    </row>
    <row r="592" customFormat="false" ht="46.25" hidden="false" customHeight="false" outlineLevel="0" collapsed="false">
      <c r="A592" s="12" t="s">
        <v>29</v>
      </c>
      <c r="B592" s="12" t="s">
        <v>129</v>
      </c>
      <c r="C592" s="10" t="s">
        <v>2696</v>
      </c>
      <c r="D592" s="12" t="s">
        <v>1339</v>
      </c>
      <c r="E592" s="10" t="s">
        <v>1866</v>
      </c>
      <c r="F592" s="12" t="s">
        <v>77</v>
      </c>
      <c r="G592" s="12" t="n">
        <v>10</v>
      </c>
      <c r="H592" s="26" t="n">
        <v>95.2025</v>
      </c>
      <c r="I592" s="10" t="s">
        <v>1116</v>
      </c>
      <c r="J592" s="30" t="s">
        <v>1159</v>
      </c>
      <c r="K592" s="10" t="s">
        <v>2697</v>
      </c>
    </row>
    <row r="593" customFormat="false" ht="23.85" hidden="false" customHeight="false" outlineLevel="0" collapsed="false">
      <c r="A593" s="12" t="s">
        <v>29</v>
      </c>
      <c r="B593" s="12" t="s">
        <v>129</v>
      </c>
      <c r="C593" s="10" t="s">
        <v>2698</v>
      </c>
      <c r="D593" s="12" t="s">
        <v>1872</v>
      </c>
      <c r="E593" s="10" t="s">
        <v>2699</v>
      </c>
      <c r="F593" s="12" t="s">
        <v>77</v>
      </c>
      <c r="G593" s="12" t="n">
        <v>10</v>
      </c>
      <c r="H593" s="26" t="n">
        <v>265.643</v>
      </c>
      <c r="I593" s="10" t="s">
        <v>1116</v>
      </c>
      <c r="J593" s="30" t="s">
        <v>1263</v>
      </c>
      <c r="K593" s="10" t="s">
        <v>2700</v>
      </c>
    </row>
    <row r="594" customFormat="false" ht="91" hidden="false" customHeight="false" outlineLevel="0" collapsed="false">
      <c r="A594" s="12" t="s">
        <v>29</v>
      </c>
      <c r="B594" s="12" t="s">
        <v>56</v>
      </c>
      <c r="C594" s="10" t="s">
        <v>56</v>
      </c>
      <c r="D594" s="12" t="s">
        <v>1805</v>
      </c>
      <c r="E594" s="10" t="s">
        <v>2648</v>
      </c>
      <c r="F594" s="12" t="s">
        <v>77</v>
      </c>
      <c r="G594" s="12"/>
      <c r="H594" s="26" t="n">
        <v>10.97</v>
      </c>
      <c r="I594" s="10" t="s">
        <v>1116</v>
      </c>
      <c r="J594" s="30" t="s">
        <v>2649</v>
      </c>
      <c r="K594" s="10" t="s">
        <v>2650</v>
      </c>
    </row>
    <row r="595" customFormat="false" ht="57.45" hidden="false" customHeight="false" outlineLevel="0" collapsed="false">
      <c r="A595" s="12" t="s">
        <v>29</v>
      </c>
      <c r="B595" s="12" t="s">
        <v>56</v>
      </c>
      <c r="C595" s="10" t="s">
        <v>2701</v>
      </c>
      <c r="D595" s="12" t="s">
        <v>2702</v>
      </c>
      <c r="E595" s="10" t="s">
        <v>2703</v>
      </c>
      <c r="F595" s="12" t="s">
        <v>77</v>
      </c>
      <c r="G595" s="12" t="n">
        <v>30</v>
      </c>
      <c r="H595" s="26" t="n">
        <v>12.0797</v>
      </c>
      <c r="I595" s="10" t="s">
        <v>1116</v>
      </c>
      <c r="J595" s="30" t="s">
        <v>1159</v>
      </c>
      <c r="K595" s="10" t="s">
        <v>2653</v>
      </c>
    </row>
    <row r="596" customFormat="false" ht="57.45" hidden="false" customHeight="false" outlineLevel="0" collapsed="false">
      <c r="A596" s="12" t="s">
        <v>29</v>
      </c>
      <c r="B596" s="12" t="s">
        <v>56</v>
      </c>
      <c r="C596" s="10" t="s">
        <v>2704</v>
      </c>
      <c r="D596" s="12" t="s">
        <v>2702</v>
      </c>
      <c r="E596" s="10" t="s">
        <v>2703</v>
      </c>
      <c r="F596" s="12" t="s">
        <v>77</v>
      </c>
      <c r="G596" s="12" t="n">
        <v>30</v>
      </c>
      <c r="H596" s="26" t="n">
        <v>12.0797</v>
      </c>
      <c r="I596" s="10" t="s">
        <v>1116</v>
      </c>
      <c r="J596" s="30" t="s">
        <v>1159</v>
      </c>
      <c r="K596" s="10" t="s">
        <v>2653</v>
      </c>
    </row>
    <row r="597" customFormat="false" ht="15" hidden="false" customHeight="false" outlineLevel="0" collapsed="false">
      <c r="A597" s="12" t="s">
        <v>29</v>
      </c>
      <c r="B597" s="12" t="s">
        <v>56</v>
      </c>
      <c r="C597" s="10" t="s">
        <v>2705</v>
      </c>
      <c r="D597" s="12" t="s">
        <v>1348</v>
      </c>
      <c r="E597" s="10" t="s">
        <v>2706</v>
      </c>
      <c r="F597" s="12" t="s">
        <v>77</v>
      </c>
      <c r="G597" s="12" t="n">
        <v>30</v>
      </c>
      <c r="H597" s="26" t="n">
        <v>6.45575</v>
      </c>
      <c r="I597" s="10" t="s">
        <v>1116</v>
      </c>
      <c r="J597" s="30" t="s">
        <v>2707</v>
      </c>
      <c r="K597" s="10" t="s">
        <v>2708</v>
      </c>
    </row>
    <row r="598" customFormat="false" ht="15" hidden="false" customHeight="false" outlineLevel="0" collapsed="false">
      <c r="A598" s="12" t="s">
        <v>29</v>
      </c>
      <c r="B598" s="12" t="s">
        <v>56</v>
      </c>
      <c r="C598" s="10" t="s">
        <v>2705</v>
      </c>
      <c r="D598" s="12" t="s">
        <v>1261</v>
      </c>
      <c r="E598" s="10" t="s">
        <v>2709</v>
      </c>
      <c r="F598" s="12" t="s">
        <v>77</v>
      </c>
      <c r="G598" s="12" t="n">
        <v>40</v>
      </c>
      <c r="H598" s="26" t="n">
        <v>12.9115</v>
      </c>
      <c r="I598" s="10" t="s">
        <v>1116</v>
      </c>
      <c r="J598" s="30" t="s">
        <v>2707</v>
      </c>
      <c r="K598" s="10" t="s">
        <v>2708</v>
      </c>
    </row>
    <row r="599" customFormat="false" ht="35.05" hidden="false" customHeight="false" outlineLevel="0" collapsed="false">
      <c r="A599" s="12" t="s">
        <v>29</v>
      </c>
      <c r="B599" s="12" t="s">
        <v>56</v>
      </c>
      <c r="C599" s="10" t="s">
        <v>2704</v>
      </c>
      <c r="D599" s="12" t="s">
        <v>2475</v>
      </c>
      <c r="E599" s="10" t="s">
        <v>2476</v>
      </c>
      <c r="F599" s="12" t="s">
        <v>77</v>
      </c>
      <c r="G599" s="12"/>
      <c r="H599" s="26" t="n">
        <v>23.422</v>
      </c>
      <c r="I599" s="10" t="s">
        <v>1116</v>
      </c>
      <c r="J599" s="30" t="s">
        <v>2477</v>
      </c>
      <c r="K599" s="10" t="s">
        <v>2710</v>
      </c>
    </row>
    <row r="600" customFormat="false" ht="35.05" hidden="false" customHeight="false" outlineLevel="0" collapsed="false">
      <c r="A600" s="12" t="s">
        <v>29</v>
      </c>
      <c r="B600" s="12" t="s">
        <v>56</v>
      </c>
      <c r="C600" s="10" t="s">
        <v>2704</v>
      </c>
      <c r="D600" s="12" t="s">
        <v>1282</v>
      </c>
      <c r="E600" s="10" t="s">
        <v>1283</v>
      </c>
      <c r="F600" s="12" t="s">
        <v>77</v>
      </c>
      <c r="G600" s="12"/>
      <c r="H600" s="26" t="n">
        <v>9.107</v>
      </c>
      <c r="I600" s="10" t="s">
        <v>1116</v>
      </c>
      <c r="J600" s="30" t="s">
        <v>2473</v>
      </c>
      <c r="K600" s="10" t="s">
        <v>2711</v>
      </c>
    </row>
    <row r="601" customFormat="false" ht="23.85" hidden="false" customHeight="false" outlineLevel="0" collapsed="false">
      <c r="A601" s="12" t="s">
        <v>29</v>
      </c>
      <c r="B601" s="12" t="s">
        <v>56</v>
      </c>
      <c r="C601" s="10" t="s">
        <v>2712</v>
      </c>
      <c r="D601" s="12" t="s">
        <v>1194</v>
      </c>
      <c r="E601" s="10" t="s">
        <v>2713</v>
      </c>
      <c r="F601" s="12" t="s">
        <v>77</v>
      </c>
      <c r="G601" s="12" t="n">
        <v>40</v>
      </c>
      <c r="H601" s="26" t="n">
        <v>8.23</v>
      </c>
      <c r="I601" s="10" t="s">
        <v>1539</v>
      </c>
      <c r="J601" s="30" t="s">
        <v>2714</v>
      </c>
      <c r="K601" s="10" t="s">
        <v>2715</v>
      </c>
    </row>
    <row r="602" customFormat="false" ht="35.05" hidden="false" customHeight="false" outlineLevel="0" collapsed="false">
      <c r="A602" s="12" t="s">
        <v>29</v>
      </c>
      <c r="B602" s="12" t="s">
        <v>193</v>
      </c>
      <c r="C602" s="10" t="s">
        <v>2716</v>
      </c>
      <c r="D602" s="12" t="s">
        <v>2717</v>
      </c>
      <c r="E602" s="10" t="s">
        <v>1568</v>
      </c>
      <c r="F602" s="12" t="s">
        <v>196</v>
      </c>
      <c r="G602" s="12" t="n">
        <v>1</v>
      </c>
      <c r="H602" s="26" t="n">
        <v>14.546</v>
      </c>
      <c r="I602" s="10" t="s">
        <v>1116</v>
      </c>
      <c r="J602" s="30" t="s">
        <v>1164</v>
      </c>
      <c r="K602" s="10" t="s">
        <v>2718</v>
      </c>
    </row>
    <row r="603" customFormat="false" ht="35.05" hidden="false" customHeight="false" outlineLevel="0" collapsed="false">
      <c r="A603" s="12" t="s">
        <v>29</v>
      </c>
      <c r="B603" s="12" t="s">
        <v>179</v>
      </c>
      <c r="C603" s="10" t="s">
        <v>179</v>
      </c>
      <c r="D603" s="12" t="s">
        <v>1421</v>
      </c>
      <c r="E603" s="10" t="s">
        <v>1892</v>
      </c>
      <c r="F603" s="12" t="s">
        <v>77</v>
      </c>
      <c r="G603" s="12"/>
      <c r="H603" s="26" t="n">
        <v>6.61</v>
      </c>
      <c r="I603" s="10" t="s">
        <v>1116</v>
      </c>
      <c r="J603" s="30" t="s">
        <v>2719</v>
      </c>
      <c r="K603" s="10" t="s">
        <v>1893</v>
      </c>
    </row>
    <row r="604" customFormat="false" ht="46.25" hidden="false" customHeight="false" outlineLevel="0" collapsed="false">
      <c r="A604" s="12" t="s">
        <v>29</v>
      </c>
      <c r="B604" s="12" t="s">
        <v>179</v>
      </c>
      <c r="C604" s="10" t="s">
        <v>2720</v>
      </c>
      <c r="D604" s="12" t="s">
        <v>1857</v>
      </c>
      <c r="E604" s="10" t="s">
        <v>1892</v>
      </c>
      <c r="F604" s="12" t="s">
        <v>77</v>
      </c>
      <c r="G604" s="12"/>
      <c r="H604" s="26" t="n">
        <v>5.5596</v>
      </c>
      <c r="I604" s="10" t="s">
        <v>1116</v>
      </c>
      <c r="J604" s="30" t="s">
        <v>1159</v>
      </c>
      <c r="K604" s="10" t="s">
        <v>2721</v>
      </c>
    </row>
    <row r="605" customFormat="false" ht="57.45" hidden="false" customHeight="false" outlineLevel="0" collapsed="false">
      <c r="A605" s="12" t="s">
        <v>29</v>
      </c>
      <c r="B605" s="12" t="s">
        <v>554</v>
      </c>
      <c r="C605" s="10" t="s">
        <v>2722</v>
      </c>
      <c r="D605" s="12" t="s">
        <v>2723</v>
      </c>
      <c r="E605" s="10" t="s">
        <v>2724</v>
      </c>
      <c r="F605" s="12" t="s">
        <v>77</v>
      </c>
      <c r="G605" s="12" t="n">
        <v>1</v>
      </c>
      <c r="H605" s="26" t="n">
        <v>17.628</v>
      </c>
      <c r="I605" s="10" t="s">
        <v>1116</v>
      </c>
      <c r="J605" s="30" t="s">
        <v>2725</v>
      </c>
      <c r="K605" s="10" t="s">
        <v>2726</v>
      </c>
    </row>
    <row r="606" customFormat="false" ht="46.25" hidden="false" customHeight="false" outlineLevel="0" collapsed="false">
      <c r="A606" s="12" t="s">
        <v>29</v>
      </c>
      <c r="B606" s="12" t="s">
        <v>116</v>
      </c>
      <c r="C606" s="10" t="s">
        <v>1782</v>
      </c>
      <c r="D606" s="12" t="s">
        <v>1783</v>
      </c>
      <c r="E606" s="10" t="s">
        <v>2542</v>
      </c>
      <c r="F606" s="12" t="s">
        <v>77</v>
      </c>
      <c r="G606" s="12" t="n">
        <v>2</v>
      </c>
      <c r="H606" s="26" t="n">
        <v>21.78</v>
      </c>
      <c r="I606" s="10" t="s">
        <v>1116</v>
      </c>
      <c r="J606" s="30" t="s">
        <v>1785</v>
      </c>
      <c r="K606" s="10" t="s">
        <v>1786</v>
      </c>
    </row>
    <row r="607" customFormat="false" ht="46.25" hidden="false" customHeight="false" outlineLevel="0" collapsed="false">
      <c r="A607" s="12" t="s">
        <v>29</v>
      </c>
      <c r="B607" s="12" t="s">
        <v>116</v>
      </c>
      <c r="C607" s="10" t="s">
        <v>1782</v>
      </c>
      <c r="D607" s="12" t="s">
        <v>1787</v>
      </c>
      <c r="E607" s="10" t="s">
        <v>2504</v>
      </c>
      <c r="F607" s="12" t="s">
        <v>77</v>
      </c>
      <c r="G607" s="12" t="n">
        <v>5</v>
      </c>
      <c r="H607" s="26" t="n">
        <v>48.28</v>
      </c>
      <c r="I607" s="10" t="s">
        <v>1116</v>
      </c>
      <c r="J607" s="30" t="s">
        <v>1785</v>
      </c>
      <c r="K607" s="10" t="s">
        <v>2505</v>
      </c>
    </row>
    <row r="608" customFormat="false" ht="35.05" hidden="false" customHeight="false" outlineLevel="0" collapsed="false">
      <c r="A608" s="12" t="s">
        <v>29</v>
      </c>
      <c r="B608" s="12" t="s">
        <v>116</v>
      </c>
      <c r="C608" s="10" t="s">
        <v>2727</v>
      </c>
      <c r="D608" s="12" t="s">
        <v>1500</v>
      </c>
      <c r="E608" s="10" t="s">
        <v>1626</v>
      </c>
      <c r="F608" s="12" t="s">
        <v>77</v>
      </c>
      <c r="G608" s="12" t="n">
        <v>2</v>
      </c>
      <c r="H608" s="26" t="n">
        <v>78.79</v>
      </c>
      <c r="I608" s="10" t="s">
        <v>1116</v>
      </c>
      <c r="J608" s="30" t="s">
        <v>2728</v>
      </c>
      <c r="K608" s="10" t="s">
        <v>2729</v>
      </c>
    </row>
    <row r="609" customFormat="false" ht="23.85" hidden="false" customHeight="false" outlineLevel="0" collapsed="false">
      <c r="A609" s="12" t="s">
        <v>29</v>
      </c>
      <c r="B609" s="12" t="s">
        <v>116</v>
      </c>
      <c r="C609" s="10" t="s">
        <v>2730</v>
      </c>
      <c r="D609" s="12" t="s">
        <v>2731</v>
      </c>
      <c r="E609" s="10" t="s">
        <v>1626</v>
      </c>
      <c r="F609" s="12" t="s">
        <v>77</v>
      </c>
      <c r="G609" s="12" t="n">
        <v>2</v>
      </c>
      <c r="H609" s="26" t="n">
        <v>11.71</v>
      </c>
      <c r="I609" s="10" t="s">
        <v>1539</v>
      </c>
      <c r="J609" s="30" t="s">
        <v>2732</v>
      </c>
      <c r="K609" s="10" t="s">
        <v>2733</v>
      </c>
    </row>
    <row r="610" customFormat="false" ht="35.05" hidden="false" customHeight="false" outlineLevel="0" collapsed="false">
      <c r="A610" s="12" t="s">
        <v>29</v>
      </c>
      <c r="B610" s="12" t="s">
        <v>173</v>
      </c>
      <c r="C610" s="10" t="s">
        <v>173</v>
      </c>
      <c r="D610" s="12" t="s">
        <v>2042</v>
      </c>
      <c r="E610" s="10" t="s">
        <v>2734</v>
      </c>
      <c r="F610" s="12" t="s">
        <v>77</v>
      </c>
      <c r="G610" s="12" t="n">
        <v>20</v>
      </c>
      <c r="H610" s="26" t="n">
        <v>10.85</v>
      </c>
      <c r="I610" s="10" t="s">
        <v>1116</v>
      </c>
      <c r="J610" s="30" t="s">
        <v>2735</v>
      </c>
      <c r="K610" s="10" t="s">
        <v>2736</v>
      </c>
    </row>
    <row r="611" customFormat="false" ht="57.45" hidden="false" customHeight="false" outlineLevel="0" collapsed="false">
      <c r="A611" s="12" t="s">
        <v>29</v>
      </c>
      <c r="B611" s="12" t="s">
        <v>173</v>
      </c>
      <c r="C611" s="10" t="s">
        <v>2737</v>
      </c>
      <c r="D611" s="12" t="s">
        <v>2046</v>
      </c>
      <c r="E611" s="10" t="s">
        <v>2738</v>
      </c>
      <c r="F611" s="12" t="s">
        <v>196</v>
      </c>
      <c r="G611" s="12" t="n">
        <v>3</v>
      </c>
      <c r="H611" s="26" t="n">
        <v>62.2065</v>
      </c>
      <c r="I611" s="10" t="s">
        <v>1116</v>
      </c>
      <c r="J611" s="30" t="s">
        <v>1159</v>
      </c>
      <c r="K611" s="10" t="s">
        <v>2739</v>
      </c>
    </row>
    <row r="612" customFormat="false" ht="68.65" hidden="false" customHeight="false" outlineLevel="0" collapsed="false">
      <c r="A612" s="12" t="s">
        <v>29</v>
      </c>
      <c r="B612" s="12" t="s">
        <v>608</v>
      </c>
      <c r="C612" s="10" t="s">
        <v>2740</v>
      </c>
      <c r="D612" s="12" t="s">
        <v>2741</v>
      </c>
      <c r="E612" s="10" t="s">
        <v>2742</v>
      </c>
      <c r="F612" s="12" t="s">
        <v>196</v>
      </c>
      <c r="G612" s="12" t="n">
        <v>8.5</v>
      </c>
      <c r="H612" s="26" t="n">
        <v>25.12</v>
      </c>
      <c r="I612" s="10" t="s">
        <v>1116</v>
      </c>
      <c r="J612" s="30" t="s">
        <v>2743</v>
      </c>
      <c r="K612" s="10" t="s">
        <v>2744</v>
      </c>
    </row>
    <row r="613" customFormat="false" ht="46.25" hidden="false" customHeight="false" outlineLevel="0" collapsed="false">
      <c r="A613" s="12" t="s">
        <v>29</v>
      </c>
      <c r="B613" s="12" t="s">
        <v>608</v>
      </c>
      <c r="C613" s="10" t="s">
        <v>2745</v>
      </c>
      <c r="D613" s="12" t="s">
        <v>2746</v>
      </c>
      <c r="E613" s="10" t="s">
        <v>2742</v>
      </c>
      <c r="F613" s="12" t="s">
        <v>196</v>
      </c>
      <c r="G613" s="12" t="n">
        <v>8.5</v>
      </c>
      <c r="H613" s="26" t="n">
        <v>36.2052</v>
      </c>
      <c r="I613" s="10" t="s">
        <v>1116</v>
      </c>
      <c r="J613" s="30" t="s">
        <v>1159</v>
      </c>
      <c r="K613" s="10" t="s">
        <v>2747</v>
      </c>
    </row>
    <row r="614" customFormat="false" ht="23.85" hidden="false" customHeight="false" outlineLevel="0" collapsed="false">
      <c r="A614" s="12" t="s">
        <v>29</v>
      </c>
      <c r="B614" s="12" t="s">
        <v>191</v>
      </c>
      <c r="C614" s="10" t="s">
        <v>2748</v>
      </c>
      <c r="D614" s="12" t="s">
        <v>1500</v>
      </c>
      <c r="E614" s="10" t="s">
        <v>2749</v>
      </c>
      <c r="F614" s="12" t="s">
        <v>77</v>
      </c>
      <c r="G614" s="12" t="n">
        <v>10</v>
      </c>
      <c r="H614" s="26" t="n">
        <v>24.4146</v>
      </c>
      <c r="I614" s="10" t="s">
        <v>1116</v>
      </c>
      <c r="J614" s="30" t="s">
        <v>2750</v>
      </c>
      <c r="K614" s="10" t="s">
        <v>2751</v>
      </c>
    </row>
    <row r="615" customFormat="false" ht="46.25" hidden="false" customHeight="false" outlineLevel="0" collapsed="false">
      <c r="A615" s="12" t="s">
        <v>29</v>
      </c>
      <c r="B615" s="12" t="s">
        <v>446</v>
      </c>
      <c r="C615" s="10" t="s">
        <v>2752</v>
      </c>
      <c r="D615" s="12" t="s">
        <v>2753</v>
      </c>
      <c r="E615" s="10" t="s">
        <v>1637</v>
      </c>
      <c r="F615" s="12" t="s">
        <v>77</v>
      </c>
      <c r="G615" s="12" t="n">
        <v>4</v>
      </c>
      <c r="H615" s="26" t="n">
        <v>114.18</v>
      </c>
      <c r="I615" s="10" t="s">
        <v>1116</v>
      </c>
      <c r="J615" s="30" t="s">
        <v>1309</v>
      </c>
      <c r="K615" s="10" t="s">
        <v>2754</v>
      </c>
    </row>
    <row r="616" customFormat="false" ht="46.25" hidden="false" customHeight="false" outlineLevel="0" collapsed="false">
      <c r="A616" s="12" t="s">
        <v>29</v>
      </c>
      <c r="B616" s="12" t="s">
        <v>446</v>
      </c>
      <c r="C616" s="10" t="s">
        <v>2755</v>
      </c>
      <c r="D616" s="12" t="s">
        <v>2756</v>
      </c>
      <c r="E616" s="10" t="s">
        <v>1637</v>
      </c>
      <c r="F616" s="12" t="s">
        <v>77</v>
      </c>
      <c r="G616" s="12" t="n">
        <v>4</v>
      </c>
      <c r="H616" s="26" t="n">
        <v>25.877</v>
      </c>
      <c r="I616" s="10" t="s">
        <v>1116</v>
      </c>
      <c r="J616" s="30" t="s">
        <v>2757</v>
      </c>
      <c r="K616" s="10" t="s">
        <v>2758</v>
      </c>
    </row>
    <row r="617" customFormat="false" ht="46.25" hidden="false" customHeight="false" outlineLevel="0" collapsed="false">
      <c r="A617" s="12" t="s">
        <v>29</v>
      </c>
      <c r="B617" s="12" t="s">
        <v>446</v>
      </c>
      <c r="C617" s="10" t="s">
        <v>2759</v>
      </c>
      <c r="D617" s="12" t="s">
        <v>2760</v>
      </c>
      <c r="E617" s="10" t="s">
        <v>2761</v>
      </c>
      <c r="F617" s="12" t="s">
        <v>77</v>
      </c>
      <c r="G617" s="12" t="n">
        <v>4</v>
      </c>
      <c r="H617" s="26" t="n">
        <v>52.717</v>
      </c>
      <c r="I617" s="10" t="s">
        <v>1116</v>
      </c>
      <c r="J617" s="30" t="s">
        <v>1164</v>
      </c>
      <c r="K617" s="10" t="s">
        <v>2762</v>
      </c>
    </row>
    <row r="618" customFormat="false" ht="79.85" hidden="false" customHeight="false" outlineLevel="0" collapsed="false">
      <c r="A618" s="12" t="s">
        <v>29</v>
      </c>
      <c r="B618" s="12" t="s">
        <v>383</v>
      </c>
      <c r="C618" s="10" t="s">
        <v>2763</v>
      </c>
      <c r="D618" s="12" t="s">
        <v>2764</v>
      </c>
      <c r="E618" s="10" t="s">
        <v>2765</v>
      </c>
      <c r="F618" s="12" t="s">
        <v>77</v>
      </c>
      <c r="G618" s="12" t="n">
        <v>10</v>
      </c>
      <c r="H618" s="26" t="n">
        <v>9.92</v>
      </c>
      <c r="I618" s="10" t="s">
        <v>1116</v>
      </c>
      <c r="J618" s="30" t="s">
        <v>2766</v>
      </c>
      <c r="K618" s="10" t="s">
        <v>2767</v>
      </c>
    </row>
    <row r="619" customFormat="false" ht="35.05" hidden="false" customHeight="false" outlineLevel="0" collapsed="false">
      <c r="A619" s="12" t="s">
        <v>29</v>
      </c>
      <c r="B619" s="12" t="s">
        <v>383</v>
      </c>
      <c r="C619" s="10" t="s">
        <v>2763</v>
      </c>
      <c r="D619" s="12" t="s">
        <v>2346</v>
      </c>
      <c r="E619" s="10" t="s">
        <v>2768</v>
      </c>
      <c r="F619" s="12" t="s">
        <v>77</v>
      </c>
      <c r="G619" s="12"/>
      <c r="H619" s="26" t="n">
        <v>18.7806</v>
      </c>
      <c r="I619" s="10" t="s">
        <v>1116</v>
      </c>
      <c r="J619" s="30" t="s">
        <v>2769</v>
      </c>
      <c r="K619" s="10" t="s">
        <v>2770</v>
      </c>
    </row>
    <row r="620" customFormat="false" ht="23.85" hidden="false" customHeight="false" outlineLevel="0" collapsed="false">
      <c r="A620" s="12" t="s">
        <v>29</v>
      </c>
      <c r="B620" s="12" t="s">
        <v>383</v>
      </c>
      <c r="C620" s="10" t="s">
        <v>2763</v>
      </c>
      <c r="D620" s="12" t="s">
        <v>2489</v>
      </c>
      <c r="E620" s="10" t="s">
        <v>2771</v>
      </c>
      <c r="F620" s="12" t="s">
        <v>77</v>
      </c>
      <c r="G620" s="12"/>
      <c r="H620" s="26"/>
      <c r="I620" s="10" t="s">
        <v>1275</v>
      </c>
      <c r="J620" s="12"/>
      <c r="K620" s="10" t="s">
        <v>1276</v>
      </c>
    </row>
    <row r="621" customFormat="false" ht="46.25" hidden="false" customHeight="false" outlineLevel="0" collapsed="false">
      <c r="A621" s="12" t="s">
        <v>29</v>
      </c>
      <c r="B621" s="12" t="s">
        <v>383</v>
      </c>
      <c r="C621" s="10" t="s">
        <v>2772</v>
      </c>
      <c r="D621" s="12" t="s">
        <v>2773</v>
      </c>
      <c r="E621" s="10" t="s">
        <v>2774</v>
      </c>
      <c r="F621" s="12" t="s">
        <v>77</v>
      </c>
      <c r="G621" s="12" t="n">
        <v>2</v>
      </c>
      <c r="H621" s="26" t="n">
        <v>5.15</v>
      </c>
      <c r="I621" s="10" t="s">
        <v>1116</v>
      </c>
      <c r="J621" s="30" t="s">
        <v>1196</v>
      </c>
      <c r="K621" s="10" t="s">
        <v>2775</v>
      </c>
    </row>
    <row r="622" customFormat="false" ht="46.25" hidden="false" customHeight="false" outlineLevel="0" collapsed="false">
      <c r="A622" s="12" t="s">
        <v>29</v>
      </c>
      <c r="B622" s="12" t="s">
        <v>383</v>
      </c>
      <c r="C622" s="10" t="s">
        <v>2772</v>
      </c>
      <c r="D622" s="12" t="s">
        <v>2773</v>
      </c>
      <c r="E622" s="10" t="s">
        <v>2776</v>
      </c>
      <c r="F622" s="12" t="s">
        <v>77</v>
      </c>
      <c r="G622" s="12" t="n">
        <v>2</v>
      </c>
      <c r="H622" s="26" t="n">
        <v>5.15</v>
      </c>
      <c r="I622" s="10" t="s">
        <v>1116</v>
      </c>
      <c r="J622" s="30" t="s">
        <v>1196</v>
      </c>
      <c r="K622" s="10" t="s">
        <v>2777</v>
      </c>
    </row>
    <row r="623" customFormat="false" ht="46.25" hidden="false" customHeight="false" outlineLevel="0" collapsed="false">
      <c r="A623" s="12" t="s">
        <v>41</v>
      </c>
      <c r="B623" s="12" t="s">
        <v>112</v>
      </c>
      <c r="C623" s="10" t="s">
        <v>2778</v>
      </c>
      <c r="D623" s="12" t="s">
        <v>1312</v>
      </c>
      <c r="E623" s="10" t="s">
        <v>1313</v>
      </c>
      <c r="F623" s="12" t="s">
        <v>83</v>
      </c>
      <c r="G623" s="12" t="n">
        <v>5</v>
      </c>
      <c r="H623" s="26" t="n">
        <v>531.8684</v>
      </c>
      <c r="I623" s="10" t="s">
        <v>1116</v>
      </c>
      <c r="J623" s="30" t="s">
        <v>1159</v>
      </c>
      <c r="K623" s="10" t="s">
        <v>1560</v>
      </c>
    </row>
    <row r="624" customFormat="false" ht="79.85" hidden="false" customHeight="false" outlineLevel="0" collapsed="false">
      <c r="A624" s="12" t="s">
        <v>41</v>
      </c>
      <c r="B624" s="12" t="s">
        <v>248</v>
      </c>
      <c r="C624" s="10" t="s">
        <v>248</v>
      </c>
      <c r="D624" s="12" t="s">
        <v>2779</v>
      </c>
      <c r="E624" s="10" t="s">
        <v>2780</v>
      </c>
      <c r="F624" s="12" t="s">
        <v>196</v>
      </c>
      <c r="G624" s="12" t="n">
        <v>3</v>
      </c>
      <c r="H624" s="26" t="n">
        <v>9.52</v>
      </c>
      <c r="I624" s="10" t="s">
        <v>1116</v>
      </c>
      <c r="J624" s="30" t="s">
        <v>2781</v>
      </c>
      <c r="K624" s="10" t="s">
        <v>2782</v>
      </c>
    </row>
    <row r="625" customFormat="false" ht="68.65" hidden="false" customHeight="false" outlineLevel="0" collapsed="false">
      <c r="A625" s="12" t="s">
        <v>41</v>
      </c>
      <c r="B625" s="12" t="s">
        <v>248</v>
      </c>
      <c r="C625" s="10" t="s">
        <v>2783</v>
      </c>
      <c r="D625" s="12" t="s">
        <v>2287</v>
      </c>
      <c r="E625" s="10" t="s">
        <v>2784</v>
      </c>
      <c r="F625" s="12" t="s">
        <v>196</v>
      </c>
      <c r="G625" s="12" t="n">
        <v>3</v>
      </c>
      <c r="H625" s="26" t="n">
        <v>14.8934</v>
      </c>
      <c r="I625" s="10" t="s">
        <v>1116</v>
      </c>
      <c r="J625" s="30" t="s">
        <v>1159</v>
      </c>
      <c r="K625" s="10" t="s">
        <v>2785</v>
      </c>
    </row>
    <row r="626" customFormat="false" ht="35.05" hidden="false" customHeight="false" outlineLevel="0" collapsed="false">
      <c r="A626" s="12" t="s">
        <v>41</v>
      </c>
      <c r="B626" s="12" t="s">
        <v>249</v>
      </c>
      <c r="C626" s="10" t="s">
        <v>2786</v>
      </c>
      <c r="D626" s="12"/>
      <c r="E626" s="10"/>
      <c r="F626" s="12" t="s">
        <v>95</v>
      </c>
      <c r="G626" s="12"/>
      <c r="H626" s="26" t="n">
        <v>1.3</v>
      </c>
      <c r="I626" s="10" t="s">
        <v>1121</v>
      </c>
      <c r="J626" s="30" t="s">
        <v>1122</v>
      </c>
      <c r="K626" s="10" t="s">
        <v>2787</v>
      </c>
    </row>
    <row r="627" customFormat="false" ht="79.85" hidden="false" customHeight="false" outlineLevel="0" collapsed="false">
      <c r="A627" s="12" t="s">
        <v>41</v>
      </c>
      <c r="B627" s="12" t="s">
        <v>56</v>
      </c>
      <c r="C627" s="10" t="s">
        <v>2788</v>
      </c>
      <c r="D627" s="12" t="s">
        <v>1343</v>
      </c>
      <c r="E627" s="10" t="s">
        <v>1344</v>
      </c>
      <c r="F627" s="12" t="s">
        <v>77</v>
      </c>
      <c r="G627" s="12"/>
      <c r="H627" s="26" t="n">
        <v>12.0797</v>
      </c>
      <c r="I627" s="10" t="s">
        <v>1116</v>
      </c>
      <c r="J627" s="30" t="s">
        <v>1159</v>
      </c>
      <c r="K627" s="10" t="s">
        <v>2789</v>
      </c>
    </row>
    <row r="628" customFormat="false" ht="57.45" hidden="false" customHeight="false" outlineLevel="0" collapsed="false">
      <c r="A628" s="12" t="s">
        <v>41</v>
      </c>
      <c r="B628" s="12" t="s">
        <v>244</v>
      </c>
      <c r="C628" s="10" t="s">
        <v>2790</v>
      </c>
      <c r="D628" s="12" t="s">
        <v>1339</v>
      </c>
      <c r="E628" s="10" t="s">
        <v>2791</v>
      </c>
      <c r="F628" s="12" t="s">
        <v>83</v>
      </c>
      <c r="G628" s="12" t="n">
        <v>0.5</v>
      </c>
      <c r="H628" s="26" t="n">
        <v>118.3449</v>
      </c>
      <c r="I628" s="10" t="s">
        <v>1116</v>
      </c>
      <c r="J628" s="30" t="s">
        <v>2792</v>
      </c>
      <c r="K628" s="10" t="s">
        <v>2793</v>
      </c>
    </row>
    <row r="629" customFormat="false" ht="68.65" hidden="false" customHeight="false" outlineLevel="0" collapsed="false">
      <c r="A629" s="12" t="s">
        <v>41</v>
      </c>
      <c r="B629" s="12" t="s">
        <v>488</v>
      </c>
      <c r="C629" s="10" t="s">
        <v>2794</v>
      </c>
      <c r="D629" s="12" t="s">
        <v>1555</v>
      </c>
      <c r="E629" s="10" t="s">
        <v>1975</v>
      </c>
      <c r="F629" s="12" t="s">
        <v>77</v>
      </c>
      <c r="G629" s="12" t="n">
        <v>5</v>
      </c>
      <c r="H629" s="26" t="n">
        <v>7.72</v>
      </c>
      <c r="I629" s="10" t="s">
        <v>1116</v>
      </c>
      <c r="J629" s="30" t="s">
        <v>1196</v>
      </c>
      <c r="K629" s="10" t="s">
        <v>2795</v>
      </c>
    </row>
    <row r="630" customFormat="false" ht="35.05" hidden="false" customHeight="false" outlineLevel="0" collapsed="false">
      <c r="A630" s="12" t="s">
        <v>41</v>
      </c>
      <c r="B630" s="12" t="s">
        <v>246</v>
      </c>
      <c r="C630" s="10" t="s">
        <v>2796</v>
      </c>
      <c r="D630" s="12"/>
      <c r="E630" s="10"/>
      <c r="F630" s="12" t="s">
        <v>95</v>
      </c>
      <c r="G630" s="12"/>
      <c r="H630" s="26" t="n">
        <v>10.96</v>
      </c>
      <c r="I630" s="10" t="s">
        <v>1121</v>
      </c>
      <c r="J630" s="30" t="s">
        <v>1122</v>
      </c>
      <c r="K630" s="10" t="s">
        <v>2797</v>
      </c>
    </row>
    <row r="631" customFormat="false" ht="35.05" hidden="false" customHeight="false" outlineLevel="0" collapsed="false">
      <c r="A631" s="12" t="s">
        <v>45</v>
      </c>
      <c r="B631" s="12" t="s">
        <v>262</v>
      </c>
      <c r="C631" s="10" t="s">
        <v>2798</v>
      </c>
      <c r="D631" s="12" t="s">
        <v>2799</v>
      </c>
      <c r="E631" s="10" t="s">
        <v>2800</v>
      </c>
      <c r="F631" s="12" t="s">
        <v>77</v>
      </c>
      <c r="G631" s="12"/>
      <c r="H631" s="26" t="n">
        <v>81.96</v>
      </c>
      <c r="I631" s="10" t="s">
        <v>1116</v>
      </c>
      <c r="J631" s="30" t="s">
        <v>2801</v>
      </c>
      <c r="K631" s="10" t="s">
        <v>2802</v>
      </c>
    </row>
    <row r="632" customFormat="false" ht="35.05" hidden="false" customHeight="false" outlineLevel="0" collapsed="false">
      <c r="A632" s="12" t="s">
        <v>45</v>
      </c>
      <c r="B632" s="12" t="s">
        <v>211</v>
      </c>
      <c r="C632" s="10" t="s">
        <v>2803</v>
      </c>
      <c r="D632" s="12" t="s">
        <v>2804</v>
      </c>
      <c r="E632" s="10" t="s">
        <v>1422</v>
      </c>
      <c r="F632" s="12" t="s">
        <v>77</v>
      </c>
      <c r="G632" s="12"/>
      <c r="H632" s="26" t="n">
        <v>34.58</v>
      </c>
      <c r="I632" s="10" t="s">
        <v>1116</v>
      </c>
      <c r="J632" s="30" t="s">
        <v>2805</v>
      </c>
      <c r="K632" s="10" t="s">
        <v>2806</v>
      </c>
    </row>
    <row r="633" customFormat="false" ht="35.05" hidden="false" customHeight="false" outlineLevel="0" collapsed="false">
      <c r="A633" s="12" t="s">
        <v>45</v>
      </c>
      <c r="B633" s="12" t="s">
        <v>205</v>
      </c>
      <c r="C633" s="10" t="s">
        <v>205</v>
      </c>
      <c r="D633" s="12" t="s">
        <v>2804</v>
      </c>
      <c r="E633" s="10" t="s">
        <v>2807</v>
      </c>
      <c r="F633" s="12" t="s">
        <v>77</v>
      </c>
      <c r="G633" s="12"/>
      <c r="H633" s="26" t="n">
        <v>25.36</v>
      </c>
      <c r="I633" s="10" t="s">
        <v>1116</v>
      </c>
      <c r="J633" s="30" t="s">
        <v>2808</v>
      </c>
      <c r="K633" s="10" t="s">
        <v>2809</v>
      </c>
    </row>
    <row r="634" customFormat="false" ht="35.05" hidden="false" customHeight="false" outlineLevel="0" collapsed="false">
      <c r="A634" s="12" t="s">
        <v>45</v>
      </c>
      <c r="B634" s="12" t="s">
        <v>56</v>
      </c>
      <c r="C634" s="10" t="s">
        <v>2810</v>
      </c>
      <c r="D634" s="12" t="s">
        <v>1805</v>
      </c>
      <c r="E634" s="10" t="s">
        <v>1344</v>
      </c>
      <c r="F634" s="12" t="s">
        <v>77</v>
      </c>
      <c r="G634" s="12"/>
      <c r="H634" s="26" t="n">
        <v>10.97</v>
      </c>
      <c r="I634" s="10" t="s">
        <v>1116</v>
      </c>
      <c r="J634" s="30" t="s">
        <v>2649</v>
      </c>
      <c r="K634" s="10" t="s">
        <v>2811</v>
      </c>
    </row>
    <row r="635" customFormat="false" ht="46.25" hidden="false" customHeight="false" outlineLevel="0" collapsed="false">
      <c r="A635" s="12" t="s">
        <v>45</v>
      </c>
      <c r="B635" s="12" t="s">
        <v>56</v>
      </c>
      <c r="C635" s="10" t="s">
        <v>2812</v>
      </c>
      <c r="D635" s="12" t="s">
        <v>1343</v>
      </c>
      <c r="E635" s="10" t="s">
        <v>1344</v>
      </c>
      <c r="F635" s="12" t="s">
        <v>77</v>
      </c>
      <c r="G635" s="12"/>
      <c r="H635" s="26" t="n">
        <v>12.0797</v>
      </c>
      <c r="I635" s="10" t="s">
        <v>1116</v>
      </c>
      <c r="J635" s="30" t="s">
        <v>1159</v>
      </c>
      <c r="K635" s="10" t="s">
        <v>2813</v>
      </c>
    </row>
    <row r="636" customFormat="false" ht="46.25" hidden="false" customHeight="false" outlineLevel="0" collapsed="false">
      <c r="A636" s="12" t="s">
        <v>45</v>
      </c>
      <c r="B636" s="12" t="s">
        <v>56</v>
      </c>
      <c r="C636" s="10" t="s">
        <v>2812</v>
      </c>
      <c r="D636" s="12" t="s">
        <v>1343</v>
      </c>
      <c r="E636" s="10" t="s">
        <v>1344</v>
      </c>
      <c r="F636" s="12" t="s">
        <v>77</v>
      </c>
      <c r="G636" s="12"/>
      <c r="H636" s="26" t="n">
        <v>12.0797</v>
      </c>
      <c r="I636" s="10" t="s">
        <v>1116</v>
      </c>
      <c r="J636" s="30" t="s">
        <v>1159</v>
      </c>
      <c r="K636" s="10" t="s">
        <v>2813</v>
      </c>
    </row>
    <row r="637" customFormat="false" ht="35.05" hidden="false" customHeight="false" outlineLevel="0" collapsed="false">
      <c r="A637" s="12" t="s">
        <v>33</v>
      </c>
      <c r="B637" s="12" t="s">
        <v>626</v>
      </c>
      <c r="C637" s="10" t="s">
        <v>626</v>
      </c>
      <c r="D637" s="12" t="s">
        <v>2814</v>
      </c>
      <c r="E637" s="10" t="s">
        <v>2815</v>
      </c>
      <c r="F637" s="12" t="s">
        <v>77</v>
      </c>
      <c r="G637" s="12" t="n">
        <v>2</v>
      </c>
      <c r="H637" s="26" t="n">
        <v>5.88</v>
      </c>
      <c r="I637" s="10" t="s">
        <v>1116</v>
      </c>
      <c r="J637" s="30" t="s">
        <v>2816</v>
      </c>
      <c r="K637" s="10" t="s">
        <v>2817</v>
      </c>
    </row>
    <row r="638" customFormat="false" ht="35.05" hidden="false" customHeight="false" outlineLevel="0" collapsed="false">
      <c r="A638" s="12" t="s">
        <v>33</v>
      </c>
      <c r="B638" s="12" t="s">
        <v>626</v>
      </c>
      <c r="C638" s="10" t="s">
        <v>2818</v>
      </c>
      <c r="D638" s="12" t="s">
        <v>2819</v>
      </c>
      <c r="E638" s="10" t="s">
        <v>2815</v>
      </c>
      <c r="F638" s="12" t="s">
        <v>77</v>
      </c>
      <c r="G638" s="12" t="n">
        <v>2</v>
      </c>
      <c r="H638" s="26" t="n">
        <v>7.6953</v>
      </c>
      <c r="I638" s="10" t="s">
        <v>1116</v>
      </c>
      <c r="J638" s="30" t="s">
        <v>2820</v>
      </c>
      <c r="K638" s="10" t="s">
        <v>2821</v>
      </c>
    </row>
    <row r="639" customFormat="false" ht="35.05" hidden="false" customHeight="false" outlineLevel="0" collapsed="false">
      <c r="A639" s="12" t="s">
        <v>33</v>
      </c>
      <c r="B639" s="12" t="s">
        <v>136</v>
      </c>
      <c r="C639" s="10" t="s">
        <v>2822</v>
      </c>
      <c r="D639" s="12" t="s">
        <v>1823</v>
      </c>
      <c r="E639" s="10" t="s">
        <v>1622</v>
      </c>
      <c r="F639" s="12" t="s">
        <v>77</v>
      </c>
      <c r="G639" s="12" t="n">
        <v>2</v>
      </c>
      <c r="H639" s="26" t="n">
        <v>3.06</v>
      </c>
      <c r="I639" s="10" t="s">
        <v>1121</v>
      </c>
      <c r="J639" s="30" t="s">
        <v>1122</v>
      </c>
      <c r="K639" s="10" t="s">
        <v>2823</v>
      </c>
    </row>
    <row r="640" customFormat="false" ht="46.25" hidden="false" customHeight="false" outlineLevel="0" collapsed="false">
      <c r="A640" s="12" t="s">
        <v>33</v>
      </c>
      <c r="B640" s="12" t="s">
        <v>250</v>
      </c>
      <c r="C640" s="10" t="s">
        <v>2824</v>
      </c>
      <c r="D640" s="12" t="s">
        <v>1915</v>
      </c>
      <c r="E640" s="10" t="s">
        <v>2825</v>
      </c>
      <c r="F640" s="12" t="s">
        <v>196</v>
      </c>
      <c r="G640" s="12" t="n">
        <v>1</v>
      </c>
      <c r="H640" s="26" t="n">
        <v>6.45</v>
      </c>
      <c r="I640" s="10" t="s">
        <v>1116</v>
      </c>
      <c r="J640" s="30" t="s">
        <v>2826</v>
      </c>
      <c r="K640" s="10" t="s">
        <v>2827</v>
      </c>
    </row>
    <row r="641" customFormat="false" ht="23.85" hidden="false" customHeight="false" outlineLevel="0" collapsed="false">
      <c r="A641" s="12" t="s">
        <v>33</v>
      </c>
      <c r="B641" s="12" t="s">
        <v>250</v>
      </c>
      <c r="C641" s="10" t="s">
        <v>2824</v>
      </c>
      <c r="D641" s="12" t="s">
        <v>1303</v>
      </c>
      <c r="E641" s="10"/>
      <c r="F641" s="12" t="s">
        <v>95</v>
      </c>
      <c r="G641" s="12"/>
      <c r="H641" s="26"/>
      <c r="I641" s="10" t="s">
        <v>1275</v>
      </c>
      <c r="J641" s="12"/>
      <c r="K641" s="10" t="s">
        <v>1276</v>
      </c>
    </row>
    <row r="642" customFormat="false" ht="35.05" hidden="false" customHeight="false" outlineLevel="0" collapsed="false">
      <c r="A642" s="12" t="s">
        <v>33</v>
      </c>
      <c r="B642" s="12" t="s">
        <v>211</v>
      </c>
      <c r="C642" s="10" t="s">
        <v>211</v>
      </c>
      <c r="D642" s="12" t="s">
        <v>2804</v>
      </c>
      <c r="E642" s="10" t="s">
        <v>2807</v>
      </c>
      <c r="F642" s="12" t="s">
        <v>77</v>
      </c>
      <c r="G642" s="12"/>
      <c r="H642" s="26" t="n">
        <v>28.93</v>
      </c>
      <c r="I642" s="10" t="s">
        <v>1116</v>
      </c>
      <c r="J642" s="30" t="s">
        <v>2828</v>
      </c>
      <c r="K642" s="10" t="s">
        <v>2829</v>
      </c>
    </row>
    <row r="643" customFormat="false" ht="57.45" hidden="false" customHeight="false" outlineLevel="0" collapsed="false">
      <c r="A643" s="12" t="s">
        <v>33</v>
      </c>
      <c r="B643" s="12" t="s">
        <v>211</v>
      </c>
      <c r="C643" s="10" t="s">
        <v>2830</v>
      </c>
      <c r="D643" s="12" t="s">
        <v>2589</v>
      </c>
      <c r="E643" s="10" t="s">
        <v>2807</v>
      </c>
      <c r="F643" s="12" t="s">
        <v>77</v>
      </c>
      <c r="G643" s="12"/>
      <c r="H643" s="26" t="n">
        <v>11.6164</v>
      </c>
      <c r="I643" s="10" t="s">
        <v>1116</v>
      </c>
      <c r="J643" s="30" t="s">
        <v>1159</v>
      </c>
      <c r="K643" s="10" t="s">
        <v>2831</v>
      </c>
    </row>
    <row r="644" customFormat="false" ht="46.25" hidden="false" customHeight="false" outlineLevel="0" collapsed="false">
      <c r="A644" s="12" t="s">
        <v>33</v>
      </c>
      <c r="B644" s="12" t="s">
        <v>205</v>
      </c>
      <c r="C644" s="10" t="s">
        <v>205</v>
      </c>
      <c r="D644" s="12" t="s">
        <v>2832</v>
      </c>
      <c r="E644" s="10" t="s">
        <v>2833</v>
      </c>
      <c r="F644" s="12" t="s">
        <v>77</v>
      </c>
      <c r="G644" s="12"/>
      <c r="H644" s="26" t="n">
        <v>5.24</v>
      </c>
      <c r="I644" s="10" t="s">
        <v>1116</v>
      </c>
      <c r="J644" s="30" t="s">
        <v>2834</v>
      </c>
      <c r="K644" s="10" t="s">
        <v>2835</v>
      </c>
    </row>
    <row r="645" customFormat="false" ht="46.25" hidden="false" customHeight="false" outlineLevel="0" collapsed="false">
      <c r="A645" s="12" t="s">
        <v>33</v>
      </c>
      <c r="B645" s="12" t="s">
        <v>205</v>
      </c>
      <c r="C645" s="10" t="s">
        <v>205</v>
      </c>
      <c r="D645" s="12" t="s">
        <v>2680</v>
      </c>
      <c r="E645" s="10" t="s">
        <v>2836</v>
      </c>
      <c r="F645" s="12" t="s">
        <v>77</v>
      </c>
      <c r="G645" s="12"/>
      <c r="H645" s="26" t="n">
        <v>6.3</v>
      </c>
      <c r="I645" s="10" t="s">
        <v>1116</v>
      </c>
      <c r="J645" s="30" t="s">
        <v>2834</v>
      </c>
      <c r="K645" s="10" t="s">
        <v>2837</v>
      </c>
    </row>
    <row r="646" customFormat="false" ht="35.05" hidden="false" customHeight="false" outlineLevel="0" collapsed="false">
      <c r="A646" s="12" t="s">
        <v>33</v>
      </c>
      <c r="B646" s="12" t="s">
        <v>205</v>
      </c>
      <c r="C646" s="10" t="s">
        <v>205</v>
      </c>
      <c r="D646" s="12" t="s">
        <v>2804</v>
      </c>
      <c r="E646" s="10" t="s">
        <v>2807</v>
      </c>
      <c r="F646" s="12" t="s">
        <v>77</v>
      </c>
      <c r="G646" s="12"/>
      <c r="H646" s="26" t="n">
        <v>25.36</v>
      </c>
      <c r="I646" s="10" t="s">
        <v>1116</v>
      </c>
      <c r="J646" s="30" t="s">
        <v>2838</v>
      </c>
      <c r="K646" s="10" t="s">
        <v>2839</v>
      </c>
    </row>
    <row r="647" customFormat="false" ht="46.25" hidden="false" customHeight="false" outlineLevel="0" collapsed="false">
      <c r="A647" s="12" t="s">
        <v>33</v>
      </c>
      <c r="B647" s="12" t="s">
        <v>632</v>
      </c>
      <c r="C647" s="10" t="s">
        <v>632</v>
      </c>
      <c r="D647" s="12" t="s">
        <v>1915</v>
      </c>
      <c r="E647" s="10" t="s">
        <v>2840</v>
      </c>
      <c r="F647" s="12" t="s">
        <v>196</v>
      </c>
      <c r="G647" s="12" t="n">
        <v>1</v>
      </c>
      <c r="H647" s="26" t="n">
        <v>6.74</v>
      </c>
      <c r="I647" s="10" t="s">
        <v>1116</v>
      </c>
      <c r="J647" s="30" t="s">
        <v>1309</v>
      </c>
      <c r="K647" s="10" t="s">
        <v>2841</v>
      </c>
    </row>
    <row r="648" customFormat="false" ht="35.05" hidden="false" customHeight="false" outlineLevel="0" collapsed="false">
      <c r="A648" s="12" t="s">
        <v>33</v>
      </c>
      <c r="B648" s="12" t="s">
        <v>104</v>
      </c>
      <c r="C648" s="10" t="s">
        <v>104</v>
      </c>
      <c r="D648" s="12" t="s">
        <v>1543</v>
      </c>
      <c r="E648" s="10" t="s">
        <v>1237</v>
      </c>
      <c r="F648" s="12" t="s">
        <v>77</v>
      </c>
      <c r="G648" s="12"/>
      <c r="H648" s="26" t="n">
        <v>81.96</v>
      </c>
      <c r="I648" s="10" t="s">
        <v>1116</v>
      </c>
      <c r="J648" s="30" t="s">
        <v>2842</v>
      </c>
      <c r="K648" s="10" t="s">
        <v>1546</v>
      </c>
    </row>
    <row r="649" customFormat="false" ht="68.65" hidden="false" customHeight="false" outlineLevel="0" collapsed="false">
      <c r="A649" s="12" t="s">
        <v>33</v>
      </c>
      <c r="B649" s="12" t="s">
        <v>104</v>
      </c>
      <c r="C649" s="10" t="s">
        <v>2843</v>
      </c>
      <c r="D649" s="12" t="s">
        <v>1236</v>
      </c>
      <c r="E649" s="10" t="s">
        <v>1237</v>
      </c>
      <c r="F649" s="12" t="s">
        <v>77</v>
      </c>
      <c r="G649" s="12"/>
      <c r="H649" s="26" t="n">
        <v>93.7335</v>
      </c>
      <c r="I649" s="10" t="s">
        <v>1116</v>
      </c>
      <c r="J649" s="30" t="s">
        <v>1159</v>
      </c>
      <c r="K649" s="10" t="s">
        <v>2844</v>
      </c>
    </row>
    <row r="650" customFormat="false" ht="23.85" hidden="false" customHeight="false" outlineLevel="0" collapsed="false">
      <c r="A650" s="12" t="s">
        <v>33</v>
      </c>
      <c r="B650" s="12" t="s">
        <v>104</v>
      </c>
      <c r="C650" s="10" t="s">
        <v>2845</v>
      </c>
      <c r="D650" s="12" t="s">
        <v>1282</v>
      </c>
      <c r="E650" s="10" t="s">
        <v>1283</v>
      </c>
      <c r="F650" s="12" t="s">
        <v>77</v>
      </c>
      <c r="G650" s="12"/>
      <c r="H650" s="26"/>
      <c r="I650" s="10" t="s">
        <v>1275</v>
      </c>
      <c r="J650" s="12"/>
      <c r="K650" s="10" t="s">
        <v>1276</v>
      </c>
    </row>
    <row r="651" customFormat="false" ht="23.85" hidden="false" customHeight="false" outlineLevel="0" collapsed="false">
      <c r="A651" s="12" t="s">
        <v>33</v>
      </c>
      <c r="B651" s="12" t="s">
        <v>104</v>
      </c>
      <c r="C651" s="10" t="s">
        <v>2845</v>
      </c>
      <c r="D651" s="12" t="s">
        <v>1550</v>
      </c>
      <c r="E651" s="10" t="s">
        <v>1551</v>
      </c>
      <c r="F651" s="12" t="s">
        <v>77</v>
      </c>
      <c r="G651" s="12"/>
      <c r="H651" s="26"/>
      <c r="I651" s="10" t="s">
        <v>1275</v>
      </c>
      <c r="J651" s="12"/>
      <c r="K651" s="10" t="s">
        <v>1276</v>
      </c>
    </row>
    <row r="652" customFormat="false" ht="35.05" hidden="false" customHeight="false" outlineLevel="0" collapsed="false">
      <c r="A652" s="12" t="s">
        <v>33</v>
      </c>
      <c r="B652" s="12" t="s">
        <v>220</v>
      </c>
      <c r="C652" s="10" t="s">
        <v>220</v>
      </c>
      <c r="D652" s="12" t="s">
        <v>2135</v>
      </c>
      <c r="E652" s="10" t="s">
        <v>2825</v>
      </c>
      <c r="F652" s="12" t="s">
        <v>196</v>
      </c>
      <c r="G652" s="12" t="n">
        <v>1</v>
      </c>
      <c r="H652" s="26" t="n">
        <v>8.98</v>
      </c>
      <c r="I652" s="10" t="s">
        <v>1116</v>
      </c>
      <c r="J652" s="30" t="s">
        <v>2846</v>
      </c>
      <c r="K652" s="10" t="s">
        <v>2847</v>
      </c>
    </row>
    <row r="653" customFormat="false" ht="79.85" hidden="false" customHeight="false" outlineLevel="0" collapsed="false">
      <c r="A653" s="12" t="s">
        <v>33</v>
      </c>
      <c r="B653" s="12" t="s">
        <v>218</v>
      </c>
      <c r="C653" s="10" t="s">
        <v>2848</v>
      </c>
      <c r="D653" s="12" t="s">
        <v>2849</v>
      </c>
      <c r="E653" s="10" t="s">
        <v>2850</v>
      </c>
      <c r="F653" s="12" t="s">
        <v>196</v>
      </c>
      <c r="G653" s="12"/>
      <c r="H653" s="26" t="n">
        <v>59.1216</v>
      </c>
      <c r="I653" s="10" t="s">
        <v>1116</v>
      </c>
      <c r="J653" s="30" t="s">
        <v>2851</v>
      </c>
      <c r="K653" s="10" t="s">
        <v>2852</v>
      </c>
    </row>
    <row r="654" customFormat="false" ht="46.25" hidden="false" customHeight="false" outlineLevel="0" collapsed="false">
      <c r="A654" s="12" t="s">
        <v>33</v>
      </c>
      <c r="B654" s="12" t="s">
        <v>623</v>
      </c>
      <c r="C654" s="10" t="s">
        <v>623</v>
      </c>
      <c r="D654" s="12" t="s">
        <v>2853</v>
      </c>
      <c r="E654" s="10" t="s">
        <v>2825</v>
      </c>
      <c r="F654" s="12" t="s">
        <v>196</v>
      </c>
      <c r="G654" s="12" t="n">
        <v>1</v>
      </c>
      <c r="H654" s="26" t="n">
        <v>29.63</v>
      </c>
      <c r="I654" s="10" t="s">
        <v>1116</v>
      </c>
      <c r="J654" s="30" t="s">
        <v>1309</v>
      </c>
      <c r="K654" s="10" t="s">
        <v>2854</v>
      </c>
    </row>
    <row r="655" customFormat="false" ht="57.45" hidden="false" customHeight="false" outlineLevel="0" collapsed="false">
      <c r="A655" s="12" t="s">
        <v>33</v>
      </c>
      <c r="B655" s="12" t="s">
        <v>618</v>
      </c>
      <c r="C655" s="10" t="s">
        <v>2855</v>
      </c>
      <c r="D655" s="12" t="s">
        <v>1303</v>
      </c>
      <c r="E655" s="10" t="s">
        <v>2825</v>
      </c>
      <c r="F655" s="12" t="s">
        <v>196</v>
      </c>
      <c r="G655" s="12" t="n">
        <v>1</v>
      </c>
      <c r="H655" s="26" t="n">
        <v>13.899</v>
      </c>
      <c r="I655" s="10" t="s">
        <v>1116</v>
      </c>
      <c r="J655" s="30" t="s">
        <v>2856</v>
      </c>
      <c r="K655" s="10" t="s">
        <v>2857</v>
      </c>
    </row>
    <row r="656" customFormat="false" ht="23.85" hidden="false" customHeight="false" outlineLevel="0" collapsed="false">
      <c r="A656" s="12" t="s">
        <v>33</v>
      </c>
      <c r="B656" s="12" t="s">
        <v>618</v>
      </c>
      <c r="C656" s="10" t="s">
        <v>2855</v>
      </c>
      <c r="D656" s="12" t="s">
        <v>2437</v>
      </c>
      <c r="E656" s="10" t="s">
        <v>2486</v>
      </c>
      <c r="F656" s="12" t="s">
        <v>196</v>
      </c>
      <c r="G656" s="12" t="n">
        <v>10</v>
      </c>
      <c r="H656" s="26"/>
      <c r="I656" s="10" t="s">
        <v>1275</v>
      </c>
      <c r="J656" s="12"/>
      <c r="K656" s="10" t="s">
        <v>1276</v>
      </c>
    </row>
    <row r="657" customFormat="false" ht="23.85" hidden="false" customHeight="false" outlineLevel="0" collapsed="false">
      <c r="A657" s="12" t="s">
        <v>33</v>
      </c>
      <c r="B657" s="12" t="s">
        <v>618</v>
      </c>
      <c r="C657" s="10" t="s">
        <v>2855</v>
      </c>
      <c r="D657" s="12" t="s">
        <v>1521</v>
      </c>
      <c r="E657" s="10" t="s">
        <v>1568</v>
      </c>
      <c r="F657" s="12" t="s">
        <v>196</v>
      </c>
      <c r="G657" s="12" t="n">
        <v>1</v>
      </c>
      <c r="H657" s="26"/>
      <c r="I657" s="10" t="s">
        <v>1275</v>
      </c>
      <c r="J657" s="12"/>
      <c r="K657" s="10" t="s">
        <v>1276</v>
      </c>
    </row>
    <row r="658" customFormat="false" ht="35.05" hidden="false" customHeight="false" outlineLevel="0" collapsed="false">
      <c r="A658" s="12" t="s">
        <v>33</v>
      </c>
      <c r="B658" s="12" t="s">
        <v>214</v>
      </c>
      <c r="C658" s="10" t="s">
        <v>214</v>
      </c>
      <c r="D658" s="12" t="s">
        <v>1878</v>
      </c>
      <c r="E658" s="10" t="s">
        <v>2858</v>
      </c>
      <c r="F658" s="12" t="s">
        <v>196</v>
      </c>
      <c r="G658" s="12" t="n">
        <v>10</v>
      </c>
      <c r="H658" s="26" t="n">
        <v>26.32</v>
      </c>
      <c r="I658" s="10" t="s">
        <v>1116</v>
      </c>
      <c r="J658" s="30" t="s">
        <v>2859</v>
      </c>
      <c r="K658" s="10" t="s">
        <v>2860</v>
      </c>
    </row>
    <row r="659" customFormat="false" ht="57.45" hidden="false" customHeight="false" outlineLevel="0" collapsed="false">
      <c r="A659" s="12" t="s">
        <v>33</v>
      </c>
      <c r="B659" s="12" t="s">
        <v>214</v>
      </c>
      <c r="C659" s="10" t="s">
        <v>2861</v>
      </c>
      <c r="D659" s="12" t="s">
        <v>2277</v>
      </c>
      <c r="E659" s="10" t="s">
        <v>2858</v>
      </c>
      <c r="F659" s="12" t="s">
        <v>196</v>
      </c>
      <c r="G659" s="12" t="n">
        <v>10</v>
      </c>
      <c r="H659" s="26" t="n">
        <v>21.0971</v>
      </c>
      <c r="I659" s="10" t="s">
        <v>1116</v>
      </c>
      <c r="J659" s="30" t="s">
        <v>1884</v>
      </c>
      <c r="K659" s="10" t="s">
        <v>2862</v>
      </c>
    </row>
    <row r="660" customFormat="false" ht="46.25" hidden="false" customHeight="false" outlineLevel="0" collapsed="false">
      <c r="A660" s="12" t="s">
        <v>33</v>
      </c>
      <c r="B660" s="12" t="s">
        <v>629</v>
      </c>
      <c r="C660" s="10" t="s">
        <v>2863</v>
      </c>
      <c r="D660" s="12" t="s">
        <v>2864</v>
      </c>
      <c r="E660" s="10" t="s">
        <v>2825</v>
      </c>
      <c r="F660" s="12" t="s">
        <v>196</v>
      </c>
      <c r="G660" s="12" t="n">
        <v>1</v>
      </c>
      <c r="H660" s="26" t="n">
        <v>6.4</v>
      </c>
      <c r="I660" s="10" t="s">
        <v>1116</v>
      </c>
      <c r="J660" s="30" t="s">
        <v>1309</v>
      </c>
      <c r="K660" s="10" t="s">
        <v>2865</v>
      </c>
    </row>
    <row r="661" customFormat="false" ht="57.45" hidden="false" customHeight="false" outlineLevel="0" collapsed="false">
      <c r="A661" s="12" t="s">
        <v>33</v>
      </c>
      <c r="B661" s="12" t="s">
        <v>216</v>
      </c>
      <c r="C661" s="10" t="s">
        <v>2866</v>
      </c>
      <c r="D661" s="12" t="s">
        <v>1399</v>
      </c>
      <c r="E661" s="10" t="s">
        <v>1890</v>
      </c>
      <c r="F661" s="12" t="s">
        <v>196</v>
      </c>
      <c r="G661" s="12" t="n">
        <v>2</v>
      </c>
      <c r="H661" s="26" t="n">
        <v>5.3223</v>
      </c>
      <c r="I661" s="10" t="s">
        <v>1116</v>
      </c>
      <c r="J661" s="30" t="s">
        <v>1159</v>
      </c>
      <c r="K661" s="10" t="s">
        <v>2867</v>
      </c>
    </row>
    <row r="662" customFormat="false" ht="46.25" hidden="false" customHeight="false" outlineLevel="0" collapsed="false">
      <c r="A662" s="12" t="s">
        <v>33</v>
      </c>
      <c r="B662" s="12" t="s">
        <v>412</v>
      </c>
      <c r="C662" s="10" t="s">
        <v>1412</v>
      </c>
      <c r="D662" s="12" t="s">
        <v>1257</v>
      </c>
      <c r="E662" s="10" t="s">
        <v>2868</v>
      </c>
      <c r="F662" s="12" t="s">
        <v>77</v>
      </c>
      <c r="G662" s="12"/>
      <c r="H662" s="26" t="n">
        <v>10.93</v>
      </c>
      <c r="I662" s="10" t="s">
        <v>1116</v>
      </c>
      <c r="J662" s="30" t="s">
        <v>1414</v>
      </c>
      <c r="K662" s="10" t="s">
        <v>1415</v>
      </c>
    </row>
    <row r="663" customFormat="false" ht="23.85" hidden="false" customHeight="false" outlineLevel="0" collapsed="false">
      <c r="A663" s="12" t="s">
        <v>33</v>
      </c>
      <c r="B663" s="12" t="s">
        <v>412</v>
      </c>
      <c r="C663" s="10" t="s">
        <v>1412</v>
      </c>
      <c r="D663" s="12" t="s">
        <v>1381</v>
      </c>
      <c r="E663" s="10" t="s">
        <v>2868</v>
      </c>
      <c r="F663" s="12" t="s">
        <v>77</v>
      </c>
      <c r="G663" s="12"/>
      <c r="H663" s="26"/>
      <c r="I663" s="10" t="s">
        <v>1275</v>
      </c>
      <c r="J663" s="12"/>
      <c r="K663" s="10" t="s">
        <v>1276</v>
      </c>
    </row>
    <row r="664" customFormat="false" ht="35.05" hidden="false" customHeight="false" outlineLevel="0" collapsed="false">
      <c r="A664" s="12" t="s">
        <v>33</v>
      </c>
      <c r="B664" s="12" t="s">
        <v>620</v>
      </c>
      <c r="C664" s="10" t="s">
        <v>2869</v>
      </c>
      <c r="D664" s="12" t="s">
        <v>1915</v>
      </c>
      <c r="E664" s="10" t="s">
        <v>2413</v>
      </c>
      <c r="F664" s="12" t="s">
        <v>196</v>
      </c>
      <c r="G664" s="12" t="n">
        <v>5</v>
      </c>
      <c r="H664" s="26" t="n">
        <v>8.84</v>
      </c>
      <c r="I664" s="10" t="s">
        <v>1116</v>
      </c>
      <c r="J664" s="30" t="s">
        <v>2870</v>
      </c>
      <c r="K664" s="10" t="s">
        <v>2871</v>
      </c>
    </row>
    <row r="665" customFormat="false" ht="91" hidden="false" customHeight="false" outlineLevel="0" collapsed="false">
      <c r="A665" s="12" t="s">
        <v>33</v>
      </c>
      <c r="B665" s="12" t="s">
        <v>620</v>
      </c>
      <c r="C665" s="10" t="s">
        <v>2872</v>
      </c>
      <c r="D665" s="12" t="s">
        <v>1303</v>
      </c>
      <c r="E665" s="10" t="s">
        <v>2873</v>
      </c>
      <c r="F665" s="12" t="s">
        <v>196</v>
      </c>
      <c r="G665" s="12" t="n">
        <v>5</v>
      </c>
      <c r="H665" s="26" t="n">
        <v>26.0352</v>
      </c>
      <c r="I665" s="10" t="s">
        <v>1116</v>
      </c>
      <c r="J665" s="30" t="s">
        <v>2874</v>
      </c>
      <c r="K665" s="10" t="s">
        <v>2875</v>
      </c>
    </row>
    <row r="666" customFormat="false" ht="35.05" hidden="false" customHeight="false" outlineLevel="0" collapsed="false">
      <c r="A666" s="12" t="s">
        <v>33</v>
      </c>
      <c r="B666" s="12" t="s">
        <v>269</v>
      </c>
      <c r="C666" s="10" t="s">
        <v>269</v>
      </c>
      <c r="D666" s="12" t="s">
        <v>2876</v>
      </c>
      <c r="E666" s="10" t="s">
        <v>2877</v>
      </c>
      <c r="F666" s="12" t="s">
        <v>77</v>
      </c>
      <c r="G666" s="12"/>
      <c r="H666" s="26" t="n">
        <v>38.34</v>
      </c>
      <c r="I666" s="10" t="s">
        <v>1116</v>
      </c>
      <c r="J666" s="30" t="s">
        <v>2878</v>
      </c>
      <c r="K666" s="10" t="s">
        <v>2879</v>
      </c>
    </row>
    <row r="667" customFormat="false" ht="91" hidden="false" customHeight="false" outlineLevel="0" collapsed="false">
      <c r="A667" s="12" t="s">
        <v>33</v>
      </c>
      <c r="B667" s="12" t="s">
        <v>269</v>
      </c>
      <c r="C667" s="10" t="s">
        <v>2880</v>
      </c>
      <c r="D667" s="12" t="s">
        <v>2881</v>
      </c>
      <c r="E667" s="10" t="s">
        <v>2877</v>
      </c>
      <c r="F667" s="12" t="s">
        <v>77</v>
      </c>
      <c r="G667" s="12"/>
      <c r="H667" s="26" t="n">
        <v>28.024</v>
      </c>
      <c r="I667" s="10" t="s">
        <v>1116</v>
      </c>
      <c r="J667" s="30" t="s">
        <v>1457</v>
      </c>
      <c r="K667" s="10" t="s">
        <v>2882</v>
      </c>
    </row>
    <row r="668" customFormat="false" ht="35.05" hidden="false" customHeight="false" outlineLevel="0" collapsed="false">
      <c r="A668" s="12" t="s">
        <v>33</v>
      </c>
      <c r="B668" s="12" t="s">
        <v>209</v>
      </c>
      <c r="C668" s="10" t="s">
        <v>209</v>
      </c>
      <c r="D668" s="12" t="s">
        <v>1500</v>
      </c>
      <c r="E668" s="10" t="s">
        <v>2883</v>
      </c>
      <c r="F668" s="12" t="s">
        <v>196</v>
      </c>
      <c r="G668" s="12" t="n">
        <v>4</v>
      </c>
      <c r="H668" s="26" t="n">
        <v>18.31</v>
      </c>
      <c r="I668" s="10" t="s">
        <v>1116</v>
      </c>
      <c r="J668" s="30" t="s">
        <v>2884</v>
      </c>
      <c r="K668" s="10" t="s">
        <v>2885</v>
      </c>
    </row>
    <row r="669" customFormat="false" ht="46.25" hidden="false" customHeight="false" outlineLevel="0" collapsed="false">
      <c r="A669" s="12" t="s">
        <v>33</v>
      </c>
      <c r="B669" s="12" t="s">
        <v>209</v>
      </c>
      <c r="C669" s="10" t="s">
        <v>2886</v>
      </c>
      <c r="D669" s="12" t="s">
        <v>2887</v>
      </c>
      <c r="E669" s="10" t="s">
        <v>2888</v>
      </c>
      <c r="F669" s="12" t="s">
        <v>77</v>
      </c>
      <c r="G669" s="12" t="n">
        <v>4</v>
      </c>
      <c r="H669" s="26" t="n">
        <v>8.5428</v>
      </c>
      <c r="I669" s="10" t="s">
        <v>1116</v>
      </c>
      <c r="J669" s="30" t="s">
        <v>1159</v>
      </c>
      <c r="K669" s="10" t="s">
        <v>2889</v>
      </c>
    </row>
    <row r="670" customFormat="false" ht="35.05" hidden="false" customHeight="false" outlineLevel="0" collapsed="false">
      <c r="A670" s="12" t="s">
        <v>33</v>
      </c>
      <c r="B670" s="12" t="s">
        <v>209</v>
      </c>
      <c r="C670" s="10" t="s">
        <v>2886</v>
      </c>
      <c r="D670" s="12" t="s">
        <v>2890</v>
      </c>
      <c r="E670" s="10" t="s">
        <v>2891</v>
      </c>
      <c r="F670" s="12" t="s">
        <v>196</v>
      </c>
      <c r="G670" s="12" t="n">
        <v>4</v>
      </c>
      <c r="H670" s="26" t="n">
        <v>74.284</v>
      </c>
      <c r="I670" s="10" t="s">
        <v>1116</v>
      </c>
      <c r="J670" s="30" t="s">
        <v>2892</v>
      </c>
      <c r="K670" s="10" t="s">
        <v>2893</v>
      </c>
    </row>
    <row r="671" customFormat="false" ht="23.85" hidden="false" customHeight="false" outlineLevel="0" collapsed="false">
      <c r="A671" s="12" t="s">
        <v>33</v>
      </c>
      <c r="B671" s="12" t="s">
        <v>209</v>
      </c>
      <c r="C671" s="10" t="s">
        <v>2886</v>
      </c>
      <c r="D671" s="12" t="s">
        <v>2173</v>
      </c>
      <c r="E671" s="10" t="s">
        <v>2486</v>
      </c>
      <c r="F671" s="12" t="s">
        <v>196</v>
      </c>
      <c r="G671" s="12" t="n">
        <v>10</v>
      </c>
      <c r="H671" s="26"/>
      <c r="I671" s="10" t="s">
        <v>1275</v>
      </c>
      <c r="J671" s="12"/>
      <c r="K671" s="10" t="s">
        <v>1276</v>
      </c>
    </row>
    <row r="672" customFormat="false" ht="35.05" hidden="false" customHeight="false" outlineLevel="0" collapsed="false">
      <c r="A672" s="12" t="s">
        <v>33</v>
      </c>
      <c r="B672" s="12" t="s">
        <v>116</v>
      </c>
      <c r="C672" s="10" t="s">
        <v>116</v>
      </c>
      <c r="D672" s="12" t="s">
        <v>1500</v>
      </c>
      <c r="E672" s="10" t="s">
        <v>1975</v>
      </c>
      <c r="F672" s="12" t="s">
        <v>77</v>
      </c>
      <c r="G672" s="12" t="n">
        <v>5</v>
      </c>
      <c r="H672" s="26" t="n">
        <v>197.11</v>
      </c>
      <c r="I672" s="10" t="s">
        <v>1116</v>
      </c>
      <c r="J672" s="30" t="s">
        <v>2894</v>
      </c>
      <c r="K672" s="10" t="s">
        <v>2895</v>
      </c>
    </row>
    <row r="673" customFormat="false" ht="35.05" hidden="false" customHeight="false" outlineLevel="0" collapsed="false">
      <c r="A673" s="12" t="s">
        <v>33</v>
      </c>
      <c r="B673" s="12" t="s">
        <v>116</v>
      </c>
      <c r="C673" s="10" t="s">
        <v>116</v>
      </c>
      <c r="D673" s="12" t="s">
        <v>1792</v>
      </c>
      <c r="E673" s="10" t="s">
        <v>1890</v>
      </c>
      <c r="F673" s="12" t="s">
        <v>196</v>
      </c>
      <c r="G673" s="12" t="n">
        <v>2</v>
      </c>
      <c r="H673" s="26" t="n">
        <v>83.0776</v>
      </c>
      <c r="I673" s="10" t="s">
        <v>1116</v>
      </c>
      <c r="J673" s="30" t="s">
        <v>1159</v>
      </c>
      <c r="K673" s="10" t="s">
        <v>2896</v>
      </c>
    </row>
    <row r="674" customFormat="false" ht="46.25" hidden="false" customHeight="false" outlineLevel="0" collapsed="false">
      <c r="A674" s="12" t="s">
        <v>33</v>
      </c>
      <c r="B674" s="12" t="s">
        <v>208</v>
      </c>
      <c r="C674" s="10" t="s">
        <v>2897</v>
      </c>
      <c r="D674" s="12" t="s">
        <v>1343</v>
      </c>
      <c r="E674" s="10" t="s">
        <v>1344</v>
      </c>
      <c r="F674" s="12" t="s">
        <v>77</v>
      </c>
      <c r="G674" s="12"/>
      <c r="H674" s="26" t="n">
        <v>6.7348</v>
      </c>
      <c r="I674" s="10" t="s">
        <v>1116</v>
      </c>
      <c r="J674" s="30" t="s">
        <v>1159</v>
      </c>
      <c r="K674" s="10" t="s">
        <v>2898</v>
      </c>
    </row>
    <row r="675" customFormat="false" ht="46.25" hidden="false" customHeight="false" outlineLevel="0" collapsed="false">
      <c r="A675" s="12" t="s">
        <v>37</v>
      </c>
      <c r="B675" s="12" t="s">
        <v>484</v>
      </c>
      <c r="C675" s="10" t="s">
        <v>2899</v>
      </c>
      <c r="D675" s="12" t="s">
        <v>2680</v>
      </c>
      <c r="E675" s="10"/>
      <c r="F675" s="12" t="s">
        <v>95</v>
      </c>
      <c r="G675" s="12"/>
      <c r="H675" s="26" t="n">
        <v>24.95</v>
      </c>
      <c r="I675" s="10" t="s">
        <v>1116</v>
      </c>
      <c r="J675" s="30" t="s">
        <v>2900</v>
      </c>
      <c r="K675" s="10" t="s">
        <v>2901</v>
      </c>
    </row>
    <row r="676" customFormat="false" ht="35.05" hidden="false" customHeight="false" outlineLevel="0" collapsed="false">
      <c r="A676" s="12" t="s">
        <v>37</v>
      </c>
      <c r="B676" s="12" t="s">
        <v>87</v>
      </c>
      <c r="C676" s="10" t="s">
        <v>87</v>
      </c>
      <c r="D676" s="12" t="s">
        <v>1166</v>
      </c>
      <c r="E676" s="10" t="s">
        <v>2902</v>
      </c>
      <c r="F676" s="12" t="s">
        <v>77</v>
      </c>
      <c r="G676" s="12"/>
      <c r="H676" s="26" t="n">
        <v>22.25</v>
      </c>
      <c r="I676" s="10" t="s">
        <v>1116</v>
      </c>
      <c r="J676" s="30" t="s">
        <v>1168</v>
      </c>
      <c r="K676" s="10" t="s">
        <v>1956</v>
      </c>
    </row>
    <row r="677" customFormat="false" ht="35.05" hidden="false" customHeight="false" outlineLevel="0" collapsed="false">
      <c r="A677" s="12" t="s">
        <v>37</v>
      </c>
      <c r="B677" s="12" t="s">
        <v>87</v>
      </c>
      <c r="C677" s="10" t="s">
        <v>87</v>
      </c>
      <c r="D677" s="12" t="s">
        <v>1171</v>
      </c>
      <c r="E677" s="10" t="s">
        <v>1422</v>
      </c>
      <c r="F677" s="12" t="s">
        <v>77</v>
      </c>
      <c r="G677" s="12"/>
      <c r="H677" s="26" t="n">
        <v>856.68</v>
      </c>
      <c r="I677" s="10" t="s">
        <v>1116</v>
      </c>
      <c r="J677" s="30" t="s">
        <v>1173</v>
      </c>
      <c r="K677" s="10" t="s">
        <v>1174</v>
      </c>
    </row>
    <row r="678" customFormat="false" ht="57.45" hidden="false" customHeight="false" outlineLevel="0" collapsed="false">
      <c r="A678" s="12" t="s">
        <v>37</v>
      </c>
      <c r="B678" s="12" t="s">
        <v>87</v>
      </c>
      <c r="C678" s="10" t="s">
        <v>2903</v>
      </c>
      <c r="D678" s="12" t="s">
        <v>1176</v>
      </c>
      <c r="E678" s="10" t="s">
        <v>1172</v>
      </c>
      <c r="F678" s="12" t="s">
        <v>77</v>
      </c>
      <c r="G678" s="12"/>
      <c r="H678" s="26" t="n">
        <v>1444.1174</v>
      </c>
      <c r="I678" s="10" t="s">
        <v>1116</v>
      </c>
      <c r="J678" s="30" t="s">
        <v>1159</v>
      </c>
      <c r="K678" s="10" t="s">
        <v>2904</v>
      </c>
    </row>
    <row r="679" customFormat="false" ht="46.25" hidden="false" customHeight="false" outlineLevel="0" collapsed="false">
      <c r="A679" s="12" t="s">
        <v>37</v>
      </c>
      <c r="B679" s="12" t="s">
        <v>87</v>
      </c>
      <c r="C679" s="10" t="s">
        <v>2905</v>
      </c>
      <c r="D679" s="12" t="s">
        <v>1535</v>
      </c>
      <c r="E679" s="10" t="s">
        <v>1678</v>
      </c>
      <c r="F679" s="12" t="s">
        <v>77</v>
      </c>
      <c r="G679" s="12" t="n">
        <v>10</v>
      </c>
      <c r="H679" s="26" t="n">
        <v>152.64</v>
      </c>
      <c r="I679" s="10" t="s">
        <v>1116</v>
      </c>
      <c r="J679" s="30" t="s">
        <v>1196</v>
      </c>
      <c r="K679" s="10" t="s">
        <v>2906</v>
      </c>
    </row>
    <row r="680" customFormat="false" ht="46.25" hidden="false" customHeight="false" outlineLevel="0" collapsed="false">
      <c r="A680" s="12" t="s">
        <v>37</v>
      </c>
      <c r="B680" s="12" t="s">
        <v>205</v>
      </c>
      <c r="C680" s="10" t="s">
        <v>2907</v>
      </c>
      <c r="D680" s="12" t="s">
        <v>1204</v>
      </c>
      <c r="E680" s="10" t="s">
        <v>1209</v>
      </c>
      <c r="F680" s="12" t="s">
        <v>196</v>
      </c>
      <c r="G680" s="12" t="n">
        <v>3.5</v>
      </c>
      <c r="H680" s="26" t="n">
        <v>7.8196</v>
      </c>
      <c r="I680" s="10" t="s">
        <v>1116</v>
      </c>
      <c r="J680" s="30" t="s">
        <v>2908</v>
      </c>
      <c r="K680" s="10" t="s">
        <v>2909</v>
      </c>
    </row>
    <row r="681" customFormat="false" ht="46.25" hidden="false" customHeight="false" outlineLevel="0" collapsed="false">
      <c r="A681" s="12" t="s">
        <v>37</v>
      </c>
      <c r="B681" s="12" t="s">
        <v>229</v>
      </c>
      <c r="C681" s="10" t="s">
        <v>1216</v>
      </c>
      <c r="D681" s="12" t="s">
        <v>1217</v>
      </c>
      <c r="E681" s="10" t="s">
        <v>2910</v>
      </c>
      <c r="F681" s="12" t="s">
        <v>77</v>
      </c>
      <c r="G681" s="12" t="n">
        <v>1</v>
      </c>
      <c r="H681" s="26" t="n">
        <v>14.96</v>
      </c>
      <c r="I681" s="10" t="s">
        <v>1116</v>
      </c>
      <c r="J681" s="30" t="s">
        <v>1219</v>
      </c>
      <c r="K681" s="10" t="s">
        <v>1982</v>
      </c>
    </row>
    <row r="682" customFormat="false" ht="46.25" hidden="false" customHeight="false" outlineLevel="0" collapsed="false">
      <c r="A682" s="12" t="s">
        <v>37</v>
      </c>
      <c r="B682" s="12" t="s">
        <v>241</v>
      </c>
      <c r="C682" s="10" t="s">
        <v>2613</v>
      </c>
      <c r="D682" s="12" t="s">
        <v>2359</v>
      </c>
      <c r="E682" s="10" t="s">
        <v>2911</v>
      </c>
      <c r="F682" s="12" t="s">
        <v>77</v>
      </c>
      <c r="G682" s="12" t="n">
        <v>5</v>
      </c>
      <c r="H682" s="26" t="n">
        <v>6.66</v>
      </c>
      <c r="I682" s="10" t="s">
        <v>1116</v>
      </c>
      <c r="J682" s="30" t="s">
        <v>2615</v>
      </c>
      <c r="K682" s="10" t="s">
        <v>2912</v>
      </c>
    </row>
    <row r="683" customFormat="false" ht="46.25" hidden="false" customHeight="false" outlineLevel="0" collapsed="false">
      <c r="A683" s="12" t="s">
        <v>37</v>
      </c>
      <c r="B683" s="12" t="s">
        <v>241</v>
      </c>
      <c r="C683" s="10" t="s">
        <v>2613</v>
      </c>
      <c r="D683" s="12" t="s">
        <v>2617</v>
      </c>
      <c r="E683" s="10" t="s">
        <v>2913</v>
      </c>
      <c r="F683" s="12" t="s">
        <v>77</v>
      </c>
      <c r="G683" s="12" t="n">
        <v>20</v>
      </c>
      <c r="H683" s="26" t="n">
        <v>38.11</v>
      </c>
      <c r="I683" s="10" t="s">
        <v>1116</v>
      </c>
      <c r="J683" s="30" t="s">
        <v>2615</v>
      </c>
      <c r="K683" s="10" t="s">
        <v>2914</v>
      </c>
    </row>
    <row r="684" customFormat="false" ht="35.05" hidden="false" customHeight="false" outlineLevel="0" collapsed="false">
      <c r="A684" s="12" t="s">
        <v>37</v>
      </c>
      <c r="B684" s="12" t="s">
        <v>237</v>
      </c>
      <c r="C684" s="10" t="s">
        <v>237</v>
      </c>
      <c r="D684" s="12" t="s">
        <v>1385</v>
      </c>
      <c r="E684" s="10" t="s">
        <v>2915</v>
      </c>
      <c r="F684" s="12" t="s">
        <v>77</v>
      </c>
      <c r="G684" s="12" t="n">
        <v>1</v>
      </c>
      <c r="H684" s="26" t="n">
        <v>31.25</v>
      </c>
      <c r="I684" s="10" t="s">
        <v>1116</v>
      </c>
      <c r="J684" s="30" t="s">
        <v>2916</v>
      </c>
      <c r="K684" s="10" t="s">
        <v>2917</v>
      </c>
    </row>
    <row r="685" customFormat="false" ht="46.25" hidden="false" customHeight="false" outlineLevel="0" collapsed="false">
      <c r="A685" s="12" t="s">
        <v>37</v>
      </c>
      <c r="B685" s="12" t="s">
        <v>233</v>
      </c>
      <c r="C685" s="10" t="s">
        <v>233</v>
      </c>
      <c r="D685" s="12" t="s">
        <v>2918</v>
      </c>
      <c r="E685" s="10"/>
      <c r="F685" s="12" t="s">
        <v>95</v>
      </c>
      <c r="G685" s="12"/>
      <c r="H685" s="26" t="n">
        <v>5289.94</v>
      </c>
      <c r="I685" s="10" t="s">
        <v>1116</v>
      </c>
      <c r="J685" s="30" t="s">
        <v>2919</v>
      </c>
      <c r="K685" s="10" t="s">
        <v>2920</v>
      </c>
    </row>
    <row r="686" customFormat="false" ht="35.05" hidden="false" customHeight="false" outlineLevel="0" collapsed="false">
      <c r="A686" s="12" t="s">
        <v>37</v>
      </c>
      <c r="B686" s="12" t="s">
        <v>274</v>
      </c>
      <c r="C686" s="10" t="s">
        <v>274</v>
      </c>
      <c r="D686" s="12" t="s">
        <v>1252</v>
      </c>
      <c r="E686" s="10"/>
      <c r="F686" s="12" t="s">
        <v>95</v>
      </c>
      <c r="G686" s="12"/>
      <c r="H686" s="26" t="n">
        <v>4.02</v>
      </c>
      <c r="I686" s="10" t="s">
        <v>1569</v>
      </c>
      <c r="J686" s="30" t="s">
        <v>1570</v>
      </c>
      <c r="K686" s="10" t="s">
        <v>2921</v>
      </c>
    </row>
    <row r="687" customFormat="false" ht="46.25" hidden="false" customHeight="false" outlineLevel="0" collapsed="false">
      <c r="A687" s="12" t="s">
        <v>37</v>
      </c>
      <c r="B687" s="12" t="s">
        <v>239</v>
      </c>
      <c r="C687" s="10" t="s">
        <v>239</v>
      </c>
      <c r="D687" s="12" t="s">
        <v>1787</v>
      </c>
      <c r="E687" s="10" t="s">
        <v>2922</v>
      </c>
      <c r="F687" s="12" t="s">
        <v>77</v>
      </c>
      <c r="G687" s="12" t="n">
        <v>5</v>
      </c>
      <c r="H687" s="26" t="n">
        <v>61.13</v>
      </c>
      <c r="I687" s="10" t="s">
        <v>1116</v>
      </c>
      <c r="J687" s="30" t="s">
        <v>2923</v>
      </c>
      <c r="K687" s="10" t="s">
        <v>2924</v>
      </c>
    </row>
    <row r="688" customFormat="false" ht="23.85" hidden="false" customHeight="false" outlineLevel="0" collapsed="false">
      <c r="A688" s="12" t="s">
        <v>37</v>
      </c>
      <c r="B688" s="12" t="s">
        <v>239</v>
      </c>
      <c r="C688" s="10" t="s">
        <v>239</v>
      </c>
      <c r="D688" s="12" t="s">
        <v>2925</v>
      </c>
      <c r="E688" s="10" t="s">
        <v>2922</v>
      </c>
      <c r="F688" s="12" t="s">
        <v>77</v>
      </c>
      <c r="G688" s="12" t="n">
        <v>2</v>
      </c>
      <c r="H688" s="26"/>
      <c r="I688" s="10" t="s">
        <v>1275</v>
      </c>
      <c r="J688" s="12"/>
      <c r="K688" s="10" t="s">
        <v>1276</v>
      </c>
    </row>
    <row r="689" customFormat="false" ht="46.25" hidden="false" customHeight="false" outlineLevel="0" collapsed="false">
      <c r="A689" s="12" t="s">
        <v>37</v>
      </c>
      <c r="B689" s="12" t="s">
        <v>112</v>
      </c>
      <c r="C689" s="10" t="s">
        <v>112</v>
      </c>
      <c r="D689" s="12" t="s">
        <v>1124</v>
      </c>
      <c r="E689" s="10" t="s">
        <v>2926</v>
      </c>
      <c r="F689" s="12" t="s">
        <v>83</v>
      </c>
      <c r="G689" s="12" t="n">
        <v>5</v>
      </c>
      <c r="H689" s="26" t="n">
        <v>29.97</v>
      </c>
      <c r="I689" s="10" t="s">
        <v>1116</v>
      </c>
      <c r="J689" s="30" t="s">
        <v>1126</v>
      </c>
      <c r="K689" s="10" t="s">
        <v>1127</v>
      </c>
    </row>
    <row r="690" customFormat="false" ht="46.25" hidden="false" customHeight="false" outlineLevel="0" collapsed="false">
      <c r="A690" s="12" t="s">
        <v>37</v>
      </c>
      <c r="B690" s="12" t="s">
        <v>638</v>
      </c>
      <c r="C690" s="10" t="s">
        <v>638</v>
      </c>
      <c r="D690" s="12" t="s">
        <v>2927</v>
      </c>
      <c r="E690" s="10" t="s">
        <v>2928</v>
      </c>
      <c r="F690" s="12" t="s">
        <v>77</v>
      </c>
      <c r="G690" s="12" t="n">
        <v>1</v>
      </c>
      <c r="H690" s="26" t="n">
        <v>18.9</v>
      </c>
      <c r="I690" s="10" t="s">
        <v>1116</v>
      </c>
      <c r="J690" s="30" t="s">
        <v>2929</v>
      </c>
      <c r="K690" s="10" t="s">
        <v>2930</v>
      </c>
    </row>
    <row r="691" customFormat="false" ht="57.45" hidden="false" customHeight="false" outlineLevel="0" collapsed="false">
      <c r="A691" s="12" t="s">
        <v>37</v>
      </c>
      <c r="B691" s="12" t="s">
        <v>638</v>
      </c>
      <c r="C691" s="10" t="s">
        <v>638</v>
      </c>
      <c r="D691" s="12" t="s">
        <v>2931</v>
      </c>
      <c r="E691" s="10" t="s">
        <v>2928</v>
      </c>
      <c r="F691" s="12" t="s">
        <v>77</v>
      </c>
      <c r="G691" s="12" t="n">
        <v>1</v>
      </c>
      <c r="H691" s="26" t="n">
        <v>11.08</v>
      </c>
      <c r="I691" s="10" t="s">
        <v>1116</v>
      </c>
      <c r="J691" s="30" t="s">
        <v>2929</v>
      </c>
      <c r="K691" s="10" t="s">
        <v>2932</v>
      </c>
    </row>
    <row r="692" customFormat="false" ht="35.05" hidden="false" customHeight="false" outlineLevel="0" collapsed="false">
      <c r="A692" s="12" t="s">
        <v>37</v>
      </c>
      <c r="B692" s="12" t="s">
        <v>201</v>
      </c>
      <c r="C692" s="10" t="s">
        <v>1561</v>
      </c>
      <c r="D692" s="12" t="s">
        <v>1562</v>
      </c>
      <c r="E692" s="10" t="s">
        <v>2933</v>
      </c>
      <c r="F692" s="12" t="s">
        <v>77</v>
      </c>
      <c r="G692" s="12" t="n">
        <v>2</v>
      </c>
      <c r="H692" s="26" t="n">
        <v>23.15</v>
      </c>
      <c r="I692" s="10" t="s">
        <v>1121</v>
      </c>
      <c r="J692" s="30" t="s">
        <v>1122</v>
      </c>
      <c r="K692" s="10" t="s">
        <v>1564</v>
      </c>
    </row>
    <row r="693" customFormat="false" ht="57.45" hidden="false" customHeight="false" outlineLevel="0" collapsed="false">
      <c r="A693" s="12" t="s">
        <v>37</v>
      </c>
      <c r="B693" s="12" t="s">
        <v>235</v>
      </c>
      <c r="C693" s="10" t="s">
        <v>235</v>
      </c>
      <c r="D693" s="12" t="s">
        <v>2934</v>
      </c>
      <c r="E693" s="10" t="s">
        <v>2935</v>
      </c>
      <c r="F693" s="12" t="s">
        <v>95</v>
      </c>
      <c r="G693" s="12"/>
      <c r="H693" s="26" t="n">
        <v>179.58</v>
      </c>
      <c r="I693" s="10" t="s">
        <v>1116</v>
      </c>
      <c r="J693" s="30" t="s">
        <v>2936</v>
      </c>
      <c r="K693" s="10" t="s">
        <v>2937</v>
      </c>
    </row>
    <row r="694" customFormat="false" ht="46.25" hidden="false" customHeight="false" outlineLevel="0" collapsed="false">
      <c r="A694" s="12" t="s">
        <v>37</v>
      </c>
      <c r="B694" s="12" t="s">
        <v>640</v>
      </c>
      <c r="C694" s="10" t="s">
        <v>2938</v>
      </c>
      <c r="D694" s="12" t="s">
        <v>2939</v>
      </c>
      <c r="E694" s="10" t="s">
        <v>2458</v>
      </c>
      <c r="F694" s="12" t="s">
        <v>196</v>
      </c>
      <c r="G694" s="12" t="n">
        <v>5</v>
      </c>
      <c r="H694" s="26" t="n">
        <v>7.58</v>
      </c>
      <c r="I694" s="10" t="s">
        <v>1116</v>
      </c>
      <c r="J694" s="30" t="s">
        <v>1196</v>
      </c>
      <c r="K694" s="10" t="s">
        <v>2940</v>
      </c>
    </row>
    <row r="695" customFormat="false" ht="68.65" hidden="false" customHeight="false" outlineLevel="0" collapsed="false">
      <c r="A695" s="12" t="s">
        <v>37</v>
      </c>
      <c r="B695" s="12" t="s">
        <v>216</v>
      </c>
      <c r="C695" s="10" t="s">
        <v>2941</v>
      </c>
      <c r="D695" s="12" t="s">
        <v>2942</v>
      </c>
      <c r="E695" s="10" t="s">
        <v>2943</v>
      </c>
      <c r="F695" s="12" t="s">
        <v>196</v>
      </c>
      <c r="G695" s="12"/>
      <c r="H695" s="26" t="n">
        <v>6.29</v>
      </c>
      <c r="I695" s="10" t="s">
        <v>1116</v>
      </c>
      <c r="J695" s="30" t="s">
        <v>1196</v>
      </c>
      <c r="K695" s="10" t="s">
        <v>2944</v>
      </c>
    </row>
    <row r="696" customFormat="false" ht="35.05" hidden="false" customHeight="false" outlineLevel="0" collapsed="false">
      <c r="A696" s="12" t="s">
        <v>37</v>
      </c>
      <c r="B696" s="12" t="s">
        <v>260</v>
      </c>
      <c r="C696" s="10" t="s">
        <v>1777</v>
      </c>
      <c r="D696" s="12" t="s">
        <v>1778</v>
      </c>
      <c r="E696" s="10" t="s">
        <v>2945</v>
      </c>
      <c r="F696" s="12" t="s">
        <v>77</v>
      </c>
      <c r="G696" s="12" t="n">
        <v>10</v>
      </c>
      <c r="H696" s="26" t="n">
        <v>5.56</v>
      </c>
      <c r="I696" s="10" t="s">
        <v>1569</v>
      </c>
      <c r="J696" s="30" t="s">
        <v>1570</v>
      </c>
      <c r="K696" s="10" t="s">
        <v>2031</v>
      </c>
    </row>
    <row r="697" customFormat="false" ht="46.25" hidden="false" customHeight="false" outlineLevel="0" collapsed="false">
      <c r="A697" s="12" t="s">
        <v>37</v>
      </c>
      <c r="B697" s="12" t="s">
        <v>116</v>
      </c>
      <c r="C697" s="10" t="s">
        <v>1782</v>
      </c>
      <c r="D697" s="12" t="s">
        <v>1783</v>
      </c>
      <c r="E697" s="10" t="s">
        <v>2542</v>
      </c>
      <c r="F697" s="12" t="s">
        <v>77</v>
      </c>
      <c r="G697" s="12" t="n">
        <v>2</v>
      </c>
      <c r="H697" s="26" t="n">
        <v>21.78</v>
      </c>
      <c r="I697" s="10" t="s">
        <v>1116</v>
      </c>
      <c r="J697" s="30" t="s">
        <v>1785</v>
      </c>
      <c r="K697" s="10" t="s">
        <v>1786</v>
      </c>
    </row>
    <row r="698" customFormat="false" ht="46.25" hidden="false" customHeight="false" outlineLevel="0" collapsed="false">
      <c r="A698" s="12" t="s">
        <v>37</v>
      </c>
      <c r="B698" s="12" t="s">
        <v>116</v>
      </c>
      <c r="C698" s="10" t="s">
        <v>1782</v>
      </c>
      <c r="D698" s="12" t="s">
        <v>1787</v>
      </c>
      <c r="E698" s="10" t="s">
        <v>2504</v>
      </c>
      <c r="F698" s="12" t="s">
        <v>77</v>
      </c>
      <c r="G698" s="12" t="n">
        <v>5</v>
      </c>
      <c r="H698" s="26" t="n">
        <v>48.28</v>
      </c>
      <c r="I698" s="10" t="s">
        <v>1116</v>
      </c>
      <c r="J698" s="30" t="s">
        <v>1785</v>
      </c>
      <c r="K698" s="10" t="s">
        <v>2505</v>
      </c>
    </row>
    <row r="699" customFormat="false" ht="35.05" hidden="false" customHeight="false" outlineLevel="0" collapsed="false">
      <c r="A699" s="12" t="s">
        <v>37</v>
      </c>
      <c r="B699" s="12" t="s">
        <v>256</v>
      </c>
      <c r="C699" s="10" t="s">
        <v>1515</v>
      </c>
      <c r="D699" s="12" t="s">
        <v>1516</v>
      </c>
      <c r="E699" s="10" t="s">
        <v>2946</v>
      </c>
      <c r="F699" s="12" t="s">
        <v>77</v>
      </c>
      <c r="G699" s="12"/>
      <c r="H699" s="26" t="n">
        <v>2.67</v>
      </c>
      <c r="I699" s="10" t="s">
        <v>1569</v>
      </c>
      <c r="J699" s="30" t="s">
        <v>1570</v>
      </c>
      <c r="K699" s="10" t="s">
        <v>2049</v>
      </c>
    </row>
  </sheetData>
  <autoFilter ref="A4:K699"/>
  <hyperlinks>
    <hyperlink ref="J5" r:id="rId1" display="https://www.medicinpriser.dk/Default.aspx?VirksomtStof=Carboprost&amp;lng=2"/>
    <hyperlink ref="J6" r:id="rId2" display="https://www.cms.gov/files/zip/october-2026-medicare-part-b-payment-limit-files-final.zip"/>
    <hyperlink ref="J7" r:id="rId3" display="https://www.drugs.com/price-guide/fulvestrant"/>
    <hyperlink ref="J8" r:id="rId4" display="https://www.drugs.com/price-guide/methotrexate"/>
    <hyperlink ref="J9" r:id="rId5" display="https://www.drugs.com/price-guide/methotrexate"/>
    <hyperlink ref="J10" r:id="rId6" display="https://www.cms.gov/files/zip/october-2026-medicare-part-b-payment-limit-files-final.zip"/>
    <hyperlink ref="J11" r:id="rId7" display="https://www.cms.gov/files/zip/october-2026-medicare-part-b-payment-limit-files-final.zip"/>
    <hyperlink ref="J12" r:id="rId8" display="https://www.ab.bluecross.ca/dbl/pdfs/ABCDPL_2026_01_07.pdf"/>
    <hyperlink ref="J13" r:id="rId9" display="https://www.ab.bluecross.ca/dbl/pdfs/ABCDPL_2026_01_07.pdf"/>
    <hyperlink ref="J14" r:id="rId10" display="https://www.drugs.com/price-guide/argatroban"/>
    <hyperlink ref="J15" r:id="rId11" display="https://dmd-browser.nhsbsa.nhs.uk/ampp/view/185061"/>
    <hyperlink ref="J16" r:id="rId12" display="https://www.aifa.gov.it/documents/20142/3815901/Classe_H_per_principio_attivo_30-04-2026.csv"/>
    <hyperlink ref="J17" r:id="rId13" display="https://www.pbs.gov.au/industry/pricing/ex-manufacturer-price/2026/09/ex-manufacturer-prices-non-efc-2026-09-01.XLSX"/>
    <hyperlink ref="J18" r:id="rId14" display="https://www.drugs.com/price-guide/bortezomib"/>
    <hyperlink ref="J19" r:id="rId15" display="https://dmd-browser.nhsbsa.nhs.uk/ampp/view/187562"/>
    <hyperlink ref="J20" r:id="rId16" display="https://www.aifa.gov.it/documents/20142/3815901/Classe_H_per_principio_attivo_30-04-2026.csv"/>
    <hyperlink ref="J21" r:id="rId17" display="https://www.pbs.gov.au/industry/pricing/ex-manufacturer-price/2026/09/ex-manufacturer-prices-efc-2026-09-01.XLSX"/>
    <hyperlink ref="J22" r:id="rId18" display="https://www.aponeo.de/rx/12675950-bupivan-0-5-5-mg-ml-inj-l-25mg-5ml-glasamp.html"/>
    <hyperlink ref="J23" r:id="rId19" display="https://www.drugs.com/price-guide/carboprost"/>
    <hyperlink ref="J24" r:id="rId20" display="https://www.health.gov.za/nhi-pee/"/>
    <hyperlink ref="J25" r:id="rId21" display="https://www.health.gov.za/nhi-pee/"/>
    <hyperlink ref="J26" r:id="rId22" display="https://www.health.gov.za/nhi-pee/"/>
    <hyperlink ref="J27" r:id="rId23" display="https://www.health.gov.za/nhi-pee/"/>
    <hyperlink ref="J28" r:id="rId24" display="https://base-donnees-publique.medicaments.gouv.fr/medicament/64318859/extrait"/>
    <hyperlink ref="J29" r:id="rId25" display="https://www.dovesalute.it/it/farmaci/med/36138/ceftriaxone-aurobindo"/>
    <hyperlink ref="J30" r:id="rId26" display="https://www.aifa.gov.it/documents/20142/3815901/Classe_A_per_principio_attivo_30-04-2026.csv"/>
    <hyperlink ref="J31" r:id="rId27" display="https://www.drugs.com/price-guide/chlorpromazine"/>
    <hyperlink ref="J32" r:id="rId28" display="https://www.drugs.com/price-guide/cyclophosphamide"/>
    <hyperlink ref="J33" r:id="rId29" display="https://www.drugs.com/price-guide/cyclophosphamide"/>
    <hyperlink ref="J34" r:id="rId30" display="https://www.drugs.com/price-guide/cyclophosphamide"/>
    <hyperlink ref="J35" r:id="rId31" display="https://www.drugs.com/price-guide/dactinomycin"/>
    <hyperlink ref="J36" r:id="rId32" display="https://www.aifa.gov.it/documents/20142/3815901/Classe_H_per_principio_attivo_30-04-2026.csv"/>
    <hyperlink ref="J37" r:id="rId33" display="https://www.aifa.gov.it/documents/20142/3815901/Classe_H_per_principio_attivo_30-04-2026.csv"/>
    <hyperlink ref="J38" r:id="rId34" display="https://www.drugs.com/price-guide/ephedrine"/>
    <hyperlink ref="J39" r:id="rId35" display="https://www.aifa.gov.it/documents/20142/3815901/Classe_H_per_principio_attivo_30-04-2026.csv"/>
    <hyperlink ref="J40" r:id="rId36" display="https://www.drugs.com/price-guide/eptifibatide"/>
    <hyperlink ref="J41" r:id="rId37" display="https://www.drugs.com/price-guide/ertapenem"/>
    <hyperlink ref="J42" r:id="rId38" display="https://www.ab.bluecross.ca/dbl/pdfs/ABCDPL_2026_09_04.pdf"/>
    <hyperlink ref="J43" r:id="rId39" display="https://www.ab.bluecross.ca/dbl/pdfs/ABCDPL_2026_09_04.pdf"/>
    <hyperlink ref="J44" r:id="rId40" display="https://www.health.gov.za/nhi-pee/"/>
    <hyperlink ref="J45" r:id="rId41" display="https://www.health.gov.za/nhi-pee/"/>
    <hyperlink ref="J46" r:id="rId42" display="https://www.health.gov.za/nhi-pee/"/>
    <hyperlink ref="J47" r:id="rId43" display="https://www.health.gov.za/nhi-pee/"/>
    <hyperlink ref="J49" r:id="rId44" display="https://www.drugs.com/price-guide/esmolol"/>
    <hyperlink ref="J50" r:id="rId45" display="https://dmd-browser.nhsbsa.nhs.uk/ampp/view/171701"/>
    <hyperlink ref="J51" r:id="rId46" display="https://www.aifa.gov.it/documents/20142/3815901/Classe_H_per_principio_attivo_30-04-2026.csv"/>
    <hyperlink ref="J53" r:id="rId47" display="https://www.drugs.com/price-guide/fluorouracil"/>
    <hyperlink ref="J54" r:id="rId48" display="https://www.drugs.com/price-guide/fluphenazine"/>
    <hyperlink ref="J55" r:id="rId49" display="https://www.medicinpriser.dk/Default.aspx?id=15&amp;vnr=540548"/>
    <hyperlink ref="J56" r:id="rId50" display="https://www.nhsbsa.nhs.uk/sites/default/files/2026-08/Part%20VIIIA%20Sep%2026.xls.xlsx"/>
    <hyperlink ref="J57" r:id="rId51" display="https://www.aifa.gov.it/documents/20142/3815901/Classe_H_per_principio_attivo_30-04-2026.csv"/>
    <hyperlink ref="J58" r:id="rId52" display="https://www.pbs.gov.au/industry/pricing/ex-manufacturer-price/2026/09/ex-manufacturer-prices-non-efc-2026-09-01.XLSX"/>
    <hyperlink ref="J59" r:id="rId53" display="https://www.formulary.health.gov.on.ca/formulary/detail.xhtml?drugId=02516160"/>
    <hyperlink ref="J60" r:id="rId54" display="https://www.ab.bluecross.ca/dbl/pdfs/ABCDPL_2026_09_04.pdf"/>
    <hyperlink ref="J61" r:id="rId55" display="https://www.drugs.com/price-guide/ibandronate"/>
    <hyperlink ref="J62" r:id="rId56" display="https://www.drugs.com/price-guide/medroxyprogesterone"/>
    <hyperlink ref="J63" r:id="rId57" display="https://www.mountainside-medical.com/products/medroxyprogesterone-acetate-injection-prefilled-syringe-150-mg-ml"/>
    <hyperlink ref="J64" r:id="rId58" display="https://www.aifa.gov.it/documents/20142/3815901/Classe_H_per_principio_attivo_30-04-2026.csv"/>
    <hyperlink ref="J65" r:id="rId59" display="https://www.aifa.gov.it/documents/20142/3815901/Classe_H_per_principio_attivo_30-04-2026.csv"/>
    <hyperlink ref="J66" r:id="rId60" display="https://www.aifa.gov.it/documents/20142/3815901/Classe_H_per_principio_attivo_30-04-2026.csv"/>
    <hyperlink ref="J67" r:id="rId61" display="https://www.aifa.gov.it/documents/20142/3815901/Classe_H_per_principio_attivo_30-04-2026.csv"/>
    <hyperlink ref="J68" r:id="rId62" display="https://www.ab.bluecross.ca/dbl/pdfs/ABCDPL_2024_12_05.pdf"/>
    <hyperlink ref="J69" r:id="rId63" display="https://www.ab.bluecross.ca/dbl/pdfs/ABCDPL_2024_12_05.pdf"/>
    <hyperlink ref="J70" r:id="rId64" display="https://www.ab.bluecross.ca/dbl/pdfs/ABCDPL_2024_12_05.pdf"/>
    <hyperlink ref="J71" r:id="rId65" display="https://www.ab.bluecross.ca/dbl/pdfs/ABCDPL_2024_12_05.pdf"/>
    <hyperlink ref="J72" r:id="rId66" display="https://www.drugs.com/price-guide/mesna"/>
    <hyperlink ref="J73" r:id="rId67" display="https://www.drugs.com/price-guide/methotrexate"/>
    <hyperlink ref="J74" r:id="rId68" display="https://www.drugs.com/price-guide/methotrexate"/>
    <hyperlink ref="J75" r:id="rId69" display="https://www.drugs.com/price-guide/methotrexate"/>
    <hyperlink ref="J76" r:id="rId70" display="https://www.cms.gov/files/zip/october-2026-medicare-part-b-payment-limit-files-final.zip"/>
    <hyperlink ref="J77" r:id="rId71" display="https://www.cms.gov/files/zip/october-2026-medicare-part-b-payment-limit-files-final.zip"/>
    <hyperlink ref="J78" r:id="rId72" display="https://www.aifa.gov.it/documents/20142/3815901/Classe_H_per_principio_attivo_30-04-2026.csv"/>
    <hyperlink ref="J79" r:id="rId73" display="https://www.drugs.com/price-guide/nafcillin"/>
    <hyperlink ref="J80" r:id="rId74" display="https://www.drugs.com/price-guide/nafcillin"/>
    <hyperlink ref="J82" r:id="rId75" display="https://www.drugs.com/price-guide/naloxone"/>
    <hyperlink ref="J83" r:id="rId76" display="https://www.ab.bluecross.ca/dbl/pdfs/ABCDPL_2026_09_04.pdf"/>
    <hyperlink ref="J84" r:id="rId77" display="https://dmd-browser.nhsbsa.nhs.uk/ampp/view/47382"/>
    <hyperlink ref="J85" r:id="rId78" display="https://www.aifa.gov.it/documents/20142/3815901/Classe_H_per_principio_attivo_30-04-2026.csv"/>
    <hyperlink ref="J86" r:id="rId79" display="https://www.formulary.health.gov.on.ca/formulary/detail.xhtml?drugId=02491524"/>
    <hyperlink ref="J87" r:id="rId80" display="https://www.formulary.health.gov.on.ca/formulary/detail.xhtml?drugId=02491532"/>
    <hyperlink ref="J88" r:id="rId81" display="https://www.ab.bluecross.ca/dbl/pdfs/ABCDPL_2026_09_04.pdf"/>
    <hyperlink ref="J89" r:id="rId82" display="https://www.drugs.com/price-guide/oxacillin"/>
    <hyperlink ref="J90" r:id="rId83" display="https://www.drugs.com/price-guide/palonosetron"/>
    <hyperlink ref="J91" r:id="rId84" display="https://dmd-browser.nhsbsa.nhs.uk/ampp/view/194984"/>
    <hyperlink ref="J92" r:id="rId85" display="https://www.ab.bluecross.ca/dbl/pdfs/ABCDPL_2026_03_03.pdf"/>
    <hyperlink ref="J93" r:id="rId86" display="https://www.ab.bluecross.ca/dbl/pdfs/ABCDPL_2026_03_03.pdf"/>
    <hyperlink ref="J94" r:id="rId87" display="https://www.drugs.com/price-guide/plerixafor"/>
    <hyperlink ref="J95" r:id="rId88" display="https://dmd-browser.nhsbsa.nhs.uk/ampp/view/190293"/>
    <hyperlink ref="J96" r:id="rId89" display="https://www.aifa.gov.it/documents/20142/3815901/Classe_H_per_principio_attivo_30-04-2026.csv"/>
    <hyperlink ref="J97" r:id="rId90" display="https://www.ab.bluecross.ca/dbl/pdfs/ABCDPL_2026_09_04.pdf"/>
    <hyperlink ref="J98" r:id="rId91" display="https://www.pbs.gov.au/industry/pricing/price-disclosure-spd/current-price-disclosure-cycle"/>
    <hyperlink ref="J99" r:id="rId92" display="https://www.drugs.com/price-guide/progesterone"/>
    <hyperlink ref="J100" r:id="rId93" display="https://www.cms.gov/files/zip/october-2026-medicare-part-b-payment-limit-files-final.zip"/>
    <hyperlink ref="J101" r:id="rId94" display="https://www.medicinpriser.dk/Default.aspx?VirksomtStof=Remifentanil"/>
    <hyperlink ref="J102" r:id="rId95" display="https://www.drugs.com/price-guide/ropivacaine"/>
    <hyperlink ref="J103" r:id="rId96" display="https://www.drugs.com/price-guide/ropivacaine"/>
    <hyperlink ref="J104" r:id="rId97" display="https://www.drugs.com/price-guide/ropivacaine"/>
    <hyperlink ref="J105" r:id="rId98" display="https://www.drugs.com/price-guide/ropivacaine"/>
    <hyperlink ref="J106" r:id="rId99" display="https://www.drugs.com/price-guide/ropivacaine"/>
    <hyperlink ref="J107" r:id="rId100" display="https://www.drugs.com/price-guide/ropivacaine"/>
    <hyperlink ref="J108" r:id="rId101" display="https://www.drugs.com/price-guide/sildenafil"/>
    <hyperlink ref="J109" r:id="rId102" display="https://www.drugs.com/price-guide/testosterone"/>
    <hyperlink ref="J110" r:id="rId103" display="https://www.drugs.com/price-guide/testosterone"/>
    <hyperlink ref="J111" r:id="rId104" display="https://www.drugs.com/price-guide/testosterone"/>
    <hyperlink ref="J112" r:id="rId105" display="https://www.drugs.com/price-guide/tirofiban"/>
    <hyperlink ref="J113" r:id="rId106" display="https://www.drugs.com/price-guide/tirofiban"/>
    <hyperlink ref="J114" r:id="rId107" display="https://www.ab.bluecross.ca/dbl/pdfs/ABCDPL_2026_04_07.pdf"/>
    <hyperlink ref="J115" r:id="rId108" display="https://www.ab.bluecross.ca/dbl/pdfs/ABCDPL_2026_04_07.pdf"/>
    <hyperlink ref="J116" r:id="rId109" display="https://www.ab.bluecross.ca/dbl/pdfs/ABCDPL_2026_09_04.pdf"/>
    <hyperlink ref="J117" r:id="rId110" display="https://www.cms.gov/files/zip/october-2026-medicare-part-b-payment-limit-files-final.zip"/>
    <hyperlink ref="J118" r:id="rId111" location="search:norcuron" display="https://medicineprices.org.za/#search:norcuron"/>
    <hyperlink ref="J120" r:id="rId112" display="https://www.drugs.com/price-guide/verapamil"/>
    <hyperlink ref="J121" r:id="rId113" display="https://www.aifa.gov.it/documents/20142/3815901/Classe_H_per_principio_attivo_30-04-2026.csv"/>
    <hyperlink ref="J122" r:id="rId114" display="https://www.aifa.gov.it/documents/20142/3815901/Classe_H_per_principio_attivo_30-04-2026.csv"/>
    <hyperlink ref="J123" r:id="rId115" display="https://www.pbs.gov.au/industry/pricing/ex-manufacturer-price/2026/09/ex-manufacturer-prices-non-efc-2026-09-01.XLSX"/>
    <hyperlink ref="J124" r:id="rId116" display="https://www.pbs.gov.au/industry/pricing/ex-manufacturer-price/2026/09/ex-manufacturer-prices-efc-2026-09-01.XLSX"/>
    <hyperlink ref="J125" r:id="rId117" display="https://www.health.gov.za/nhi-pee/"/>
    <hyperlink ref="J126" r:id="rId118" display="https://www.health.gov.za/nhi-pee/"/>
    <hyperlink ref="J127" r:id="rId119" location="search:cefect" display="https://medicineprices.org.za/#search:cefect"/>
    <hyperlink ref="J128" r:id="rId120" location="search:cefect" display="https://medicineprices.org.za/#search:cefect"/>
    <hyperlink ref="J129" r:id="rId121" display="https://dmd-browser.nhsbsa.nhs.uk/ampp/view/193506"/>
    <hyperlink ref="J130" r:id="rId122" display="https://www.aifa.gov.it/documents/20142/3815901/Classe_H_per_principio_attivo_30-04-2026.csv"/>
    <hyperlink ref="J133" r:id="rId123" display="https://www.health.gov.za/nhi-pee/"/>
    <hyperlink ref="J134" r:id="rId124" display="https://www.health.gov.za/nhi-pee/"/>
    <hyperlink ref="J135" r:id="rId125" display="https://www.aifa.gov.it/documents/20142/3815901/Classe_H_per_principio_attivo_30-04-2026.csv"/>
    <hyperlink ref="J136" r:id="rId126" display="https://www.cms.gov/files/zip/october-2026-medicare-part-b-payment-limit-files-final.zip"/>
    <hyperlink ref="J137" r:id="rId127" display="https://www.cms.gov/files/zip/october-2026-medicare-part-b-payment-limit-files-final.zip"/>
    <hyperlink ref="J138" r:id="rId128" display="https://department.va.gov/procurement-acquisition-and-logistics/wp-content/uploads/sites/56/2026/10/TPharmPrices2026-10-01.xlsx"/>
    <hyperlink ref="J139" r:id="rId129" display="https://department.va.gov/procurement-acquisition-and-logistics/wp-content/uploads/sites/56/2026/10/TPharmPrices2026-10-01.xlsx"/>
    <hyperlink ref="J140" r:id="rId130" display="https://department.va.gov/procurement-acquisition-and-logistics/wp-content/uploads/sites/56/2026/10/TPharmPrices2026-10-01.xlsx"/>
    <hyperlink ref="J141" r:id="rId131" display="https://www.drugs.com/price-guide/somatuline-depot"/>
    <hyperlink ref="J142" r:id="rId132" display="https://www.drugs.com/price-guide/somatuline-depot"/>
    <hyperlink ref="J143" r:id="rId133" display="https://www.drugs.com/price-guide/lanreotide"/>
    <hyperlink ref="J144" r:id="rId134" display="https://www.health.gov.za/nhi-pee/"/>
    <hyperlink ref="J145" r:id="rId135" display="https://www.health.gov.za/nhi-pee/"/>
    <hyperlink ref="J146" r:id="rId136" display="https://www.pbs.gov.au/medicine/item/14160G"/>
    <hyperlink ref="J147" r:id="rId137" display="https://www.pbs.gov.au/industry/pricing/ex-manufacturer-price/2026/09/ex-manufacturer-prices-non-efc-2026-09-01.XLSX"/>
    <hyperlink ref="J148" r:id="rId138" display="https://www.cms.gov/files/zip/october-2026-medicare-part-b-payment-limit-files-final.zip"/>
    <hyperlink ref="J149" r:id="rId139" display="https://www.cms.gov/files/zip/october-2026-medicare-part-b-payment-limit-files-final.zip"/>
    <hyperlink ref="J150" r:id="rId140" display="https://www.cms.gov/files/zip/october-2026-medicare-part-b-payment-limit-files-final.zip"/>
    <hyperlink ref="J151" r:id="rId141" location="search:streptase" display="https://medicineprices.org.za/#search:streptase"/>
    <hyperlink ref="J152" r:id="rId142" location="search:streptase" display="https://medicineprices.org.za/#search:streptase"/>
    <hyperlink ref="J153" r:id="rId143" display="https://www.aponeo.de/rx/18660518-sugammadex-amarox-100-mg-ml-injektionsloesung.html"/>
    <hyperlink ref="J156" r:id="rId144" location="search:senuom" display="https://medicineprices.org.za/#search:senuom"/>
    <hyperlink ref="J157" r:id="rId145" display="https://www.health.gov.za/nhi-pee/"/>
    <hyperlink ref="J158" r:id="rId146" display="https://www.drugs.com/price-guide/testosterone"/>
    <hyperlink ref="J159" r:id="rId147" display="https://www.drugs.com/price-guide/testosterone"/>
    <hyperlink ref="J160" r:id="rId148" display="https://www.health.gov.za/nhi-pee/"/>
    <hyperlink ref="J161" r:id="rId149" display="https://www.pbs.gov.au/industry/pricing/ex-manufacturer-price/2026/10/ex-manufacturer-prices-efc-2026-10-01.XLSX"/>
    <hyperlink ref="J162" r:id="rId150" display="https://www.health.gov.za/nhi-pee/"/>
    <hyperlink ref="J163" r:id="rId151" display="https://www.health.gov.za/nhi-pee/"/>
    <hyperlink ref="J164" r:id="rId152" display="https://www.health.gov.za/nhi-pee/"/>
    <hyperlink ref="J165" r:id="rId153" display="https://dmd-browser.nhsbsa.nhs.uk/ampp/view/185061"/>
    <hyperlink ref="J166" r:id="rId154" display="https://www.aifa.gov.it/documents/20142/3815901/Classe_H_per_principio_attivo_30-04-2026.csv"/>
    <hyperlink ref="J167" r:id="rId155" display="https://www.ab.bluecross.ca/dbl/pdfs/ABCDPL_2026_01_07.pdf"/>
    <hyperlink ref="J168" r:id="rId156" display="https://www.pbs.gov.au/industry/pricing/ex-manufacturer-price/2026/09/ex-manufacturer-prices-non-efc-2026-09-01.XLSX"/>
    <hyperlink ref="J169" r:id="rId157" display="https://www.health.gov.za/nhi-pee/"/>
    <hyperlink ref="J170" r:id="rId158" display="https://www.drugs.com/price-guide/bivalirudin"/>
    <hyperlink ref="J171" r:id="rId159" display="https://www.drugs.com/price-guide/bortezomib"/>
    <hyperlink ref="J172" r:id="rId160" display="https://dmd-browser.nhsbsa.nhs.uk/ampp/view/175945"/>
    <hyperlink ref="J173" r:id="rId161" display="https://www.aifa.gov.it/documents/20142/3815901/Classe_H_per_principio_attivo_30-04-2026.csv"/>
    <hyperlink ref="J174" r:id="rId162" display="https://www.ab.bluecross.ca/dbl/pdfs/ABCDPL_2026_01_07.pdf"/>
    <hyperlink ref="J175" r:id="rId163" location="search:bertred" display="https://medicineprices.org.za/#search:bertred"/>
    <hyperlink ref="J176" r:id="rId164" display="https://department.va.gov/procurement-acquisition-and-logistics/wp-content/uploads/sites/56/2026/10/TPharmPrices2026-10-01.xlsx"/>
    <hyperlink ref="J177" r:id="rId165" display="https://department.va.gov/procurement-acquisition-and-logistics/wp-content/uploads/sites/56/2026/10/TPharmPrices2026-10-01.xlsx"/>
    <hyperlink ref="J178" r:id="rId166" display="https://www.drugs.com/price-guide/cyclophosphamide"/>
    <hyperlink ref="J179" r:id="rId167" display="https://www.drugs.com/price-guide/cyclophosphamide"/>
    <hyperlink ref="J180" r:id="rId168" display="https://www.drugs.com/price-guide/cyclophosphamide"/>
    <hyperlink ref="J181" r:id="rId169" display="https://www.boe.es/boe/dias/2025/10/13/pdfs/BOE-A-2025-20356.pdf"/>
    <hyperlink ref="J182" r:id="rId170" display="https://dmd-browser.nhsbsa.nhs.uk/ampp/view/169812"/>
    <hyperlink ref="J184" r:id="rId171" display="https://www.formulary.health.gov.on.ca/formulary/detail.xhtml?drugId=02490463"/>
    <hyperlink ref="J187" r:id="rId172" display="https://www.drugs.com/price-guide/desmopressin"/>
    <hyperlink ref="J188" r:id="rId173" display="https://www.cms.gov/files/zip/october-2026-medicare-part-b-payment-limit-files-final.zip"/>
    <hyperlink ref="J189" r:id="rId174" display="https://www.drugs.com/price-guide/ephedrine"/>
    <hyperlink ref="J190" r:id="rId175" display="https://www.drugs.com/price-guide/eribulin"/>
    <hyperlink ref="J191" r:id="rId176" display="https://dmd-browser.nhsbsa.nhs.uk/ampp/view/211180"/>
    <hyperlink ref="J192" r:id="rId177" display="https://www.aifa.gov.it/documents/20142/3815901/Classe_H_per_principio_attivo_30-04-2026.csv"/>
    <hyperlink ref="J193" r:id="rId178" display="https://www.ab.bluecross.ca/dbl/pdfs/ABCDPL_2026_09_04.pdf"/>
    <hyperlink ref="J194" r:id="rId179" display="https://www.pbs.gov.au/industry/pricing/ex-manufacturer-price/2026/09/ex-manufacturer-prices-efc-2026-09-01.XLSX"/>
    <hyperlink ref="J195" r:id="rId180" display="https://www.health.gov.za/nhi-pee/"/>
    <hyperlink ref="J196" r:id="rId181" display="https://www.ab.bluecross.ca/dbl/pdfs/ABCDPL_2026_09_04.pdf"/>
    <hyperlink ref="J197" r:id="rId182" display="https://www.pbs.gov.au/industry/pricing/ex-manufacturer-price/2026/09/ex-manufacturer-prices-non-efc-2026-09-01.XLSX"/>
    <hyperlink ref="J198" r:id="rId183" display="https://www.pbs.gov.au/industry/pricing/ex-manufacturer-price/2026/09/ex-manufacturer-prices-non-efc-2026-09-01.XLSX"/>
    <hyperlink ref="J199" r:id="rId184" display="https://www.pbs.gov.au/publication/schedule/2026/10/2026-10-01-PBS-API-CSV-files.zip?variant=3"/>
    <hyperlink ref="J200" r:id="rId185" display="https://www.drugs.com/price-guide/fulvestrant"/>
    <hyperlink ref="J201" r:id="rId186" display="https://dmd-browser.nhsbsa.nhs.uk/ampp/view/183157"/>
    <hyperlink ref="J202" r:id="rId187" display="https://www.aifa.gov.it/documents/20142/3815901/Classe_H_per_principio_attivo_30-04-2026.csv"/>
    <hyperlink ref="J203" r:id="rId188" location="search:eranfu" display="https://medicineprices.org.za/#search:eranfu"/>
    <hyperlink ref="J204" r:id="rId189" display="https://www.docmorris.de/ibandronsaeure-beta-3-mg-injektionslsgfertigspr/08881520"/>
    <hyperlink ref="J205" r:id="rId190" display="https://department.va.gov/procurement-acquisition-and-logistics/wp-content/uploads/sites/56/2026/10/TPharmPrices2026-10-01.xlsx"/>
    <hyperlink ref="J206" r:id="rId191" display="https://www.drugs.com/price-guide/neostigmine"/>
    <hyperlink ref="J207" r:id="rId192" display="https://www.drugs.com/price-guide/neostigmine"/>
    <hyperlink ref="J208" r:id="rId193" display="https://www.drugs.com/price-guide/neostigmine"/>
    <hyperlink ref="J209" r:id="rId194" display="https://www.drugs.com/price-guide/palonosetron"/>
    <hyperlink ref="J210" r:id="rId195" display="https://www.aifa.gov.it/documents/20142/3815901/Classe_H_per_principio_attivo_30-04-2026.csv"/>
    <hyperlink ref="J211" r:id="rId196" display="https://www.pbs.gov.au/industry/pricing/ex-manufacturer-price/2026/09/ex-manufacturer-prices-non-efc-2026-09-01.XLSX"/>
    <hyperlink ref="J213" r:id="rId197" display="https://www.drugs.com/price-guide/phytonadione"/>
    <hyperlink ref="J214" r:id="rId198" display="https://www.drugs.com/price-guide/plerixafor"/>
    <hyperlink ref="J215" r:id="rId199" display="https://www.cms.gov/files/zip/october-2026-medicare-part-b-payment-limit-files-final.zip"/>
    <hyperlink ref="J217" r:id="rId200" display="https://www.ab.bluecross.ca/dbl/pdfs/ABCDPL_2026_09_04.pdf"/>
    <hyperlink ref="J218" r:id="rId201" display="https://www.drugs.com/price-guide/sugammadex"/>
    <hyperlink ref="J219" r:id="rId202" display="https://www.drugs.com/price-guide/sugammadex"/>
    <hyperlink ref="J220" r:id="rId203" display="https://dmd-browser.nhsbsa.nhs.uk/ampp/view/195075"/>
    <hyperlink ref="J221" r:id="rId204" display="https://www.aifa.gov.it/documents/20142/3815901/Classe_H_per_principio_attivo_30-04-2026.csv"/>
    <hyperlink ref="J222" r:id="rId205" display="https://www.aifa.gov.it/documents/20142/3815901/Classe_H_per_principio_attivo_30-04-2026.csv"/>
    <hyperlink ref="J225" r:id="rId206" location="search:neuvysi" display="https://medicineprices.org.za/#search:neuvysi"/>
    <hyperlink ref="J226" r:id="rId207" display="https://www.drugs.com/price-guide/thiotepa"/>
    <hyperlink ref="J227" r:id="rId208" display="https://www.cms.gov/files/zip/october-2026-medicare-part-b-payment-limit-files-final.zip"/>
    <hyperlink ref="J228" r:id="rId209" display="https://www.cms.gov/files/zip/october-2026-medicare-part-b-payment-limit-files-final.zip"/>
    <hyperlink ref="J229" r:id="rId210" display="https://dmd-browser.nhsbsa.nhs.uk/ampp/view/210747"/>
    <hyperlink ref="J230" r:id="rId211" display="https://www.medicijnkosten.nl/medicijn?artikel=DIAMOX+INJECTIEPOEDER+FLACON+500MG&amp;id=eccf17da767207477dcc6b1f5efd1f4a"/>
    <hyperlink ref="J231" r:id="rId212" display="https://dmd-browser.nhsbsa.nhs.uk/ampp/view/184215"/>
    <hyperlink ref="J232" r:id="rId213" display="https://www.aifa.gov.it/documents/20142/3815901/Classe_A_per_principio_attivo_30-04-2026.csv"/>
    <hyperlink ref="J233" r:id="rId214" display="https://www.ab.bluecross.ca/dbl/pdfs/ABCDPL_2026_04_07.pdf"/>
    <hyperlink ref="J235" r:id="rId215" display="https://mediately.co/it/drugs/EW7GuNfn2hkEMxRggSwwiF1PMll/ampicillina-tillomed-1-g-polvere-per-soluzione-iniettabile-per-infusione"/>
    <hyperlink ref="J236" r:id="rId216" display="https://dmd-browser.nhsbsa.nhs.uk/ampp/view/190490"/>
    <hyperlink ref="J237" r:id="rId217" display="https://www.aifa.gov.it/documents/20142/3815901/Classe_H_per_principio_attivo_30-04-2026.csv"/>
    <hyperlink ref="J238" r:id="rId218" display="https://www.aifa.gov.it/documents/20142/3815901/Classe_H_per_principio_attivo_30-04-2026.csv"/>
    <hyperlink ref="J239" r:id="rId219" display="https://www.ab.bluecross.ca/dbl/pdfs/ABCDPL_2026_09_04.pdf"/>
    <hyperlink ref="J240" r:id="rId220" display="https://www.ab.bluecross.ca/dbl/pdfs/ABCDPL_2026_09_04.pdf"/>
    <hyperlink ref="J241" r:id="rId221" display="https://www.ab.bluecross.ca/dbl/pdfs/ABCDPL_2026_09_04.pdf"/>
    <hyperlink ref="J242" r:id="rId222" display="https://www.ab.bluecross.ca/dbl/pdfs/ABCDPL_2026_09_04.pdf"/>
    <hyperlink ref="J243" r:id="rId223" display="https://dmd-browser.nhsbsa.nhs.uk/ampp/view/194983"/>
    <hyperlink ref="J244" r:id="rId224" display="https://www.aifa.gov.it/documents/20142/3815901/Classe_H_per_principio_attivo_30-04-2026.csv"/>
    <hyperlink ref="J245" r:id="rId225" display="https://www.medicinpriser.dk/Default.aspx?VirksomtStof=Eribulin"/>
    <hyperlink ref="J246" r:id="rId226" display="https://www.aifa.gov.it/documents/20142/3815901/Classe_H_per_principio_attivo_30-04-2026.csv"/>
    <hyperlink ref="J249" r:id="rId227" display="https://dmd-browser.nhsbsa.nhs.uk/ampp/view/169622"/>
    <hyperlink ref="J250" r:id="rId228" display="https://www.aifa.gov.it/documents/20142/3815901/Classe_H_per_principio_attivo_30-04-2026.csv"/>
    <hyperlink ref="J251" r:id="rId229" display="https://www.aifa.gov.it/documents/20142/3815901/Classe_H_per_principio_attivo_30-04-2026.csv"/>
    <hyperlink ref="J252" r:id="rId230" display="https://www.ab.bluecross.ca/dbl/pdfs/ABCDPL_2026_09_04.pdf"/>
    <hyperlink ref="J254" r:id="rId231" display="https://dmd-browser.nhsbsa.nhs.uk/ampp/view/190885"/>
    <hyperlink ref="J255" r:id="rId232" display="https://mediately.co/de/drugs/2JLSD2rNCbtip2an1uWLKQBCmLc/milrinon-carinopharm-1-mg-ml-injektions-infusionslosung"/>
    <hyperlink ref="J256" r:id="rId233" display="https://www.ab.bluecross.ca/dbl/pdfs/ABCDPL_2026_09_04.pdf"/>
    <hyperlink ref="J257" r:id="rId234" display="https://www.ab.bluecross.ca/dbl/pdfs/ABCDPL_2026_09_04.pdf"/>
    <hyperlink ref="J258" r:id="rId235" display="https://www.aifa.gov.it/documents/20142/3815901/Classe_H_per_principio_attivo_30-04-2026.csv"/>
    <hyperlink ref="J259" r:id="rId236" display="https://dmd-browser.nhsbsa.nhs.uk/ampp/view/194984"/>
    <hyperlink ref="J260" r:id="rId237" display="https://dmd-browser.nhsbsa.nhs.uk/ampp/view/197400"/>
    <hyperlink ref="J261" r:id="rId238" display="https://base-donnees-publique.medicaments.gouv.fr/medicament/61094142/extrait"/>
    <hyperlink ref="J262" r:id="rId239" display="https://www.ab.bluecross.ca/dbl/pdfs/ABCDPL_2026_09_04.pdf"/>
    <hyperlink ref="J264" r:id="rId240" display="https://dmd-browser.nhsbsa.nhs.uk/ampp/view/198696"/>
    <hyperlink ref="J265" r:id="rId241" display="https://www.aifa.gov.it/documents/20142/3815901/Classe_H_per_principio_attivo_30-04-2026.csv"/>
    <hyperlink ref="J266" r:id="rId242" display="https://www.ab.bluecross.ca/dbl/pdfs/ABCDPL_2026_09_04.pdf"/>
    <hyperlink ref="J267" r:id="rId243" display="https://dmd-browser.nhsbsa.nhs.uk/ampp/view/195295"/>
    <hyperlink ref="J268" r:id="rId244" display="https://www.aifa.gov.it/documents/20142/3815901/Classe_H_per_principio_attivo_30-04-2026.csv"/>
    <hyperlink ref="J269" r:id="rId245" display="https://www.aifa.gov.it/documents/20142/3815901/Classe_H_per_principio_attivo_30-04-2026.csv"/>
    <hyperlink ref="J270" r:id="rId246" display="https://www.boe.es/boe/dias/2025/10/13/pdfs/BOE-A-2025-20356.pdf"/>
    <hyperlink ref="J271" r:id="rId247" display="https://www.pbs.gov.au/industry/pricing/ex-manufacturer-price/2026/09/ex-manufacturer-prices-efc-2026-09-01.XLSX"/>
    <hyperlink ref="J272" r:id="rId248" display="https://www.pbs.gov.au/industry/pricing/ex-manufacturer-price/2026/09/ex-manufacturer-prices-efc-2026-09-01.XLSX"/>
    <hyperlink ref="J273" r:id="rId249" display="https://www.drugs.com/price-guide/eribulin"/>
    <hyperlink ref="J274" r:id="rId250" display="https://dmd-browser.nhsbsa.nhs.uk/ampp/view/204041"/>
    <hyperlink ref="J275" r:id="rId251" display="https://www.aifa.gov.it/documents/20142/3815901/Classe_H_per_principio_attivo_30-04-2026.csv"/>
    <hyperlink ref="J276" r:id="rId252" display="https://www.drugs.com/price-guide/fulvestrant"/>
    <hyperlink ref="J277" r:id="rId253" display="https://www.nhsbsa.nhs.uk/sites/default/files/2026-08/Part%20VIIIA%20Sep%2026.xls.xlsx"/>
    <hyperlink ref="J278" r:id="rId254" display="https://www.aifa.gov.it/documents/20142/3815901/Classe_H_per_principio_attivo_30-04-2026.csv"/>
    <hyperlink ref="J279" r:id="rId255" display="https://www.aifa.gov.it/documents/20142/3815901/Classe_H_per_principio_attivo_30-04-2026.csv"/>
    <hyperlink ref="J280" r:id="rId256" display="https://dmd-browser.nhsbsa.nhs.uk/ampp/view/195045"/>
    <hyperlink ref="J281" r:id="rId257" display="https://www.aifa.gov.it/documents/20142/3815901/Classe_H_per_principio_attivo_30-04-2026.csv"/>
    <hyperlink ref="J282" r:id="rId258" display="https://dmd-browser.nhsbsa.nhs.uk/ampp/view/185061"/>
    <hyperlink ref="J284" r:id="rId259" display="https://www.drugs.com/price-guide/bortezomib"/>
    <hyperlink ref="J285" r:id="rId260" display="https://dmd-browser.nhsbsa.nhs.uk/ampp/view/174545"/>
    <hyperlink ref="J286" r:id="rId261" display="https://www.aifa.gov.it/documents/20142/3815901/Classe_H_per_principio_attivo_30-04-2026.csv"/>
    <hyperlink ref="J288" r:id="rId262" location="search:bortiv" display="https://medicineprices.org.za/#search:bortiv"/>
    <hyperlink ref="J289" r:id="rId263" location="search:bortiv" display="https://medicineprices.org.za/#search:bortiv"/>
    <hyperlink ref="J290" r:id="rId264" location="search:bortiv" display="https://medicineprices.org.za/#search:bortiv"/>
    <hyperlink ref="J291" r:id="rId265" display="https://www.health.gov.za/nhi-pee/"/>
    <hyperlink ref="J292" r:id="rId266" display="https://dmd-browser.nhsbsa.nhs.uk/ampp/view/148217"/>
    <hyperlink ref="J293" r:id="rId267" display="https://www.medicijnkosten.nl/medicijn?artikel=BRIVIACT+INF%2FINJVLST+10MG%2FML+FLACON+5ML&amp;id=8aa63cad90cad7246d95c19b8f6d410d"/>
    <hyperlink ref="J294" r:id="rId268" display="https://www.drugs.com/price-guide/chlorpromazine"/>
    <hyperlink ref="J295" r:id="rId269" display="https://www.cms.gov/files/zip/october-2026-medicare-part-b-payment-limit-files-final.zip"/>
    <hyperlink ref="J296" r:id="rId270" display="https://dmd-browser.nhsbsa.nhs.uk/ampp/view/210375"/>
    <hyperlink ref="J297" r:id="rId271" display="https://www.aifa.gov.it/documents/20142/3815901/Classe_H_per_principio_attivo_30-04-2026.csv"/>
    <hyperlink ref="J299" r:id="rId272" display="https://department.va.gov/procurement-acquisition-and-logistics/wp-content/uploads/sites/56/2026/10/TPharmPrices2026-10-01.xlsx"/>
    <hyperlink ref="J300" r:id="rId273" display="https://department.va.gov/procurement-acquisition-and-logistics/wp-content/uploads/sites/56/2026/10/TPharmPrices2026-10-01.xlsx"/>
    <hyperlink ref="J301" r:id="rId274" display="https://www.drugs.com/price-guide/magnesium-sulfate"/>
    <hyperlink ref="J302" r:id="rId275" display="https://dmd-browser.nhsbsa.nhs.uk/ampp/view/101360"/>
    <hyperlink ref="J303" r:id="rId276" display="https://www.medicijnkosten.nl/medicijn?artikel=MELFALAN+AMAROX+INJ%2FINFUSIEPOEDER+FL50MG%2BSV+10ML&amp;id=35352a89252a9fdd69fd915f3d070528"/>
    <hyperlink ref="J304" r:id="rId277" display="https://www.aifa.gov.it/documents/20142/3815901/Classe_H_per_principio_attivo_30-04-2026.csv"/>
    <hyperlink ref="J305" r:id="rId278" display="https://www.drugs.com/price-guide/methotrexate"/>
    <hyperlink ref="J306" r:id="rId279" display="https://www.health.gov.za/nhi-pee/"/>
    <hyperlink ref="J307" r:id="rId280" display="https://dmd-browser.nhsbsa.nhs.uk/ampp/view/194984"/>
    <hyperlink ref="J308" r:id="rId281" display="https://www.aifa.gov.it/documents/20142/3815901/Classe_H_per_principio_attivo_30-04-2026.csv"/>
    <hyperlink ref="J309" r:id="rId282" display="https://www.drugs.com/price-guide/plerixafor"/>
    <hyperlink ref="J310" r:id="rId283" display="https://dmd-browser.nhsbsa.nhs.uk/ampp/view/190293"/>
    <hyperlink ref="J311" r:id="rId284" display="https://www.aifa.gov.it/documents/20142/3815901/Classe_H_per_principio_attivo_30-04-2026.csv"/>
    <hyperlink ref="J312" r:id="rId285" location="search:heterix" display="https://medicineprices.org.za/#search:heterix"/>
    <hyperlink ref="J313" r:id="rId286" display="https://www.cms.gov/files/zip/october-2026-medicare-part-b-payment-limit-files-final.zip"/>
    <hyperlink ref="J314" r:id="rId287" display="https://www.aifa.gov.it/documents/20142/3815901/Classe_H_per_principio_attivo_30-04-2026.csv"/>
    <hyperlink ref="J315" r:id="rId288" display="https://www.drugs.com/price-guide/sodium-bicarbonate"/>
    <hyperlink ref="J316" r:id="rId289" display="https://department.va.gov/procurement-acquisition-and-logistics/wp-content/uploads/sites/56/2026/10/TPharmPrices2026-10-01.xlsx"/>
    <hyperlink ref="J317" r:id="rId290" display="https://www.drugs.com/price-guide/sugammadex"/>
    <hyperlink ref="J318" r:id="rId291" display="https://www.drugs.com/price-guide/sugammadex"/>
    <hyperlink ref="J319" r:id="rId292" display="https://dmd-browser.nhsbsa.nhs.uk/ampp/view/195045"/>
    <hyperlink ref="J320" r:id="rId293" display="https://www.aponeo.de/rx/18660518-sugammadex-amarox-100-mg-ml-injektionsloesung.html"/>
    <hyperlink ref="J321" r:id="rId294" location="search:sugmasol" display="https://medicineprices.org.za/#search:sugmasol"/>
    <hyperlink ref="J322" r:id="rId295" display="https://www.nhsbsa.nhs.uk/sites/default/files/2026-08/Part%20VIIIA%20Sep%2026.xls.xlsx"/>
    <hyperlink ref="J323" r:id="rId296" display="https://www.aifa.gov.it/documents/20142/3815901/Classe_H_per_principio_attivo_30-04-2026.csv"/>
    <hyperlink ref="J324" r:id="rId297" display="https://department.va.gov/procurement-acquisition-and-logistics/wp-content/uploads/sites/56/2026/10/TPharmPrices2026-10-01.xlsx"/>
    <hyperlink ref="J326" r:id="rId298" display="https://www.health.gov.za/nhi-pee/"/>
    <hyperlink ref="J328" r:id="rId299" display="https://www.drugs.com/price-guide/argatroban"/>
    <hyperlink ref="J329" r:id="rId300" display="https://www.aponeo.de/rx/04262642-atracurium-hikma-25-mg-2-5-ml-ampullen.html"/>
    <hyperlink ref="J330" r:id="rId301" display="https://www.drugs.com/price-guide/atropine"/>
    <hyperlink ref="J331" r:id="rId302" display="https://www.drugs.com/price-guide/atropine"/>
    <hyperlink ref="J332" r:id="rId303" display="https://www.drugs.com/price-guide/atropine"/>
    <hyperlink ref="J333" r:id="rId304" display="https://www.drugs.com/price-guide/atropine"/>
    <hyperlink ref="J334" r:id="rId305" display="https://www.drugs.com/price-guide/atropine"/>
    <hyperlink ref="J335" r:id="rId306" display="https://dmd-browser.nhsbsa.nhs.uk/ampp/view/190887"/>
    <hyperlink ref="J336" r:id="rId307" display="https://www.aponeo.de/rx/17518273-atropin-accord-100-ug-ml-inj-lsg-i-e-fertigspr.html"/>
    <hyperlink ref="J337" r:id="rId308" display="https://www.aponeo.de/rx/17518273-atropin-accord-100-ug-ml-inj-lsg-i-e-fertigspr.html"/>
    <hyperlink ref="J338" r:id="rId309" display="https://dmd-browser.nhsbsa.nhs.uk/ampp/view/185061"/>
    <hyperlink ref="J339" r:id="rId310" display="https://www.aifa.gov.it/documents/20142/3815901/Classe_H_per_principio_attivo_30-04-2026.csv"/>
    <hyperlink ref="J340" r:id="rId311" display="https://www.pbs.gov.au/industry/pricing/ex-manufacturer-price/2026/09/ex-manufacturer-prices-non-efc-2026-09-01.XLSX"/>
    <hyperlink ref="J341" r:id="rId312" display="https://www.drugs.com/price-guide/bivalirudin"/>
    <hyperlink ref="J342" r:id="rId313" display="https://dmd-browser.nhsbsa.nhs.uk/ampp/view/173756"/>
    <hyperlink ref="J343" r:id="rId314" display="https://www.aifa.gov.it/documents/20142/3815901/Classe_H_per_principio_attivo_30-04-2026.csv"/>
    <hyperlink ref="J344" r:id="rId315" display="https://dmd-browser.nhsbsa.nhs.uk/ampp/view/197277"/>
    <hyperlink ref="J345" r:id="rId316" display="https://www.kuchler-apotheken.de/bleomycin-accord-15.000-i.e.-p.z.h.e.inj.-inf.-l./15883146"/>
    <hyperlink ref="J346" r:id="rId317" display="https://www.pbs.gov.au/industry/pricing/ex-manufacturer-price/2026/09/ex-manufacturer-prices-efc-2026-09-01.XLSX"/>
    <hyperlink ref="J348" r:id="rId318" display="https://www.aifa.gov.it/documents/20142/3815901/Classe_H_per_principio_attivo_30-04-2026.csv"/>
    <hyperlink ref="J352" r:id="rId319" location="search:valtib" display="https://medicineprices.org.za/#search:valtib"/>
    <hyperlink ref="J353" r:id="rId320" display="https://www.health.gov.za/nhi-pee/"/>
    <hyperlink ref="J354" r:id="rId321" display="https://www.aifa.gov.it/documents/20142/3815901/Classe_H_per_principio_attivo_30-04-2026.csv"/>
    <hyperlink ref="J355" r:id="rId322" display="https://www.aifa.gov.it/documents/20142/3815901/Classe_H_per_principio_attivo_30-04-2026.csv"/>
    <hyperlink ref="J356" r:id="rId323" display="https://www.cms.gov/files/zip/october-2026-medicare-part-b-payment-limit-files-final.zip"/>
    <hyperlink ref="J357" r:id="rId324" display="https://dmd-browser.nhsbsa.nhs.uk/ampp/view/161747"/>
    <hyperlink ref="J363" r:id="rId325" display="https://www.nhsbsa.nhs.uk/sites/default/files/2026-08/Part%20VIIIA%20Sep%2026.xls.xlsx"/>
    <hyperlink ref="J364" r:id="rId326" display="https://www.medicinpriser.dk/Default.aspx?VirksomtStof=Colistin"/>
    <hyperlink ref="J365" r:id="rId327" display="https://dmd-browser.nhsbsa.nhs.uk/ampp/view/209804"/>
    <hyperlink ref="J369" r:id="rId328" display="https://dmd-browser.nhsbsa.nhs.uk/ampp/view/183004\"/>
    <hyperlink ref="J371" r:id="rId329" display="https://www.pbs.gov.au/industry/pricing/ex-manufacturer-price/2026/09/ex-manufacturer-prices-efc-2026-09-01.XLSX"/>
    <hyperlink ref="J377" r:id="rId330" display="https://dmd-browser.nhsbsa.nhs.uk/ampp/view/163290"/>
    <hyperlink ref="J378" r:id="rId331" display="https://www.aifa.gov.it/documents/20142/3815901/Classe_H_per_principio_attivo_30-04-2026.csv"/>
    <hyperlink ref="J381" r:id="rId332" location="search:dabucor" display="https://medicineprices.org.za/#search:dabucor"/>
    <hyperlink ref="J382" r:id="rId333" display="https://dmd-browser.nhsbsa.nhs.uk/ampp/view/208291"/>
    <hyperlink ref="J383" r:id="rId334" display="https://base-donnees-publique.medicaments.gouv.fr/medicament/65505947/extrait"/>
    <hyperlink ref="J385" r:id="rId335" display="https://www.pbs.gov.au/industry/pricing/price-disclosure-spd/current-price-disclosure-cycle"/>
    <hyperlink ref="J386" r:id="rId336" display="https://www.aifa.gov.it/documents/20142/3815901/Classe_H_per_principio_attivo_30-04-2026.csv"/>
    <hyperlink ref="J387" r:id="rId337" display="https://www.ncbi.nlm.nih.gov/books/NBK611313/table/tr8269868067037182_ch02_t09/"/>
    <hyperlink ref="J388" r:id="rId338" display="https://www.pbs.gov.au/industry/pricing/ex-manufacturer-price/2026/09/ex-manufacturer-prices-efc-2026-09-01.XLSX"/>
    <hyperlink ref="J389" r:id="rId339" location="search:rubexet" display="https://medicineprices.org.za/#search:rubexet"/>
    <hyperlink ref="J390" r:id="rId340" location="search:rubexet" display="https://medicineprices.org.za/#search:rubexet"/>
    <hyperlink ref="J391" r:id="rId341" display="https://www.health.gov.za/nhi-pee/"/>
    <hyperlink ref="J392" r:id="rId342" display="https://www.my-marien-apotheke.de/produkt/adrenalin-1-10-000-aguettant-inj-lsg-i-e-fert-s-11587497"/>
    <hyperlink ref="J393" r:id="rId343" display="https://dmd-browser.nhsbsa.nhs.uk/ampp/view/90547"/>
    <hyperlink ref="J394" r:id="rId344" display="https://www.aifa.gov.it/documents/20142/3815901/Classe_H_per_principio_attivo_30-04-2026.csv"/>
    <hyperlink ref="J395" r:id="rId345" display="https://www.pbs.gov.au/industry/pricing/ex-manufacturer-price/2026/09/ex-manufacturer-prices-efc-2026-09-01.XLSX"/>
    <hyperlink ref="J396" r:id="rId346" display="https://www.pbs.gov.au/industry/pricing/ex-manufacturer-price/2026/09/ex-manufacturer-prices-efc-2026-09-01.XLSX"/>
    <hyperlink ref="J397" r:id="rId347" display="https://www.pbs.gov.au/industry/pricing/ex-manufacturer-price/2026/09/ex-manufacturer-prices-efc-2026-09-01.XLSX"/>
    <hyperlink ref="J398" r:id="rId348" display="https://www.health.gov.za/nhi-pee/"/>
    <hyperlink ref="J399" r:id="rId349" display="https://www.health.gov.za/nhi-pee/"/>
    <hyperlink ref="J400" r:id="rId350" display="https://www.health.gov.za/nhi-pee/"/>
    <hyperlink ref="J401" r:id="rId351" display="https://www.health.gov.za/nhi-pee/"/>
    <hyperlink ref="J402" r:id="rId352" display="https://www.medicinpriser.dk/Default.aspx?VirksomtStof=Eptifibatid"/>
    <hyperlink ref="J403" r:id="rId353" display="https://www.aifa.gov.it/documents/20142/3815901/Classe_H_per_principio_attivo_30-04-2026.csv"/>
    <hyperlink ref="J404" r:id="rId354" display="https://dmd-browser.nhsbsa.nhs.uk/ampp/view/189948"/>
    <hyperlink ref="J405" r:id="rId355" display="https://www.aifa.gov.it/documents/20142/3815901/Classe_H_per_principio_attivo_30-04-2026.csv"/>
    <hyperlink ref="J406" r:id="rId356" display="https://www.aponeo.de/rx/08630485-staphylex-injektion-500-mg-plv-z-h-e-inj-inf-l.html"/>
    <hyperlink ref="J407" r:id="rId357" display="https://dmd-browser.nhsbsa.nhs.uk/ampp/view/105990"/>
    <hyperlink ref="J408" r:id="rId358" display="https://www.aifa.gov.it/documents/20142/3815901/Classe_H_per_principio_attivo_30-04-2026.csv"/>
    <hyperlink ref="J409" r:id="rId359" display="https://dmd-browser.nhsbsa.nhs.uk/ampp/view/90576"/>
    <hyperlink ref="J410" r:id="rId360" display="https://www.ncbi.nlm.nih.gov/books/NBK601789/table/tr826986112990278_ch02_t06/"/>
    <hyperlink ref="J411" r:id="rId361" display="https://www.drugs.com/price-guide/fulvestrant"/>
    <hyperlink ref="J412" r:id="rId362" display="https://www.nhsbsa.nhs.uk/sites/default/files/2026-08/Part%20VIIIA%20Sep%2026.xls.xlsx"/>
    <hyperlink ref="J413" r:id="rId363" display="https://www.aifa.gov.it/documents/20142/3815901/Classe_H_per_principio_attivo_30-04-2026.csv"/>
    <hyperlink ref="J415" r:id="rId364" display="https://www.health.gov.za/nhi-pee/"/>
    <hyperlink ref="J416" r:id="rId365" display="https://www.cms.gov/files/zip/october-2026-medicare-part-b-payment-limit-files-final.zip"/>
    <hyperlink ref="J417" r:id="rId366" display="https://www.apoteket.dk/medicin/laegemidler/hydroxocobalamin-alternova"/>
    <hyperlink ref="J418" r:id="rId367" display="https://www.drugs.com/price-guide/ibandronate"/>
    <hyperlink ref="J419" r:id="rId368" display="https://dmd-browser.nhsbsa.nhs.uk/amp/view/140839?ref=bmFtZT1sZXZvdGh5cm94aW5lK3NvZGl1bSZzaG93SW52YWxpZEl0ZW1zPWZhbHNlJnNvcnRPcmRlcj1hbHBoYSZwYWdlPTExOCZzaXplPTEwMA%3D%3D"/>
    <hyperlink ref="J420" r:id="rId369" display="https://www.aifa.gov.it/documents/20142/3815901/Classe_H_per_principio_attivo_30-04-2026.csv"/>
    <hyperlink ref="J421" r:id="rId370" display="https://www.aifa.gov.it/documents/20142/3815901/Classe_H_per_principio_attivo_30-04-2026.csv"/>
    <hyperlink ref="J423" r:id="rId371" display="https://www.aponeo.de/rx/17518209-camcevi-21-mg-3-monats-depot-inj-susp-fertigspr.html"/>
    <hyperlink ref="J424" r:id="rId372" display="https://department.va.gov/procurement-acquisition-and-logistics/wp-content/uploads/sites/56/2026/10/TPharmPrices2026-10-01.xlsx"/>
    <hyperlink ref="J425" r:id="rId373" display="https://department.va.gov/procurement-acquisition-and-logistics/wp-content/uploads/sites/56/2026/10/TPharmPrices2026-10-01.xlsx"/>
    <hyperlink ref="J426" r:id="rId374" display="https://department.va.gov/procurement-acquisition-and-logistics/wp-content/uploads/sites/56/2026/10/TPharmPrices2026-10-01.xlsx"/>
    <hyperlink ref="J427" r:id="rId375" display="https://department.va.gov/procurement-acquisition-and-logistics/wp-content/uploads/sites/56/2026/10/TPharmPrices2026-10-01.xlsx"/>
    <hyperlink ref="J429" r:id="rId376" display="https://www.medicijnkosten.nl/medicijn?artikel=MELFALAN+AMAROX+INJ%2FINFUSIEPOEDER+FL50MG%2BSV+10ML&amp;id=35352a89252a9fdd69fd915f3d070528"/>
    <hyperlink ref="J430" r:id="rId377" display="https://dmd-browser.nhsbsa.nhs.uk/ampp/view/133567"/>
    <hyperlink ref="J431" r:id="rId378" display="https://www.ab.bluecross.ca/dbl/pdfs/ABCDPL_2026_01_07.pdf"/>
    <hyperlink ref="J432" r:id="rId379" display="https://www.formulary.health.gov.on.ca/formulary/detail.xhtml?drugId=02464365"/>
    <hyperlink ref="J433" r:id="rId380" display="https://www.ab.bluecross.ca/dbl/pdfs/ABCDPL_2026_09_04.pdf"/>
    <hyperlink ref="J434" r:id="rId381" display="https://www.ab.bluecross.ca/dbl/pdfs/ABCDPL_2026_09_04.pdf"/>
    <hyperlink ref="J435" r:id="rId382" display="https://www.formulary.health.gov.on.ca/formulary/detail.xhtml?drugId=02491281"/>
    <hyperlink ref="J436" r:id="rId383" display="https://www.formulary.health.gov.on.ca/formulary/detail.xhtml?drugId=02491303"/>
    <hyperlink ref="J437" r:id="rId384" display="https://www.pbs.gov.au/industry/pricing/ex-manufacturer-price/2026/09/ex-manufacturer-prices-efc-2026-09-01.XLSX"/>
    <hyperlink ref="J438" r:id="rId385" display="https://www.chemistwarehouse.com.au/buy/90218/midazolam-5mg-ml-injection-10-midazolam"/>
    <hyperlink ref="J440" r:id="rId386" display="https://www.pbs.gov.au/industry/pricing/ex-manufacturer-price/2026/09/ex-manufacturer-prices-non-efc-2026-09-01.XLSX"/>
    <hyperlink ref="J441" r:id="rId387" display="https://dmd-browser.nhsbsa.nhs.uk/ampp/view/180360"/>
    <hyperlink ref="J442" r:id="rId388" display="https://www.aifa.gov.it/documents/20142/3815901/Classe_H_per_principio_attivo_30-04-2026.csv"/>
    <hyperlink ref="J443" r:id="rId389" display="https://www.ab.bluecross.ca/dbl/pdfs/ABCDPL_2026_04_07.pdf"/>
    <hyperlink ref="J444" r:id="rId390" display="https://www.aifa.gov.it/documents/20142/3815901/Classe_H_per_principio_attivo_30-04-2026.csv"/>
    <hyperlink ref="J447" r:id="rId391" display="https://dmd-browser.nhsbsa.nhs.uk/ampp/view/47446"/>
    <hyperlink ref="J448" r:id="rId392" display="https://www.drugs.com/price-guide/ondansetron"/>
    <hyperlink ref="J449" r:id="rId393" display="https://dmd-browser.nhsbsa.nhs.uk/ampp/view/197033"/>
    <hyperlink ref="J450" r:id="rId394" display="https://www.aifa.gov.it/documents/20142/3815901/Classe_H_per_principio_attivo_30-04-2026.csv"/>
    <hyperlink ref="J451" r:id="rId395" display="https://www.aifa.gov.it/documents/20142/3815901/Classe_H_per_principio_attivo_30-04-2026.csv"/>
    <hyperlink ref="J454" r:id="rId396" display="https://www.ab.bluecross.ca/dbl/pdfs/ABCDPL_2026_04_07.pdf"/>
    <hyperlink ref="J455" r:id="rId397" display="https://dmd-browser.nhsbsa.nhs.uk/ampp/view/161756"/>
    <hyperlink ref="J456" r:id="rId398" display="https://www.aifa.gov.it/documents/20142/3815901/Classe_H_per_principio_attivo_30-04-2026.csv"/>
    <hyperlink ref="J457" r:id="rId399" display="https://www.health.gov.za/nhi-pee/"/>
    <hyperlink ref="J458" r:id="rId400" display="https://dmd-browser.nhsbsa.nhs.uk/ampp/view/194984"/>
    <hyperlink ref="J459" r:id="rId401" display="https://www.aifa.gov.it/documents/20142/3815901/Classe_H_per_principio_attivo_30-04-2026.csv"/>
    <hyperlink ref="J460" r:id="rId402" display="https://www.drugs.com/price-guide/paricalcitol"/>
    <hyperlink ref="J461" r:id="rId403" display="https://www.drugs.com/price-guide/paricalcitol"/>
    <hyperlink ref="J464" r:id="rId404" location="search:phenylcord" display="https://medicineprices.org.za/#search:phenylcord"/>
    <hyperlink ref="J465" r:id="rId405" display="https://www.cms.gov/files/zip/october-2026-medicare-part-b-payment-limit-files-final.zip"/>
    <hyperlink ref="J466" r:id="rId406" display="https://dmd-browser.nhsbsa.nhs.uk/ampp/view/198886"/>
    <hyperlink ref="J467" r:id="rId407" display="https://www.aifa.gov.it/documents/20142/3815901/Classe_H_per_principio_attivo_30-04-2026.csv"/>
    <hyperlink ref="J468" r:id="rId408" display="https://www.pbs.gov.au/industry/pricing/price-disclosure-spd/current-price-disclosure-cycle"/>
    <hyperlink ref="J469" r:id="rId409" display="https://www.cms.gov/files/zip/october-2026-medicare-part-b-payment-limit-files-final.zip"/>
    <hyperlink ref="J471" r:id="rId410" display="https://www.cms.gov/files/zip/october-2026-medicare-part-b-payment-limit-files-final.zip"/>
    <hyperlink ref="J472" r:id="rId411" display="https://www.aifa.gov.it/documents/20142/3815901/Classe_H_per_principio_attivo_30-04-2026.csv"/>
    <hyperlink ref="J473" r:id="rId412" display="https://department.va.gov/procurement-acquisition-and-logistics/wp-content/uploads/sites/56/2026/10/TPharmPrices2026-10-01.xlsx"/>
    <hyperlink ref="J474" r:id="rId413" display="https://dmd-browser.nhsbsa.nhs.uk/ampp/view/195045"/>
    <hyperlink ref="J475" r:id="rId414" display="https://www.aifa.gov.it/documents/20142/3815901/Classe_H_per_principio_attivo_30-04-2026.csv"/>
    <hyperlink ref="J478" r:id="rId415" display="https://www.aifa.gov.it/documents/20142/3815901/Classe_A_per_principio_attivo_30-04-2026.csv"/>
    <hyperlink ref="J479" r:id="rId416" display="https://www.cms.gov/files/zip/october-2026-medicare-part-b-payment-limit-files-final.zip"/>
    <hyperlink ref="J481" r:id="rId417" display="https://www.health.gov.za/nhi-pee/"/>
    <hyperlink ref="J482" r:id="rId418" display="https://www.aifa.gov.it/documents/20142/3815901/Classe_H_per_principio_attivo_30-04-2026.csv"/>
    <hyperlink ref="J483" r:id="rId419" display="https://www.aifa.gov.it/documents/20142/3815901/Classe_H_per_principio_attivo_30-04-2026.csv"/>
    <hyperlink ref="J484" r:id="rId420" display="https://michaelschemist.com.au/products/rapifenalfentanil1mg2f2mlampx5"/>
    <hyperlink ref="J485" r:id="rId421" display="https://www.pbs.gov.au/industry/pricing/ex-manufacturer-price/2026/10/ex-manufacturer-prices-non-efc-2026-10-01.XLSX"/>
    <hyperlink ref="J486" r:id="rId422" display="https://department.va.gov/procurement-acquisition-and-logistics/wp-content/uploads/sites/56/2026/10/TPharmPrices2026-10-01.xlsx"/>
    <hyperlink ref="J487" r:id="rId423" location="search:cistrax" display="https://medicineprices.org.za/#search:cistrax"/>
    <hyperlink ref="J488" r:id="rId424" display="https://www.cms.gov/files/zip/october-2026-medicare-part-b-payment-limit-files-final.zip"/>
    <hyperlink ref="J489" r:id="rId425" display="https://www.cms.gov/files/zip/october-2026-medicare-part-b-payment-limit-files-final.zip"/>
    <hyperlink ref="J490" r:id="rId426" display="https://www.cms.gov/files/zip/october-2026-medicare-part-b-payment-limit-files-final.zip"/>
    <hyperlink ref="J491" r:id="rId427" display="https://www.cms.gov/files/zip/october-2026-medicare-part-b-payment-limit-files-final.zip"/>
    <hyperlink ref="J492" r:id="rId428" display="https://www.cms.gov/files/zip/october-2026-medicare-part-b-payment-limit-files-final.zip"/>
    <hyperlink ref="J493" r:id="rId429" display="https://www.health.gov.za/nhi-pee/"/>
    <hyperlink ref="J494" r:id="rId430" display="https://department.va.gov/procurement-acquisition-and-logistics/wp-content/uploads/sites/56/2026/10/TPharmPrices2026-10-01.xlsx"/>
    <hyperlink ref="J495" r:id="rId431" display="https://www.health.gov.za/nhi-pee/"/>
    <hyperlink ref="J496" r:id="rId432" display="https://www.cms.gov/files/zip/october-2026-medicare-part-b-payment-limit-files-final.zip"/>
    <hyperlink ref="J497" r:id="rId433" display="https://www.cms.gov/files/zip/october-2026-medicare-part-b-payment-limit-files-final.zip"/>
    <hyperlink ref="J498" r:id="rId434" display="https://www.cms.gov/files/zip/october-2026-medicare-part-b-payment-limit-files-final.zip"/>
    <hyperlink ref="J499" r:id="rId435" display="https://michaelschemist.com.au/products/meropenemran500mginj5"/>
    <hyperlink ref="J500" r:id="rId436" display="https://www.medshop.com.au/products/meropenem-ranbaxy-1g-vial-5-meropenem-1000mg-vial"/>
    <hyperlink ref="J501" r:id="rId437" location="search:meroject" display="https://medicineprices.org.za/#search:meroject"/>
    <hyperlink ref="J502" r:id="rId438" location="search:meroject" display="https://medicineprices.org.za/#search:meroject"/>
    <hyperlink ref="J503" r:id="rId439" display="https://www.cms.gov/files/zip/october-2026-medicare-part-b-payment-limit-files-final.zip"/>
    <hyperlink ref="J504" r:id="rId440" display="https://michaelschemist.com.au/products/zyprexavl10mg1"/>
    <hyperlink ref="J505" r:id="rId441" display="https://www.healthylife.com.au/products/oxytocin-generic-10iu1ml-x-5-ampoules"/>
    <hyperlink ref="J506" r:id="rId442" location="search:altirem" display="https://medicineprices.org.za/#search:altirem"/>
    <hyperlink ref="J507" r:id="rId443" location="search:altirem" display="https://medicineprices.org.za/#search:altirem"/>
    <hyperlink ref="J508" r:id="rId444" display="https://www.drugs.com/price-guide/sugammadex"/>
    <hyperlink ref="J509" r:id="rId445" display="https://www.drugs.com/price-guide/sugammadex"/>
    <hyperlink ref="J512" r:id="rId446" display="https://michaelschemist.com.au/products/teicoplaninpwdrforinj400mg1"/>
    <hyperlink ref="J513" r:id="rId447" display="https://www.health.gov.za/nhi-pee/"/>
    <hyperlink ref="J514" r:id="rId448" display="https://www.health.gov.za/nhi-pee/"/>
    <hyperlink ref="J515" r:id="rId449" display="https://www.health.gov.za/nhi-pee/"/>
    <hyperlink ref="J516" r:id="rId450" display="https://www.drugs.com/price-guide/bortezomib"/>
    <hyperlink ref="J517" r:id="rId451" display="https://dmd-browser.nhsbsa.nhs.uk/ampp/view/203257"/>
    <hyperlink ref="J518" r:id="rId452" display="https://zoek.officielebekendmakingen.nl/stcrt-2026-7257.html"/>
    <hyperlink ref="J519" r:id="rId453" display="https://www.pbs.gov.au/industry/pricing/ex-manufacturer-price/2026/09/ex-manufacturer-prices-efc-2026-09-01.XLSX"/>
    <hyperlink ref="J520" r:id="rId454" display="https://www.drugs.com/price-guide/brivaracetam"/>
    <hyperlink ref="J521" r:id="rId455" display="https://www.drugs.com/price-guide/chlorpromazine"/>
    <hyperlink ref="J522" r:id="rId456" display="https://www.drugs.com/price-guide/fluphenazine"/>
    <hyperlink ref="J523" r:id="rId457" display="https://dmd-browser.nhsbsa.nhs.uk/ampp/view/204692"/>
    <hyperlink ref="J525" r:id="rId458" display="https://www.drugs.com/price-guide/plerixafor"/>
    <hyperlink ref="J526" r:id="rId459" display="https://www.drugs.com/price-guide/sugammadex"/>
    <hyperlink ref="J527" r:id="rId460" display="https://www.drugs.com/price-guide/sugammadex"/>
    <hyperlink ref="J528" r:id="rId461" display="https://dmd-browser.nhsbsa.nhs.uk/ampp/view/208635"/>
    <hyperlink ref="J531" r:id="rId462" display="https://www.drugs.com/price-guide/brivaracetam"/>
    <hyperlink ref="J532" r:id="rId463" display="https://www.medicinpriser.dk/Default.aspx?VirksomtStof=Caffein&amp;lng=2"/>
    <hyperlink ref="J533" r:id="rId464" display="https://www.medicinpriser.dk/Default.aspx?VirksomtStof=Caffein&amp;lng=2"/>
    <hyperlink ref="J534" r:id="rId465" display="https://www.drugs.com/price-guide/carboprost"/>
    <hyperlink ref="J535" r:id="rId466" display="https://michaelschemist.com.au/products/valoidinj50mg2f1ml5"/>
    <hyperlink ref="J536" r:id="rId467" display="https://www.mountainside-medical.com/products/diphenhydramine-injection-50-mg-ml-single-dose-vials-1-ml-x-25-pack"/>
    <hyperlink ref="J537" r:id="rId468" display="https://www.drugs.com/price-guide/isoproterenol"/>
    <hyperlink ref="J540" r:id="rId469" display="https://www.medshop.com.au/products/levetiracetam-500mg5ml-vial-10-levetiracetam-500mg5ml-vial"/>
    <hyperlink ref="J541" r:id="rId470" display="https://www.drugs.com/price-guide/lincomycin"/>
    <hyperlink ref="J542" r:id="rId471" display="https://department.va.gov/procurement-acquisition-and-logistics/wp-content/uploads/sites/56/2026/10/TPharmPrices2026-10-01.xlsx"/>
    <hyperlink ref="J543" r:id="rId472" display="https://www.drugs.com/price-guide/verapamil"/>
    <hyperlink ref="J544" r:id="rId473" display="https://www.drugs.com/price-guide/verapamil"/>
    <hyperlink ref="J545" r:id="rId474" display="https://www.drugs.com/price-guide/bupivacaine"/>
    <hyperlink ref="J546" r:id="rId475" display="https://www.drugs.com/price-guide/bupivacaine"/>
    <hyperlink ref="J547" r:id="rId476" display="https://www.drugs.com/price-guide/carboprost"/>
    <hyperlink ref="J548" r:id="rId477" display="https://www.aponeo.de/rx/19949801-meropenem-hexal-500-mg-plv-z-her-e-inj-o-inf-lsg.html"/>
    <hyperlink ref="J549" r:id="rId478" display="https://www.aifa.gov.it/documents/20142/3815901/Classe_H_per_principio_attivo_30-04-2026.csv"/>
    <hyperlink ref="J550" r:id="rId479" display="https://www.aponeo.de/rx/19949801-meropenem-hexal-500-mg-plv-z-her-e-inj-o-inf-lsg.html"/>
    <hyperlink ref="J551" r:id="rId480" display="https://department.va.gov/procurement-acquisition-and-logistics/wp-content/uploads/sites/56/2026/10/TPharmPrices2026-10-01.xlsx"/>
    <hyperlink ref="J552" r:id="rId481" display="https://www.drugs.com/price-guide/nafcillin"/>
    <hyperlink ref="J553" r:id="rId482" display="https://www.drugs.com/price-guide/nafcillin"/>
    <hyperlink ref="J554" r:id="rId483" location="search:rapifen" display="https://medicineprices.org.za/#search:rapifen"/>
    <hyperlink ref="J555" r:id="rId484" display="https://mediately.co/it/drugs/3ytjMRFtaIbVwcIRVFvxl1oiBXA/alfentanil-piramal-5-fiale-ev-10-ml-0-5-mg-ml"/>
    <hyperlink ref="J556" r:id="rId485" display="https://michaelschemist.com.au/products/rapifenalfentanil1mg2f2mlampx5"/>
    <hyperlink ref="J557" r:id="rId486" location="search:rapifen" display="https://medicineprices.org.za/#search:rapifen"/>
    <hyperlink ref="J558" r:id="rId487" display="https://department.va.gov/procurement-acquisition-and-logistics/wp-content/uploads/sites/56/2026/10/TPharmPrices2026-10-01.xlsx"/>
    <hyperlink ref="J560" r:id="rId488" display="https://www.drugs.com/price-guide/cisatracurium"/>
    <hyperlink ref="J561" r:id="rId489" display="https://www.drugs.com/price-guide/cisatracurium"/>
    <hyperlink ref="J562" r:id="rId490" display="https://www.shop-apotheke.com/arzneimittel/1854738/hypnomidate-2-mg-ml.htm"/>
    <hyperlink ref="J563" r:id="rId491" display="https://www.health.gov.za/nhi-pee/"/>
    <hyperlink ref="J564" r:id="rId492" location="search:sublimaze" display="https://medicineprices.org.za/#search:sublimaze"/>
    <hyperlink ref="J565" r:id="rId493" location="search:sublimaze" display="https://medicineprices.org.za/#search:sublimaze"/>
    <hyperlink ref="J566" r:id="rId494" display="https://department.va.gov/procurement-acquisition-and-logistics/wp-content/uploads/sites/56/2026/10/TPharmPrices2026-10-01.xlsx"/>
    <hyperlink ref="J567" r:id="rId495" display="https://dmd-browser.nhsbsa.nhs.uk/ampp/view/195045"/>
    <hyperlink ref="J568" r:id="rId496" display="https://www.aifa.gov.it/documents/20142/3815901/Classe_H_per_principio_attivo_30-04-2026.csv"/>
    <hyperlink ref="J569" r:id="rId497" display="https://michaelschemist.com.au/products/cefepimepwdrforinj1gvial1"/>
    <hyperlink ref="J570" r:id="rId498" display="https://michaelschemist.com.au/collections/prescriptions/products/cefepimepwdrforinj2gvial1"/>
    <hyperlink ref="J571" r:id="rId499" display="https://www.healthylife.com.au/products/ceftazidime-1g-x-1-vial"/>
    <hyperlink ref="J572" r:id="rId500" display="https://www.healthylife.com.au/products/ceftazidime-1g-x-1-vial"/>
    <hyperlink ref="J573" r:id="rId501" location="search:cortaject" display="https://medicineprices.org.za/#search:cortaject"/>
    <hyperlink ref="J574" r:id="rId502" display="https://dmd-browser.nhsbsa.nhs.uk/ampp/view/175452"/>
    <hyperlink ref="J575" r:id="rId503" display="https://www.aifa.gov.it/documents/20142/3815901/Classe_H_per_principio_attivo_30-04-2026.csv"/>
    <hyperlink ref="J576" r:id="rId504" display="https://www.aifa.gov.it/documents/20142/3815901/Classe_H_per_principio_attivo_30-04-2026.csv"/>
    <hyperlink ref="J577" r:id="rId505" display="https://michaelschemist.com.au/products/piperacillinsodium4gtazobactamsodium05gvial"/>
    <hyperlink ref="J578" r:id="rId506" display="https://michaelschemist.com.au/products/piperacillinsodium4gtazobactamsodium05gvial"/>
    <hyperlink ref="J580" r:id="rId507" display="https://www.pbs.gov.au/industry/pricing/ex-manufacturer-price/2026/09/ex-manufacturer-prices-non-efc-2026-09-01.XLSX"/>
    <hyperlink ref="J581" r:id="rId508" display="https://www.pbs.gov.au/industry/pricing/ex-manufacturer-price/2026/09/ex-manufacturer-prices-non-efc-2026-09-01.XLSX"/>
    <hyperlink ref="J582" r:id="rId509" display="https://dmd-browser.nhsbsa.nhs.uk/ampp/view/193706"/>
    <hyperlink ref="J583" r:id="rId510" display="https://www.aifa.gov.it/documents/20142/3815901/Classe_H_per_principio_attivo_30-04-2026.csv"/>
    <hyperlink ref="J584" r:id="rId511" display="https://www.ab.bluecross.ca/dbl/pdfs/ABCDPL_2026_09_04.pdf"/>
    <hyperlink ref="J585" r:id="rId512" location="search:botigen" display="https://medicineprices.org.za/#search:botigen"/>
    <hyperlink ref="J586" r:id="rId513" display="https://www.drugs.com/price-guide/chlorothiazide"/>
    <hyperlink ref="J587" r:id="rId514" display="https://www.drugs.com/price-guide/doxorubicin"/>
    <hyperlink ref="J588" r:id="rId515" display="https://www.aifa.gov.it/documents/20142/3815901/Classe_H_per_principio_attivo_30-04-2026.csv"/>
    <hyperlink ref="J590" r:id="rId516" display="https://www.nhsbsa.nhs.uk/sites/default/files/2022-06/Drug%20Tariff%20Part%20VIIIA%20July%202022.pdf"/>
    <hyperlink ref="J591" r:id="rId517" display="https://www.aifa.gov.it/documents/20142/3815901/Classe_H_per_principio_attivo_30-04-2026.csv"/>
    <hyperlink ref="J592" r:id="rId518" display="https://www.aifa.gov.it/documents/20142/3815901/Classe_H_per_principio_attivo_30-04-2026.csv"/>
    <hyperlink ref="J593" r:id="rId519" display="https://www.ab.bluecross.ca/dbl/pdfs/ABCDPL_2026_09_04.pdf"/>
    <hyperlink ref="J594" r:id="rId520" display="https://dmd-browser.nhsbsa.nhs.uk/ampp/view/175452"/>
    <hyperlink ref="J595" r:id="rId521" display="https://www.aifa.gov.it/documents/20142/3815901/Classe_H_per_principio_attivo_30-04-2026.csv"/>
    <hyperlink ref="J596" r:id="rId522" display="https://www.aifa.gov.it/documents/20142/3815901/Classe_H_per_principio_attivo_30-04-2026.csv"/>
    <hyperlink ref="J597" r:id="rId523" display="https://idbl.ab.bluecross.ca/idbl/drugsList?ptc=08120708"/>
    <hyperlink ref="J598" r:id="rId524" display="https://idbl.ab.bluecross.ca/idbl/drugsList?ptc=08120708"/>
    <hyperlink ref="J599" r:id="rId525" display="https://www.medshop.com.au/products/meropenem-ranbaxy-1g-vial-5-meropenem-1000mg-vial"/>
    <hyperlink ref="J600" r:id="rId526" display="https://michaelschemist.com.au/products/meropenemran500mginj5"/>
    <hyperlink ref="J601" r:id="rId527" location="search:mercide" display="https://medicineprices.org.za/#search:mercide"/>
    <hyperlink ref="J602" r:id="rId528" display="https://www.pbs.gov.au/industry/pricing/ex-manufacturer-price/2026/09/ex-manufacturer-prices-non-efc-2026-09-01.XLSX"/>
    <hyperlink ref="J603" r:id="rId529" display="https://dmd-browser.nhsbsa.nhs.uk/ampp/view/96481"/>
    <hyperlink ref="J604" r:id="rId530" display="https://www.aifa.gov.it/documents/20142/3815901/Classe_H_per_principio_attivo_30-04-2026.csv"/>
    <hyperlink ref="J605" r:id="rId531" display="https://www.aponeo.de/rx/10735547-paricalcitol-hexal-2-mikrogramm-ml-injektionslsg.html"/>
    <hyperlink ref="J606" r:id="rId532" display="https://www.drugs.com/price-guide/sugammadex"/>
    <hyperlink ref="J607" r:id="rId533" display="https://www.drugs.com/price-guide/sugammadex"/>
    <hyperlink ref="J608" r:id="rId534" display="https://dmd-browser.nhsbsa.nhs.uk/ampp/view/195579"/>
    <hyperlink ref="J609" r:id="rId535" location="search:sumabid" display="https://medicineprices.org.za/#search:sumabid"/>
    <hyperlink ref="J610" r:id="rId536" display="https://dmd-browser.nhsbsa.nhs.uk/ampp/view/198278"/>
    <hyperlink ref="J611" r:id="rId537" display="https://www.aifa.gov.it/documents/20142/3815901/Classe_H_per_principio_attivo_30-04-2026.csv"/>
    <hyperlink ref="J612" r:id="rId538" display="https://dmd-browser.nhsbsa.nhs.uk/ampp/view/212956"/>
    <hyperlink ref="J613" r:id="rId539" display="https://www.aifa.gov.it/documents/20142/3815901/Classe_H_per_principio_attivo_30-04-2026.csv"/>
    <hyperlink ref="J614" r:id="rId540" display="https://www.formulary.health.gov.on.ca/formulary/detail.xhtml?drugId=02496003"/>
    <hyperlink ref="J615" r:id="rId541" display="https://www.nhsbsa.nhs.uk/sites/default/files/2026-08/Part%20VIIIA%20Sep%2026.xls.xlsx"/>
    <hyperlink ref="J616" r:id="rId542" display="https://base-donnees-publique.medicaments.gouv.fr/medicament/61614600/extrait"/>
    <hyperlink ref="J617" r:id="rId543" display="https://www.pbs.gov.au/industry/pricing/ex-manufacturer-price/2026/09/ex-manufacturer-prices-non-efc-2026-09-01.XLSX"/>
    <hyperlink ref="J618" r:id="rId544" display="https://dmd-browser.nhsbsa.nhs.uk/ampp/view/211689"/>
    <hyperlink ref="J619" r:id="rId545" display="https://www.aliva.de/p/vecuronium-inresa-10-mg-pulver-z-herst-e-inj-lsg-10-pulver-zur-herstellung-einer-injektionsloesung-03379371"/>
    <hyperlink ref="J621" r:id="rId546" display="https://www.health.gov.za/nhi-pee/"/>
    <hyperlink ref="J622" r:id="rId547" display="https://www.health.gov.za/nhi-pee/"/>
    <hyperlink ref="J623" r:id="rId548" display="https://www.aifa.gov.it/documents/20142/3815901/Classe_H_per_principio_attivo_30-04-2026.csv"/>
    <hyperlink ref="J624" r:id="rId549" display="https://dmd-browser.nhsbsa.nhs.uk/ampp/view/168374"/>
    <hyperlink ref="J625" r:id="rId550" display="https://www.aifa.gov.it/documents/20142/3815901/Classe_H_per_principio_attivo_30-04-2026.csv"/>
    <hyperlink ref="J626" r:id="rId551" display="https://www.cms.gov/files/zip/october-2026-medicare-part-b-payment-limit-files-final.zip"/>
    <hyperlink ref="J627" r:id="rId552" display="https://www.aifa.gov.it/documents/20142/3815901/Classe_H_per_principio_attivo_30-04-2026.csv"/>
    <hyperlink ref="J628" r:id="rId553" display="https://www.sanidad.gob.es/profesionales/nomenclator.do?metodo=buscarProductos&amp;especialidad=XEPLION%25"/>
    <hyperlink ref="J629" r:id="rId554" display="https://www.health.gov.za/nhi-pee/"/>
    <hyperlink ref="J630" r:id="rId555" display="https://www.cms.gov/files/zip/october-2026-medicare-part-b-payment-limit-files-final.zip"/>
    <hyperlink ref="J631" r:id="rId556" display="https://dmd-browser.nhsbsa.nhs.uk/ampp/view/208581"/>
    <hyperlink ref="J632" r:id="rId557" display="https://dmd-browser.nhsbsa.nhs.uk/ampp/view/170191"/>
    <hyperlink ref="J633" r:id="rId558" display="https://dmd-browser.nhsbsa.nhs.uk/ampp/view/190496"/>
    <hyperlink ref="J634" r:id="rId559" display="https://dmd-browser.nhsbsa.nhs.uk/ampp/view/175452"/>
    <hyperlink ref="J635" r:id="rId560" display="https://www.aifa.gov.it/documents/20142/3815901/Classe_H_per_principio_attivo_30-04-2026.csv"/>
    <hyperlink ref="J636" r:id="rId561" display="https://www.aifa.gov.it/documents/20142/3815901/Classe_H_per_principio_attivo_30-04-2026.csv"/>
    <hyperlink ref="J637" r:id="rId562" display="https://dmd-browser.nhsbsa.nhs.uk/ampp/view/87667"/>
    <hyperlink ref="J638" r:id="rId563" display="https://www.aponeo.de/rx/17923772-adenosin-baxter-6-mg-2-ml-injektionsloesung.html"/>
    <hyperlink ref="J639" r:id="rId564" display="https://www.cms.gov/files/zip/october-2026-medicare-part-b-payment-limit-files-final.zip"/>
    <hyperlink ref="J640" r:id="rId565" display="https://dmd-browser.nhsbsa.nhs.uk/ampp/view/59566"/>
    <hyperlink ref="J642" r:id="rId566" display="https://dmd-browser.nhsbsa.nhs.uk/ampp/view/110863"/>
    <hyperlink ref="J643" r:id="rId567" display="https://www.aifa.gov.it/documents/20142/3815901/Classe_H_per_principio_attivo_30-04-2026.csv"/>
    <hyperlink ref="J644" r:id="rId568" display="https://www.drugs.com/price-guide/ceftriaxone"/>
    <hyperlink ref="J645" r:id="rId569" display="https://www.drugs.com/price-guide/ceftriaxone"/>
    <hyperlink ref="J646" r:id="rId570" display="https://dmd-browser.nhsbsa.nhs.uk/ampp/view/110861"/>
    <hyperlink ref="J647" r:id="rId571" display="https://www.nhsbsa.nhs.uk/sites/default/files/2026-08/Part%20VIIIA%20Sep%2026.xls.xlsx"/>
    <hyperlink ref="J648" r:id="rId572" display="https://dmd-browser.nhsbsa.nhs.uk/ampp/view/197707"/>
    <hyperlink ref="J649" r:id="rId573" display="https://www.aifa.gov.it/documents/20142/3815901/Classe_H_per_principio_attivo_30-04-2026.csv"/>
    <hyperlink ref="J652" r:id="rId574" display="https://dmd-browser.nhsbsa.nhs.uk/ampp/view/210923"/>
    <hyperlink ref="J653" r:id="rId575" display="https://www.medicijnkosten.nl/medicijn?artikel=HYALURONIDASE+INJ%2FINFUSIEPOEDER+AMPUL+1500IE&amp;id=b89726bfa881dc7b75ae7c2517d4b5b7"/>
    <hyperlink ref="J654" r:id="rId576" display="https://www.nhsbsa.nhs.uk/sites/default/files/2026-08/Part%20VIIIA%20Sep%2026.xls.xlsx"/>
    <hyperlink ref="J655" r:id="rId577" display="https://mediately.co/gr/drugs/YCsx3j2n2qawnnaJDmFwug8Ahhz/metaraminol-so-inj-inf-10mg-ml"/>
    <hyperlink ref="J658" r:id="rId578" display="https://dmd-browser.nhsbsa.nhs.uk/ampp/view/162030"/>
    <hyperlink ref="J659" r:id="rId579" display="https://mediately.co/de/drugs/2JLSD2rNCbtip2an1uWLKQBCmLc/milrinon-carinopharm-1-mg-ml-injektions-infusionslosung"/>
    <hyperlink ref="J660" r:id="rId580" display="https://www.nhsbsa.nhs.uk/sites/default/files/2026-08/Part%20VIIIA%20Sep%2026.xls.xlsx"/>
    <hyperlink ref="J661" r:id="rId581" display="https://www.aifa.gov.it/documents/20142/3815901/Classe_H_per_principio_attivo_30-04-2026.csv"/>
    <hyperlink ref="J662" r:id="rId582" display="https://www.drugs.com/price-guide/oxacillin"/>
    <hyperlink ref="J664" r:id="rId583" display="https://dmd-browser.nhsbsa.nhs.uk/ampp/view/64125"/>
    <hyperlink ref="J665" r:id="rId584" display="https://www.medicinpriser.dk/Default.aspx?VirksomtStof=Protamin"/>
    <hyperlink ref="J666" r:id="rId585" display="https://dmd-browser.nhsbsa.nhs.uk/ampp/view/87654"/>
    <hyperlink ref="J667" r:id="rId586" display="https://www.medicinpriser.dk/Default.aspx?VirksomtStof=Remifentanil"/>
    <hyperlink ref="J668" r:id="rId587" display="https://dmd-browser.nhsbsa.nhs.uk/ampp/view/102025"/>
    <hyperlink ref="J669" r:id="rId588" display="https://www.aifa.gov.it/documents/20142/3815901/Classe_H_per_principio_attivo_30-04-2026.csv"/>
    <hyperlink ref="J670" r:id="rId589" display="https://www.medshop.com.au/products/sodium-valproate-juno-400mg-4ml"/>
    <hyperlink ref="J672" r:id="rId590" display="https://dmd-browser.nhsbsa.nhs.uk/ampp/view/197725"/>
    <hyperlink ref="J673" r:id="rId591" display="https://www.aifa.gov.it/documents/20142/3815901/Classe_H_per_principio_attivo_30-04-2026.csv"/>
    <hyperlink ref="J674" r:id="rId592" display="https://www.aifa.gov.it/documents/20142/3815901/Classe_H_per_principio_attivo_30-04-2026.csv"/>
    <hyperlink ref="J675" r:id="rId593" display="https://www.drugs.com/price-guide/acetazolamide"/>
    <hyperlink ref="J676" r:id="rId594" display="https://www.drugs.com/price-guide/bortezomib"/>
    <hyperlink ref="J677" r:id="rId595" display="https://dmd-browser.nhsbsa.nhs.uk/ampp/view/187562"/>
    <hyperlink ref="J678" r:id="rId596" display="https://www.aifa.gov.it/documents/20142/3815901/Classe_H_per_principio_attivo_30-04-2026.csv"/>
    <hyperlink ref="J679" r:id="rId597" display="https://www.health.gov.za/nhi-pee/"/>
    <hyperlink ref="J680" r:id="rId598" display="https://base-donnees-publique.medicaments.gouv.fr/medicament/66127233/extrait"/>
    <hyperlink ref="J681" r:id="rId599" display="https://www.drugs.com/price-guide/chlorpromazine"/>
    <hyperlink ref="J682" r:id="rId600" display="https://www.drugs.com/price-guide/cisatracurium"/>
    <hyperlink ref="J683" r:id="rId601" display="https://www.drugs.com/price-guide/cisatracurium"/>
    <hyperlink ref="J684" r:id="rId602" display="https://www.drugs.com/price-guide/cyanocobalamin"/>
    <hyperlink ref="J685" r:id="rId603" display="https://www.drugs.com/price-guide/sodium-edecrin"/>
    <hyperlink ref="J686" r:id="rId604" display="https://department.va.gov/procurement-acquisition-and-logistics/wp-content/uploads/sites/56/2026/10/TPharmPrices2026-10-01.xlsx"/>
    <hyperlink ref="J687" r:id="rId605" display="https://www.drugs.com/price-guide/fluorescein"/>
    <hyperlink ref="J689" r:id="rId606" display="https://www.drugs.com/price-guide/fulvestrant"/>
    <hyperlink ref="J690" r:id="rId607" display="https://www.drugs.com/price-guide/haloperidol"/>
    <hyperlink ref="J691" r:id="rId608" display="https://www.drugs.com/price-guide/haloperidol"/>
    <hyperlink ref="J692" r:id="rId609" display="https://www.cms.gov/files/zip/october-2026-medicare-part-b-payment-limit-files-final.zip"/>
    <hyperlink ref="J693" r:id="rId610" display="https://www.drugs.com/price-guide/indocyanine-green"/>
    <hyperlink ref="J694" r:id="rId611" display="https://www.health.gov.za/nhi-pee/"/>
    <hyperlink ref="J695" r:id="rId612" display="https://www.health.gov.za/nhi-pee/"/>
    <hyperlink ref="J696" r:id="rId613" display="https://department.va.gov/procurement-acquisition-and-logistics/wp-content/uploads/sites/56/2026/10/TPharmPrices2026-10-01.xlsx"/>
    <hyperlink ref="J697" r:id="rId614" display="https://www.drugs.com/price-guide/sugammadex"/>
    <hyperlink ref="J698" r:id="rId615" display="https://www.drugs.com/price-guide/sugammadex"/>
    <hyperlink ref="J699" r:id="rId616"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2947</v>
      </c>
    </row>
    <row r="2" customFormat="false" ht="15" hidden="false" customHeight="false" outlineLevel="0" collapsed="false">
      <c r="A2" s="2"/>
    </row>
    <row r="4" customFormat="false" ht="30" hidden="false" customHeight="true" outlineLevel="0" collapsed="false">
      <c r="A4" s="31" t="s">
        <v>2948</v>
      </c>
      <c r="B4" s="10" t="s">
        <v>2949</v>
      </c>
    </row>
    <row r="5" customFormat="false" ht="30" hidden="false" customHeight="true" outlineLevel="0" collapsed="false">
      <c r="A5" s="31" t="s">
        <v>2950</v>
      </c>
      <c r="B5" s="10" t="s">
        <v>2951</v>
      </c>
    </row>
    <row r="6" customFormat="false" ht="45" hidden="false" customHeight="true" outlineLevel="0" collapsed="false">
      <c r="A6" s="31" t="s">
        <v>2952</v>
      </c>
      <c r="B6" s="10" t="s">
        <v>2953</v>
      </c>
    </row>
    <row r="7" customFormat="false" ht="30" hidden="false" customHeight="true" outlineLevel="0" collapsed="false">
      <c r="A7" s="31" t="s">
        <v>2954</v>
      </c>
      <c r="B7" s="10" t="s">
        <v>2955</v>
      </c>
    </row>
    <row r="8" customFormat="false" ht="45" hidden="false" customHeight="true" outlineLevel="0" collapsed="false">
      <c r="A8" s="31" t="s">
        <v>2956</v>
      </c>
      <c r="B8" s="10" t="s">
        <v>2957</v>
      </c>
    </row>
    <row r="9" customFormat="false" ht="30" hidden="false" customHeight="true" outlineLevel="0" collapsed="false">
      <c r="A9" s="31" t="s">
        <v>2958</v>
      </c>
      <c r="B9" s="10" t="s">
        <v>2959</v>
      </c>
    </row>
    <row r="10" customFormat="false" ht="60" hidden="false" customHeight="true" outlineLevel="0" collapsed="false">
      <c r="A10" s="31" t="s">
        <v>2960</v>
      </c>
      <c r="B10" s="10" t="s">
        <v>2961</v>
      </c>
    </row>
    <row r="11" customFormat="false" ht="60" hidden="false" customHeight="true" outlineLevel="0" collapsed="false">
      <c r="A11" s="31" t="s">
        <v>2962</v>
      </c>
      <c r="B11" s="10" t="s">
        <v>2963</v>
      </c>
    </row>
    <row r="12" customFormat="false" ht="60" hidden="false" customHeight="true" outlineLevel="0" collapsed="false">
      <c r="A12" s="31" t="s">
        <v>2964</v>
      </c>
      <c r="B12" s="10" t="s">
        <v>2965</v>
      </c>
    </row>
    <row r="13" customFormat="false" ht="60" hidden="false" customHeight="true" outlineLevel="0" collapsed="false">
      <c r="A13" s="31" t="s">
        <v>2966</v>
      </c>
      <c r="B13" s="10" t="s">
        <v>2967</v>
      </c>
    </row>
    <row r="14" customFormat="false" ht="90" hidden="false" customHeight="true" outlineLevel="0" collapsed="false">
      <c r="A14" s="31" t="s">
        <v>2968</v>
      </c>
      <c r="B14" s="10" t="s">
        <v>2969</v>
      </c>
    </row>
    <row r="15" customFormat="false" ht="45" hidden="false" customHeight="true" outlineLevel="0" collapsed="false">
      <c r="A15" s="31" t="s">
        <v>2970</v>
      </c>
      <c r="B15" s="10" t="s">
        <v>2971</v>
      </c>
    </row>
    <row r="16" customFormat="false" ht="18" hidden="false" customHeight="true" outlineLevel="0" collapsed="false">
      <c r="A16" s="31" t="s">
        <v>2972</v>
      </c>
      <c r="B16" s="10" t="s">
        <v>2973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2026-10-07T10:06:18Z</dcterms:created>
  <dc:creator>openpyxl</dc:creator>
  <dc:description/>
  <dc:language>en-US</dc:language>
  <cp:lastModifiedBy/>
  <dcterms:modified xsi:type="dcterms:W3CDTF">2026-10-07T10:06:21Z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