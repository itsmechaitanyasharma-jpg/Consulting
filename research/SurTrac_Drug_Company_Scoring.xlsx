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mpany Priority" sheetId="2" state="visible" r:id="rId4"/>
    <sheet name="Scoring" sheetId="3" state="visible" r:id="rId5"/>
    <sheet name="Shortlisted Drugs X Company (7)" sheetId="4" state="visible" r:id="rId6"/>
    <sheet name="Injectable Value" sheetId="5" state="visible" r:id="rId7"/>
    <sheet name="Drug Use &amp; Market Evidence" sheetId="6" state="visible" r:id="rId8"/>
    <sheet name="Price Evidence" sheetId="7" state="visible" r:id="rId9"/>
    <sheet name="Methodology" sheetId="8" state="visible" r:id="rId10"/>
  </sheets>
  <definedNames>
    <definedName function="false" hidden="true" localSheetId="1" name="_xlnm._FilterDatabase" vbProcedure="false">'Company Priority'!$A$4:$O$159</definedName>
    <definedName function="false" hidden="true" localSheetId="5" name="_xlnm._FilterDatabase" vbProcedure="false">'Drug Use &amp; Market Evidence'!$A$4:$J$669</definedName>
    <definedName function="false" hidden="true" localSheetId="4" name="_xlnm._FilterDatabase" vbProcedure="false">'Injectable Value'!$A$27:$AA$178</definedName>
    <definedName function="false" hidden="true" localSheetId="6" name="_xlnm._FilterDatabase" vbProcedure="false">'Price Evidence'!$A$4:$M$700</definedName>
    <definedName function="false" hidden="true" localSheetId="2" name="_xlnm._FilterDatabase" vbProcedure="false">Scoring!$A$5:$S$338</definedName>
    <definedName function="false" hidden="true" localSheetId="3" name="_xlnm._FilterDatabase" vbProcedure="false">'Shortlisted Drugs X Company (7)'!$A$4:$AB$700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<sst xmlns="http://schemas.openxmlformats.org/spreadsheetml/2006/main" count="30084" uniqueCount="4096">
  <si>
    <t xml:space="preserve">SurTrac co-packaging opportunity – company and drug prioritisation</t>
  </si>
  <si>
    <t xml:space="preserve">19 Indian injectable makers × 151 molecules (333 drug–company pairs) · status 7-Oct-2026</t>
  </si>
  <si>
    <t xml:space="preserve">Key takeaways</t>
  </si>
  <si>
    <t xml:space="preserve">•</t>
  </si>
  <si>
    <t xml:space="preserve">Approach first: Intas, Emcure, Aurobindo, Dr. Reddy's and Cipla (score 4.2–4.3 of 5), with Hetero and Glenmark close behind (4.0–4.1). Each has a full list of 5 Lead drugs that are high-value hospital injectables.</t>
  </si>
  <si>
    <t xml:space="preserve">Seven molecules fill 52 of the 93 Lead slots: bortezomib (10 companies), sugammadex (9), fulvestrant (8), daptomycin (7), azacitidine (6), plerixafor (6) and meropenem (6). One SurTrac kit specification per molecule can be pitched to several companies.</t>
  </si>
  <si>
    <t xml:space="preserve">Markets do not filter drugs (client steer: the manufacturer decides where to sell). Company-level markets and Tier 1 markets are shown for information: 14 of the 93 Lead drugs are not yet authorised by the company in a Tier 1 market (mostly Lupin, Strides, Cipla and Glenmark), so the pitch there is safety packaging for new-market entry.</t>
  </si>
  <si>
    <t xml:space="preserve">Notes on Lead drugs: 20 are cytotoxic cancer drugs (flagged as less relevant: usually pharmacy-prepared with closed transfer devices), 40 are powders needing reconstitution, and 12 are already prefilled syringes (pitch as a safety upgrade).</t>
  </si>
  <si>
    <t xml:space="preserve">Lower priority: Alembic (score 1.8), OneSource (2.1), Piramal and Strides (2.5). Their Lead drugs are lower-value or lower-volume injectables.</t>
  </si>
  <si>
    <t xml:space="preserve">Before outreach, confirm in which markets each company sells or plans to sell its Lead drugs, check the price of the 10 Lead drugs priced only from another market (Price confidence = Cross-market proxy), and confirm the dose volume for the 37 Lead drugs where the volume is unstated, the drug is a powder or the vial is above 10 mL.</t>
  </si>
  <si>
    <t xml:space="preserve">Company ranking</t>
  </si>
  <si>
    <t xml:space="preserve">Rank</t>
  </si>
  <si>
    <t xml:space="preserve">Company</t>
  </si>
  <si>
    <t xml:space="preserve">Company score</t>
  </si>
  <si>
    <t xml:space="preserve">Lead drugs (#)</t>
  </si>
  <si>
    <t xml:space="preserve">Lead drugs (priority order)</t>
  </si>
  <si>
    <t xml:space="preserve">Avg Lead price (USD / unit)</t>
  </si>
  <si>
    <t xml:space="preserve">Lead drugs – injectable value ($'000)</t>
  </si>
  <si>
    <t xml:space="preserve">Eligible drugs</t>
  </si>
  <si>
    <t xml:space="preserve">Intas</t>
  </si>
  <si>
    <t xml:space="preserve">Azacitidine, Pegfilgrastim, Bortezomib, Amoxicillin, Paclitaxel</t>
  </si>
  <si>
    <t xml:space="preserve">Emcure</t>
  </si>
  <si>
    <t xml:space="preserve">Azacitidine, Bortezomib, Daptomycin, Plerixafor, Sugammadex</t>
  </si>
  <si>
    <t xml:space="preserve">Aurobindo</t>
  </si>
  <si>
    <t xml:space="preserve">Azacitidine, Bortezomib, Daptomycin, Plerixafor, Fulvestrant</t>
  </si>
  <si>
    <t xml:space="preserve">Dr. Reddy's</t>
  </si>
  <si>
    <t xml:space="preserve">Azacitidine, Bortezomib, Daptomycin, Fulvestrant, Plerixafor</t>
  </si>
  <si>
    <t xml:space="preserve">Cipla</t>
  </si>
  <si>
    <t xml:space="preserve">Trastuzumab, Daptomycin, Measles Vaccine, Fulvestrant, Bortezomib</t>
  </si>
  <si>
    <t xml:space="preserve">Hetero</t>
  </si>
  <si>
    <t xml:space="preserve">Azacitidine, Daptomycin, Bortezomib, Plerixafor, Sugammadex</t>
  </si>
  <si>
    <t xml:space="preserve">Glenmark</t>
  </si>
  <si>
    <t xml:space="preserve">Azacitidine, Plerixafor, Fulvestrant, Sugammadex, Bortezomib</t>
  </si>
  <si>
    <t xml:space="preserve">Sun Pharma</t>
  </si>
  <si>
    <t xml:space="preserve">Bortezomib, Fulvestrant, Sugammadex, Doxorubicin, Meropenem</t>
  </si>
  <si>
    <t xml:space="preserve">Wockhardt</t>
  </si>
  <si>
    <t xml:space="preserve">Daptomycin, Sugammadex, Ceftriaxone, Vancomycin, Sodium Valproate</t>
  </si>
  <si>
    <t xml:space="preserve">MSN</t>
  </si>
  <si>
    <t xml:space="preserve">Bortezomib, Plerixafor, Sugammadex, Fluphenazine Decanoate, Gadobutrol</t>
  </si>
  <si>
    <t xml:space="preserve">Zydus</t>
  </si>
  <si>
    <t xml:space="preserve">Bortezomib, Sugammadex, Fulvestrant, Ceftriaxone, Ethacrynate Sodium</t>
  </si>
  <si>
    <t xml:space="preserve">Torrent</t>
  </si>
  <si>
    <t xml:space="preserve">Fulvestrant, Paliperidone, Meropenem, Levetiracetam, Rocuronium</t>
  </si>
  <si>
    <t xml:space="preserve">Lupin</t>
  </si>
  <si>
    <t xml:space="preserve">Sugammadex, Ertapenem, Daptomycin, Meropenem, Teicoplanin</t>
  </si>
  <si>
    <t xml:space="preserve">Micro Labs</t>
  </si>
  <si>
    <t xml:space="preserve">Levetiracetam, Caffeine, Isoprenaline (Isoproterenol), Carboprost, Cyclizine</t>
  </si>
  <si>
    <t xml:space="preserve">Venus Remedies</t>
  </si>
  <si>
    <t xml:space="preserve">Ceftriaxone, Bleomycin, Meropenem, Ceftazidime</t>
  </si>
  <si>
    <t xml:space="preserve">Strides</t>
  </si>
  <si>
    <t xml:space="preserve">Meropenem, Piperacillin + Tazobactam, Ceftazidime, Cefepime, Hydrocortisone</t>
  </si>
  <si>
    <t xml:space="preserve">Piramal</t>
  </si>
  <si>
    <t xml:space="preserve">Sugammadex, Baclofen, Alfentanil, Cisatracurium, Remifentanil</t>
  </si>
  <si>
    <t xml:space="preserve">OneSource</t>
  </si>
  <si>
    <t xml:space="preserve">Meropenem, Carboprost, Bupivacaine, Methohexital, Nafcillin</t>
  </si>
  <si>
    <t xml:space="preserve">Alembic</t>
  </si>
  <si>
    <t xml:space="preserve">Fulvestrant, Carboprost, Methotrexate, Diazepam</t>
  </si>
  <si>
    <t xml:space="preserve">Company score = sum of composite scores of the company's Lead drugs (max 5), so it rewards both drug quality and having a full Lead list. See Methodology.</t>
  </si>
  <si>
    <t xml:space="preserve">Priority drugs by company</t>
  </si>
  <si>
    <t xml:space="preserve">Lead = top 5 eligible drugs by composite score; Next wave = ranks 6–10. Companies in ranking order. Markets are company-level (own authorisations).</t>
  </si>
  <si>
    <t xml:space="preserve">Priority</t>
  </si>
  <si>
    <t xml:space="preserve">#</t>
  </si>
  <si>
    <t xml:space="preserve">Drug (API)</t>
  </si>
  <si>
    <t xml:space="preserve">Therapeutic area</t>
  </si>
  <si>
    <t xml:space="preserve">Composite score</t>
  </si>
  <si>
    <t xml:space="preserve">Avg price (USD / unit)</t>
  </si>
  <si>
    <t xml:space="preserve">Price confidence</t>
  </si>
  <si>
    <t xml:space="preserve">Injectable value ($'000)</t>
  </si>
  <si>
    <t xml:space="preserve">Tier 1 markets (company-level)</t>
  </si>
  <si>
    <t xml:space="preserve">Markets (#)</t>
  </si>
  <si>
    <t xml:space="preserve">Presentation</t>
  </si>
  <si>
    <t xml:space="preserve">Fits 1–10 mL syringe</t>
  </si>
  <si>
    <t xml:space="preserve">Note</t>
  </si>
  <si>
    <t xml:space="preserve">Pitch angle</t>
  </si>
  <si>
    <t xml:space="preserve">Lead</t>
  </si>
  <si>
    <t xml:space="preserve">Azacitidine</t>
  </si>
  <si>
    <t xml:space="preserve">Oncology – myelodysplastic syndromes (MDS) &amp; AML</t>
  </si>
  <si>
    <t xml:space="preserve">Exact</t>
  </si>
  <si>
    <t xml:space="preserve">UK, DE, FR, NL, BE</t>
  </si>
  <si>
    <t xml:space="preserve">Vial</t>
  </si>
  <si>
    <t xml:space="preserve">Powder – check reconstitution volume</t>
  </si>
  <si>
    <t xml:space="preserve">Cancer drug (cytotoxic) – less relevant; Reconstitution</t>
  </si>
  <si>
    <t xml:space="preserve">Differentiation in crowded generic market</t>
  </si>
  <si>
    <t xml:space="preserve">Pegfilgrastim</t>
  </si>
  <si>
    <t xml:space="preserve">Oncology supportive – prevents chemotherapy-induced neutropenia</t>
  </si>
  <si>
    <t xml:space="preserve">Prefilled syringe</t>
  </si>
  <si>
    <t xml:space="preserve">Yes</t>
  </si>
  <si>
    <t xml:space="preserve">Prefilled only</t>
  </si>
  <si>
    <t xml:space="preserve">Safety upgrade of existing prefilled syringe</t>
  </si>
  <si>
    <t xml:space="preserve">Bortezomib</t>
  </si>
  <si>
    <t xml:space="preserve">Oncology – multiple myeloma &amp; mantle cell lymphoma</t>
  </si>
  <si>
    <t xml:space="preserve">UK, UK-NI, DE, FR, NL, BE</t>
  </si>
  <si>
    <t xml:space="preserve">Vial, Prefilled syringe</t>
  </si>
  <si>
    <t xml:space="preserve">Amoxicillin</t>
  </si>
  <si>
    <t xml:space="preserve">Anti-infective – broad-use penicillin (IV for serious infections; oral dominant)</t>
  </si>
  <si>
    <t xml:space="preserve">Not priced</t>
  </si>
  <si>
    <t xml:space="preserve">UK-NI</t>
  </si>
  <si>
    <t xml:space="preserve">Not stated</t>
  </si>
  <si>
    <t xml:space="preserve">Unpriced</t>
  </si>
  <si>
    <t xml:space="preserve">Confirm presentation with company</t>
  </si>
  <si>
    <t xml:space="preserve">Paclitaxel</t>
  </si>
  <si>
    <t xml:space="preserve">Oncology – breast, ovarian &amp; lung cancers</t>
  </si>
  <si>
    <t xml:space="preserve">Same-market proxy</t>
  </si>
  <si>
    <t xml:space="preserve">UK-NI, DE, FR, NL, BE, CA</t>
  </si>
  <si>
    <t xml:space="preserve">Cancer drug (cytotoxic) – less relevant</t>
  </si>
  <si>
    <t xml:space="preserve">Safety-device mandate compliance</t>
  </si>
  <si>
    <t xml:space="preserve">Next wave</t>
  </si>
  <si>
    <t xml:space="preserve">Daptomycin</t>
  </si>
  <si>
    <t xml:space="preserve">Anti-infective – MRSA skin infections &amp; bacteraemia</t>
  </si>
  <si>
    <t xml:space="preserve">UK, UK-NI, DE, FR, NL</t>
  </si>
  <si>
    <t xml:space="preserve">Check – powder in &gt;10 mL vial</t>
  </si>
  <si>
    <t xml:space="preserve">Reconstitution</t>
  </si>
  <si>
    <t xml:space="preserve">Plerixafor</t>
  </si>
  <si>
    <t xml:space="preserve">Oncology supportive – stem-cell mobilisation (myeloma, lymphoma)</t>
  </si>
  <si>
    <t xml:space="preserve">Fulvestrant</t>
  </si>
  <si>
    <t xml:space="preserve">Oncology – HR+ advanced breast cancer</t>
  </si>
  <si>
    <t xml:space="preserve">US, UK, UK-NI, DE, FR, NL, BE</t>
  </si>
  <si>
    <t xml:space="preserve">Sugammadex</t>
  </si>
  <si>
    <t xml:space="preserve">Anaesthesia – reversal of rocuronium/vecuronium muscle relaxation</t>
  </si>
  <si>
    <t xml:space="preserve">UK, UK-NI, FR, NL</t>
  </si>
  <si>
    <t xml:space="preserve">Doxorubicin</t>
  </si>
  <si>
    <t xml:space="preserve">Oncology – breast cancer, lymphomas, sarcomas, leukaemia</t>
  </si>
  <si>
    <t xml:space="preserve">UK-NI, DE, FR, CA</t>
  </si>
  <si>
    <t xml:space="preserve">UK, DE, FR</t>
  </si>
  <si>
    <t xml:space="preserve">Cyclophosphamide</t>
  </si>
  <si>
    <t xml:space="preserve">Oncology – lymphoma, leukaemia, breast cancer; transplant conditioning</t>
  </si>
  <si>
    <t xml:space="preserve">CA</t>
  </si>
  <si>
    <t xml:space="preserve">No – &gt;10 mL only</t>
  </si>
  <si>
    <t xml:space="preserve">Melphalan</t>
  </si>
  <si>
    <t xml:space="preserve">Oncology – multiple myeloma (stem-cell transplant conditioning)</t>
  </si>
  <si>
    <t xml:space="preserve">UK, UK-NI, DE, FR, NL, BE, CA</t>
  </si>
  <si>
    <t xml:space="preserve">Eribulin</t>
  </si>
  <si>
    <t xml:space="preserve">Oncology – metastatic breast cancer; liposarcoma</t>
  </si>
  <si>
    <t xml:space="preserve">FR, NL</t>
  </si>
  <si>
    <t xml:space="preserve">Amikacin</t>
  </si>
  <si>
    <t xml:space="preserve">Anti-infective – serious/MDR Gram-negative infections; MDR-TB</t>
  </si>
  <si>
    <t xml:space="preserve">UK, UK-NI, CA</t>
  </si>
  <si>
    <t xml:space="preserve">Pentamidine</t>
  </si>
  <si>
    <t xml:space="preserve">Anti-infective – Pneumocystis pneumonia; leishmaniasis</t>
  </si>
  <si>
    <t xml:space="preserve">UK, UK-NI, DE, FR, NL, CA</t>
  </si>
  <si>
    <t xml:space="preserve">DE, FR</t>
  </si>
  <si>
    <t xml:space="preserve">US, UK, UK-NI, DE, FR, CA</t>
  </si>
  <si>
    <t xml:space="preserve">Eptifibatide</t>
  </si>
  <si>
    <t xml:space="preserve">Cardiovascular – acute coronary syndrome &amp; PCI (antiplatelet)</t>
  </si>
  <si>
    <t xml:space="preserve">US</t>
  </si>
  <si>
    <t xml:space="preserve">Ertapenem</t>
  </si>
  <si>
    <t xml:space="preserve">Anti-infective – intra-abdominal, skin, urinary infections, pneumonia</t>
  </si>
  <si>
    <t xml:space="preserve">US, UK-NI, FR, CA</t>
  </si>
  <si>
    <t xml:space="preserve">Meropenem</t>
  </si>
  <si>
    <t xml:space="preserve">Anti-infective – severe hospital infections (ICU, sepsis, meningitis, MDR)</t>
  </si>
  <si>
    <t xml:space="preserve">UK-NI, DE, FR, BE, CA</t>
  </si>
  <si>
    <t xml:space="preserve">Mitomycin</t>
  </si>
  <si>
    <t xml:space="preserve">Oncology – gastric, pancreatic, anal &amp; bladder cancers</t>
  </si>
  <si>
    <t xml:space="preserve">Cross-market proxy</t>
  </si>
  <si>
    <t xml:space="preserve">UK, DE, FR, NL, BE, CA</t>
  </si>
  <si>
    <t xml:space="preserve">US, UK, UK-NI, DE, FR, NL, CA</t>
  </si>
  <si>
    <t xml:space="preserve">UK, UK-NI, DE, FR, CA</t>
  </si>
  <si>
    <t xml:space="preserve">US, UK, UK-NI, DE</t>
  </si>
  <si>
    <t xml:space="preserve">Thiotepa</t>
  </si>
  <si>
    <t xml:space="preserve">Oncology – stem-cell transplant conditioning; breast, ovarian &amp; bladder cancers</t>
  </si>
  <si>
    <t xml:space="preserve">US, UK, UK-NI, DE, FR, NL</t>
  </si>
  <si>
    <t xml:space="preserve">US, DE, FR</t>
  </si>
  <si>
    <t xml:space="preserve">Carboprost</t>
  </si>
  <si>
    <t xml:space="preserve">Women's health – postpartum haemorrhage (PPH); pregnancy termination</t>
  </si>
  <si>
    <t xml:space="preserve">Trastuzumab</t>
  </si>
  <si>
    <t xml:space="preserve">Oncology – HER2+ breast &amp; gastric cancer (biosimilar)</t>
  </si>
  <si>
    <t xml:space="preserve">UK, DE</t>
  </si>
  <si>
    <t xml:space="preserve">Measles Vaccine</t>
  </si>
  <si>
    <t xml:space="preserve">Vaccines – childhood measles immunisation</t>
  </si>
  <si>
    <t xml:space="preserve">DE</t>
  </si>
  <si>
    <t xml:space="preserve">Isoprenaline (Isoproterenol)</t>
  </si>
  <si>
    <t xml:space="preserve">Cardiovascular – heart block, severe bradycardia</t>
  </si>
  <si>
    <t xml:space="preserve">Ampoule</t>
  </si>
  <si>
    <t xml:space="preserve">Bleomycin</t>
  </si>
  <si>
    <t xml:space="preserve">Oncology – Hodgkin lymphoma, testicular &amp; squamous cell cancers</t>
  </si>
  <si>
    <t xml:space="preserve">UK, UK-NI</t>
  </si>
  <si>
    <t xml:space="preserve">UK, UK-NI, DE, NL</t>
  </si>
  <si>
    <t xml:space="preserve">US, UK, UK-NI, DE, NL</t>
  </si>
  <si>
    <t xml:space="preserve">Teicoplanin</t>
  </si>
  <si>
    <t xml:space="preserve">Anti-infective – MRSA &amp; serious Gram-positive infections</t>
  </si>
  <si>
    <t xml:space="preserve">Pantoprazole</t>
  </si>
  <si>
    <t xml:space="preserve">Gastroenterology – GERD, GI bleeding, stress-ulcer prophylaxis (IV PPI)</t>
  </si>
  <si>
    <t xml:space="preserve">Magnesium Sulfate</t>
  </si>
  <si>
    <t xml:space="preserve">Women's health / Critical care – eclampsia seizures; low magnesium</t>
  </si>
  <si>
    <t xml:space="preserve">UK, UK-NI, DE</t>
  </si>
  <si>
    <t xml:space="preserve">DE, FR, NL</t>
  </si>
  <si>
    <t xml:space="preserve">US, UK, UK-NI</t>
  </si>
  <si>
    <t xml:space="preserve">UK, UK-NI, NL</t>
  </si>
  <si>
    <t xml:space="preserve">US, UK, UK-NI, NL</t>
  </si>
  <si>
    <t xml:space="preserve">US, UK-NI</t>
  </si>
  <si>
    <t xml:space="preserve">UK, UK-NI, DE, NL, CA</t>
  </si>
  <si>
    <t xml:space="preserve">UK-NI, FR, NL, CA</t>
  </si>
  <si>
    <t xml:space="preserve">Aripiprazole</t>
  </si>
  <si>
    <t xml:space="preserve">Psychiatry – long-acting injectable for schizophrenia / bipolar I</t>
  </si>
  <si>
    <t xml:space="preserve">UK</t>
  </si>
  <si>
    <t xml:space="preserve">Testosterone Cypionate</t>
  </si>
  <si>
    <t xml:space="preserve">Endocrinology – male hypogonadism (testosterone replacement)</t>
  </si>
  <si>
    <t xml:space="preserve">Octreotide</t>
  </si>
  <si>
    <t xml:space="preserve">Endocrinology / Oncology – acromegaly; carcinoid &amp; neuroendocrine tumours</t>
  </si>
  <si>
    <t xml:space="preserve">UK-NI, DE</t>
  </si>
  <si>
    <t xml:space="preserve">Vial, Ampoule</t>
  </si>
  <si>
    <t xml:space="preserve">Ceftriaxone</t>
  </si>
  <si>
    <t xml:space="preserve">Anti-infective – pneumonia, meningitis, sepsis, gonorrhoea, typhoid</t>
  </si>
  <si>
    <t xml:space="preserve">Vancomycin</t>
  </si>
  <si>
    <t xml:space="preserve">Sodium Valproate</t>
  </si>
  <si>
    <t xml:space="preserve">Neurology – epilepsy &amp; status epilepticus (when oral not possible)</t>
  </si>
  <si>
    <t xml:space="preserve">Ceftazidime</t>
  </si>
  <si>
    <t xml:space="preserve">Anti-infective – Pseudomonas &amp; hospital Gram-negative infections</t>
  </si>
  <si>
    <t xml:space="preserve">Milrinone</t>
  </si>
  <si>
    <t xml:space="preserve">Cardiovascular – acute decompensated heart failure</t>
  </si>
  <si>
    <t xml:space="preserve">Ondansetron</t>
  </si>
  <si>
    <t xml:space="preserve">Oncology supportive – chemotherapy &amp; post-op nausea/vomiting</t>
  </si>
  <si>
    <t xml:space="preserve">Hyaluronidase</t>
  </si>
  <si>
    <t xml:space="preserve">Anaesthesia / Other – enhances dispersion of injected drugs &amp; fluids</t>
  </si>
  <si>
    <t xml:space="preserve">Haloperidol</t>
  </si>
  <si>
    <t xml:space="preserve">Psychiatry – acute agitation, psychosis, delirium</t>
  </si>
  <si>
    <t xml:space="preserve">US, UK</t>
  </si>
  <si>
    <t xml:space="preserve">Fluphenazine Decanoate</t>
  </si>
  <si>
    <t xml:space="preserve">Psychiatry – schizophrenia maintenance (long-acting depot)</t>
  </si>
  <si>
    <t xml:space="preserve">Gadobutrol</t>
  </si>
  <si>
    <t xml:space="preserve">Diagnostics – MRI contrast agent</t>
  </si>
  <si>
    <t xml:space="preserve">Brivaracetam</t>
  </si>
  <si>
    <t xml:space="preserve">Neurology – epilepsy (partial-onset seizures)</t>
  </si>
  <si>
    <t xml:space="preserve">Chlorpromazine</t>
  </si>
  <si>
    <t xml:space="preserve">Psychiatry – acute psychosis/agitation; severe nausea &amp; vomiting</t>
  </si>
  <si>
    <t xml:space="preserve">US, UK, UK-NI, FR</t>
  </si>
  <si>
    <t xml:space="preserve">FR</t>
  </si>
  <si>
    <t xml:space="preserve">Ethacrynate Sodium</t>
  </si>
  <si>
    <t xml:space="preserve">Cardiovascular / Renal – loop diuretic for sulfa-allergic patients</t>
  </si>
  <si>
    <t xml:space="preserve">Hydrocortisone</t>
  </si>
  <si>
    <t xml:space="preserve">Endocrinology / Critical care – adrenal crisis, anaphylaxis, severe asthma, shock</t>
  </si>
  <si>
    <t xml:space="preserve">Indocyanine Green</t>
  </si>
  <si>
    <t xml:space="preserve">Diagnostics – cardiac output, liver function, ophthalmic &amp; surgical imaging</t>
  </si>
  <si>
    <t xml:space="preserve">Iron Sucrose</t>
  </si>
  <si>
    <t xml:space="preserve">Haematology / Nephrology – IV iron for iron-deficiency anaemia in CKD</t>
  </si>
  <si>
    <t xml:space="preserve">Cyanocobalamin</t>
  </si>
  <si>
    <t xml:space="preserve">Nutrition / Haematology – vitamin B12 deficiency, pernicious anaemia</t>
  </si>
  <si>
    <t xml:space="preserve">Paliperidone</t>
  </si>
  <si>
    <t xml:space="preserve">Psychiatry – schizophrenia (long-acting injectable)</t>
  </si>
  <si>
    <t xml:space="preserve">Levetiracetam</t>
  </si>
  <si>
    <t xml:space="preserve">Rocuronium</t>
  </si>
  <si>
    <t xml:space="preserve">Anaesthesia – muscle relaxant for intubation &amp; surgery</t>
  </si>
  <si>
    <t xml:space="preserve">Voriconazole</t>
  </si>
  <si>
    <t xml:space="preserve">Anti-infective – invasive aspergillosis &amp; serious fungal infections</t>
  </si>
  <si>
    <t xml:space="preserve">Granisetron</t>
  </si>
  <si>
    <t xml:space="preserve">Cisatracurium</t>
  </si>
  <si>
    <t xml:space="preserve">Anaesthesia – muscle relaxant for surgery &amp; ICU ventilation</t>
  </si>
  <si>
    <t xml:space="preserve">Testosterone Undecanoate</t>
  </si>
  <si>
    <t xml:space="preserve">Endocrinology – male hypogonadism (long-acting, ~3-monthly)</t>
  </si>
  <si>
    <t xml:space="preserve">Oxytocin</t>
  </si>
  <si>
    <t xml:space="preserve">Women's health – labour induction; postpartum haemorrhage</t>
  </si>
  <si>
    <t xml:space="preserve">Elemental Iron</t>
  </si>
  <si>
    <t xml:space="preserve">Haematology / Nephrology – IV iron for iron-deficiency anaemia (iron sucrose)</t>
  </si>
  <si>
    <t xml:space="preserve">Olanzapine</t>
  </si>
  <si>
    <t xml:space="preserve">Psychiatry – acute agitation in schizophrenia / bipolar mania</t>
  </si>
  <si>
    <t xml:space="preserve">Caffeine</t>
  </si>
  <si>
    <t xml:space="preserve">Neonatology – apnoea of prematurity</t>
  </si>
  <si>
    <t xml:space="preserve">Cyclizine</t>
  </si>
  <si>
    <t xml:space="preserve">Gastroenterology – nausea &amp; vomiting (post-operative, opioid-induced)</t>
  </si>
  <si>
    <t xml:space="preserve">Lincomycin</t>
  </si>
  <si>
    <t xml:space="preserve">Anti-infective – serious Gram-positive infections (penicillin-allergic)</t>
  </si>
  <si>
    <t xml:space="preserve">Verapamil</t>
  </si>
  <si>
    <t xml:space="preserve">Cardiovascular – supraventricular tachycardia, atrial fibrillation rate control</t>
  </si>
  <si>
    <t xml:space="preserve">Diphenhydramine</t>
  </si>
  <si>
    <t xml:space="preserve">Immunology / Allergy – acute allergic reactions; drug-induced dystonia</t>
  </si>
  <si>
    <t xml:space="preserve">Succinylcholine (Suxamethonium)</t>
  </si>
  <si>
    <t xml:space="preserve">Anaesthesia – rapid-sequence intubation (muscle relaxant)</t>
  </si>
  <si>
    <t xml:space="preserve">Piperacillin + Tazobactam</t>
  </si>
  <si>
    <t xml:space="preserve">Anti-infective – broad-spectrum hospital infections (pneumonia, sepsis, intra-abdominal)</t>
  </si>
  <si>
    <t xml:space="preserve">Cefepime</t>
  </si>
  <si>
    <t xml:space="preserve">Anti-infective – hospital Gram-negative/Pseudomonas, febrile neutropenia</t>
  </si>
  <si>
    <t xml:space="preserve">Baclofen</t>
  </si>
  <si>
    <t xml:space="preserve">Neurology – severe spasticity (intrathecal pump)</t>
  </si>
  <si>
    <t xml:space="preserve">Alfentanil</t>
  </si>
  <si>
    <t xml:space="preserve">Anaesthesia – short-acting opioid analgesia during surgery</t>
  </si>
  <si>
    <t xml:space="preserve">Remifentanil</t>
  </si>
  <si>
    <t xml:space="preserve">Anaesthesia – ultra-short-acting opioid analgesia during surgery</t>
  </si>
  <si>
    <t xml:space="preserve">Fentanyl</t>
  </si>
  <si>
    <t xml:space="preserve">Anaesthesia / Pain – surgical &amp; ICU analgesia (opioid)</t>
  </si>
  <si>
    <t xml:space="preserve">UK-NI, DE, FR, NL, BE</t>
  </si>
  <si>
    <t xml:space="preserve">Etomidate</t>
  </si>
  <si>
    <t xml:space="preserve">Anaesthesia – induction of general anaesthesia (unstable patients)</t>
  </si>
  <si>
    <t xml:space="preserve">DE, FR, NL, BE</t>
  </si>
  <si>
    <t xml:space="preserve">Bupivacaine</t>
  </si>
  <si>
    <t xml:space="preserve">Anaesthesia – long-acting local anaesthetic (spinal, epidural, nerve block)</t>
  </si>
  <si>
    <t xml:space="preserve">Methohexital</t>
  </si>
  <si>
    <t xml:space="preserve">Anaesthesia – anaesthesia for ECT &amp; short procedures</t>
  </si>
  <si>
    <t xml:space="preserve">Nafcillin</t>
  </si>
  <si>
    <t xml:space="preserve">Anti-infective – staphylococcal (MSSA) infections</t>
  </si>
  <si>
    <t xml:space="preserve">Methotrexate</t>
  </si>
  <si>
    <t xml:space="preserve">Oncology / Immunology – leukaemia, lymphoma, osteosarcoma; rheumatoid arthritis, psoriasis</t>
  </si>
  <si>
    <t xml:space="preserve">Diazepam</t>
  </si>
  <si>
    <t xml:space="preserve">Neurology – status epilepticus, seizures, acute anxiety/sedation</t>
  </si>
  <si>
    <t xml:space="preserve">Scoring – all 333 drug–company pairs</t>
  </si>
  <si>
    <t xml:space="preserve">Composite = weighted percentile of value (price) and volume (injectable value). Only exclusion: all priced presentations ≤ $5 on a confirmed price. Markets do not filter (client steer).</t>
  </si>
  <si>
    <t xml:space="preserve">Weights:</t>
  </si>
  <si>
    <t xml:space="preserve">Value (price)</t>
  </si>
  <si>
    <t xml:space="preserve">Volume (export)</t>
  </si>
  <si>
    <t xml:space="preserve">Avg price (USD / unit, &gt; $5)</t>
  </si>
  <si>
    <t xml:space="preserve">Value score</t>
  </si>
  <si>
    <t xml:space="preserve">Volume score</t>
  </si>
  <si>
    <t xml:space="preserve">Exclusion reason</t>
  </si>
  <si>
    <t xml:space="preserve">Rank in company</t>
  </si>
  <si>
    <t xml:space="preserve">Therapeutic area – source URL</t>
  </si>
  <si>
    <t xml:space="preserve">https://dailymed.nlm.nih.gov/dailymed/search.cfm?labeltype=all&amp;query=fulvestrant</t>
  </si>
  <si>
    <t xml:space="preserve">https://dailymed.nlm.nih.gov/dailymed/search.cfm?labeltype=all&amp;query=carboprost</t>
  </si>
  <si>
    <t xml:space="preserve">https://dailymed.nlm.nih.gov/dailymed/search.cfm?labeltype=all&amp;query=methotrexate+injection</t>
  </si>
  <si>
    <t xml:space="preserve">https://dailymed.nlm.nih.gov/dailymed/search.cfm?labeltype=all&amp;query=diazepam+injection</t>
  </si>
  <si>
    <t xml:space="preserve">Triamcinolone Acetonide</t>
  </si>
  <si>
    <t xml:space="preserve">Ortho / Immunology – joint &amp; soft-tissue injections; allergic &amp; skin conditions</t>
  </si>
  <si>
    <t xml:space="preserve">Price ≤ $5</t>
  </si>
  <si>
    <t xml:space="preserve">https://dailymed.nlm.nih.gov/dailymed/search.cfm?labeltype=all&amp;query=triamcinolone+acetonide+injectable+suspension</t>
  </si>
  <si>
    <t xml:space="preserve">Phytonadione</t>
  </si>
  <si>
    <t xml:space="preserve">Haematology – newborn vitamin K bleeding prophylaxis; warfarin reversal</t>
  </si>
  <si>
    <t xml:space="preserve">https://dailymed.nlm.nih.gov/dailymed/search.cfm?labeltype=all&amp;query=phytonadione</t>
  </si>
  <si>
    <t xml:space="preserve">https://dailymed.nlm.nih.gov/dailymed/search.cfm?labeltype=all&amp;query=azacitidine</t>
  </si>
  <si>
    <t xml:space="preserve">https://dailymed.nlm.nih.gov/dailymed/search.cfm?labeltype=all&amp;query=bortezomib</t>
  </si>
  <si>
    <t xml:space="preserve">https://dailymed.nlm.nih.gov/dailymed/search.cfm?labeltype=all&amp;query=daptomycin</t>
  </si>
  <si>
    <t xml:space="preserve">https://dailymed.nlm.nih.gov/dailymed/search.cfm?labeltype=all&amp;query=plerixafor</t>
  </si>
  <si>
    <t xml:space="preserve">https://dailymed.nlm.nih.gov/dailymed/search.cfm?labeltype=all&amp;query=eptifibatide</t>
  </si>
  <si>
    <t xml:space="preserve">https://dailymed.nlm.nih.gov/dailymed/search.cfm?labeltype=all&amp;query=ertapenem</t>
  </si>
  <si>
    <t xml:space="preserve">https://dailymed.nlm.nih.gov/dailymed/search.cfm?labeltype=all&amp;query=cyclophosphamide</t>
  </si>
  <si>
    <t xml:space="preserve">https://dailymed.nlm.nih.gov/dailymed/search.cfm?labeltype=all&amp;query=meropenem</t>
  </si>
  <si>
    <t xml:space="preserve">—</t>
  </si>
  <si>
    <t xml:space="preserve">https://dailymed.nlm.nih.gov/dailymed/search.cfm?labeltype=all&amp;query=mitomycin</t>
  </si>
  <si>
    <t xml:space="preserve">https://dailymed.nlm.nih.gov/dailymed/search.cfm?labeltype=all&amp;query=doxorubicin</t>
  </si>
  <si>
    <t xml:space="preserve">Esmolol</t>
  </si>
  <si>
    <t xml:space="preserve">Cardiovascular – rapid heart-rate control (SVT, peri-operative)</t>
  </si>
  <si>
    <t xml:space="preserve">Bag</t>
  </si>
  <si>
    <t xml:space="preserve">https://dailymed.nlm.nih.gov/dailymed/search.cfm?labeltype=all&amp;query=esmolol</t>
  </si>
  <si>
    <t xml:space="preserve">Dactinomycin</t>
  </si>
  <si>
    <t xml:space="preserve">Oncology – paediatric tumours (Wilms, rhabdomyosarcoma, Ewing)</t>
  </si>
  <si>
    <t xml:space="preserve">https://dailymed.nlm.nih.gov/dailymed/search.cfm?labeltype=all&amp;query=dactinomycin</t>
  </si>
  <si>
    <t xml:space="preserve">Tirofiban</t>
  </si>
  <si>
    <t xml:space="preserve">Cardiovascular – acute coronary syndrome (antiplatelet)</t>
  </si>
  <si>
    <t xml:space="preserve">US, UK-NI, FR, NL</t>
  </si>
  <si>
    <t xml:space="preserve">https://dailymed.nlm.nih.gov/dailymed/search.cfm?labeltype=all&amp;query=tirofiban</t>
  </si>
  <si>
    <t xml:space="preserve">Folinic Acid (Leucovorin)</t>
  </si>
  <si>
    <t xml:space="preserve">Oncology supportive – methotrexate rescue; with 5-FU in colorectal cancer</t>
  </si>
  <si>
    <t xml:space="preserve">https://dailymed.nlm.nih.gov/dailymed/search.cfm?labeltype=all&amp;query=leucovorin+calcium+injection</t>
  </si>
  <si>
    <t xml:space="preserve">DE, NL</t>
  </si>
  <si>
    <t xml:space="preserve">https://dailymed.nlm.nih.gov/dailymed/search.cfm?labeltype=all&amp;query=melphalan+hydrochloride</t>
  </si>
  <si>
    <t xml:space="preserve">Epirubicin</t>
  </si>
  <si>
    <t xml:space="preserve">Oncology – breast cancer (adjuvant)</t>
  </si>
  <si>
    <t xml:space="preserve">BE</t>
  </si>
  <si>
    <t xml:space="preserve">https://dailymed.nlm.nih.gov/dailymed/search.cfm?labeltype=all&amp;query=epirubicin</t>
  </si>
  <si>
    <t xml:space="preserve">Tranexamic Acid</t>
  </si>
  <si>
    <t xml:space="preserve">Haematology – bleeding control (surgery, trauma, postpartum haemorrhage)</t>
  </si>
  <si>
    <t xml:space="preserve">https://dailymed.nlm.nih.gov/dailymed/search.cfm?labeltype=all&amp;query=tranexamic+acid+injection</t>
  </si>
  <si>
    <t xml:space="preserve">https://dailymed.nlm.nih.gov/dailymed/search.cfm?labeltype=all&amp;query=fluphenazine+decanoate</t>
  </si>
  <si>
    <t xml:space="preserve">https://dailymed.nlm.nih.gov/dailymed/search.cfm?labeltype=all&amp;query=ceftriaxone</t>
  </si>
  <si>
    <t xml:space="preserve">https://dailymed.nlm.nih.gov/dailymed/search.cfm?labeltype=all&amp;query=testosterone+cypionate</t>
  </si>
  <si>
    <t xml:space="preserve">Ampicillin</t>
  </si>
  <si>
    <t xml:space="preserve">Anti-infective – meningitis, endocarditis, neonatal sepsis</t>
  </si>
  <si>
    <t xml:space="preserve">DE, CA</t>
  </si>
  <si>
    <t xml:space="preserve">https://dailymed.nlm.nih.gov/dailymed/search.cfm?labeltype=all&amp;query=ampicillin</t>
  </si>
  <si>
    <t xml:space="preserve">https://dailymed.nlm.nih.gov/dailymed/search.cfm?labeltype=all&amp;query=pantoprazole+sodium+for+injection</t>
  </si>
  <si>
    <t xml:space="preserve">Argatroban</t>
  </si>
  <si>
    <t xml:space="preserve">Haematology – anticoagulant for heparin-induced thrombocytopenia (HIT)</t>
  </si>
  <si>
    <t xml:space="preserve">https://dailymed.nlm.nih.gov/dailymed/search.cfm?labeltype=all&amp;query=argatroban</t>
  </si>
  <si>
    <t xml:space="preserve">UK, UK-NI, DE, BE, CA</t>
  </si>
  <si>
    <t xml:space="preserve">https://dailymed.nlm.nih.gov/dailymed/search.cfm?labeltype=all&amp;query=ondansetron+injection</t>
  </si>
  <si>
    <t xml:space="preserve">Sildenafil</t>
  </si>
  <si>
    <t xml:space="preserve">Cardiovascular – pulmonary arterial hypertension (IV)</t>
  </si>
  <si>
    <t xml:space="preserve">https://dailymed.nlm.nih.gov/dailymed/search.cfm?labeltype=all&amp;query=sildenafil+injection</t>
  </si>
  <si>
    <t xml:space="preserve">Medroxyprogesterone Acetate</t>
  </si>
  <si>
    <t xml:space="preserve">Women's health – 3-monthly contraceptive injection</t>
  </si>
  <si>
    <t xml:space="preserve">https://dailymed.nlm.nih.gov/dailymed/search.cfm?labeltype=all&amp;query=medroxyprogesterone+acetate+injectable</t>
  </si>
  <si>
    <t xml:space="preserve">Ibandronic Acid</t>
  </si>
  <si>
    <t xml:space="preserve">Ortho – postmenopausal osteoporosis (3-monthly IV)</t>
  </si>
  <si>
    <t xml:space="preserve">https://dailymed.nlm.nih.gov/dailymed/search.cfm?labeltype=all&amp;query=ibandronate+injection</t>
  </si>
  <si>
    <t xml:space="preserve">Ropivacaine</t>
  </si>
  <si>
    <t xml:space="preserve">Anaesthesia – local anaesthetic (epidural, labour, nerve block)</t>
  </si>
  <si>
    <t xml:space="preserve">https://dailymed.nlm.nih.gov/dailymed/search.cfm?labeltype=all&amp;query=ropivacaine</t>
  </si>
  <si>
    <t xml:space="preserve">Naloxone</t>
  </si>
  <si>
    <t xml:space="preserve">Critical care – opioid overdose reversal</t>
  </si>
  <si>
    <t xml:space="preserve">US, CA</t>
  </si>
  <si>
    <t xml:space="preserve">https://dailymed.nlm.nih.gov/dailymed/search.cfm?labeltype=all&amp;query=naloxone+hydrochloride+injection</t>
  </si>
  <si>
    <t xml:space="preserve">https://dailymed.nlm.nih.gov/dailymed/search.cfm?labeltype=all&amp;query=cefepime</t>
  </si>
  <si>
    <t xml:space="preserve">UK-NI, DE, NL</t>
  </si>
  <si>
    <t xml:space="preserve">https://dailymed.nlm.nih.gov/dailymed/search.cfm?labeltype=all&amp;query=bupivacaine</t>
  </si>
  <si>
    <t xml:space="preserve">Methylprednisolone Acetate</t>
  </si>
  <si>
    <t xml:space="preserve">Ortho / Immunology – joint injections (arthritis, bursitis); inflammatory conditions</t>
  </si>
  <si>
    <t xml:space="preserve">https://dailymed.nlm.nih.gov/dailymed/search.cfm?labeltype=all&amp;query=methylprednisolone+acetate</t>
  </si>
  <si>
    <t xml:space="preserve">https://dailymed.nlm.nih.gov/dailymed/search.cfm?labeltype=all&amp;query=ceftazidime</t>
  </si>
  <si>
    <t xml:space="preserve">Testosterone Enanthate</t>
  </si>
  <si>
    <t xml:space="preserve">Endocrinology – male hypogonadism; delayed puberty</t>
  </si>
  <si>
    <t xml:space="preserve">https://dailymed.nlm.nih.gov/dailymed/search.cfm?labeltype=all&amp;query=testosterone+enanthate</t>
  </si>
  <si>
    <t xml:space="preserve">Progesterone</t>
  </si>
  <si>
    <t xml:space="preserve">Women's health – IVF luteal support; amenorrhoea, abnormal uterine bleeding</t>
  </si>
  <si>
    <t xml:space="preserve">https://dailymed.nlm.nih.gov/dailymed/search.cfm?labeltype=all&amp;query=progesterone+injection</t>
  </si>
  <si>
    <t xml:space="preserve">Vecuronium</t>
  </si>
  <si>
    <t xml:space="preserve">https://dailymed.nlm.nih.gov/dailymed/search.cfm?labeltype=all&amp;query=vecuronium</t>
  </si>
  <si>
    <t xml:space="preserve">https://dailymed.nlm.nih.gov/dailymed/search.cfm?labeltype=all&amp;query=verapamil+hydrochloride+injection</t>
  </si>
  <si>
    <t xml:space="preserve">Fluorouracil</t>
  </si>
  <si>
    <t xml:space="preserve">Oncology – colorectal, breast, gastric, pancreatic, head &amp; neck cancers</t>
  </si>
  <si>
    <t xml:space="preserve">https://dailymed.nlm.nih.gov/dailymed/search.cfm?labeltype=all&amp;query=fluorouracil+injection</t>
  </si>
  <si>
    <t xml:space="preserve">Hydralazine</t>
  </si>
  <si>
    <t xml:space="preserve">Cardiovascular – severe hypertension in pregnancy, hypertensive emergency</t>
  </si>
  <si>
    <t xml:space="preserve">https://dailymed.nlm.nih.gov/dailymed/search.cfm?labeltype=all&amp;query=hydralazine+injection</t>
  </si>
  <si>
    <t xml:space="preserve">Palonosetron</t>
  </si>
  <si>
    <t xml:space="preserve">Oncology supportive – chemotherapy-induced nausea/vomiting</t>
  </si>
  <si>
    <t xml:space="preserve">https://dailymed.nlm.nih.gov/dailymed/search.cfm?labeltype=all&amp;query=palonosetron</t>
  </si>
  <si>
    <t xml:space="preserve">Vinorelbine</t>
  </si>
  <si>
    <t xml:space="preserve">Oncology – non-small cell lung cancer; breast cancer</t>
  </si>
  <si>
    <t xml:space="preserve">DE, FR, BE</t>
  </si>
  <si>
    <t xml:space="preserve">https://dailymed.nlm.nih.gov/dailymed/search.cfm?labeltype=all&amp;query=vinorelbine</t>
  </si>
  <si>
    <t xml:space="preserve">https://dailymed.nlm.nih.gov/dailymed/search.cfm?labeltype=all&amp;query=chlorpromazine</t>
  </si>
  <si>
    <t xml:space="preserve">Mesna</t>
  </si>
  <si>
    <t xml:space="preserve">Oncology supportive – prevents bladder toxicity of ifosfamide/cyclophosphamide</t>
  </si>
  <si>
    <t xml:space="preserve">https://dailymed.nlm.nih.gov/dailymed/search.cfm?labeltype=all&amp;query=mesna</t>
  </si>
  <si>
    <t xml:space="preserve">Ephedrine</t>
  </si>
  <si>
    <t xml:space="preserve">Anaesthesia – hypotension during anaesthesia (spinal / C-section)</t>
  </si>
  <si>
    <t xml:space="preserve">US, FR</t>
  </si>
  <si>
    <t xml:space="preserve">https://dailymed.nlm.nih.gov/dailymed/search.cfm?labeltype=all&amp;query=ephedrine+sulfate+injection</t>
  </si>
  <si>
    <t xml:space="preserve">Regadenoson</t>
  </si>
  <si>
    <t xml:space="preserve">Diagnostics / Cardiovascular – cardiac stress imaging agent</t>
  </si>
  <si>
    <t xml:space="preserve">https://dailymed.nlm.nih.gov/dailymed/search.cfm?labeltype=all&amp;query=regadenoson</t>
  </si>
  <si>
    <t xml:space="preserve">Oxacillin</t>
  </si>
  <si>
    <t xml:space="preserve">https://dailymed.nlm.nih.gov/dailymed/search.cfm?labeltype=all&amp;query=oxacillin</t>
  </si>
  <si>
    <t xml:space="preserve">https://dailymed.nlm.nih.gov/dailymed/search.cfm?labeltype=all&amp;query=nafcillin</t>
  </si>
  <si>
    <t xml:space="preserve">NL</t>
  </si>
  <si>
    <t xml:space="preserve">https://dailymed.nlm.nih.gov/dailymed/search.cfm?labeltype=all&amp;query=remifentanil</t>
  </si>
  <si>
    <t xml:space="preserve">Flucloxacillin</t>
  </si>
  <si>
    <t xml:space="preserve">Anti-infective – staphylococcal skin, bone &amp; heart infections</t>
  </si>
  <si>
    <t xml:space="preserve">https://www.medicines.org.uk/emc/search?q=flucloxacillin</t>
  </si>
  <si>
    <t xml:space="preserve">https://dailymed.nlm.nih.gov/dailymed/search.cfm?labeltype=all&amp;query=trastuzumab</t>
  </si>
  <si>
    <t xml:space="preserve">https://www.who.int/news-room/fact-sheets/detail/measles</t>
  </si>
  <si>
    <t xml:space="preserve">https://dailymed.nlm.nih.gov/dailymed/search.cfm?labeltype=all&amp;query=sugammadex</t>
  </si>
  <si>
    <t xml:space="preserve">https://dailymed.nlm.nih.gov/dailymed/search.cfm?labeltype=all&amp;query=isoproterenol</t>
  </si>
  <si>
    <t xml:space="preserve">https://dailymed.nlm.nih.gov/dailymed/search.cfm?labeltype=all&amp;query=bleomycin</t>
  </si>
  <si>
    <t xml:space="preserve">Lanreotide</t>
  </si>
  <si>
    <t xml:space="preserve">Endocrinology / Oncology – acromegaly; neuroendocrine tumours</t>
  </si>
  <si>
    <t xml:space="preserve">https://dailymed.nlm.nih.gov/dailymed/search.cfm?labeltype=all&amp;query=lanreotide</t>
  </si>
  <si>
    <t xml:space="preserve">https://dailymed.nlm.nih.gov/dailymed/search.cfm?labeltype=all&amp;query=hydrocortisone+sodium+succinate</t>
  </si>
  <si>
    <t xml:space="preserve">Streptokinase</t>
  </si>
  <si>
    <t xml:space="preserve">Cardiovascular – clot-buster for heart attack (STEMI), pulmonary embolism</t>
  </si>
  <si>
    <t xml:space="preserve">https://list.essentialmeds.org/?query=streptokinase</t>
  </si>
  <si>
    <t xml:space="preserve">https://www.medicines.org.uk/emc/search?q=teicoplanin</t>
  </si>
  <si>
    <t xml:space="preserve">https://dailymed.nlm.nih.gov/dailymed/search.cfm?labeltype=all&amp;query=testosterone+undecanoate</t>
  </si>
  <si>
    <t xml:space="preserve">Phenylephrine</t>
  </si>
  <si>
    <t xml:space="preserve">Anaesthesia – hypotension during anaesthesia (vasopressor)</t>
  </si>
  <si>
    <t xml:space="preserve">Low price (cross-market proxy) – confirm with company</t>
  </si>
  <si>
    <t xml:space="preserve">https://dailymed.nlm.nih.gov/dailymed/search.cfm?labeltype=all&amp;query=phenylephrine+hydrochloride+injection</t>
  </si>
  <si>
    <t xml:space="preserve">Vinblastine</t>
  </si>
  <si>
    <t xml:space="preserve">Oncology – Hodgkin lymphoma, testicular cancer, Kaposi sarcoma</t>
  </si>
  <si>
    <t xml:space="preserve">https://dailymed.nlm.nih.gov/dailymed/search.cfm?labeltype=all&amp;query=vinblastine</t>
  </si>
  <si>
    <t xml:space="preserve">https://dailymed.nlm.nih.gov/dailymed/search.cfm?labeltype=all&amp;query=thiotepa</t>
  </si>
  <si>
    <t xml:space="preserve">US, UK, UK-NI, DE, CA</t>
  </si>
  <si>
    <t xml:space="preserve">https://dailymed.nlm.nih.gov/dailymed/search.cfm?labeltype=all&amp;query=eribulin</t>
  </si>
  <si>
    <t xml:space="preserve">US, DE</t>
  </si>
  <si>
    <t xml:space="preserve">Desmopressin</t>
  </si>
  <si>
    <t xml:space="preserve">Endocrinology / Haematology – diabetes insipidus; haemophilia A &amp; von Willebrand</t>
  </si>
  <si>
    <t xml:space="preserve">https://dailymed.nlm.nih.gov/dailymed/search.cfm?labeltype=all&amp;query=desmopressin</t>
  </si>
  <si>
    <t xml:space="preserve">https://dailymed.nlm.nih.gov/dailymed/search.cfm?labeltype=all&amp;query=succinylcholine</t>
  </si>
  <si>
    <t xml:space="preserve">Bivalirudin</t>
  </si>
  <si>
    <t xml:space="preserve">Cardiovascular – anticoagulant during PCI / angioplasty</t>
  </si>
  <si>
    <t xml:space="preserve">https://dailymed.nlm.nih.gov/dailymed/search.cfm?labeltype=all&amp;query=bivalirudin</t>
  </si>
  <si>
    <t xml:space="preserve">Ferric Carboxymaltose</t>
  </si>
  <si>
    <t xml:space="preserve">Haematology / Nephrology – IV iron for iron-deficiency anaemia (CKD, heart failure)</t>
  </si>
  <si>
    <t xml:space="preserve">https://dailymed.nlm.nih.gov/dailymed/search.cfm?labeltype=all&amp;query=ferric+carboxymaltose</t>
  </si>
  <si>
    <t xml:space="preserve">Neostigmine</t>
  </si>
  <si>
    <t xml:space="preserve">Anaesthesia – reversal of muscle relaxants after surgery</t>
  </si>
  <si>
    <t xml:space="preserve">https://dailymed.nlm.nih.gov/dailymed/search.cfm?labeltype=all&amp;query=neostigmine</t>
  </si>
  <si>
    <t xml:space="preserve">https://dailymed.nlm.nih.gov/dailymed/search.cfm?labeltype=all&amp;query=amikacin</t>
  </si>
  <si>
    <t xml:space="preserve">https://dailymed.nlm.nih.gov/dailymed/search.cfm?labeltype=all&amp;query=pentamidine</t>
  </si>
  <si>
    <t xml:space="preserve">Propofol</t>
  </si>
  <si>
    <t xml:space="preserve">Anaesthesia – general anaesthesia induction/maintenance; ICU sedation</t>
  </si>
  <si>
    <t xml:space="preserve">https://dailymed.nlm.nih.gov/dailymed/search.cfm?labeltype=all&amp;query=propofol</t>
  </si>
  <si>
    <t xml:space="preserve">UK, UK-NI, DE, FR</t>
  </si>
  <si>
    <t xml:space="preserve">https://dailymed.nlm.nih.gov/dailymed/search.cfm?labeltype=all&amp;query=milrinone</t>
  </si>
  <si>
    <t xml:space="preserve">Source not found</t>
  </si>
  <si>
    <t xml:space="preserve">FR, CA</t>
  </si>
  <si>
    <t xml:space="preserve">Esomeprazole</t>
  </si>
  <si>
    <t xml:space="preserve">Gastroenterology – GERD; peptic ulcer re-bleeding prevention (IV PPI)</t>
  </si>
  <si>
    <t xml:space="preserve">UK-NI, DE, FR, NL</t>
  </si>
  <si>
    <t xml:space="preserve">https://dailymed.nlm.nih.gov/dailymed/search.cfm?labeltype=all&amp;query=esomeprazole+sodium</t>
  </si>
  <si>
    <t xml:space="preserve">Colistimethate Sodium</t>
  </si>
  <si>
    <t xml:space="preserve">Anti-infective – last-resort for MDR Gram-negative infections</t>
  </si>
  <si>
    <t xml:space="preserve">https://dailymed.nlm.nih.gov/dailymed/search.cfm?labeltype=all&amp;query=colistimethate</t>
  </si>
  <si>
    <t xml:space="preserve">Acetazolamide</t>
  </si>
  <si>
    <t xml:space="preserve">Ophthalmic – acute angle-closure glaucoma / IOP reduction (also oedema)</t>
  </si>
  <si>
    <t xml:space="preserve">https://dailymed.nlm.nih.gov/dailymed/search.cfm?labeltype=all&amp;query=acetazolamide</t>
  </si>
  <si>
    <t xml:space="preserve">https://dailymed.nlm.nih.gov/dailymed/search.cfm?labeltype=all&amp;query=magnesium+sulfate+injection</t>
  </si>
  <si>
    <t xml:space="preserve">https://dailymed.nlm.nih.gov/dailymed/search.cfm?labeltype=all&amp;query=rocuronium</t>
  </si>
  <si>
    <t xml:space="preserve">Glycopyrrolate</t>
  </si>
  <si>
    <t xml:space="preserve">Anaesthesia – reduce secretions; reversal of muscle relaxants (with neostigmine)</t>
  </si>
  <si>
    <t xml:space="preserve">https://dailymed.nlm.nih.gov/dailymed/search.cfm?labeltype=all&amp;query=glycopyrrolate+injection</t>
  </si>
  <si>
    <t xml:space="preserve">https://dailymed.nlm.nih.gov/dailymed/search.cfm?labeltype=all&amp;query=brivaracetam</t>
  </si>
  <si>
    <t xml:space="preserve">Sodium Bicarbonate</t>
  </si>
  <si>
    <t xml:space="preserve">Critical care – metabolic acidosis, cardiac arrest, overdose</t>
  </si>
  <si>
    <t xml:space="preserve">https://dailymed.nlm.nih.gov/dailymed/search.cfm?labeltype=all&amp;query=sodium+bicarbonate+injection</t>
  </si>
  <si>
    <t xml:space="preserve">Lidocaine</t>
  </si>
  <si>
    <t xml:space="preserve">Anaesthesia – local anaesthetic (also ventricular arrhythmias)</t>
  </si>
  <si>
    <t xml:space="preserve">https://dailymed.nlm.nih.gov/dailymed/search.cfm?labeltype=all&amp;query=lidocaine+hydrochloride+injection</t>
  </si>
  <si>
    <t xml:space="preserve">https://dailymed.nlm.nih.gov/dailymed/search.cfm?labeltype=all&amp;query=cyanocobalamin+injection</t>
  </si>
  <si>
    <t xml:space="preserve">https://dailymed.nlm.nih.gov/dailymed/search.cfm?labeltype=all&amp;query=pegfilgrastim</t>
  </si>
  <si>
    <t xml:space="preserve">https://www.medicines.org.uk/emc/search?q=amoxicillin+injection</t>
  </si>
  <si>
    <t xml:space="preserve">https://dailymed.nlm.nih.gov/dailymed/search.cfm?labeltype=all&amp;query=paclitaxel</t>
  </si>
  <si>
    <t xml:space="preserve">Fludarabine Phosphate</t>
  </si>
  <si>
    <t xml:space="preserve">Oncology – chronic lymphocytic leukaemia; transplant / CAR-T conditioning</t>
  </si>
  <si>
    <t xml:space="preserve">https://dailymed.nlm.nih.gov/dailymed/search.cfm?labeltype=all&amp;query=fludarabine</t>
  </si>
  <si>
    <t xml:space="preserve">Ustekinumab</t>
  </si>
  <si>
    <t xml:space="preserve">Immunology – psoriasis, psoriatic arthritis, Crohn's disease, ulcerative colitis</t>
  </si>
  <si>
    <t xml:space="preserve">https://dailymed.nlm.nih.gov/dailymed/search.cfm?labeltype=all&amp;query=ustekinumab</t>
  </si>
  <si>
    <t xml:space="preserve">Denosumab</t>
  </si>
  <si>
    <t xml:space="preserve">Ortho / Oncology – bone metastases (120 mg); osteoporosis (60 mg)</t>
  </si>
  <si>
    <t xml:space="preserve">https://dailymed.nlm.nih.gov/dailymed/search.cfm?labeltype=all&amp;query=denosumab</t>
  </si>
  <si>
    <t xml:space="preserve">Leuprorelin</t>
  </si>
  <si>
    <t xml:space="preserve">Oncology – advanced prostate cancer (hormone therapy)</t>
  </si>
  <si>
    <t xml:space="preserve">https://dailymed.nlm.nih.gov/dailymed/search.cfm?labeltype=all&amp;query=leuprolide</t>
  </si>
  <si>
    <t xml:space="preserve">Vial, Ampoule, Prefilled syringe</t>
  </si>
  <si>
    <t xml:space="preserve">Ranibizumab</t>
  </si>
  <si>
    <t xml:space="preserve">Ophthalmic – wet AMD, diabetic macular oedema, retinal vein occlusion</t>
  </si>
  <si>
    <t xml:space="preserve">https://dailymed.nlm.nih.gov/dailymed/search.cfm?labeltype=all&amp;query=ranibizumab</t>
  </si>
  <si>
    <t xml:space="preserve">Idarubicin</t>
  </si>
  <si>
    <t xml:space="preserve">Oncology – acute myeloid leukaemia (AML)</t>
  </si>
  <si>
    <t xml:space="preserve">UK-NI, FR</t>
  </si>
  <si>
    <t xml:space="preserve">https://dailymed.nlm.nih.gov/dailymed/search.cfm?labeltype=all&amp;query=idarubicin</t>
  </si>
  <si>
    <t xml:space="preserve">Tigecycline</t>
  </si>
  <si>
    <t xml:space="preserve">Anti-infective – complicated skin &amp; intra-abdominal infections, MDR organisms</t>
  </si>
  <si>
    <t xml:space="preserve">https://dailymed.nlm.nih.gov/dailymed/search.cfm?labeltype=all&amp;query=tigecycline</t>
  </si>
  <si>
    <t xml:space="preserve">US, UK-NI, DE, FR</t>
  </si>
  <si>
    <t xml:space="preserve">Epinephrine (Adrenaline)</t>
  </si>
  <si>
    <t xml:space="preserve">Critical care – anaphylaxis, cardiac arrest, shock</t>
  </si>
  <si>
    <t xml:space="preserve">https://dailymed.nlm.nih.gov/dailymed/search.cfm?labeltype=all&amp;query=epinephrine+injection</t>
  </si>
  <si>
    <t xml:space="preserve">Atropine</t>
  </si>
  <si>
    <t xml:space="preserve">Critical care – bradycardia, pre-anaesthetic, organophosphate poisoning</t>
  </si>
  <si>
    <t xml:space="preserve">https://dailymed.nlm.nih.gov/dailymed/search.cfm?labeltype=all&amp;query=atropine</t>
  </si>
  <si>
    <t xml:space="preserve">UK, UK-NI, NL, BE</t>
  </si>
  <si>
    <t xml:space="preserve">Mitoxantrone</t>
  </si>
  <si>
    <t xml:space="preserve">Oncology / Neurology – AML, prostate cancer; multiple sclerosis</t>
  </si>
  <si>
    <t xml:space="preserve">UK-NI, FR, NL</t>
  </si>
  <si>
    <t xml:space="preserve">https://dailymed.nlm.nih.gov/dailymed/search.cfm?labeltype=all&amp;query=mitoxantrone</t>
  </si>
  <si>
    <t xml:space="preserve">https://dailymed.nlm.nih.gov/dailymed/search.cfm?labeltype=all&amp;query=cisatracurium</t>
  </si>
  <si>
    <t xml:space="preserve">Amiodarone</t>
  </si>
  <si>
    <t xml:space="preserve">Cardiovascular – ventricular arrhythmias, cardiac arrest (VF/VT)</t>
  </si>
  <si>
    <t xml:space="preserve">https://dailymed.nlm.nih.gov/dailymed/search.cfm?labeltype=all&amp;query=amiodarone</t>
  </si>
  <si>
    <t xml:space="preserve">US, UK, DE, FR, NL, BE</t>
  </si>
  <si>
    <t xml:space="preserve">UK, UK-NI, FR, NL, BE</t>
  </si>
  <si>
    <t xml:space="preserve">Degarelix</t>
  </si>
  <si>
    <t xml:space="preserve">https://dailymed.nlm.nih.gov/dailymed/search.cfm?labeltype=all&amp;query=degarelix</t>
  </si>
  <si>
    <t xml:space="preserve">Midazolam</t>
  </si>
  <si>
    <t xml:space="preserve">Anaesthesia – sedation (procedural, ICU) &amp; anaesthesia induction; seizures</t>
  </si>
  <si>
    <t xml:space="preserve">Ampoule, Prefilled syringe</t>
  </si>
  <si>
    <t xml:space="preserve">https://dailymed.nlm.nih.gov/dailymed/search.cfm?labeltype=all&amp;query=midazolam+injection</t>
  </si>
  <si>
    <t xml:space="preserve">Cytarabine</t>
  </si>
  <si>
    <t xml:space="preserve">Oncology – acute myeloid &amp; lymphoblastic leukaemia (AML/ALL)</t>
  </si>
  <si>
    <t xml:space="preserve">https://dailymed.nlm.nih.gov/dailymed/search.cfm?labeltype=all&amp;query=cytarabine</t>
  </si>
  <si>
    <t xml:space="preserve">Paricalcitol</t>
  </si>
  <si>
    <t xml:space="preserve">Nephrology – secondary hyperparathyroidism in dialysis patients</t>
  </si>
  <si>
    <t xml:space="preserve">US, DE, NL</t>
  </si>
  <si>
    <t xml:space="preserve">https://dailymed.nlm.nih.gov/dailymed/search.cfm?labeltype=all&amp;query=paricalcitol+injection</t>
  </si>
  <si>
    <t xml:space="preserve">Atracurium</t>
  </si>
  <si>
    <t xml:space="preserve">https://www.medicines.org.uk/emc/search?q=atracurium</t>
  </si>
  <si>
    <t xml:space="preserve">Vincristine</t>
  </si>
  <si>
    <t xml:space="preserve">Oncology – leukaemia (ALL), lymphomas, paediatric tumours</t>
  </si>
  <si>
    <t xml:space="preserve">https://dailymed.nlm.nih.gov/dailymed/search.cfm?labeltype=all&amp;query=vincristine</t>
  </si>
  <si>
    <t xml:space="preserve">Hydroxocobalamin</t>
  </si>
  <si>
    <t xml:space="preserve">Nutrition / Haematology – vitamin B12 deficiency (also cyanide poisoning)</t>
  </si>
  <si>
    <t xml:space="preserve">https://www.medicines.org.uk/emc/search?q=hydroxocobalamin</t>
  </si>
  <si>
    <t xml:space="preserve">Phenytoin</t>
  </si>
  <si>
    <t xml:space="preserve">Neurology – status epilepticus; seizure prevention</t>
  </si>
  <si>
    <t xml:space="preserve">https://dailymed.nlm.nih.gov/dailymed/search.cfm?labeltype=all&amp;query=phenytoin+sodium+injection</t>
  </si>
  <si>
    <t xml:space="preserve">https://dailymed.nlm.nih.gov/dailymed/search.cfm?labeltype=all&amp;query=oxytocin</t>
  </si>
  <si>
    <t xml:space="preserve">https://dailymed.nlm.nih.gov/dailymed/search.cfm?labeltype=all&amp;query=iron+sucrose</t>
  </si>
  <si>
    <t xml:space="preserve">https://dailymed.nlm.nih.gov/dailymed/search.cfm?labeltype=all&amp;query=olanzapine+for+injection</t>
  </si>
  <si>
    <t xml:space="preserve">https://dailymed.nlm.nih.gov/dailymed/search.cfm?labeltype=all&amp;query=alfentanil</t>
  </si>
  <si>
    <t xml:space="preserve">https://dailymed.nlm.nih.gov/dailymed/search.cfm?labeltype=all&amp;query=fentanyl+citrate+injection</t>
  </si>
  <si>
    <t xml:space="preserve">Droperidol</t>
  </si>
  <si>
    <t xml:space="preserve">Anaesthesia – post-operative nausea &amp; vomiting (PONV)</t>
  </si>
  <si>
    <t xml:space="preserve">https://dailymed.nlm.nih.gov/dailymed/search.cfm?labeltype=all&amp;query=droperidol</t>
  </si>
  <si>
    <t xml:space="preserve">Cefazolin</t>
  </si>
  <si>
    <t xml:space="preserve">Anti-infective – surgical prophylaxis; MSSA infections</t>
  </si>
  <si>
    <t xml:space="preserve">https://dailymed.nlm.nih.gov/dailymed/search.cfm?labeltype=all&amp;query=cefazolin</t>
  </si>
  <si>
    <t xml:space="preserve">Famotidine</t>
  </si>
  <si>
    <t xml:space="preserve">Gastroenterology – ulcers, GERD, hypersecretory states (IV H2 blocker)</t>
  </si>
  <si>
    <t xml:space="preserve">https://dailymed.nlm.nih.gov/dailymed/search.cfm?labeltype=all&amp;query=famotidine+injection</t>
  </si>
  <si>
    <t xml:space="preserve">https://dailymed.nlm.nih.gov/dailymed/search.cfm?labeltype=all&amp;query=gadobutrol</t>
  </si>
  <si>
    <t xml:space="preserve">https://dailymed.nlm.nih.gov/dailymed/search.cfm?labeltype=all&amp;query=levetiracetam+injection</t>
  </si>
  <si>
    <t xml:space="preserve">https://dailymed.nlm.nih.gov/dailymed/search.cfm?labeltype=all&amp;query=caffeine+citrate</t>
  </si>
  <si>
    <t xml:space="preserve">https://www.medicines.org.uk/emc/search?q=cyclizine</t>
  </si>
  <si>
    <t xml:space="preserve">https://dailymed.nlm.nih.gov/dailymed/search.cfm?labeltype=all&amp;query=lincomycin</t>
  </si>
  <si>
    <t xml:space="preserve">https://dailymed.nlm.nih.gov/dailymed/search.cfm?labeltype=all&amp;query=diphenhydramine+injection</t>
  </si>
  <si>
    <t xml:space="preserve">https://dailymed.nlm.nih.gov/dailymed/search.cfm?labeltype=all&amp;query=methohexital</t>
  </si>
  <si>
    <t xml:space="preserve">https://dailymed.nlm.nih.gov/dailymed/search.cfm?labeltype=all&amp;query=baclofen</t>
  </si>
  <si>
    <t xml:space="preserve">https://dailymed.nlm.nih.gov/dailymed/search.cfm?labeltype=all&amp;query=etomidate</t>
  </si>
  <si>
    <t xml:space="preserve">https://dailymed.nlm.nih.gov/dailymed/search.cfm?labeltype=all&amp;query=piperacillin+and+tazobactam</t>
  </si>
  <si>
    <t xml:space="preserve">https://dailymed.nlm.nih.gov/dailymed/search.cfm?labeltype=all&amp;query=aripiprazole</t>
  </si>
  <si>
    <t xml:space="preserve">https://dailymed.nlm.nih.gov/dailymed/search.cfm?labeltype=all&amp;query=octreotide</t>
  </si>
  <si>
    <t xml:space="preserve">Chlorothiazide</t>
  </si>
  <si>
    <t xml:space="preserve">Cardiovascular / Renal – IV diuretic for oedema</t>
  </si>
  <si>
    <t xml:space="preserve">https://dailymed.nlm.nih.gov/dailymed/search.cfm?labeltype=all&amp;query=chlorothiazide</t>
  </si>
  <si>
    <t xml:space="preserve">UK, DE, FR, NL</t>
  </si>
  <si>
    <t xml:space="preserve">Terlipressin</t>
  </si>
  <si>
    <t xml:space="preserve">Hepatology – hepatorenal syndrome; variceal bleeding</t>
  </si>
  <si>
    <t xml:space="preserve">https://dailymed.nlm.nih.gov/dailymed/search.cfm?labeltype=all&amp;query=terlipressin</t>
  </si>
  <si>
    <t xml:space="preserve">https://dailymed.nlm.nih.gov/dailymed/search.cfm?labeltype=all&amp;query=paliperidone+palmitate</t>
  </si>
  <si>
    <t xml:space="preserve">https://dailymed.nlm.nih.gov/dailymed/search.cfm?labeltype=all&amp;query=voriconazole</t>
  </si>
  <si>
    <t xml:space="preserve">https://dailymed.nlm.nih.gov/dailymed/search.cfm?labeltype=all&amp;query=granisetron</t>
  </si>
  <si>
    <t xml:space="preserve">https://dailymed.nlm.nih.gov/dailymed/search.cfm?labeltype=all&amp;query=vancomycin+injection</t>
  </si>
  <si>
    <t xml:space="preserve">https://dailymed.nlm.nih.gov/dailymed/search.cfm?labeltype=all&amp;query=valproate+sodium+injection</t>
  </si>
  <si>
    <t xml:space="preserve">https://www.medicines.org.uk/emc/search?q=hyalase</t>
  </si>
  <si>
    <t xml:space="preserve">https://dailymed.nlm.nih.gov/dailymed/search.cfm?labeltype=all&amp;query=haloperidol+lactate</t>
  </si>
  <si>
    <t xml:space="preserve">Metaraminol</t>
  </si>
  <si>
    <t xml:space="preserve">https://www.medicines.org.uk/emc/search?q=metaraminol</t>
  </si>
  <si>
    <t xml:space="preserve">Protamine</t>
  </si>
  <si>
    <t xml:space="preserve">Haematology – heparin reversal (cardiac surgery)</t>
  </si>
  <si>
    <t xml:space="preserve">https://dailymed.nlm.nih.gov/dailymed/search.cfm?labeltype=all&amp;query=protamine</t>
  </si>
  <si>
    <t xml:space="preserve">Hyoscine Hydrobromide</t>
  </si>
  <si>
    <t xml:space="preserve">Palliative care / Anaesthesia – reduce secretions; nausea</t>
  </si>
  <si>
    <t xml:space="preserve">https://www.medicines.org.uk/emc/search?q=hyoscine+hydrobromide+injection</t>
  </si>
  <si>
    <t xml:space="preserve">Adenosine</t>
  </si>
  <si>
    <t xml:space="preserve">Cardiovascular – PSVT conversion; cardiac stress imaging agent</t>
  </si>
  <si>
    <t xml:space="preserve">https://dailymed.nlm.nih.gov/dailymed/search.cfm?labeltype=all&amp;query=adenosine</t>
  </si>
  <si>
    <t xml:space="preserve">Morphine</t>
  </si>
  <si>
    <t xml:space="preserve">Pain management – severe acute &amp; palliative pain</t>
  </si>
  <si>
    <t xml:space="preserve">https://dailymed.nlm.nih.gov/dailymed/search.cfm?labeltype=all&amp;query=morphine+sulfate+injection</t>
  </si>
  <si>
    <t xml:space="preserve">Chlorphenamine</t>
  </si>
  <si>
    <t xml:space="preserve">Immunology / Allergy – anaphylaxis adjunct, acute allergic reactions</t>
  </si>
  <si>
    <t xml:space="preserve">https://www.medicines.org.uk/emc/search?q=chlorphenamine+injection</t>
  </si>
  <si>
    <t xml:space="preserve">https://dailymed.nlm.nih.gov/dailymed/search.cfm?labeltype=all&amp;query=ethacrynate+sodium</t>
  </si>
  <si>
    <t xml:space="preserve">https://dailymed.nlm.nih.gov/dailymed/search.cfm?labeltype=all&amp;query=indocyanine+green</t>
  </si>
  <si>
    <t xml:space="preserve">Fluorescein Sodium</t>
  </si>
  <si>
    <t xml:space="preserve">Ophthalmic – diagnostic retinal angiography</t>
  </si>
  <si>
    <t xml:space="preserve">https://dailymed.nlm.nih.gov/dailymed/search.cfm?labeltype=all&amp;query=fluorescein</t>
  </si>
  <si>
    <t xml:space="preserve">Haloperidol Decanoate</t>
  </si>
  <si>
    <t xml:space="preserve">https://dailymed.nlm.nih.gov/dailymed/search.cfm?labeltype=all&amp;query=haloperidol+decanoate</t>
  </si>
  <si>
    <t xml:space="preserve">Shortlisted Drugs X Company (7) – presentation level</t>
  </si>
  <si>
    <t xml:space="preserve">Cols A–L as in Shortlisted Drugs X Company (6) (Drug Utility now filled). Cols M onwards added in this analysis; supporting sources in Price Evidence, Drug Use &amp; Market Evidence and Injectable Value tabs.</t>
  </si>
  <si>
    <t xml:space="preserve">As in Shortlisted Drugs X Company (6)</t>
  </si>
  <si>
    <t xml:space="preserve">Added in this analysis</t>
  </si>
  <si>
    <t xml:space="preserve">S.No.</t>
  </si>
  <si>
    <t xml:space="preserve">Active Ingredient</t>
  </si>
  <si>
    <t xml:space="preserve">Product Name</t>
  </si>
  <si>
    <t xml:space="preserve">Updated Parent Company Name</t>
  </si>
  <si>
    <t xml:space="preserve">Strength</t>
  </si>
  <si>
    <t xml:space="preserve">Packaging</t>
  </si>
  <si>
    <t xml:space="preserve">Pre-filled Type</t>
  </si>
  <si>
    <t xml:space="preserve">Price (USD / presentation)</t>
  </si>
  <si>
    <t xml:space="preserve">Country Count</t>
  </si>
  <si>
    <t xml:space="preserve">Shipment</t>
  </si>
  <si>
    <t xml:space="preserve">Export ('000 USD)</t>
  </si>
  <si>
    <t xml:space="preserve">Drug Utility</t>
  </si>
  <si>
    <t xml:space="preserve">Updated price (USD / presentation)</t>
  </si>
  <si>
    <t xml:space="preserve">Price status</t>
  </si>
  <si>
    <t xml:space="preserve">Price source</t>
  </si>
  <si>
    <t xml:space="preserve">Pricing URL</t>
  </si>
  <si>
    <t xml:space="preserve">Injectable share (avg)</t>
  </si>
  <si>
    <t xml:space="preserve">Markets tapped (company-level)</t>
  </si>
  <si>
    <t xml:space="preserve">Tier 1 markets</t>
  </si>
  <si>
    <t xml:space="preserve">Priority (drug × company)</t>
  </si>
  <si>
    <t xml:space="preserve">Carboprost Tromethamine</t>
  </si>
  <si>
    <t xml:space="preserve">Alembic Pharmaceuticals</t>
  </si>
  <si>
    <t xml:space="preserve">EQ 0.25MG BASE/ML</t>
  </si>
  <si>
    <t xml:space="preserve">1 mL Single-Dose Vial x 10-Vial Carton</t>
  </si>
  <si>
    <t xml:space="preserve">No</t>
  </si>
  <si>
    <t xml:space="preserve">As in (6)</t>
  </si>
  <si>
    <t xml:space="preserve">User workbook (country tabs)</t>
  </si>
  <si>
    <t xml:space="preserve">https://www.drugs.com/price-guide/carboprost</t>
  </si>
  <si>
    <t xml:space="preserve">US | EU/EEA (2): Malta, Sweden</t>
  </si>
  <si>
    <t xml:space="preserve">10MG/2ML (5MG/ML)</t>
  </si>
  <si>
    <t xml:space="preserve">10 × 2 mL pre-filled syringes</t>
  </si>
  <si>
    <t xml:space="preserve">Syringe</t>
  </si>
  <si>
    <t xml:space="preserve">New – added</t>
  </si>
  <si>
    <t xml:space="preserve">CMS ASP payment limit Oct-2026 (US Medicare Part B, 106% of ASP)</t>
  </si>
  <si>
    <t xml:space="preserve">https://www.cms.gov/files/zip/october-2026-medicare-part-b-payment-limit-files-final.zip</t>
  </si>
  <si>
    <t xml:space="preserve">Methotrexate Sodium</t>
  </si>
  <si>
    <t xml:space="preserve">EQ 1GM BASE/40ML (EQ 25MG BASE/ML)</t>
  </si>
  <si>
    <t xml:space="preserve">1 single dose vial</t>
  </si>
  <si>
    <t xml:space="preserve">https://www.drugs.com/price-guide/methotrexate</t>
  </si>
  <si>
    <t xml:space="preserve">No – &gt;10 mL</t>
  </si>
  <si>
    <t xml:space="preserve">EQ 50MG BASE/2ML (EQ 25MG BASE/ML)</t>
  </si>
  <si>
    <t xml:space="preserve">5 multiple-dose vials</t>
  </si>
  <si>
    <t xml:space="preserve">1MG/0.5ML</t>
  </si>
  <si>
    <t xml:space="preserve">1 Prefilled Syringe (0.5 mL)</t>
  </si>
  <si>
    <t xml:space="preserve">Excluded</t>
  </si>
  <si>
    <t xml:space="preserve">40MG/ML</t>
  </si>
  <si>
    <t xml:space="preserve">-</t>
  </si>
  <si>
    <t xml:space="preserve">250MG/5ML (50MG/ML)</t>
  </si>
  <si>
    <t xml:space="preserve">2 × 5 mL single-dose syringes + safety needles; NDC 62332-650-10</t>
  </si>
  <si>
    <t xml:space="preserve">Prefilled glass syringe</t>
  </si>
  <si>
    <t xml:space="preserve">https://www.drugs.com/price-guide/fulvestrant</t>
  </si>
  <si>
    <t xml:space="preserve">Carboprost Alembic</t>
  </si>
  <si>
    <t xml:space="preserve">0.25 mg/mL (250 mcg/1 mL)</t>
  </si>
  <si>
    <t xml:space="preserve">1 x 1 mL glass vial</t>
  </si>
  <si>
    <t xml:space="preserve">https://www.medicinpriser.dk/Default.aspx?VirksomtStof=Carboprost&amp;lng=2</t>
  </si>
  <si>
    <t xml:space="preserve">Aurobindo Pharma</t>
  </si>
  <si>
    <t xml:space="preserve">Long list</t>
  </si>
  <si>
    <t xml:space="preserve">Chlorpromazine Hydrochloride</t>
  </si>
  <si>
    <t xml:space="preserve">25MG/ML</t>
  </si>
  <si>
    <t xml:space="preserve">1mL or 2 mL Single-Dose Ampule x 25-Ampule Carton</t>
  </si>
  <si>
    <t xml:space="preserve">https://www.drugs.com/price-guide/chlorpromazine</t>
  </si>
  <si>
    <t xml:space="preserve">0.5MG/VIAL</t>
  </si>
  <si>
    <t xml:space="preserve">1 × 0.5 mg single-dose vial (lyophilized powder)</t>
  </si>
  <si>
    <t xml:space="preserve">https://www.drugs.com/price-guide/dactinomycin</t>
  </si>
  <si>
    <t xml:space="preserve">2MG/ML</t>
  </si>
  <si>
    <t xml:space="preserve">1 × 10 mL single-dose vial; 1 × 100 mL single-dose vial</t>
  </si>
  <si>
    <t xml:space="preserve">https://www.drugs.com/price-guide/eptifibatide</t>
  </si>
  <si>
    <t xml:space="preserve">Esmolol Hydrochloride</t>
  </si>
  <si>
    <t xml:space="preserve">1GM/100ML</t>
  </si>
  <si>
    <t xml:space="preserve">No price found</t>
  </si>
  <si>
    <t xml:space="preserve">US | EU/EEA (1): Spain</t>
  </si>
  <si>
    <t xml:space="preserve">2GM/100ML</t>
  </si>
  <si>
    <t xml:space="preserve">10 × 100 mL bags</t>
  </si>
  <si>
    <t xml:space="preserve">https://www.drugs.com/price-guide/esmolol</t>
  </si>
  <si>
    <t xml:space="preserve">1GM/20ML (50MG/ML)</t>
  </si>
  <si>
    <t xml:space="preserve">10 × 20 mL single-dose vials</t>
  </si>
  <si>
    <t xml:space="preserve">https://www.drugs.com/price-guide/fluorouracil</t>
  </si>
  <si>
    <t xml:space="preserve">1 × 5 mL multi-dose vial</t>
  </si>
  <si>
    <t xml:space="preserve">https://www.drugs.com/price-guide/fluphenazine</t>
  </si>
  <si>
    <t xml:space="preserve">150MG/ML</t>
  </si>
  <si>
    <t xml:space="preserve">1 Single-dose Vial (1 mL) / 25 Single-dose Vials (1 mL)</t>
  </si>
  <si>
    <t xml:space="preserve">https://www.drugs.com/price-guide/medroxyprogesterone</t>
  </si>
  <si>
    <t xml:space="preserve">1 Prefilled Syringe (1 mL)</t>
  </si>
  <si>
    <t xml:space="preserve">https://www.mountainside-medical.com/products/medroxyprogesterone-acetate-injection-prefilled-syringe-150-mg-ml</t>
  </si>
  <si>
    <t xml:space="preserve">Methotrexate Sodium Preservative Free</t>
  </si>
  <si>
    <t xml:space="preserve">2ml single-dose vial</t>
  </si>
  <si>
    <t xml:space="preserve">EQ 200MG BASE/8ML (EQ 25MG BASE/ML)</t>
  </si>
  <si>
    <t xml:space="preserve">Single-Dose Vials in a carton of 10</t>
  </si>
  <si>
    <t xml:space="preserve">EQ 250MG BASE/10ML (EQ 25MG BASE/ML)</t>
  </si>
  <si>
    <t xml:space="preserve">Single-Dose Vial </t>
  </si>
  <si>
    <t xml:space="preserve">Single-Dose Vials in a Carton of 25, powder form </t>
  </si>
  <si>
    <t xml:space="preserve">80MG/ML</t>
  </si>
  <si>
    <t xml:space="preserve">Powder Vial </t>
  </si>
  <si>
    <t xml:space="preserve">Nafcillin Sodium</t>
  </si>
  <si>
    <t xml:space="preserve">EQ 1GM BASE/VIAL</t>
  </si>
  <si>
    <t xml:space="preserve">Powder Vial (1 g) </t>
  </si>
  <si>
    <t xml:space="preserve">https://www.drugs.com/price-guide/nafcillin</t>
  </si>
  <si>
    <t xml:space="preserve">EQ 2GM BASE/VIAL</t>
  </si>
  <si>
    <t xml:space="preserve">Powder Vial (2 g) </t>
  </si>
  <si>
    <t xml:space="preserve">Naloxone Hydrochloride</t>
  </si>
  <si>
    <t xml:space="preserve">1MG/ML</t>
  </si>
  <si>
    <t xml:space="preserve">1 Prefilled Syringe (2 mL)</t>
  </si>
  <si>
    <t xml:space="preserve">US, Canada</t>
  </si>
  <si>
    <t xml:space="preserve">0.4MG/ML</t>
  </si>
  <si>
    <t xml:space="preserve">10 or 25 Single-dose Vials (1 mL) / 10 or 25 Multi-dose Vials (10 mL)</t>
  </si>
  <si>
    <t xml:space="preserve">https://www.drugs.com/price-guide/naloxone</t>
  </si>
  <si>
    <t xml:space="preserve">Oxacillin Sodium</t>
  </si>
  <si>
    <t xml:space="preserve">10 Vials, powder (1 g)</t>
  </si>
  <si>
    <t xml:space="preserve">https://www.drugs.com/price-guide/oxacillin</t>
  </si>
  <si>
    <t xml:space="preserve">50MG/ML</t>
  </si>
  <si>
    <t xml:space="preserve">10 mL (500 mg/10 mL) Multiple-Dose Vial, packaged individually </t>
  </si>
  <si>
    <t xml:space="preserve">https://www.drugs.com/price-guide/progesterone</t>
  </si>
  <si>
    <t xml:space="preserve">100MG/ML</t>
  </si>
  <si>
    <t xml:space="preserve">1,000 mg per 10 mL (100 mg/mL) 10 mL multiple-dose vial, packaged individually (NDC 55150-276-01)</t>
  </si>
  <si>
    <t xml:space="preserve">https://www.drugs.com/price-guide/testosterone</t>
  </si>
  <si>
    <t xml:space="preserve">200MG/ML</t>
  </si>
  <si>
    <t xml:space="preserve">200 mg/mL: 1 mL single-dose vial, packaged individually (NDC 55150-277-01); 2,000 mg per 10 mL 10 mL multiple-dose vial, packaged individually (NDC 55150-278-01)</t>
  </si>
  <si>
    <t xml:space="preserve">1,000 mg per 5 mL (200 mg/mL) 5 mL multiple-dose vial, packaged individually</t>
  </si>
  <si>
    <t xml:space="preserve">Vecuronium Bromide</t>
  </si>
  <si>
    <t xml:space="preserve">10MG/VIAL</t>
  </si>
  <si>
    <t xml:space="preserve">10 mg per vial, 10 vials in a carton</t>
  </si>
  <si>
    <t xml:space="preserve">South Africa SEP price registry (user DB), ZAR→USD 0.0608</t>
  </si>
  <si>
    <t xml:space="preserve">https://medicineprices.org.za/#search:norcuron</t>
  </si>
  <si>
    <t xml:space="preserve">20MG/VIAL</t>
  </si>
  <si>
    <t xml:space="preserve">20 mg per vial, 10 vials in a carton</t>
  </si>
  <si>
    <t xml:space="preserve">Verapamil Hydrochloride</t>
  </si>
  <si>
    <t xml:space="preserve">2.5MG/ML</t>
  </si>
  <si>
    <t xml:space="preserve">Single-dose vials: 2 mL (5 mg per 2 mL) and 4 mL (10 mg per 4 mL); available as 1-unit, 5-pack and 25-pack cartons</t>
  </si>
  <si>
    <t xml:space="preserve">https://www.drugs.com/price-guide/verapamil</t>
  </si>
  <si>
    <t xml:space="preserve">Ertapenem Sodium</t>
  </si>
  <si>
    <t xml:space="preserve">1 gram/vial Single-Dose Vials in a carton of 10 (NDC 55150-282-20)</t>
  </si>
  <si>
    <t xml:space="preserve">https://www.drugs.com/price-guide/ertapenem</t>
  </si>
  <si>
    <t xml:space="preserve">US, Canada, South Africa, UK-NI | EU/EEA (6): France, Italy, Poland, Portugal, Romania, Spain</t>
  </si>
  <si>
    <t xml:space="preserve">Ibandronate Sodium</t>
  </si>
  <si>
    <t xml:space="preserve">EQ 3MG BASE/3ML</t>
  </si>
  <si>
    <t xml:space="preserve">3 mg per 3 mL (1 mg/mL) single-dose prefilled syringe, packaged in a carton with 1 needle (NDC 55150-191-83)</t>
  </si>
  <si>
    <t xml:space="preserve">https://www.drugs.com/price-guide/ibandronate</t>
  </si>
  <si>
    <t xml:space="preserve">1 g per 10 mL (100 mg/mL) multiple-dose vial, 1 x 10 mL vial per carton</t>
  </si>
  <si>
    <t xml:space="preserve">https://www.drugs.com/price-guide/mesna</t>
  </si>
  <si>
    <t xml:space="preserve">Palonosetron Hydrochloride</t>
  </si>
  <si>
    <t xml:space="preserve">EQ 0.25MG BASE/5ML (EQ 0.05MG BASE/ML)</t>
  </si>
  <si>
    <t xml:space="preserve">0.25 mg (free base)/5 mL (0.05 mg/mL) 5 mL Single-Dose Vials, packaged in cartons of 1 (NDC 55150-186-05)</t>
  </si>
  <si>
    <t xml:space="preserve">https://www.drugs.com/price-guide/palonosetron</t>
  </si>
  <si>
    <t xml:space="preserve">3.5MG/VIAL</t>
  </si>
  <si>
    <t xml:space="preserve">3.5 mg/vial single-dose vial, lyophilized powder, 1 vial per carton </t>
  </si>
  <si>
    <t xml:space="preserve">https://www.drugs.com/price-guide/bortezomib</t>
  </si>
  <si>
    <t xml:space="preserve">US, UK, Australia, UK-NI | EU/EEA (8): Germany, France, Netherlands, Belgium, Italy, Poland, Portugal, Spain</t>
  </si>
  <si>
    <t xml:space="preserve">Ropivacaine Hydrochloride</t>
  </si>
  <si>
    <t xml:space="preserve">40MG/20ML (2MG/ML)</t>
  </si>
  <si>
    <t xml:space="preserve">25 × 20 mL single-dose vials; NDC 55150-195-20</t>
  </si>
  <si>
    <t xml:space="preserve">https://www.drugs.com/price-guide/ropivacaine</t>
  </si>
  <si>
    <t xml:space="preserve">100MG/20ML (5MG/ML)</t>
  </si>
  <si>
    <t xml:space="preserve">25 × 20 mL single-dose vials; NDC 55150-197-20</t>
  </si>
  <si>
    <t xml:space="preserve">100MG/10ML (10MG/ML)</t>
  </si>
  <si>
    <t xml:space="preserve">25 × 10 mL single-dose vials; NDC 55150-200-10</t>
  </si>
  <si>
    <t xml:space="preserve">150MG/30ML (5MG/ML)</t>
  </si>
  <si>
    <t xml:space="preserve">25 × 30 mL single-dose vials; NDC 55150-198-30</t>
  </si>
  <si>
    <t xml:space="preserve">150MG/20ML (7.5MG/ML)</t>
  </si>
  <si>
    <t xml:space="preserve">25 × 20 mL single-dose vials; NDC 55150-199-20</t>
  </si>
  <si>
    <t xml:space="preserve">200MG/20ML (10MG/ML)</t>
  </si>
  <si>
    <t xml:space="preserve">25 × 20 mL single-dose vials; NDC 55150-201-20</t>
  </si>
  <si>
    <t xml:space="preserve">Argatroban In Sodium Chloride</t>
  </si>
  <si>
    <t xml:space="preserve">50MG/50ML (1MG/ML)</t>
  </si>
  <si>
    <t xml:space="preserve">1 × 50 mL single-dose vial; NDC 55150-241-01</t>
  </si>
  <si>
    <t xml:space="preserve">https://www.drugs.com/price-guide/argatroban</t>
  </si>
  <si>
    <t xml:space="preserve">1GM/5ML (200MG/ML)</t>
  </si>
  <si>
    <t xml:space="preserve">1 × 5 mL multidose vial; NDC 55150-271-99</t>
  </si>
  <si>
    <t xml:space="preserve">https://www.drugs.com/price-guide/cyclophosphamide</t>
  </si>
  <si>
    <t xml:space="preserve">2GM/10ML (200MG/ML)</t>
  </si>
  <si>
    <t xml:space="preserve">1 × 10 mL multidose vial; NDC 55150-272-01</t>
  </si>
  <si>
    <t xml:space="preserve">500MG/2.5ML (200MG/ML)</t>
  </si>
  <si>
    <t xml:space="preserve">1 × 2.5 mL multidose vial; NDC 55150-270-99</t>
  </si>
  <si>
    <t xml:space="preserve">Ephedrine Sulfate</t>
  </si>
  <si>
    <t xml:space="preserve">50MG/ML (50MG/ML)</t>
  </si>
  <si>
    <t xml:space="preserve">25 × 1 mL single-dose vials; NDC 55150-373-25</t>
  </si>
  <si>
    <t xml:space="preserve">https://www.drugs.com/price-guide/ephedrine</t>
  </si>
  <si>
    <t xml:space="preserve">US | EU/EEA (1): France</t>
  </si>
  <si>
    <t xml:space="preserve">0.4MG/5ML (0.08MG/ML)</t>
  </si>
  <si>
    <t xml:space="preserve">5 mL single-dose prefilled syringe; 1 per carton; NDC 55150-443-01</t>
  </si>
  <si>
    <t xml:space="preserve">Yes — prefilled syringe</t>
  </si>
  <si>
    <t xml:space="preserve">Sildenafil Citrate</t>
  </si>
  <si>
    <t xml:space="preserve">EQ 10MG BASE/12.5ML (EQ 0.8MG BASE/ML)</t>
  </si>
  <si>
    <t xml:space="preserve">12.5 mL single-dose glass vial (in a 20 mL container); NDC 55150-166-13</t>
  </si>
  <si>
    <t xml:space="preserve">https://www.drugs.com/price-guide/sildenafil</t>
  </si>
  <si>
    <t xml:space="preserve">Tirofiban Hydrochloride</t>
  </si>
  <si>
    <t xml:space="preserve">EQ 5MG BASE/100ML (EQ 0.05MG BASE/ML)</t>
  </si>
  <si>
    <t xml:space="preserve">1 × 100 mL bag</t>
  </si>
  <si>
    <t xml:space="preserve">https://www.drugs.com/price-guide/tirofiban</t>
  </si>
  <si>
    <t xml:space="preserve">US, UK-NI | EU/EEA (4): France, Netherlands, Italy, Portugal</t>
  </si>
  <si>
    <t xml:space="preserve">EQ 12.5MG BASE/250ML (EQ 0.05MG BASE/ML)</t>
  </si>
  <si>
    <t xml:space="preserve">1 × 250 mL bag</t>
  </si>
  <si>
    <t xml:space="preserve">24MG/1.2ML (20MG/ML)</t>
  </si>
  <si>
    <t xml:space="preserve">1 × 1.2 mL single-dose vial</t>
  </si>
  <si>
    <t xml:space="preserve">https://www.drugs.com/price-guide/plerixafor</t>
  </si>
  <si>
    <t xml:space="preserve">US, UK, Canada, Australia, UK-NI | EU/EEA (5): Germany, France, Italy, Portugal, Spain</t>
  </si>
  <si>
    <t xml:space="preserve">Bortezomib Milpharm</t>
  </si>
  <si>
    <t xml:space="preserve">3.5 MG</t>
  </si>
  <si>
    <t xml:space="preserve">1 x 3.5 mg vial (powder)</t>
  </si>
  <si>
    <t xml:space="preserve">https://dmd-browser.nhsbsa.nhs.uk/ampp/view/187562</t>
  </si>
  <si>
    <t xml:space="preserve">250 MG</t>
  </si>
  <si>
    <t xml:space="preserve">2 x 5 mL pre-filled syringes (250 mg each; priced pack)</t>
  </si>
  <si>
    <t xml:space="preserve">https://www.nhsbsa.nhs.uk/sites/default/files/2026-08/Part%20VIIIA%20Sep%2026.xls.xlsx</t>
  </si>
  <si>
    <t xml:space="preserve">UK, Australia | EU/EEA (8): Germany, France, Netherlands, Belgium, Italy, Poland, Portugal, Spain</t>
  </si>
  <si>
    <t xml:space="preserve">20 MG/ML</t>
  </si>
  <si>
    <t xml:space="preserve">1 x 1.2 mL vial</t>
  </si>
  <si>
    <t xml:space="preserve">https://dmd-browser.nhsbsa.nhs.uk/ampp/view/190293</t>
  </si>
  <si>
    <t xml:space="preserve">25 MG/ML</t>
  </si>
  <si>
    <t xml:space="preserve">1 x 100 mg vial (powder)</t>
  </si>
  <si>
    <t xml:space="preserve">https://dmd-browser.nhsbsa.nhs.uk/ampp/view/185061</t>
  </si>
  <si>
    <t xml:space="preserve">UK, Australia, UK-NI | EU/EEA (8): Germany, France, Netherlands, Belgium, Italy, Poland, Portugal, Spain</t>
  </si>
  <si>
    <t xml:space="preserve">40 MG</t>
  </si>
  <si>
    <t xml:space="preserve">1 x vial (priced pack)</t>
  </si>
  <si>
    <t xml:space="preserve">https://dmd-browser.nhsbsa.nhs.uk/ampp/view/194984</t>
  </si>
  <si>
    <t xml:space="preserve">UK, Canada, UK-NI | EU/EEA (8): Germany, France, Netherlands, Belgium, Italy, Poland, Portugal, Spain</t>
  </si>
  <si>
    <t xml:space="preserve">2 MG/ML</t>
  </si>
  <si>
    <t xml:space="preserve">5 ampoules (priced pack)</t>
  </si>
  <si>
    <t xml:space="preserve">https://dmd-browser.nhsbsa.nhs.uk/ampp/view/47382</t>
  </si>
  <si>
    <t xml:space="preserve">UK, Canada, UK-NI | EU/EEA (7): Germany, Belgium, Italy, Luxembourg, Portugal, Romania, Spain</t>
  </si>
  <si>
    <t xml:space="preserve">Azacitidin Puren</t>
  </si>
  <si>
    <t xml:space="preserve">100 mg</t>
  </si>
  <si>
    <t xml:space="preserve">https://www.aifa.gov.it/documents/20142/3815901/Classe_H_per_principio_attivo_30-04-2026.csv</t>
  </si>
  <si>
    <t xml:space="preserve">Bortezomib Arrow</t>
  </si>
  <si>
    <t xml:space="preserve">3.5 mg</t>
  </si>
  <si>
    <t xml:space="preserve">Bupivan</t>
  </si>
  <si>
    <t xml:space="preserve">5 mg/mL (25 mg/5 mL)</t>
  </si>
  <si>
    <t xml:space="preserve">5 x 5 mL glass ampoules</t>
  </si>
  <si>
    <t xml:space="preserve">https://www.aponeo.de/rx/12675950-bupivan-0-5-5-mg-ml-inj-l-25mg-5ml-glasamp.html</t>
  </si>
  <si>
    <t xml:space="preserve">UK-NI | EU/EEA (5): Germany, Netherlands, Italy, Portugal, Spain</t>
  </si>
  <si>
    <t xml:space="preserve">Ceftazidime Arrow</t>
  </si>
  <si>
    <t xml:space="preserve">1 g</t>
  </si>
  <si>
    <t xml:space="preserve">1 x 1 g vial (powder)</t>
  </si>
  <si>
    <t xml:space="preserve">https://base-donnees-publique.medicaments.gouv.fr/medicament/64318859/extrait</t>
  </si>
  <si>
    <t xml:space="preserve">EU/EEA (1): France</t>
  </si>
  <si>
    <t xml:space="preserve">Ceftriaxon Puren</t>
  </si>
  <si>
    <t xml:space="preserve">1 x 1 g powder vial + 1 x 3.5 mL solvent ampoule</t>
  </si>
  <si>
    <t xml:space="preserve">https://www.dovesalute.it/it/farmaci/med/36138/ceftriaxone-aurobindo</t>
  </si>
  <si>
    <t xml:space="preserve">EU/EEA (4): Germany, France, Italy, Portugal</t>
  </si>
  <si>
    <t xml:space="preserve">Ceftriaxone Almus</t>
  </si>
  <si>
    <t xml:space="preserve">1 x 1 g powder (IM) + 1 x 3.5 mL solvent ampoule</t>
  </si>
  <si>
    <t xml:space="preserve">https://www.aifa.gov.it/documents/20142/3815901/Classe_A_per_principio_attivo_30-04-2026.csv</t>
  </si>
  <si>
    <t xml:space="preserve">Daptomicina Aurobindo</t>
  </si>
  <si>
    <t xml:space="preserve">350 mg</t>
  </si>
  <si>
    <t xml:space="preserve">1 x 350 mg vial (powder)</t>
  </si>
  <si>
    <t xml:space="preserve">EU/EEA (5): Germany, France, Italy, Portugal, Spain</t>
  </si>
  <si>
    <t xml:space="preserve">Doxorubicin Aurobindo</t>
  </si>
  <si>
    <t xml:space="preserve">10 mg/5 mL</t>
  </si>
  <si>
    <t xml:space="preserve">1 x 5 mL vial</t>
  </si>
  <si>
    <t xml:space="preserve">EU/EEA (6): Germany, France, Netherlands, Italy, Portugal, Spain</t>
  </si>
  <si>
    <t xml:space="preserve">Epirubicin Ab</t>
  </si>
  <si>
    <t xml:space="preserve">50 mg/25 mL</t>
  </si>
  <si>
    <t xml:space="preserve">1 x 25 mL vial (50 mg)</t>
  </si>
  <si>
    <t xml:space="preserve">EU/EEA (4): Belgium, Luxembourg, Portugal, Spain</t>
  </si>
  <si>
    <t xml:space="preserve">Folinsäure Aurobindo</t>
  </si>
  <si>
    <t xml:space="preserve">10 mg/mL</t>
  </si>
  <si>
    <t xml:space="preserve">1 x 100 mL vial</t>
  </si>
  <si>
    <t xml:space="preserve">https://www.medicinpriser.dk/Default.aspx?id=15&amp;vnr=540548</t>
  </si>
  <si>
    <t xml:space="preserve">EU/EEA (1): Germany</t>
  </si>
  <si>
    <t xml:space="preserve">Fulvestrant Arrow</t>
  </si>
  <si>
    <t xml:space="preserve">250 mg/5 mL</t>
  </si>
  <si>
    <t xml:space="preserve">2 x 5 mL pre-filled syringes</t>
  </si>
  <si>
    <t xml:space="preserve">Melfalan Eugia</t>
  </si>
  <si>
    <t xml:space="preserve">50 mg</t>
  </si>
  <si>
    <t xml:space="preserve">1 x 50 mg vial (powder) + 1 solvent vial</t>
  </si>
  <si>
    <t xml:space="preserve">EU/EEA (3): Germany, Netherlands, Portugal</t>
  </si>
  <si>
    <t xml:space="preserve">Meropenem Arrow</t>
  </si>
  <si>
    <t xml:space="preserve">500 mg</t>
  </si>
  <si>
    <t xml:space="preserve">10 x 500 mg vials (powder)</t>
  </si>
  <si>
    <t xml:space="preserve">Canada, UK-NI | EU/EEA (8): Germany, France, Belgium, Ireland, Italy, Portugal, Romania, Spain</t>
  </si>
  <si>
    <t xml:space="preserve">Meropenem Aurovit</t>
  </si>
  <si>
    <t xml:space="preserve">Meropenem Aurovitas</t>
  </si>
  <si>
    <t xml:space="preserve">Mitomicina Aurovitas</t>
  </si>
  <si>
    <t xml:space="preserve">20 mg</t>
  </si>
  <si>
    <t xml:space="preserve">1 x 20 mg vial (powder)</t>
  </si>
  <si>
    <t xml:space="preserve">EU/EEA (2): Portugal, Spain</t>
  </si>
  <si>
    <t xml:space="preserve">Ondansetron Ab</t>
  </si>
  <si>
    <t xml:space="preserve">4 mg/2 mL</t>
  </si>
  <si>
    <t xml:space="preserve">10 x 2 mL ampoules</t>
  </si>
  <si>
    <t xml:space="preserve">Plerixafor Arrow</t>
  </si>
  <si>
    <t xml:space="preserve">24 mg/1.2 mL</t>
  </si>
  <si>
    <t xml:space="preserve">Remifentanil Hydrochloride Aurobindo</t>
  </si>
  <si>
    <t xml:space="preserve">1 mg</t>
  </si>
  <si>
    <t xml:space="preserve">5 x 1 mg vials (powder)</t>
  </si>
  <si>
    <t xml:space="preserve">https://www.medicinpriser.dk/Default.aspx?VirksomtStof=Remifentanil</t>
  </si>
  <si>
    <t xml:space="preserve">EU/EEA (1): Netherlands</t>
  </si>
  <si>
    <t xml:space="preserve">Vinorelbin Aurobindo</t>
  </si>
  <si>
    <t xml:space="preserve">10 mg/1 mL</t>
  </si>
  <si>
    <t xml:space="preserve">1 x 1 mL vial</t>
  </si>
  <si>
    <t xml:space="preserve">EU/EEA (7): Germany, France, Belgium, Italy, Luxembourg, Portugal, Spain</t>
  </si>
  <si>
    <t xml:space="preserve">Vinorelbin Eugia</t>
  </si>
  <si>
    <t xml:space="preserve">40 MG/VIAL</t>
  </si>
  <si>
    <t xml:space="preserve">40 mg vial; 10 vials/carton</t>
  </si>
  <si>
    <t xml:space="preserve">https://www.ab.bluecross.ca/dbl/pdfs/ABCDPL_2026_03_03.pdf</t>
  </si>
  <si>
    <t xml:space="preserve">Ampicillin Sodium</t>
  </si>
  <si>
    <t xml:space="preserve">2 G/VIAL</t>
  </si>
  <si>
    <t xml:space="preserve">20 mL vial; 10 vials/carton</t>
  </si>
  <si>
    <t xml:space="preserve">https://www.ab.bluecross.ca/dbl/pdfs/ABCDPL_2026_01_07.pdf</t>
  </si>
  <si>
    <t xml:space="preserve">Canada | EU/EEA (1): Germany</t>
  </si>
  <si>
    <t xml:space="preserve">500 MG/VIAL</t>
  </si>
  <si>
    <t xml:space="preserve">30 mL vial; 10 vials/carton</t>
  </si>
  <si>
    <t xml:space="preserve">https://www.ab.bluecross.ca/dbl/pdfs/ABCDPL_2024_12_05.pdf</t>
  </si>
  <si>
    <t xml:space="preserve">1 G/VIAL</t>
  </si>
  <si>
    <t xml:space="preserve">40 mL vial; 10 vials/carton</t>
  </si>
  <si>
    <t xml:space="preserve">100 MG/ML</t>
  </si>
  <si>
    <t xml:space="preserve">5 mL single-use ampoule; 10 ampoules/carton</t>
  </si>
  <si>
    <t xml:space="preserve">https://www.ab.bluecross.ca/dbl/pdfs/ABCDPL_2026_04_07.pdf</t>
  </si>
  <si>
    <t xml:space="preserve">Canada, UK-NI | EU/EEA (5): Germany, France, Italy, Poland, Portugal</t>
  </si>
  <si>
    <t xml:space="preserve">Auro-Ondansetron</t>
  </si>
  <si>
    <t xml:space="preserve">2 mL single-use vial (4 mg/2 mL, preservative-free); 10 vials/carton</t>
  </si>
  <si>
    <t xml:space="preserve">https://www.formulary.health.gov.on.ca/formulary/detail.xhtml?drugId=02491524</t>
  </si>
  <si>
    <t xml:space="preserve">4 mL fill in 5 mL single-use vial (8 mg/4 mL, preservative-free); 5 vials/carton</t>
  </si>
  <si>
    <t xml:space="preserve">https://www.formulary.health.gov.on.ca/formulary/detail.xhtml?drugId=02491532</t>
  </si>
  <si>
    <t xml:space="preserve">Lyophilized powder, 1 g single-dose glass vial</t>
  </si>
  <si>
    <t xml:space="preserve">https://www.ab.bluecross.ca/dbl/pdfs/ABCDPL_2026_09_04.pdf</t>
  </si>
  <si>
    <t xml:space="preserve">Hydralazine Hydrochloride</t>
  </si>
  <si>
    <t xml:space="preserve">1 mL single-use vial; 10 vials/carton</t>
  </si>
  <si>
    <t xml:space="preserve">https://www.formulary.health.gov.on.ca/formulary/detail.xhtml?drugId=02516160</t>
  </si>
  <si>
    <t xml:space="preserve">Canada</t>
  </si>
  <si>
    <t xml:space="preserve">30 mL single-use vial; 10 vials/box</t>
  </si>
  <si>
    <t xml:space="preserve">40 mL single-use vial; 10 vials/box</t>
  </si>
  <si>
    <t xml:space="preserve">10 mL single-use glass vial; 10 vials/pack</t>
  </si>
  <si>
    <t xml:space="preserve">20 mL clear glass vial; 10 × 10 vials/pack</t>
  </si>
  <si>
    <t xml:space="preserve">5 mL (500 mg) / 10 mL (1000 mg) single-use glass ampoules; 10 ampoules/carton</t>
  </si>
  <si>
    <t xml:space="preserve">5 mL (500 mg) / 10 mL (1000 mg) single-use glass vials; 10 vials/carton</t>
  </si>
  <si>
    <t xml:space="preserve">4 MG/10 ML</t>
  </si>
  <si>
    <t xml:space="preserve">10 mL multidose vial; 1 vial/box</t>
  </si>
  <si>
    <t xml:space="preserve">1 g single-dose glass vial</t>
  </si>
  <si>
    <t xml:space="preserve">1 mL single-use glass vial; 10 vials/carton</t>
  </si>
  <si>
    <t xml:space="preserve">1.2 mL (24 mg) single-use glass vial</t>
  </si>
  <si>
    <t xml:space="preserve">Eugia-Ondansetron</t>
  </si>
  <si>
    <t xml:space="preserve">4 mL preservative-free single-use vial (8 mg/4 mL); 5 vials/carton</t>
  </si>
  <si>
    <t xml:space="preserve">EUG-Flucloxacillin</t>
  </si>
  <si>
    <t xml:space="preserve">500 mg/vial</t>
  </si>
  <si>
    <t xml:space="preserve">1 × 500 mg vial (powder)</t>
  </si>
  <si>
    <t xml:space="preserve">UK NHS dm+d price from user workbook UK tab (GBP→USD 1.322)</t>
  </si>
  <si>
    <t xml:space="preserve">https://dmd-browser.nhsbsa.nhs.uk/ampp/view/171701</t>
  </si>
  <si>
    <t xml:space="preserve">Australia, UK-NI | EU/EEA (6): Germany, France, Netherlands, Belgium, Luxembourg, Portugal</t>
  </si>
  <si>
    <t xml:space="preserve">1000 mg/vial</t>
  </si>
  <si>
    <t xml:space="preserve">1 × 1000 mg vial (powder)</t>
  </si>
  <si>
    <t xml:space="preserve">Italy AIFA Class H public price from user workbook EU tab (EUR→USD 1.13)</t>
  </si>
  <si>
    <t xml:space="preserve">2000 mg/vial</t>
  </si>
  <si>
    <t xml:space="preserve">1 × 2000 mg vial (powder)</t>
  </si>
  <si>
    <t xml:space="preserve">EUG-Fulvestrant</t>
  </si>
  <si>
    <t xml:space="preserve">250 mg/5 mL (50 mg/mL)</t>
  </si>
  <si>
    <t xml:space="preserve">1 × 5 mL pre-filled syringe</t>
  </si>
  <si>
    <t xml:space="preserve">https://www.pbs.gov.au/industry/pricing/ex-manufacturer-price/2026/09/ex-manufacturer-prices-non-efc-2026-09-01.XLSX</t>
  </si>
  <si>
    <t xml:space="preserve">Azacitidine Eugia</t>
  </si>
  <si>
    <t xml:space="preserve">100 mg/vial</t>
  </si>
  <si>
    <t xml:space="preserve">1 × 100 mg vial (powder)</t>
  </si>
  <si>
    <t xml:space="preserve">EUG-Bortezomib</t>
  </si>
  <si>
    <t xml:space="preserve">3.5 mg/vial</t>
  </si>
  <si>
    <t xml:space="preserve">1 × 3.5 mg vial (powder)</t>
  </si>
  <si>
    <t xml:space="preserve">https://www.pbs.gov.au/industry/pricing/ex-manufacturer-price/2026/09/ex-manufacturer-prices-efc-2026-09-01.XLSX</t>
  </si>
  <si>
    <t xml:space="preserve">Plerixafor Eugia</t>
  </si>
  <si>
    <t xml:space="preserve">24 mg/1.2 mL (20 mg/mL)</t>
  </si>
  <si>
    <t xml:space="preserve">1 × 1.2 mL vial</t>
  </si>
  <si>
    <t xml:space="preserve">https://www.pbs.gov.au/industry/pricing/price-disclosure-spd/current-price-disclosure-cycle</t>
  </si>
  <si>
    <t xml:space="preserve">Etamep</t>
  </si>
  <si>
    <t xml:space="preserve">1g</t>
  </si>
  <si>
    <t xml:space="preserve">1 x 20 mL vial (powder)</t>
  </si>
  <si>
    <t xml:space="preserve">https://www.health.gov.za/nhi-pee/</t>
  </si>
  <si>
    <t xml:space="preserve">10 x 20 mL vials (powder)</t>
  </si>
  <si>
    <t xml:space="preserve">Auro Cefepime</t>
  </si>
  <si>
    <t xml:space="preserve">1000mg</t>
  </si>
  <si>
    <t xml:space="preserve">South Africa</t>
  </si>
  <si>
    <t xml:space="preserve">2000mg</t>
  </si>
  <si>
    <t xml:space="preserve">1 x 50 mL vial (powder)</t>
  </si>
  <si>
    <t xml:space="preserve">10 x 50 mL vials (powder)</t>
  </si>
  <si>
    <t xml:space="preserve">Iverzam</t>
  </si>
  <si>
    <t xml:space="preserve">Hydrocortisone Sodium Succinate</t>
  </si>
  <si>
    <t xml:space="preserve">EQ 100MG BASE/VIAL</t>
  </si>
  <si>
    <t xml:space="preserve">Vial (100 mg / 2 mL) - pack count not verified</t>
  </si>
  <si>
    <t xml:space="preserve">US, Australia</t>
  </si>
  <si>
    <t xml:space="preserve">10 Prefilled Syringes (0.5 mL)</t>
  </si>
  <si>
    <t xml:space="preserve">10MG/ML</t>
  </si>
  <si>
    <t xml:space="preserve">0.5ml single dose vial</t>
  </si>
  <si>
    <t xml:space="preserve">No </t>
  </si>
  <si>
    <t xml:space="preserve">1,000 mg/10 mL (100 mg/mL) multiple-dose vial, one 10 mL vial per carton (NDC 69097-536-37)</t>
  </si>
  <si>
    <t xml:space="preserve">200 mg/mL: 1 mL single-dose vial, one vial per carton (NDC 69097-537-31); 2,000 mg/10 mL multiple-dose vial, one 10 mL vial per carton (NDC 69097-537-37)</t>
  </si>
  <si>
    <t xml:space="preserve">Lanreotide Acetate</t>
  </si>
  <si>
    <t xml:space="preserve">EQ 60MG BASE/0.2ML (EQ 60MG BASE/0.2ML)</t>
  </si>
  <si>
    <t xml:space="preserve">1 × 0.2 mL pre-filled syringe</t>
  </si>
  <si>
    <t xml:space="preserve">https://www.drugs.com/price-guide/somatuline-depot</t>
  </si>
  <si>
    <t xml:space="preserve">EQ 90MG BASE/0.3ML (EQ 90MG BASE/0.3ML)</t>
  </si>
  <si>
    <t xml:space="preserve">1 × 0.3 mL pre-filled syringe</t>
  </si>
  <si>
    <t xml:space="preserve">EQ 120MG BASE/0.5ML (EQ 120MG BASE/0.5ML)</t>
  </si>
  <si>
    <t xml:space="preserve">1 × 0.5 mL pre-filled syringe</t>
  </si>
  <si>
    <t xml:space="preserve">https://www.drugs.com/price-guide/lanreotide</t>
  </si>
  <si>
    <t xml:space="preserve">350 MG</t>
  </si>
  <si>
    <t xml:space="preserve">10mL x 1 vial / pack of 5</t>
  </si>
  <si>
    <t xml:space="preserve">https://dmd-browser.nhsbsa.nhs.uk/ampp/view/193506</t>
  </si>
  <si>
    <t xml:space="preserve">UK, Australia | EU/EEA (3): Germany, Portugal, Spain</t>
  </si>
  <si>
    <t xml:space="preserve">Daptomicina Cipla</t>
  </si>
  <si>
    <t xml:space="preserve">Fulvestrant Cipla</t>
  </si>
  <si>
    <t xml:space="preserve">1 x 5 mL pre-filled syringe (250 mg) + safety needle</t>
  </si>
  <si>
    <t xml:space="preserve">Sugammadex Cipla</t>
  </si>
  <si>
    <t xml:space="preserve">100 mg/mL</t>
  </si>
  <si>
    <t xml:space="preserve">10 x 2 mL vials (200 mg each)</t>
  </si>
  <si>
    <t xml:space="preserve">https://www.aponeo.de/rx/18660518-sugammadex-amarox-100-mg-ml-injektionsloesung.html</t>
  </si>
  <si>
    <t xml:space="preserve">Australia, South Africa | EU/EEA (2): Germany, Spain</t>
  </si>
  <si>
    <t xml:space="preserve">Cipla Sugammadex</t>
  </si>
  <si>
    <t xml:space="preserve">200 mg/2 mL (100 mg/mL)</t>
  </si>
  <si>
    <t xml:space="preserve">1 × 2 mL vial</t>
  </si>
  <si>
    <t xml:space="preserve">500 mg/5 mL (100 mg/mL)</t>
  </si>
  <si>
    <t xml:space="preserve">1 × 5 mL vial</t>
  </si>
  <si>
    <t xml:space="preserve">Cipla Daptomycin</t>
  </si>
  <si>
    <t xml:space="preserve">350 mg/vial</t>
  </si>
  <si>
    <t xml:space="preserve">1 × 350 mg vial (powder)</t>
  </si>
  <si>
    <t xml:space="preserve">Trastucip</t>
  </si>
  <si>
    <t xml:space="preserve">150 mg/vial</t>
  </si>
  <si>
    <t xml:space="preserve">1 × 150 mg vial (powder)</t>
  </si>
  <si>
    <t xml:space="preserve">PBS ex-manufacturer price (AEMP) Oct-2026, AUD→USD 0.70</t>
  </si>
  <si>
    <t xml:space="preserve">https://www.pbs.gov.au/industry/pricing/ex-manufacturer-price/2026/10/ex-manufacturer-prices-efc-2026-10-01.XLSX</t>
  </si>
  <si>
    <t xml:space="preserve">Australia</t>
  </si>
  <si>
    <t xml:space="preserve">Cipla Hydrocortisone</t>
  </si>
  <si>
    <t xml:space="preserve">Cipla Isoprenaline</t>
  </si>
  <si>
    <t xml:space="preserve">0.2 mg/1 mL</t>
  </si>
  <si>
    <t xml:space="preserve">1 × 1 mL ampoule</t>
  </si>
  <si>
    <t xml:space="preserve">VA Federal Supply Schedule price list 1-Oct-2026 (US)</t>
  </si>
  <si>
    <t xml:space="preserve">https://department.va.gov/procurement-acquisition-and-logistics/wp-content/uploads/sites/56/2026/10/TPharmPrices2026-10-01.xlsx</t>
  </si>
  <si>
    <t xml:space="preserve">Isocipraline</t>
  </si>
  <si>
    <t xml:space="preserve">1 mg/5 mL (0.2 mg/mL)</t>
  </si>
  <si>
    <t xml:space="preserve">1 × 5 mL ampoule</t>
  </si>
  <si>
    <t xml:space="preserve">Cipla Medroxyprogesterone</t>
  </si>
  <si>
    <t xml:space="preserve">150 mg/1 mL</t>
  </si>
  <si>
    <t xml:space="preserve">1 × 1 mL vial</t>
  </si>
  <si>
    <t xml:space="preserve">https://www.pbs.gov.au/medicine/item/14160G</t>
  </si>
  <si>
    <t xml:space="preserve">Phenylephrine Cipla</t>
  </si>
  <si>
    <t xml:space="preserve">Azacitidine Cipla</t>
  </si>
  <si>
    <t xml:space="preserve">Palocip</t>
  </si>
  <si>
    <t xml:space="preserve">250 microgram/5 mL (50 microgram/mL)</t>
  </si>
  <si>
    <t xml:space="preserve">Cipla Bleomycin 15K</t>
  </si>
  <si>
    <t xml:space="preserve">15000 IU/vial</t>
  </si>
  <si>
    <t xml:space="preserve">1 × 15000 IU vial (powder)</t>
  </si>
  <si>
    <t xml:space="preserve">Australia, South Africa</t>
  </si>
  <si>
    <t xml:space="preserve">Streptase</t>
  </si>
  <si>
    <t xml:space="preserve">750000iu</t>
  </si>
  <si>
    <t xml:space="preserve">1 vial (powder)</t>
  </si>
  <si>
    <t xml:space="preserve">South Africa SEP price database (user file)</t>
  </si>
  <si>
    <t xml:space="preserve">https://medicineprices.org.za/#search:streptase</t>
  </si>
  <si>
    <t xml:space="preserve">1500000iu</t>
  </si>
  <si>
    <t xml:space="preserve">Cefect</t>
  </si>
  <si>
    <t xml:space="preserve">https://medicineprices.org.za/#search:cefect</t>
  </si>
  <si>
    <t xml:space="preserve">2g</t>
  </si>
  <si>
    <t xml:space="preserve">Testosterone Cipla</t>
  </si>
  <si>
    <t xml:space="preserve">1000mg/4ml</t>
  </si>
  <si>
    <t xml:space="preserve">1 x 4 mL vial</t>
  </si>
  <si>
    <t xml:space="preserve">Senuom</t>
  </si>
  <si>
    <t xml:space="preserve">100 mg/ml</t>
  </si>
  <si>
    <t xml:space="preserve">10 x 2 mL vials</t>
  </si>
  <si>
    <t xml:space="preserve">https://medicineprices.org.za/#search:senuom</t>
  </si>
  <si>
    <t xml:space="preserve">Onbort</t>
  </si>
  <si>
    <t xml:space="preserve">3.5mg</t>
  </si>
  <si>
    <t xml:space="preserve">1 x 1.4 mL vial</t>
  </si>
  <si>
    <t xml:space="preserve">Cipla Vinorelbine</t>
  </si>
  <si>
    <t xml:space="preserve">10mg/ml</t>
  </si>
  <si>
    <t xml:space="preserve">50mg/ml</t>
  </si>
  <si>
    <t xml:space="preserve">Cytoblastin Aqueous</t>
  </si>
  <si>
    <t xml:space="preserve">10mg/10ml</t>
  </si>
  <si>
    <t xml:space="preserve">1 x 10 mL ampoule/vial</t>
  </si>
  <si>
    <t xml:space="preserve">Cipla Doxorubicin</t>
  </si>
  <si>
    <t xml:space="preserve">10mg</t>
  </si>
  <si>
    <t xml:space="preserve">1 x 5 mL vial (powder)</t>
  </si>
  <si>
    <t xml:space="preserve">50mg</t>
  </si>
  <si>
    <t xml:space="preserve">1 x 25 mL vial (powder)</t>
  </si>
  <si>
    <t xml:space="preserve">Cipla Teicoplanin</t>
  </si>
  <si>
    <t xml:space="preserve">400mg</t>
  </si>
  <si>
    <t xml:space="preserve">1 x 3 mL vial (powder)</t>
  </si>
  <si>
    <t xml:space="preserve">Measles Vaccine Cipla</t>
  </si>
  <si>
    <t xml:space="preserve">1000ccid50/0.5ml</t>
  </si>
  <si>
    <t xml:space="preserve">1 vial</t>
  </si>
  <si>
    <t xml:space="preserve">1 x 10-dose vial (0.5 mL per dose)</t>
  </si>
  <si>
    <t xml:space="preserve">Cipla Bleomycin</t>
  </si>
  <si>
    <t xml:space="preserve">15iu/vial</t>
  </si>
  <si>
    <t xml:space="preserve">Dr. Reddy's Laboratories</t>
  </si>
  <si>
    <t xml:space="preserve">1 mL Single-Dose Vial x 10-Vial Carton or 1mL Preefilled Single Dose Syringe x 10</t>
  </si>
  <si>
    <t xml:space="preserve">Desmopressin Acetate</t>
  </si>
  <si>
    <t xml:space="preserve">0.004MG/ML</t>
  </si>
  <si>
    <t xml:space="preserve">1 × 10 mL vial</t>
  </si>
  <si>
    <t xml:space="preserve">https://www.drugs.com/price-guide/desmopressin</t>
  </si>
  <si>
    <t xml:space="preserve">1 Prefilled Syringe (2 mL) / 10 Prefilled Syringes (2 mL)</t>
  </si>
  <si>
    <t xml:space="preserve">25 x 1ml single dose ampules</t>
  </si>
  <si>
    <t xml:space="preserve">https://www.drugs.com/price-guide/phytonadione</t>
  </si>
  <si>
    <t xml:space="preserve">Succinylcholine Chloride</t>
  </si>
  <si>
    <t xml:space="preserve">20MG/ML</t>
  </si>
  <si>
    <t xml:space="preserve">25 x 10 ml (Multi Dose Vial)</t>
  </si>
  <si>
    <t xml:space="preserve">15MG/VIAL</t>
  </si>
  <si>
    <t xml:space="preserve">15 mg thiotepa sterile lyophilized powder in a single-dose vial</t>
  </si>
  <si>
    <t xml:space="preserve">https://www.drugs.com/price-guide/thiotepa</t>
  </si>
  <si>
    <t xml:space="preserve">`</t>
  </si>
  <si>
    <t xml:space="preserve">250 mg/vial, sterile lyophilized powder (NDC 55111-0652-37)</t>
  </si>
  <si>
    <t xml:space="preserve">https://www.drugs.com/price-guide/bivalirudin</t>
  </si>
  <si>
    <t xml:space="preserve">0.25 mg palonosetron in 5 mL (0.05 mg/mL) single-dose vial, individually packaged in a carton (NDC 55111-694-07)</t>
  </si>
  <si>
    <t xml:space="preserve">US, Australia | EU/EEA (3): Germany, Italy, Romania</t>
  </si>
  <si>
    <t xml:space="preserve">Single-dose vial, lyophilized powder, 1 vial per carton </t>
  </si>
  <si>
    <t xml:space="preserve">US, UK, Canada, South Africa, UK-NI | EU/EEA (13): Germany, France, Netherlands, Finland, Ireland, Italy, Malta, Norway, Poland, Portugal, Romania, Spain, Sweden</t>
  </si>
  <si>
    <t xml:space="preserve">2 × 5 mL single-dose syringes + safety needles; NDC 43598-262-23</t>
  </si>
  <si>
    <t xml:space="preserve">US, UK, South Africa, UK-NI | EU/EEA (10): Germany, Denmark, Ireland, Italy, Norway, Poland, Portugal, Romania, Spain, Sweden</t>
  </si>
  <si>
    <t xml:space="preserve">1 × 5 mL multidose vial; NDC 75907-190-07</t>
  </si>
  <si>
    <t xml:space="preserve">US | EU/EEA (4): Germany, France, Romania, Spain</t>
  </si>
  <si>
    <t xml:space="preserve">1 × 10 mL multidose vial; NDC 75907-189-35</t>
  </si>
  <si>
    <t xml:space="preserve">1 × 2.5 mL multidose vial; NDC 75907-191-02</t>
  </si>
  <si>
    <t xml:space="preserve">25 × 1 mL single-dose vials; NDC 43598-725-25</t>
  </si>
  <si>
    <t xml:space="preserve">Eribulin Mesylate</t>
  </si>
  <si>
    <t xml:space="preserve">1MG/2ML (0.5MG/ML)</t>
  </si>
  <si>
    <t xml:space="preserve">2 mL single-dose vial, 1 mg; U.S. NDC 43598-125-11</t>
  </si>
  <si>
    <t xml:space="preserve">https://www.drugs.com/price-guide/eribulin</t>
  </si>
  <si>
    <t xml:space="preserve">US, UK, Canada, Australia, South Africa, UK-NI | EU/EEA (2): Germany, Romania</t>
  </si>
  <si>
    <t xml:space="preserve">Neostigmine Methylsulfate</t>
  </si>
  <si>
    <t xml:space="preserve">3MG/3ML (1MG/ML)</t>
  </si>
  <si>
    <t xml:space="preserve">10 × 3 mL single-dose prefilled syringes; NDC 43598-945-58</t>
  </si>
  <si>
    <t xml:space="preserve">Yes—single-dose prefilled syringe</t>
  </si>
  <si>
    <t xml:space="preserve">https://www.drugs.com/price-guide/neostigmine</t>
  </si>
  <si>
    <t xml:space="preserve">5MG/10ML (0.5MG/ML)</t>
  </si>
  <si>
    <t xml:space="preserve">10 mL multidose vial (0.5 mg/mL), carton of 1; NDC 43598-528-11</t>
  </si>
  <si>
    <t xml:space="preserve">10MG/10ML (1MG/ML)</t>
  </si>
  <si>
    <t xml:space="preserve">10 mL multidose vial (1 mg/mL), carton of 1; NDC 43598-529 </t>
  </si>
  <si>
    <t xml:space="preserve">5 mL single-dose prefilled plastic syringe with Luer lock; NDC 43598-616-11</t>
  </si>
  <si>
    <t xml:space="preserve">Sugammadex Sodium</t>
  </si>
  <si>
    <t xml:space="preserve">EQ 200MG BASE/2ML (EQ 100MG BASE/ML)</t>
  </si>
  <si>
    <t xml:space="preserve">2 mL single-dose vial; carton of 10; NDC 43598-924-26</t>
  </si>
  <si>
    <t xml:space="preserve">https://www.drugs.com/price-guide/sugammadex</t>
  </si>
  <si>
    <t xml:space="preserve">US, UK, Australia, South Africa, UK-NI | EU/EEA (16): Germany, France, Netherlands, Austria, Czech Republic, Denmark, Finland, Ireland, Italy, Norway, Poland, Portugal, Romania, Slovakia, Spain, Sweden</t>
  </si>
  <si>
    <t xml:space="preserve">EQ 500MG BASE/5ML (EQ 100MG BASE/ML)</t>
  </si>
  <si>
    <t xml:space="preserve">5 mL single-dose vial; carton/NDC not independently verified</t>
  </si>
  <si>
    <t xml:space="preserve">Bortezomib Dr. Reddy's</t>
  </si>
  <si>
    <t xml:space="preserve">https://dmd-browser.nhsbsa.nhs.uk/ampp/view/175945</t>
  </si>
  <si>
    <t xml:space="preserve">Daptomycin Dr. Reddy's</t>
  </si>
  <si>
    <t xml:space="preserve">https://dmd-browser.nhsbsa.nhs.uk/ampp/view/169812</t>
  </si>
  <si>
    <t xml:space="preserve">UK, Canada, Australia, UK-NI | EU/EEA (11): Germany, France, Austria, Finland, Ireland, Italy, Malta, Portugal, Romania, Spain, Sweden</t>
  </si>
  <si>
    <t xml:space="preserve">Fulvestrant Dr. Reddy's</t>
  </si>
  <si>
    <t xml:space="preserve">https://dmd-browser.nhsbsa.nhs.uk/ampp/view/183157</t>
  </si>
  <si>
    <t xml:space="preserve">https://dmd-browser.nhsbsa.nhs.uk/ampp/view/195075</t>
  </si>
  <si>
    <t xml:space="preserve">0.44 MG/ML</t>
  </si>
  <si>
    <t xml:space="preserve">1 x 2 mL vial (0.88 mg eribulin)</t>
  </si>
  <si>
    <t xml:space="preserve">https://dmd-browser.nhsbsa.nhs.uk/ampp/view/211180</t>
  </si>
  <si>
    <t xml:space="preserve">Azacitidine Betapharm</t>
  </si>
  <si>
    <t xml:space="preserve">UK, Canada, Australia, South Africa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</si>
  <si>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Ciclofosfamida Dr. Reddy</t>
  </si>
  <si>
    <t xml:space="preserve">500 mg/1 mL</t>
  </si>
  <si>
    <t xml:space="preserve">https://www.boe.es/boe/dias/2025/10/13/pdfs/BOE-A-2025-20356.pdf</t>
  </si>
  <si>
    <t xml:space="preserve">Daptomicina Dr. Reddy's</t>
  </si>
  <si>
    <t xml:space="preserve">Eribulin Beta</t>
  </si>
  <si>
    <t xml:space="preserve">880 mcg/2 mL</t>
  </si>
  <si>
    <t xml:space="preserve">1 x 2 mL vial (Advanz comparator pack; Betapharm pack not confirmed from an EU leaflet)</t>
  </si>
  <si>
    <t xml:space="preserve">Fulvestrant Beta</t>
  </si>
  <si>
    <t xml:space="preserve">Ibandronsäure Beta</t>
  </si>
  <si>
    <t xml:space="preserve">3 mg</t>
  </si>
  <si>
    <t xml:space="preserve">1 x 3 mg pre-filled syringe</t>
  </si>
  <si>
    <t xml:space="preserve">https://www.docmorris.de/ibandronsaeure-beta-3-mg-injektionslsgfertigspr/08881520</t>
  </si>
  <si>
    <t xml:space="preserve">Palonosetron Beta</t>
  </si>
  <si>
    <t xml:space="preserve">250 mcg/5 mL</t>
  </si>
  <si>
    <t xml:space="preserve">200 mg/2 mL</t>
  </si>
  <si>
    <t xml:space="preserve">3.5 MG/VIAL</t>
  </si>
  <si>
    <t xml:space="preserve">3.5 mg single-use vial</t>
  </si>
  <si>
    <t xml:space="preserve">100 MG/VIAL</t>
  </si>
  <si>
    <t xml:space="preserve">100 mg single-use vial</t>
  </si>
  <si>
    <t xml:space="preserve">500 mg vial; powder for solution for injection</t>
  </si>
  <si>
    <t xml:space="preserve">https://www.formulary.health.gov.on.ca/formulary/detail.xhtml?drugId=02490463</t>
  </si>
  <si>
    <t xml:space="preserve">10 mL multi-dose vial (200 mg/10 mL)</t>
  </si>
  <si>
    <t xml:space="preserve">0.5 MG/ML</t>
  </si>
  <si>
    <t xml:space="preserve">2 mL single-use vial (1 mg); 1 vial/carton</t>
  </si>
  <si>
    <t xml:space="preserve">Ferricarbo</t>
  </si>
  <si>
    <t xml:space="preserve">500 mg/10 mL (50 mg/mL)</t>
  </si>
  <si>
    <t xml:space="preserve">1000 mg/20 mL (50 mg/mL)</t>
  </si>
  <si>
    <t xml:space="preserve">1 × 20 mL vial</t>
  </si>
  <si>
    <t xml:space="preserve">100 mg/2 mL (50 mg/mL)</t>
  </si>
  <si>
    <t xml:space="preserve">https://www.pbs.gov.au/publication/schedule/2026/10/2026-10-01-PBS-API-CSV-files.zip?variant=3</t>
  </si>
  <si>
    <t xml:space="preserve">Eribulin-RZ</t>
  </si>
  <si>
    <t xml:space="preserve">1 mg/2 mL (0.5 mg/mL)</t>
  </si>
  <si>
    <t xml:space="preserve">Carboprost Dr. Reddy's</t>
  </si>
  <si>
    <t xml:space="preserve">250 microgram/1 mL</t>
  </si>
  <si>
    <t xml:space="preserve">Daptomycin-DRLA</t>
  </si>
  <si>
    <t xml:space="preserve">Sugammadex-Reddy's</t>
  </si>
  <si>
    <t xml:space="preserve">Sugammadex-DRLA</t>
  </si>
  <si>
    <t xml:space="preserve">Palonoset</t>
  </si>
  <si>
    <t xml:space="preserve">Reddaza</t>
  </si>
  <si>
    <t xml:space="preserve">Eribulin DRL</t>
  </si>
  <si>
    <t xml:space="preserve">1mg/2ml</t>
  </si>
  <si>
    <t xml:space="preserve">1 x 2 mL vial</t>
  </si>
  <si>
    <t xml:space="preserve">Neuvysi</t>
  </si>
  <si>
    <t xml:space="preserve">https://medicineprices.org.za/#search:neuvysi</t>
  </si>
  <si>
    <t xml:space="preserve">Eranfu</t>
  </si>
  <si>
    <t xml:space="preserve">250mg/5ml</t>
  </si>
  <si>
    <t xml:space="preserve">https://medicineprices.org.za/#search:eranfu</t>
  </si>
  <si>
    <t xml:space="preserve">Bertred</t>
  </si>
  <si>
    <t xml:space="preserve">1 x 10 mL vial (powder)</t>
  </si>
  <si>
    <t xml:space="preserve">https://medicineprices.org.za/#search:bertred</t>
  </si>
  <si>
    <t xml:space="preserve">Azacitidine DRL</t>
  </si>
  <si>
    <t xml:space="preserve">100mg</t>
  </si>
  <si>
    <t xml:space="preserve">1 x 30 mL vial (powder)</t>
  </si>
  <si>
    <t xml:space="preserve">Azacitidine Tillomed</t>
  </si>
  <si>
    <t xml:space="preserve">Emcure Pharmaceuticals</t>
  </si>
  <si>
    <t xml:space="preserve">https://dmd-browser.nhsbsa.nhs.uk/ampp/view/190490</t>
  </si>
  <si>
    <t xml:space="preserve">UK, UK-NI | EU/EEA (9): Germany, France, Netherlands, Austria, Denmark, Finland, Italy, Norway, Sweden</t>
  </si>
  <si>
    <t xml:space="preserve">https://dmd-browser.nhsbsa.nhs.uk/ampp/view/195295</t>
  </si>
  <si>
    <t xml:space="preserve">UK, UK-NI | EU/EEA (5): Germany, France, Netherlands, Italy, Spain</t>
  </si>
  <si>
    <t xml:space="preserve">Daptomycin Tillomed</t>
  </si>
  <si>
    <t xml:space="preserve">350 mg vial x 1 vial/ pack of 10</t>
  </si>
  <si>
    <t xml:space="preserve">https://dmd-browser.nhsbsa.nhs.uk/ampp/view/194983</t>
  </si>
  <si>
    <t xml:space="preserve">UK | EU/EEA (4): Germany, France, Italy, Spain</t>
  </si>
  <si>
    <t xml:space="preserve">https://dmd-browser.nhsbsa.nhs.uk/ampp/view/198696</t>
  </si>
  <si>
    <t xml:space="preserve">UK | EU/EEA (3): Germany, France, Italy</t>
  </si>
  <si>
    <t xml:space="preserve">Pentamidine Isetionate Tillomed</t>
  </si>
  <si>
    <t xml:space="preserve">300 MG</t>
  </si>
  <si>
    <t xml:space="preserve">5 x 300 mg vials (powder)</t>
  </si>
  <si>
    <t xml:space="preserve">https://dmd-browser.nhsbsa.nhs.uk/ampp/view/197400</t>
  </si>
  <si>
    <t xml:space="preserve">UK, Canada, Australia, UK-NI | EU/EEA (8): Germany, France, Netherlands, Denmark, Finland, Ireland, Norway, Sweden</t>
  </si>
  <si>
    <t xml:space="preserve">1 x 40 mg vial (powder)</t>
  </si>
  <si>
    <t xml:space="preserve">UK, UK-NI | EU/EEA (3): Germany, France, Italy</t>
  </si>
  <si>
    <t xml:space="preserve">1 MG/ML</t>
  </si>
  <si>
    <t xml:space="preserve">10 x 10 mL vials</t>
  </si>
  <si>
    <t xml:space="preserve">https://dmd-browser.nhsbsa.nhs.uk/ampp/view/190885</t>
  </si>
  <si>
    <t xml:space="preserve">UK, UK-NI | EU/EEA (5): Germany, France, Netherlands, Austria, Malta</t>
  </si>
  <si>
    <t xml:space="preserve">50 MG</t>
  </si>
  <si>
    <t xml:space="preserve">1 x 50 mg vial (powder) + 1 x 10 mL solvent vial</t>
  </si>
  <si>
    <t xml:space="preserve">https://dmd-browser.nhsbsa.nhs.uk/ampp/view/169622</t>
  </si>
  <si>
    <t xml:space="preserve">UK, Canada, Australia, UK-NI | EU/EEA (14): Germany, France, Netherlands, Belgium, Austria, Croatia, Cyprus, Greece, Ireland, Italy, Latvia, Portugal, Slovakia, Slovenia</t>
  </si>
  <si>
    <t xml:space="preserve">250 MG/ML</t>
  </si>
  <si>
    <t xml:space="preserve">5 x 2 mL vials</t>
  </si>
  <si>
    <t xml:space="preserve">https://dmd-browser.nhsbsa.nhs.uk/ampp/view/184215</t>
  </si>
  <si>
    <t xml:space="preserve">UK, Canada, Australia, UK-NI | EU/EEA (1): Malta</t>
  </si>
  <si>
    <t xml:space="preserve">Acetazolamide Tillomed</t>
  </si>
  <si>
    <t xml:space="preserve">500 MG</t>
  </si>
  <si>
    <t xml:space="preserve">https://dmd-browser.nhsbsa.nhs.uk/ampp/view/210747</t>
  </si>
  <si>
    <t xml:space="preserve">500 mg powder vial</t>
  </si>
  <si>
    <t xml:space="preserve">https://www.medicijnkosten.nl/medicijn?artikel=DIAMOX+INJECTIEPOEDER+FLACON+500MG&amp;id=eccf17da767207477dcc6b1f5efd1f4a</t>
  </si>
  <si>
    <t xml:space="preserve">Amikacin Tillomed Laboratories</t>
  </si>
  <si>
    <t xml:space="preserve">500 mg/2 mL</t>
  </si>
  <si>
    <t xml:space="preserve">Ampicillina Tillomed</t>
  </si>
  <si>
    <t xml:space="preserve">50 x 1 g glass vials</t>
  </si>
  <si>
    <t xml:space="preserve">https://mediately.co/it/drugs/EW7GuNfn2hkEMxRggSwwiF1PMll/ampicillina-tillomed-1-g-polvere-per-soluzione-iniettabile-per-infusione</t>
  </si>
  <si>
    <t xml:space="preserve">EU/EEA (1): Italy</t>
  </si>
  <si>
    <t xml:space="preserve">Azacitidin Tillomed</t>
  </si>
  <si>
    <t xml:space="preserve">Bortezomib Tillomed</t>
  </si>
  <si>
    <t xml:space="preserve">Canada, UK-NI | EU/EEA (2): Germany, France</t>
  </si>
  <si>
    <t xml:space="preserve">Daptomicina Tillomed</t>
  </si>
  <si>
    <t xml:space="preserve">Eribulin Tillomed</t>
  </si>
  <si>
    <t xml:space="preserve">0.44 mg/mL</t>
  </si>
  <si>
    <t xml:space="preserve">https://www.medicinpriser.dk/Default.aspx?VirksomtStof=Eribulin</t>
  </si>
  <si>
    <t xml:space="preserve">EU/EEA (7): France, Netherlands, Denmark, Ireland, Malta, Norway, Spain</t>
  </si>
  <si>
    <t xml:space="preserve">Esomeprazol Tillomed</t>
  </si>
  <si>
    <t xml:space="preserve">40 mg</t>
  </si>
  <si>
    <t xml:space="preserve">10 x 40 mg vials (powder)</t>
  </si>
  <si>
    <t xml:space="preserve">UK-NI | EU/EEA (7): Germany, France, Netherlands, Austria, Ireland, Italy, Poland</t>
  </si>
  <si>
    <t xml:space="preserve">Melfalan Tillomed</t>
  </si>
  <si>
    <t xml:space="preserve">Melphalan Tillomed</t>
  </si>
  <si>
    <t xml:space="preserve">Milrinon Tillomed</t>
  </si>
  <si>
    <t xml:space="preserve">10 mg/10 mL</t>
  </si>
  <si>
    <t xml:space="preserve">https://mediately.co/de/drugs/2JLSD2rNCbtip2an1uWLKQBCmLc/milrinon-carinopharm-1-mg-ml-injektions-infusionslosung</t>
  </si>
  <si>
    <t xml:space="preserve">Ondansetron Tillomed</t>
  </si>
  <si>
    <t xml:space="preserve">5 x 2 mL ampoules</t>
  </si>
  <si>
    <t xml:space="preserve">Pentamidindiisetionat Tillomed</t>
  </si>
  <si>
    <t xml:space="preserve">300 mg</t>
  </si>
  <si>
    <t xml:space="preserve">1 x 300 mg vial (powder)</t>
  </si>
  <si>
    <t xml:space="preserve">https://base-donnees-publique.medicaments.gouv.fr/medicament/61094142/extrait</t>
  </si>
  <si>
    <t xml:space="preserve">Plerixafor Tillomed</t>
  </si>
  <si>
    <t xml:space="preserve">Sugammadex Tillomed</t>
  </si>
  <si>
    <t xml:space="preserve">50 MG/VIAL</t>
  </si>
  <si>
    <t xml:space="preserve">1 × 50 mg powder vial + 1 × 10 mL diluent vial</t>
  </si>
  <si>
    <t xml:space="preserve">10 × 10 mL multidose vials</t>
  </si>
  <si>
    <t xml:space="preserve">Amikacin Sulfate</t>
  </si>
  <si>
    <t xml:space="preserve">500 MG/2 ML</t>
  </si>
  <si>
    <t xml:space="preserve">2 mL vial; 10 vials/pack</t>
  </si>
  <si>
    <t xml:space="preserve">Lyophilized powder, 3.5 mg in 10 mL single-use vial; 1 vial/carton</t>
  </si>
  <si>
    <t xml:space="preserve">Isoproterenol Hydrochloride</t>
  </si>
  <si>
    <t xml:space="preserve">0.2 MG/ML</t>
  </si>
  <si>
    <t xml:space="preserve">1 mL single-use vial; 10 vials/box</t>
  </si>
  <si>
    <t xml:space="preserve">Canada | EU/EEA (2): France, Portugal</t>
  </si>
  <si>
    <t xml:space="preserve">1 MG/5 ML</t>
  </si>
  <si>
    <t xml:space="preserve">5 mL single-use vial; 10 vials/box</t>
  </si>
  <si>
    <t xml:space="preserve">Pentamidine Isetionate</t>
  </si>
  <si>
    <t xml:space="preserve">300 MG/VIAL</t>
  </si>
  <si>
    <t xml:space="preserve">20 mL single-dose vial (lyophilized powder); 5 vials/pack</t>
  </si>
  <si>
    <t xml:space="preserve">10 MG/ML</t>
  </si>
  <si>
    <t xml:space="preserve">20 mL / 50 mL / 100 mL single-use glass vials</t>
  </si>
  <si>
    <t xml:space="preserve">Colistimethate</t>
  </si>
  <si>
    <t xml:space="preserve">150 MG/VIAL</t>
  </si>
  <si>
    <t xml:space="preserve">150 mg single vial (10 mL vial); 1 vial/pack</t>
  </si>
  <si>
    <t xml:space="preserve">1000 MG/VIAL</t>
  </si>
  <si>
    <t xml:space="preserve">1000 mg single-use 100 mL vial; 1 vial/carton</t>
  </si>
  <si>
    <t xml:space="preserve">2000 MG/VIAL</t>
  </si>
  <si>
    <t xml:space="preserve">2000 mg single-use 100 mL vial; 1 vial/carton</t>
  </si>
  <si>
    <t xml:space="preserve">Pentamidine-EMC</t>
  </si>
  <si>
    <t xml:space="preserve">300 mg/vial</t>
  </si>
  <si>
    <t xml:space="preserve">1 × 300 mg vial (powder)</t>
  </si>
  <si>
    <t xml:space="preserve">Amikacin EMC</t>
  </si>
  <si>
    <t xml:space="preserve">500 mg/2 mL (250 mg/mL)</t>
  </si>
  <si>
    <t xml:space="preserve">Melpha</t>
  </si>
  <si>
    <t xml:space="preserve">50 mg/vial</t>
  </si>
  <si>
    <t xml:space="preserve">1 × 50 mg powder vial + diluent (composite pack)</t>
  </si>
  <si>
    <t xml:space="preserve">Glenmark Pharmaceuticals</t>
  </si>
  <si>
    <t xml:space="preserve">2 × 5 mL single-dose syringes + safety needles; NDC 68462-317-32</t>
  </si>
  <si>
    <t xml:space="preserve">US, UK, UK-NI | EU/EEA (5): Germany, Netherlands, Denmark, Spain, Sweden</t>
  </si>
  <si>
    <t xml:space="preserve">2 mL single-dose vial, 1 mg; U.S. NDC 68462-770-20</t>
  </si>
  <si>
    <t xml:space="preserve">US, UK, UK-NI | EU/EEA (6): Denmark, Finland, Italy, Norway, Spain, Sweden</t>
  </si>
  <si>
    <t xml:space="preserve">1 x pre-filled syringe (price normalized per unit; marketed pack unconfirmed)</t>
  </si>
  <si>
    <t xml:space="preserve">10 vials (priced pack)</t>
  </si>
  <si>
    <t xml:space="preserve">https://dmd-browser.nhsbsa.nhs.uk/ampp/view/195045</t>
  </si>
  <si>
    <t xml:space="preserve">UK, UK-NI | EU/EEA (7): Germany, Denmark, Finland, Italy, Norway, Spain, Sweden</t>
  </si>
  <si>
    <t xml:space="preserve">https://dmd-browser.nhsbsa.nhs.uk/ampp/view/204041</t>
  </si>
  <si>
    <t xml:space="preserve">Azacitidina Glenmark</t>
  </si>
  <si>
    <t xml:space="preserve">EU/EEA (3): Iceland, Slovakia, Spain</t>
  </si>
  <si>
    <t xml:space="preserve">Bortezomib Glenmark</t>
  </si>
  <si>
    <t xml:space="preserve">1 x 1 mg vial (powder)</t>
  </si>
  <si>
    <t xml:space="preserve">Australia | EU/EEA (11): Germany, France, Netherlands, Denmark, Finland, Italy, Norway, Poland, Slovakia, Spain, Sweden</t>
  </si>
  <si>
    <t xml:space="preserve">Eribulin Glenmark Pharmaceuticals Europe</t>
  </si>
  <si>
    <t xml:space="preserve">Fulvestrant Glenmark</t>
  </si>
  <si>
    <t xml:space="preserve">250 mg</t>
  </si>
  <si>
    <t xml:space="preserve">1 x 250 mg pre-filled syringe</t>
  </si>
  <si>
    <t xml:space="preserve">Plerixafor Glenmark</t>
  </si>
  <si>
    <t xml:space="preserve">20 mg/mL</t>
  </si>
  <si>
    <t xml:space="preserve">1 x 1.2 mL vial (24 mg)</t>
  </si>
  <si>
    <t xml:space="preserve">EU/EEA (1): Spain</t>
  </si>
  <si>
    <t xml:space="preserve">Sugammadex Glenmark</t>
  </si>
  <si>
    <t xml:space="preserve">Bortraczo</t>
  </si>
  <si>
    <t xml:space="preserve">2.5 mg/1 mL</t>
  </si>
  <si>
    <t xml:space="preserve">3.5 mg/1.4 mL (2.5 mg/mL)</t>
  </si>
  <si>
    <t xml:space="preserve">1 × 1.4 mL vial</t>
  </si>
  <si>
    <t xml:space="preserve">Hetero Labs</t>
  </si>
  <si>
    <t xml:space="preserve">1mL or 2 mL Single-Dose Vial x 25-Unit Carton</t>
  </si>
  <si>
    <t xml:space="preserve">0.2MG/ML</t>
  </si>
  <si>
    <t xml:space="preserve">Lidocaine Hydrochloride</t>
  </si>
  <si>
    <t xml:space="preserve">1%</t>
  </si>
  <si>
    <t xml:space="preserve">10 or 25 × 20 mL multi-dose vials; 10 or 25 × 50 mL multi-dose vials (1%)</t>
  </si>
  <si>
    <t xml:space="preserve">10 mL (200 mg/10 mL) Multiple-dose Fliptop Vial (NDC 31722-981-10); 25 vials in a carton (NDC 31722-981-31)</t>
  </si>
  <si>
    <t xml:space="preserve">1 × 3.5 mg single-dose powder vial; NDC 31722-303-31 (Camber / Hetero)</t>
  </si>
  <si>
    <t xml:space="preserve">US, UK, Australia, South Africa, UK-NI | EU/EEA (3): Germany, Netherlands, Spain</t>
  </si>
  <si>
    <t xml:space="preserve">25GM/50ML (500MG/ML)</t>
  </si>
  <si>
    <t xml:space="preserve">25 × 50 mL single-dose vials; NDC 31722-394-35; Camber / Aspiro</t>
  </si>
  <si>
    <t xml:space="preserve">https://www.drugs.com/price-guide/magnesium-sulfate</t>
  </si>
  <si>
    <t xml:space="preserve">5MEQ/10ML (0.5MEQ/ML)</t>
  </si>
  <si>
    <t xml:space="preserve">10 mL vial, 0.5 mEq/mL</t>
  </si>
  <si>
    <t xml:space="preserve">https://www.drugs.com/price-guide/sodium-bicarbonate</t>
  </si>
  <si>
    <t xml:space="preserve">2 mL single-dose vial; carton/NDC not independently verified</t>
  </si>
  <si>
    <t xml:space="preserve">US, UK, South Africa, UK-NI | EU/EEA (3): Germany, Netherlands, Spain</t>
  </si>
  <si>
    <t xml:space="preserve">1 × 1.2 mL single-use vial</t>
  </si>
  <si>
    <t xml:space="preserve">https://dmd-browser.nhsbsa.nhs.uk/ampp/view/210375</t>
  </si>
  <si>
    <t xml:space="preserve">UK, UK-NI | EU/EEA (3): Germany, Netherlands, Spain</t>
  </si>
  <si>
    <t xml:space="preserve">10 x 5 mL vials</t>
  </si>
  <si>
    <t xml:space="preserve">https://dmd-browser.nhsbsa.nhs.uk/ampp/view/148217</t>
  </si>
  <si>
    <t xml:space="preserve">UK, UK-NI | EU/EEA (3): Germany, Italy, Spain</t>
  </si>
  <si>
    <t xml:space="preserve">2.5 MG/ML</t>
  </si>
  <si>
    <t xml:space="preserve">1 x 0.4 mL vial (1 mg bortezomib; calibrated priced presentation)</t>
  </si>
  <si>
    <t xml:space="preserve">https://dmd-browser.nhsbsa.nhs.uk/ampp/view/174545</t>
  </si>
  <si>
    <t xml:space="preserve">400 MG</t>
  </si>
  <si>
    <t xml:space="preserve">1/5 x 400 mg vial (powder) </t>
  </si>
  <si>
    <t xml:space="preserve">https://dmd-browser.nhsbsa.nhs.uk/ampp/view/101360</t>
  </si>
  <si>
    <t xml:space="preserve">Azacitidine Amarox</t>
  </si>
  <si>
    <t xml:space="preserve">Bortezomib Amarox</t>
  </si>
  <si>
    <t xml:space="preserve">2.5 mg/mL (3.5 mg/1.4 mL)</t>
  </si>
  <si>
    <t xml:space="preserve">1 x 1.4 mL vial (3.5 mg; ready solution)</t>
  </si>
  <si>
    <t xml:space="preserve">Brivaracetam Amarox</t>
  </si>
  <si>
    <t xml:space="preserve">https://www.medicijnkosten.nl/medicijn?artikel=BRIVIACT+INF%2FINJVLST+10MG%2FML+FLACON+5ML&amp;id=8aa63cad90cad7246d95c19b8f6d410d</t>
  </si>
  <si>
    <t xml:space="preserve">Daptomicin Tarbis</t>
  </si>
  <si>
    <t xml:space="preserve">Melfalan Amarox</t>
  </si>
  <si>
    <t xml:space="preserve">1 x 50 mg vial (powder) + 10 mL solvent vial</t>
  </si>
  <si>
    <t xml:space="preserve">https://www.medicijnkosten.nl/medicijn?artikel=MELFALAN+AMAROX+INJ%2FINFUSIEPOEDER+FL50MG%2BSV+10ML&amp;id=35352a89252a9fdd69fd915f3d070528</t>
  </si>
  <si>
    <t xml:space="preserve">Melfalán Tarbis</t>
  </si>
  <si>
    <t xml:space="preserve">Pantoprazol Amarox</t>
  </si>
  <si>
    <t xml:space="preserve">Plerixafor Amarox</t>
  </si>
  <si>
    <t xml:space="preserve">Rocuronium Bromide Amarox</t>
  </si>
  <si>
    <t xml:space="preserve">50 mg/5 mL</t>
  </si>
  <si>
    <t xml:space="preserve">Sugammadex Amarox</t>
  </si>
  <si>
    <t xml:space="preserve">10 x 2 mL (100 mg/mL solution for injection)</t>
  </si>
  <si>
    <t xml:space="preserve">Teicoplanin Amarox</t>
  </si>
  <si>
    <t xml:space="preserve">400 mg</t>
  </si>
  <si>
    <t xml:space="preserve">1 x 400 mg vial (powder) + 1 x 3 mL solvent ampoule</t>
  </si>
  <si>
    <t xml:space="preserve">Bortezomib Hetero</t>
  </si>
  <si>
    <t xml:space="preserve">Glyopy</t>
  </si>
  <si>
    <t xml:space="preserve">1mg/mL</t>
  </si>
  <si>
    <t xml:space="preserve">1 x 5 mL ampoule/vial</t>
  </si>
  <si>
    <t xml:space="preserve">Bortiv</t>
  </si>
  <si>
    <t xml:space="preserve">2.5mg/1.0ml</t>
  </si>
  <si>
    <t xml:space="preserve">https://medicineprices.org.za/#search:bortiv</t>
  </si>
  <si>
    <t xml:space="preserve">3.5mg/1.4ml</t>
  </si>
  <si>
    <t xml:space="preserve">1mg/0.4ml</t>
  </si>
  <si>
    <t xml:space="preserve">1 x 0.4 mL vial</t>
  </si>
  <si>
    <t xml:space="preserve">Hetnoset</t>
  </si>
  <si>
    <t xml:space="preserve">0.25mg / 5ml</t>
  </si>
  <si>
    <t xml:space="preserve">Sugmasol</t>
  </si>
  <si>
    <t xml:space="preserve">100mgmg/ml</t>
  </si>
  <si>
    <t xml:space="preserve">10 x 2 mL ampoules/vials</t>
  </si>
  <si>
    <t xml:space="preserve">https://medicineprices.org.za/#search:sugmasol</t>
  </si>
  <si>
    <t xml:space="preserve">Heterix</t>
  </si>
  <si>
    <t xml:space="preserve">20mg/ml</t>
  </si>
  <si>
    <t xml:space="preserve">https://medicineprices.org.za/#search:heterix</t>
  </si>
  <si>
    <t xml:space="preserve">3.5mg/10ml</t>
  </si>
  <si>
    <t xml:space="preserve">Intas Pharmaceuticals</t>
  </si>
  <si>
    <t xml:space="preserve">US, UK, UK-NI | EU/EEA (12): Germany, France, Netherlands, Austria, Czech Republic, Denmark, Finland, Ireland, Italy, Norway, Portugal, Sweden</t>
  </si>
  <si>
    <t xml:space="preserve">Ondansetron Hydrochloride</t>
  </si>
  <si>
    <t xml:space="preserve">EQ 2MG BASE/ML</t>
  </si>
  <si>
    <t xml:space="preserve">20ml multi-dose vial</t>
  </si>
  <si>
    <t xml:space="preserve">https://www.drugs.com/price-guide/ondansetron</t>
  </si>
  <si>
    <t xml:space="preserve">US, UK, Australia, UK-NI | EU/EEA (23): Germany, France, Netherlands, Belgium, Austria, Bulgaria, Cyprus, Czech Republic, Denmark, Estonia, Finland, Ireland, Italy, Latvia, Lithuania, Malta, Norway, Poland, Portugal, Slovakia, Slovenia, Spain, Sweden</t>
  </si>
  <si>
    <t xml:space="preserve">250MG/VIAL</t>
  </si>
  <si>
    <t xml:space="preserve">250 mg bivalirudin lyophilized powder in a single-dose glass vial</t>
  </si>
  <si>
    <t xml:space="preserve">US, UK, UK-NI | EU/EEA (9): Germany, France, Netherlands, Belgium, Austria, Italy, Poland, Portugal, Slovenia</t>
  </si>
  <si>
    <t xml:space="preserve">Kit containing one 3 mg/3 mL single-dose glass prefilled syringe, a 25-gauge 3/4 inch needle with wings and 9 cm tubing</t>
  </si>
  <si>
    <t xml:space="preserve">US, UK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</si>
  <si>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2 × 5 mL single-dose syringes + safety needles; NDC 16729-436-30</t>
  </si>
  <si>
    <t xml:space="preserve">US, UK, Australia, South Africa, UK-NI | EU/EEA (25): Germany, France, Netherlands, Belgium, Austria, Bulgaria, Croatia, Cyprus, Czech Republic, Denmark, Estonia, Finland, Greece, Hungary, Iceland, Ireland, Italy, Norway, Poland, Portugal, Romania, Slovakia, Slovenia, Spain, Sweden</t>
  </si>
  <si>
    <t xml:space="preserve">1 × 50 mL single-dose vial; NDC 16729-430-11</t>
  </si>
  <si>
    <t xml:space="preserve">US, UK-NI | EU/EEA (3): Germany, France, Austria</t>
  </si>
  <si>
    <t xml:space="preserve">Atropine Sulfate</t>
  </si>
  <si>
    <t xml:space="preserve">0.25MG/5ML (0.05MG/ML)</t>
  </si>
  <si>
    <t xml:space="preserve">10 × 5 mL single-dose syringes; NDC 16729-483-03</t>
  </si>
  <si>
    <t xml:space="preserve">https://www.drugs.com/price-guide/atropine</t>
  </si>
  <si>
    <t xml:space="preserve">US, UK, UK-NI | EU/EEA (13): Germany, France, Netherlands, Austria, Czech Republic, Denmark, Finland, Italy, Norway, Portugal, Romania, Spain, Sweden</t>
  </si>
  <si>
    <t xml:space="preserve">0.4MG/ML (0.4MG/ML)</t>
  </si>
  <si>
    <t xml:space="preserve">25 × 1 mL single-dose vials; NDC 16729-525-08</t>
  </si>
  <si>
    <t xml:space="preserve">0.5MG/5ML (0.1MG/ML)</t>
  </si>
  <si>
    <t xml:space="preserve">10 × 5 mL single-dose syringes; NDC 16729-484-90</t>
  </si>
  <si>
    <t xml:space="preserve">1MG/10ML (0.1MG/ML)</t>
  </si>
  <si>
    <t xml:space="preserve">10 × 10 mL single-dose syringes; NDC 16729-484-45</t>
  </si>
  <si>
    <t xml:space="preserve">1MG/ML (1MG/ML)</t>
  </si>
  <si>
    <t xml:space="preserve">25 × 1 mL single-dose vials; NDC 16729-526-08</t>
  </si>
  <si>
    <t xml:space="preserve">0.005MG/ML (0.005MG/ML)</t>
  </si>
  <si>
    <t xml:space="preserve">1 or 25 × 1 mL single-dose vials (5 mcg/mL); NDC 16729-311-63 / -08</t>
  </si>
  <si>
    <t xml:space="preserve">https://www.drugs.com/price-guide/paricalcitol</t>
  </si>
  <si>
    <t xml:space="preserve">US | EU/EEA (5): Germany, Netherlands, Czech Republic, Finland, Portugal</t>
  </si>
  <si>
    <t xml:space="preserve">0.01MG/2ML (0.005MG/ML)</t>
  </si>
  <si>
    <t xml:space="preserve">1 or 25 × 2 mL multidose vials (10 mcg/2 mL); NDC 16729-311-30 / -93</t>
  </si>
  <si>
    <t xml:space="preserve">5 mL single-dose glass prefilled syringe; NDC 16729-477-31</t>
  </si>
  <si>
    <t xml:space="preserve">https://dmd-browser.nhsbsa.nhs.uk/ampp/view/163290</t>
  </si>
  <si>
    <t xml:space="preserve">UK, Australia, South Africa, UK-NI | EU/EEA (17): Germany, France, Netherlands, Austria, Croatia, Czech Republic, Denmark, Finland, Greece, Ireland, Italy, Norway, Poland, Portugal, Slovenia, Spain, Sweden</t>
  </si>
  <si>
    <t xml:space="preserve">5 x 250 mg vials (powder)</t>
  </si>
  <si>
    <t xml:space="preserve">https://dmd-browser.nhsbsa.nhs.uk/ampp/view/173756</t>
  </si>
  <si>
    <t xml:space="preserve">2.0 MG</t>
  </si>
  <si>
    <t xml:space="preserve">Pre-filled Syringe</t>
  </si>
  <si>
    <t xml:space="preserve">UK, Australia, South Africa,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</si>
  <si>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Australia, UK-NI | EU/EEA (18): France, Netherlands, Austria, Croatia, Cyprus, Denmark, Estonia, Finland, Ireland, Italy, Lithuania, Norway, Poland, Portugal, Romania, Slovakia, Spain, Sweden</t>
  </si>
  <si>
    <t xml:space="preserve">Jubereq</t>
  </si>
  <si>
    <t xml:space="preserve">120 MG</t>
  </si>
  <si>
    <t xml:space="preserve">1 x 1.7 mL vial</t>
  </si>
  <si>
    <t xml:space="preserve">UAE price database (user file)</t>
  </si>
  <si>
    <t xml:space="preserve">UK, Australia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</si>
  <si>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Fovlussea</t>
  </si>
  <si>
    <t xml:space="preserve">1 x 0.23 mL vial</t>
  </si>
  <si>
    <t xml:space="preserve">Ibandronic Acid Accord</t>
  </si>
  <si>
    <t xml:space="preserve">3 MG</t>
  </si>
  <si>
    <t xml:space="preserve">3 mL pre-filled syringe x 1 / pack of 10</t>
  </si>
  <si>
    <t xml:space="preserve">https://dmd-browser.nhsbsa.nhs.uk/amp/view/140839?ref=bmFtZT1sZXZvdGh5cm94aW5lK3NvZGl1bSZzaG93SW52YWxpZEl0ZW1zPWZhbHNlJnNvcnRPcmRlcj1hbHBoYSZwYWdlPTExOCZzaXplPTEwMA%3D%3D</t>
  </si>
  <si>
    <t xml:space="preserve">Palonosetron Accord</t>
  </si>
  <si>
    <t xml:space="preserve">250 MICROGRAMS</t>
  </si>
  <si>
    <t xml:space="preserve">1 x 6 mL vial</t>
  </si>
  <si>
    <t xml:space="preserve">https://dmd-browser.nhsbsa.nhs.uk/ampp/view/161756</t>
  </si>
  <si>
    <t xml:space="preserve">UK, South Africa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</si>
  <si>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Pelgraz</t>
  </si>
  <si>
    <t xml:space="preserve">6 MG</t>
  </si>
  <si>
    <t xml:space="preserve">1 x 0.6 mL pre-filled syringe (6 mg; priced pack)</t>
  </si>
  <si>
    <t xml:space="preserve">UK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</si>
  <si>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Azacitidine Accord</t>
  </si>
  <si>
    <t xml:space="preserve">100mg/150mg vial (priced pack)</t>
  </si>
  <si>
    <t xml:space="preserve">https://dmd-browser.nhsbsa.nhs.uk/ampp/view/198886</t>
  </si>
  <si>
    <t xml:space="preserve">80 MG</t>
  </si>
  <si>
    <t xml:space="preserve">80 mg vial/ pack of 3</t>
  </si>
  <si>
    <t xml:space="preserve">https://dmd-browser.nhsbsa.nhs.uk/ampp/view/208291</t>
  </si>
  <si>
    <t xml:space="preserve">Imuldosa</t>
  </si>
  <si>
    <t xml:space="preserve">45 MG</t>
  </si>
  <si>
    <t xml:space="preserve">1 x 0.5 mL pre-filled syringe (45 mg; priced pack)</t>
  </si>
  <si>
    <t xml:space="preserve">UK,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</si>
  <si>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UK, UK-NI | EU/EEA (12): Netherlands, Belgium, Bulgaria, Cyprus, Denmark, Finland, Hungary, Poland, Portugal, Slovakia, Slovenia, Sweden</t>
  </si>
  <si>
    <t xml:space="preserve">8 MG</t>
  </si>
  <si>
    <t xml:space="preserve">1 x 4 mL pre-filled syringe (8 mg; priced pack)</t>
  </si>
  <si>
    <t xml:space="preserve">https://dmd-browser.nhsbsa.nhs.uk/ampp/view/197033</t>
  </si>
  <si>
    <t xml:space="preserve">400 MICROGRAMS/ML</t>
  </si>
  <si>
    <t xml:space="preserve">10 pre-filled syringes (priced pack)</t>
  </si>
  <si>
    <t xml:space="preserve">https://dmd-browser.nhsbsa.nhs.uk/ampp/view/47446</t>
  </si>
  <si>
    <t xml:space="preserve">https://dmd-browser.nhsbsa.nhs.uk/ampp/view/180360</t>
  </si>
  <si>
    <t xml:space="preserve">UK, Canada, UK-NI | EU/EEA (16): Germany, France, Netherlands, Belgium, Bulgaria, Cyprus, Czech Republic, Estonia, Finland, Italy, Poland, Portugal, Romania, Slovakia, Slovenia, Spain</t>
  </si>
  <si>
    <t xml:space="preserve">https://dmd-browser.nhsbsa.nhs.uk/ampp/view/133567</t>
  </si>
  <si>
    <t xml:space="preserve">UK, Canada, Australia, UK-NI | EU/EEA (25): Germany, France, Netherlands, Belgium, Austria, Bulgaria, Croatia, Cyprus, Czech Republic, Denmark, Estonia, Finland, Greece, Hungary, Ireland, Italy, Latvia, Lithuania, Norway, Poland, Portugal, Slovakia, Slovenia, Spain, Sweden</t>
  </si>
  <si>
    <t xml:space="preserve">1 x 1 mL concentrate vial + 1 x 9 mL solvent vial</t>
  </si>
  <si>
    <t xml:space="preserve">50 MG/ML</t>
  </si>
  <si>
    <t xml:space="preserve">1 x 10 mL vial</t>
  </si>
  <si>
    <t xml:space="preserve">https://dmd-browser.nhsbsa.nhs.uk/ampp/view/90576</t>
  </si>
  <si>
    <t xml:space="preserve">UK, Canada, UK-NI | EU/EEA (27): Germany, France, Netherlands, Belgium, Austria, Bulgaria, Croatia, Cyprus, Czech Republic, Denmark, Estonia, Finland, Hungary, Iceland, Ireland, Italy, Latvia, Lithuania, Luxembourg, Norway, Poland, Portugal, Romania, Slovakia, Slovenia, Spain, Sweden</t>
  </si>
  <si>
    <t xml:space="preserve">https://dmd-browser.nhsbsa.nhs.uk/ampp/view/105990</t>
  </si>
  <si>
    <t xml:space="preserve">UK, UK-NI | EU/EEA (21): Germany, France, Netherlands, Belgium, Austria, Bulgaria, Croatia, Cyprus, Czech Republic, Estonia, Finland, Hungary, Ireland, Italy, Lithuania, Poland, Portugal, Romania, Slovenia, Spain, Sweden</t>
  </si>
  <si>
    <t xml:space="preserve">https://dmd-browser.nhsbsa.nhs.uk/ampp/view/189948</t>
  </si>
  <si>
    <t xml:space="preserve">UK, UK-NI | EU/EEA (4): Netherlands, Ireland, Italy, Portugal</t>
  </si>
  <si>
    <t xml:space="preserve">Epirubicin Hydrochloride</t>
  </si>
  <si>
    <t xml:space="preserve">https://dmd-browser.nhsbsa.nhs.uk/ampp/view/90547</t>
  </si>
  <si>
    <t xml:space="preserve">UK, Australia, South Africa, UK-NI | EU/EEA (20): France, Netherlands, Belgium, Austria, Czech Republic, Denmark, Estonia, Finland, Hungary, Ireland, Italy, Latvia, Lithuania, Malta, Norway, Poland, Portugal, Slovakia, Spain, Sweden</t>
  </si>
  <si>
    <t xml:space="preserve">5 x 5 mL vials</t>
  </si>
  <si>
    <t xml:space="preserve">https://dmd-browser.nhsbsa.nhs.uk/ampp/view/183004\</t>
  </si>
  <si>
    <t xml:space="preserve">UK, Australia, UK-NI | EU/EEA (25): Germany, France, Netherlands, Belgium, Austria, Bulgaria, Cyprus, Czech Republic, Denmark, Estonia, Finland, Hungary, Ireland, Italy, Latvia, Lithuania, Malta, Norway, Poland, Portugal, Romania, Slovakia, Slovenia, Spain, Sweden</t>
  </si>
  <si>
    <t xml:space="preserve">Cyclophosphamide Accord</t>
  </si>
  <si>
    <t xml:space="preserve">2000 MG</t>
  </si>
  <si>
    <t xml:space="preserve">1 x 2000 mg vial (powder)</t>
  </si>
  <si>
    <t xml:space="preserve">https://dmd-browser.nhsbsa.nhs.uk/ampp/view/209804</t>
  </si>
  <si>
    <t xml:space="preserve">UK, Australia, UK-NI | EU/EEA (20): Germany, France, Netherlands, Belgium, Bulgaria, Croatia, Cyprus, Czech Republic, Denmark, Estonia, Finland, Italy, Latvia, Lithuania, Norway, Poland, Portugal, Romania, Spain, Sweden</t>
  </si>
  <si>
    <t xml:space="preserve">2 MILLION INTERNATIONAL UNITS (IU)</t>
  </si>
  <si>
    <t xml:space="preserve">Packs of 1 vial &amp; 10 x 2 million IU vials (powder)</t>
  </si>
  <si>
    <t xml:space="preserve">UK, UK-NI | EU/EEA (20): France, Netherlands, Belgium, Austria, Bulgaria, Croatia, Cyprus, Czech Republic, Denmark, Estonia, Hungary, Ireland, Italy, Lithuania, Poland, Portugal, Romania, Slovenia, Spain, Sweden</t>
  </si>
  <si>
    <t xml:space="preserve">5 MG/ML</t>
  </si>
  <si>
    <t xml:space="preserve">1 x 30 mL vial</t>
  </si>
  <si>
    <t xml:space="preserve">https://dmd-browser.nhsbsa.nhs.uk/ampp/view/161747</t>
  </si>
  <si>
    <t xml:space="preserve">UK, Australia, UK-NI | EU/EEA (12): France, Netherlands, Austria, Croatia, Cyprus, Denmark, Finland, Hungary, Norway, Poland, Portugal, Spain</t>
  </si>
  <si>
    <t xml:space="preserve">15000 IU</t>
  </si>
  <si>
    <t xml:space="preserve">1 x 15,000 units vial (powder)</t>
  </si>
  <si>
    <t xml:space="preserve">https://dmd-browser.nhsbsa.nhs.uk/ampp/view/197277</t>
  </si>
  <si>
    <t xml:space="preserve">UK, Australia, UK-NI | EU/EEA (14): Germany, France, Netherlands, Belgium, Austria, Czech Republic, Denmark, Finland, Norway, Poland, Portugal, Romania, Spain, Sweden</t>
  </si>
  <si>
    <t xml:space="preserve">0.1 MG/ML</t>
  </si>
  <si>
    <t xml:space="preserve">1 x pre-filled syringe (priced pack)</t>
  </si>
  <si>
    <t xml:space="preserve">Pre filled Syringe</t>
  </si>
  <si>
    <t xml:space="preserve">https://dmd-browser.nhsbsa.nhs.uk/ampp/view/190887</t>
  </si>
  <si>
    <t xml:space="preserve">Camcevi</t>
  </si>
  <si>
    <t xml:space="preserve">21 MG</t>
  </si>
  <si>
    <t xml:space="preserve">1 x 21 mg pre-filled syringe (with safety needle)</t>
  </si>
  <si>
    <t xml:space="preserve">Adrenaline Accord</t>
  </si>
  <si>
    <t xml:space="preserve">1 mg/10 mL</t>
  </si>
  <si>
    <t xml:space="preserve">1 x 10 mL pre-filled syringe</t>
  </si>
  <si>
    <t xml:space="preserve">https://www.my-marien-apotheke.de/produkt/adrenalin-1-10-000-aguettant-inj-lsg-i-e-fert-s-11587497</t>
  </si>
  <si>
    <t xml:space="preserve">EU/EEA (3): France, Netherlands, Portugal</t>
  </si>
  <si>
    <t xml:space="preserve">Amiodarone Accord</t>
  </si>
  <si>
    <t xml:space="preserve">300 mg/10 mL</t>
  </si>
  <si>
    <t xml:space="preserve">South Africa, UK-NI</t>
  </si>
  <si>
    <t xml:space="preserve">Amoxicillin Accord Healthcare</t>
  </si>
  <si>
    <t xml:space="preserve">UK-NI | EU/EEA (1): Portugal</t>
  </si>
  <si>
    <t xml:space="preserve">Atracurium Accord Healthcare</t>
  </si>
  <si>
    <t xml:space="preserve">https://www.aponeo.de/rx/04262642-atracurium-hikma-25-mg-2-5-ml-ampullen.html</t>
  </si>
  <si>
    <t xml:space="preserve">Atropin Accord</t>
  </si>
  <si>
    <t xml:space="preserve">500 mcg/5 mL</t>
  </si>
  <si>
    <t xml:space="preserve">1 x 5 mL pre-filled syringe</t>
  </si>
  <si>
    <t xml:space="preserve">https://www.aponeo.de/rx/17518273-atropin-accord-100-ug-ml-inj-lsg-i-e-fertigspr.html</t>
  </si>
  <si>
    <t xml:space="preserve">Atropina Accord</t>
  </si>
  <si>
    <t xml:space="preserve">0.1 mg/mL (500 mcg/5 mL)</t>
  </si>
  <si>
    <t xml:space="preserve">Bivalirudin Accord</t>
  </si>
  <si>
    <t xml:space="preserve">10 x 250 mg vials</t>
  </si>
  <si>
    <t xml:space="preserve">Bleomicina Accord</t>
  </si>
  <si>
    <t xml:space="preserve">1 x 15000 IU vial (powder)</t>
  </si>
  <si>
    <t xml:space="preserve">https://www.kuchler-apotheken.de/bleomycin-accord-15.000-i.e.-p.z.h.e.inj.-inf.-l./15883146</t>
  </si>
  <si>
    <t xml:space="preserve">Bortezomib Accord</t>
  </si>
  <si>
    <t xml:space="preserve">21 mg</t>
  </si>
  <si>
    <t xml:space="preserve">1 x 0.25 mL pre-filled syringe + 1 safety needle</t>
  </si>
  <si>
    <t xml:space="preserve">https://www.aponeo.de/rx/17518209-camcevi-21-mg-3-monats-depot-inj-susp-fertigspr.html</t>
  </si>
  <si>
    <t xml:space="preserve">Cefepim Accord</t>
  </si>
  <si>
    <t xml:space="preserve">10 x 1 g vials (powder)</t>
  </si>
  <si>
    <t xml:space="preserve">EU/EEA (4): Germany, France, Croatia, Portugal</t>
  </si>
  <si>
    <t xml:space="preserve">Cefepime Accord</t>
  </si>
  <si>
    <t xml:space="preserve">Ceftriaxone Accord</t>
  </si>
  <si>
    <t xml:space="preserve">1 g, assumed</t>
  </si>
  <si>
    <t xml:space="preserve">Colistimetato Accord</t>
  </si>
  <si>
    <t xml:space="preserve">1 MU (approx. 80 mg colistimetato de sodio)</t>
  </si>
  <si>
    <t xml:space="preserve">10 x 1 MU vials (powder)</t>
  </si>
  <si>
    <t xml:space="preserve">https://www.medicinpriser.dk/Default.aspx?VirksomtStof=Colistin</t>
  </si>
  <si>
    <t xml:space="preserve">Daptomicin Accord Healthcare</t>
  </si>
  <si>
    <t xml:space="preserve">Degarelix Accord</t>
  </si>
  <si>
    <t xml:space="preserve">80 mg</t>
  </si>
  <si>
    <t xml:space="preserve">1 x 80 mg drug-powder vial + 1 x 4.2 mL solvent PFS, adaptor, plunger and needle</t>
  </si>
  <si>
    <t xml:space="preserve">https://base-donnees-publique.medicaments.gouv.fr/medicament/65505947/extrait</t>
  </si>
  <si>
    <t xml:space="preserve">Doxorubicin Accord</t>
  </si>
  <si>
    <t xml:space="preserve">Canada, Australia, South Africa,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</si>
  <si>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Epirubicin Hydrochloride Accord Healthcare</t>
  </si>
  <si>
    <t xml:space="preserve">Eptifibatide Accord</t>
  </si>
  <si>
    <t xml:space="preserve">20 mg/10 mL</t>
  </si>
  <si>
    <t xml:space="preserve">https://www.medicinpriser.dk/Default.aspx?VirksomtStof=Eptifibatid</t>
  </si>
  <si>
    <t xml:space="preserve">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</si>
  <si>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Eribuline Accord</t>
  </si>
  <si>
    <t xml:space="preserve">1 x 2 mL vial (Advanz comparator pack; Accord pack not confirmed from an EU leaflet)</t>
  </si>
  <si>
    <t xml:space="preserve">EU/EEA (9): France, Austria, Croatia, Czech Republic, Denmark, Estonia, Lithuania, Norway, Sweden</t>
  </si>
  <si>
    <t xml:space="preserve">Esomeprazol Accord</t>
  </si>
  <si>
    <t xml:space="preserve">Floxapen</t>
  </si>
  <si>
    <t xml:space="preserve">10 x 500 mg powder vials</t>
  </si>
  <si>
    <t xml:space="preserve">https://www.aponeo.de/rx/08630485-staphylex-injektion-500-mg-plv-z-h-e-inj-inf-l.html</t>
  </si>
  <si>
    <t xml:space="preserve">Fludarabin Accord</t>
  </si>
  <si>
    <t xml:space="preserve">50 mg/2 mL</t>
  </si>
  <si>
    <t xml:space="preserve">Fulvestrant Accord</t>
  </si>
  <si>
    <t xml:space="preserve">Hydroxocobalamin Accord Healthcare</t>
  </si>
  <si>
    <t xml:space="preserve">1 mg/mL</t>
  </si>
  <si>
    <t xml:space="preserve">3 x 1 mL (1 mg/mL) injection solution (priced comparator pack)</t>
  </si>
  <si>
    <t xml:space="preserve">https://www.apoteket.dk/medicin/laegemidler/hydroxocobalamin-alternova</t>
  </si>
  <si>
    <t xml:space="preserve">3 mg/3 mL</t>
  </si>
  <si>
    <t xml:space="preserve">1 x 3 mL pre-filled syringe</t>
  </si>
  <si>
    <t xml:space="preserve">Idarubicin Accord Healthcare</t>
  </si>
  <si>
    <t xml:space="preserve">5 mg/5 mL</t>
  </si>
  <si>
    <t xml:space="preserve">UK-NI | EU/EEA (4): France, Finland, Poland, Portugal</t>
  </si>
  <si>
    <t xml:space="preserve">Melphalan Accord</t>
  </si>
  <si>
    <t xml:space="preserve">Mitomicina Accord</t>
  </si>
  <si>
    <t xml:space="preserve">10 mg</t>
  </si>
  <si>
    <t xml:space="preserve">1 x 10 mg vial (powder)</t>
  </si>
  <si>
    <t xml:space="preserve">Mitoxantron Accord</t>
  </si>
  <si>
    <t xml:space="preserve">UK-NI | EU/EEA (3): France, Netherlands, Spain</t>
  </si>
  <si>
    <t xml:space="preserve">Ondansetron Accord</t>
  </si>
  <si>
    <t xml:space="preserve">Pantoprazol Accord</t>
  </si>
  <si>
    <t xml:space="preserve">Phenytoin Accord</t>
  </si>
  <si>
    <t xml:space="preserve">100 mg/2 mL</t>
  </si>
  <si>
    <t xml:space="preserve">UK NHS dm+d indicative price (GBP→USD 1.322)</t>
  </si>
  <si>
    <t xml:space="preserve">https://openprescribing.net/dmd/ampp/23595411000001105</t>
  </si>
  <si>
    <t xml:space="preserve">Plerixafor Accord</t>
  </si>
  <si>
    <t xml:space="preserve">Rocuronio Accord</t>
  </si>
  <si>
    <t xml:space="preserve">10 x 5 mL ampoules</t>
  </si>
  <si>
    <t xml:space="preserve">UK-NI | EU/EEA (11): Germany, Netherlands, Austria, Czech Republic, Denmark, Finland, Ireland, Italy, Norway, Portugal, Sweden</t>
  </si>
  <si>
    <t xml:space="preserve">Sugammadex Accord</t>
  </si>
  <si>
    <t xml:space="preserve">Teicoplanina Accord</t>
  </si>
  <si>
    <t xml:space="preserve">200 mg</t>
  </si>
  <si>
    <t xml:space="preserve">1 x 200 mg vial (powder)</t>
  </si>
  <si>
    <t xml:space="preserve">EU/EEA (3): Austria, Portugal, Spain</t>
  </si>
  <si>
    <t xml:space="preserve">Vinorelbin Accord</t>
  </si>
  <si>
    <t xml:space="preserve">UK-NI | EU/EEA (21): Germany, France, Netherlands, Belgium, Austria, Cyprus, Czech Republic, Denmark, Estonia, Finland, Italy, Latvia, Lithuania, Norway, Poland, Portugal, Romania, Slovakia, Slovenia, Spain, Sweden</t>
  </si>
  <si>
    <t xml:space="preserve">Vinorelbine Accord</t>
  </si>
  <si>
    <t xml:space="preserve">2 mL preservative-free single-use vial</t>
  </si>
  <si>
    <t xml:space="preserve">5 mL / 25 mL / 100 mL vials</t>
  </si>
  <si>
    <t xml:space="preserve">https://www.ncbi.nlm.nih.gov/books/NBK611313/table/tr8269868067037182_ch02_t09/</t>
  </si>
  <si>
    <t xml:space="preserve">6 MG/ML</t>
  </si>
  <si>
    <t xml:space="preserve">5 mL / 16.7 mL multidose vials; 50 mL pharmacy bulk vial</t>
  </si>
  <si>
    <t xml:space="preserve">Canada,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</si>
  <si>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100 mL pharmacy bulk vial</t>
  </si>
  <si>
    <t xml:space="preserve">https://www.ncbi.nlm.nih.gov/books/NBK601789/table/tr826986112990278_ch02_t06/</t>
  </si>
  <si>
    <t xml:space="preserve">2 mL multidose vial (50 mg/2 mL), with preservative; 10 vials/carton</t>
  </si>
  <si>
    <t xml:space="preserve">https://www.formulary.health.gov.on.ca/formulary/detail.xhtml?drugId=02464365</t>
  </si>
  <si>
    <t xml:space="preserve">20 MG/VIAL</t>
  </si>
  <si>
    <t xml:space="preserve">20 mg single-use vial; individually packaged</t>
  </si>
  <si>
    <t xml:space="preserve">20 mL preservative-free single-use vial</t>
  </si>
  <si>
    <t xml:space="preserve">40 mL preservative-free single-use vial</t>
  </si>
  <si>
    <t xml:space="preserve">Methotrexate Subcutaneous</t>
  </si>
  <si>
    <t xml:space="preserve">10 MG/0.2 ML</t>
  </si>
  <si>
    <t xml:space="preserve">0.2 mL single-use pre-filled syringe</t>
  </si>
  <si>
    <t xml:space="preserve">https://www.formulary.health.gov.on.ca/formulary/detail.xhtml?drugId=02491281</t>
  </si>
  <si>
    <t xml:space="preserve">12.5 MG/0.25 ML</t>
  </si>
  <si>
    <t xml:space="preserve">0.25 mL single-use pre-filled syringe</t>
  </si>
  <si>
    <t xml:space="preserve">https://www.formulary.health.gov.on.ca/formulary/detail.xhtml?drugId=02491303</t>
  </si>
  <si>
    <t xml:space="preserve">Dostiva</t>
  </si>
  <si>
    <t xml:space="preserve">120 mg/1.7 mL (70 mg/mL)</t>
  </si>
  <si>
    <t xml:space="preserve">1 × 1.7 mL vial</t>
  </si>
  <si>
    <t xml:space="preserve">Bleomycin Accord</t>
  </si>
  <si>
    <t xml:space="preserve">15,000 IU/vial</t>
  </si>
  <si>
    <t xml:space="preserve">1 × 15,000 IU vial (powder)</t>
  </si>
  <si>
    <t xml:space="preserve">Bortezomib Intas</t>
  </si>
  <si>
    <t xml:space="preserve">Cyclophosphamide Intas</t>
  </si>
  <si>
    <t xml:space="preserve">Suxamethonium Intas</t>
  </si>
  <si>
    <t xml:space="preserve">1 × 2 mL pre-filled syringe</t>
  </si>
  <si>
    <t xml:space="preserve">Tigecycline Accord</t>
  </si>
  <si>
    <t xml:space="preserve">1 × 50 mg vial (powder)</t>
  </si>
  <si>
    <t xml:space="preserve">Australia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</si>
  <si>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1 mg/vial</t>
  </si>
  <si>
    <t xml:space="preserve">1 × 1 mg vial (powder)</t>
  </si>
  <si>
    <t xml:space="preserve">Fulvestrant Intas</t>
  </si>
  <si>
    <t xml:space="preserve">Phenylephrine Accord</t>
  </si>
  <si>
    <t xml:space="preserve">4 mg/2 mL (2 mg/mL)</t>
  </si>
  <si>
    <t xml:space="preserve">8 mg/4 mL (2 mg/mL)</t>
  </si>
  <si>
    <t xml:space="preserve">1 × 4 mL pre-filled syringe</t>
  </si>
  <si>
    <t xml:space="preserve">Midazolam Accord</t>
  </si>
  <si>
    <t xml:space="preserve">50 mg/10 mL (5 mg/mL)</t>
  </si>
  <si>
    <t xml:space="preserve">1 × 10 mL syringe</t>
  </si>
  <si>
    <t xml:space="preserve">https://www.chemistwarehouse.com.au/buy/90218/midazolam-5mg-ml-injection-10-midazolam</t>
  </si>
  <si>
    <t xml:space="preserve">Australia, UK-NI | EU/EEA (22): Germany, France, Netherlands, Belgium, Austria, Cyprus, Czech Republic, Denmark, Finland, Greece, Hungary, Iceland, Ireland, Italy, Malta, Norway, Poland, Portugal, Slovakia, Slovenia, Spain, Sweden</t>
  </si>
  <si>
    <t xml:space="preserve">5 mg/5 mL (1 mg/mL)</t>
  </si>
  <si>
    <t xml:space="preserve">1 × 5 mL syringe</t>
  </si>
  <si>
    <t xml:space="preserve">Daptomycin Accord</t>
  </si>
  <si>
    <t xml:space="preserve">Lidocaine Accord</t>
  </si>
  <si>
    <t xml:space="preserve">100 mg/5 mL (20 mg/mL)</t>
  </si>
  <si>
    <t xml:space="preserve">NHS Drug Tariff Part VIIIA Oct-2026 (England &amp; Wales), GBP→USD 1.322</t>
  </si>
  <si>
    <t xml:space="preserve">https://www.nhsbsa.nhs.uk/sites/default/files/2026-09/Part%20VIIIA%20Oct%202026.xlsx</t>
  </si>
  <si>
    <t xml:space="preserve">Australia, UK-NI | EU/EEA (7): Austria, Cyprus, Estonia, Lithuania, Norway, Portugal, Sweden</t>
  </si>
  <si>
    <t xml:space="preserve">400 mg/20 mL (20 mg/mL)</t>
  </si>
  <si>
    <t xml:space="preserve">Lidocaine Intas</t>
  </si>
  <si>
    <t xml:space="preserve">40 mg/2 mL (20 mg/mL)</t>
  </si>
  <si>
    <t xml:space="preserve">1 × 2 mL ampoule</t>
  </si>
  <si>
    <t xml:space="preserve">200 mg/20 mL (10 mg/mL)</t>
  </si>
  <si>
    <t xml:space="preserve">Cytarabine Accord</t>
  </si>
  <si>
    <t xml:space="preserve">4000 mg/40 mL (100 mg/mL)</t>
  </si>
  <si>
    <t xml:space="preserve">1 × 40 mL vial</t>
  </si>
  <si>
    <t xml:space="preserve">Cytarabine ACC</t>
  </si>
  <si>
    <t xml:space="preserve">2000 mg/20 mL (100 mg/mL)</t>
  </si>
  <si>
    <t xml:space="preserve">1000 mg/10 mL (100 mg/mL)</t>
  </si>
  <si>
    <t xml:space="preserve">5000 mg/50 mL (100 mg/mL)</t>
  </si>
  <si>
    <t xml:space="preserve">1 × 50 mL vial</t>
  </si>
  <si>
    <t xml:space="preserve">Azaccord</t>
  </si>
  <si>
    <t xml:space="preserve">Glycopyrrolate Accord</t>
  </si>
  <si>
    <t xml:space="preserve">0.6 mg/3 mL (0.2 mg/mL)</t>
  </si>
  <si>
    <t xml:space="preserve">1 × 3 mL ampoule</t>
  </si>
  <si>
    <t xml:space="preserve">Australia, UK-NI | EU/EEA (6): Germany, Austria, Cyprus, Finland, Italy, Sweden</t>
  </si>
  <si>
    <t xml:space="preserve">Cisatracurium Accord</t>
  </si>
  <si>
    <t xml:space="preserve">10 mg/5 mL (2 mg/mL)</t>
  </si>
  <si>
    <t xml:space="preserve">50 mg/25 mL (2 mg/mL)</t>
  </si>
  <si>
    <t xml:space="preserve">1 × 25 mL vial</t>
  </si>
  <si>
    <t xml:space="preserve">20 mg/10 mL (2 mg/mL)</t>
  </si>
  <si>
    <t xml:space="preserve">5 mg/2.5 mL (2 mg/mL)</t>
  </si>
  <si>
    <t xml:space="preserve">1 × 2.5 mL vial</t>
  </si>
  <si>
    <t xml:space="preserve">150 mg/30 mL (5 mg/mL)</t>
  </si>
  <si>
    <t xml:space="preserve">1 × 30 mL vial</t>
  </si>
  <si>
    <t xml:space="preserve">Methotrexate Intas</t>
  </si>
  <si>
    <t xml:space="preserve">1 × 10 mL glass vial</t>
  </si>
  <si>
    <t xml:space="preserve">Epirubicin Accord</t>
  </si>
  <si>
    <t xml:space="preserve">1 × 25 mL glass vial</t>
  </si>
  <si>
    <t xml:space="preserve">200 mg/100 mL (2 mg/mL)</t>
  </si>
  <si>
    <t xml:space="preserve">1 × 100 mL glass vial</t>
  </si>
  <si>
    <t xml:space="preserve">Intas Midazolam</t>
  </si>
  <si>
    <t xml:space="preserve">15 mg/3 mL (5 mg/mL)</t>
  </si>
  <si>
    <t xml:space="preserve">1 × 100 mL vial</t>
  </si>
  <si>
    <t xml:space="preserve">Amiodarone Prefilled Syringe Accord</t>
  </si>
  <si>
    <t xml:space="preserve">300mg/10ml</t>
  </si>
  <si>
    <t xml:space="preserve">Phenylcord</t>
  </si>
  <si>
    <t xml:space="preserve">https://medicineprices.org.za/#search:phenylcord</t>
  </si>
  <si>
    <t xml:space="preserve">Dabucor</t>
  </si>
  <si>
    <t xml:space="preserve">500mg</t>
  </si>
  <si>
    <t xml:space="preserve">1 x 20 mL vial</t>
  </si>
  <si>
    <t xml:space="preserve">https://medicineprices.org.za/#search:dabucor</t>
  </si>
  <si>
    <t xml:space="preserve">Fuldexa</t>
  </si>
  <si>
    <t xml:space="preserve">Palcita</t>
  </si>
  <si>
    <t xml:space="preserve">Valtib</t>
  </si>
  <si>
    <t xml:space="preserve">1mg/ml</t>
  </si>
  <si>
    <t xml:space="preserve">1 vial (powder for solution for injection)</t>
  </si>
  <si>
    <t xml:space="preserve">https://medicineprices.org.za/#search:valtib</t>
  </si>
  <si>
    <t xml:space="preserve">Accord-Vincristine</t>
  </si>
  <si>
    <t xml:space="preserve">2mg/2ml</t>
  </si>
  <si>
    <t xml:space="preserve">Accord Epirubicin</t>
  </si>
  <si>
    <t xml:space="preserve">2mg/ml</t>
  </si>
  <si>
    <t xml:space="preserve">1 x 25 mL vial</t>
  </si>
  <si>
    <t xml:space="preserve">Epicord</t>
  </si>
  <si>
    <t xml:space="preserve">Rubexet</t>
  </si>
  <si>
    <t xml:space="preserve">50mg/25ml</t>
  </si>
  <si>
    <t xml:space="preserve">https://medicineprices.org.za/#search:rubexet</t>
  </si>
  <si>
    <t xml:space="preserve">200mg/100ml</t>
  </si>
  <si>
    <t xml:space="preserve">2 mL single-dose vial; carton of 10; NDC 70748-370-02</t>
  </si>
  <si>
    <t xml:space="preserve">10 × 5 mL single-dose vials</t>
  </si>
  <si>
    <t xml:space="preserve">Olanzapine GH IM</t>
  </si>
  <si>
    <t xml:space="preserve">10 mg/vial</t>
  </si>
  <si>
    <t xml:space="preserve">1 × 10 mg vial (powder)</t>
  </si>
  <si>
    <t xml:space="preserve">https://michaelschemist.com.au/products/zyprexavl10mg1</t>
  </si>
  <si>
    <t xml:space="preserve">Sugammadex Lupin</t>
  </si>
  <si>
    <t xml:space="preserve">Sugammadex LAPL</t>
  </si>
  <si>
    <t xml:space="preserve">Daptomycin Lupin</t>
  </si>
  <si>
    <t xml:space="preserve">Cefazolin SXP</t>
  </si>
  <si>
    <t xml:space="preserve">https://www.pbs.gov.au/industry/pricing/ex-manufacturer-price/2026/10/ex-manufacturer-prices-non-efc-2026-10-01.XLSX</t>
  </si>
  <si>
    <t xml:space="preserve">Teicoplanin SXP</t>
  </si>
  <si>
    <t xml:space="preserve">400 mg/vial</t>
  </si>
  <si>
    <t xml:space="preserve">1 × 400 mg powder vial + 1 diluent ampoule</t>
  </si>
  <si>
    <t xml:space="preserve">https://michaelschemist.com.au/products/teicoplaninpwdrforinj400mg1</t>
  </si>
  <si>
    <t xml:space="preserve">Droperidol Lupin</t>
  </si>
  <si>
    <t xml:space="preserve">1 × 1 mL glass ampoule</t>
  </si>
  <si>
    <t xml:space="preserve">Droperidol AJS</t>
  </si>
  <si>
    <t xml:space="preserve">5 mg/2 mL (2.5 mg/mL)</t>
  </si>
  <si>
    <t xml:space="preserve">1 × 2 mL glass ampoule</t>
  </si>
  <si>
    <t xml:space="preserve">Ephedrine Hydrochloride AJS</t>
  </si>
  <si>
    <t xml:space="preserve">30 mg/mL</t>
  </si>
  <si>
    <t xml:space="preserve">1 × ampoule</t>
  </si>
  <si>
    <t xml:space="preserve">Meropenem GH</t>
  </si>
  <si>
    <t xml:space="preserve">https://michaelschemist.com.au/products/meropenemran500mginj5</t>
  </si>
  <si>
    <t xml:space="preserve">1 g/vial</t>
  </si>
  <si>
    <t xml:space="preserve">1 × 1 g vial (powder)</t>
  </si>
  <si>
    <t xml:space="preserve">https://www.medshop.com.au/products/meropenem-ranbaxy-1g-vial-5-meropenem-1000mg-vial</t>
  </si>
  <si>
    <t xml:space="preserve">Fentanyl GH</t>
  </si>
  <si>
    <t xml:space="preserve">500 microgram/10 mL (50 microgram/mL)</t>
  </si>
  <si>
    <t xml:space="preserve">1 × 10 mL glass ampoule</t>
  </si>
  <si>
    <t xml:space="preserve">100 microgram/2 mL (50 microgram/mL)</t>
  </si>
  <si>
    <t xml:space="preserve">Oxytocin GH</t>
  </si>
  <si>
    <t xml:space="preserve">10 IU/1 mL</t>
  </si>
  <si>
    <t xml:space="preserve">https://www.healthylife.com.au/products/oxytocin-generic-10iu1ml-x-5-ampoules</t>
  </si>
  <si>
    <t xml:space="preserve">Milrinone GH</t>
  </si>
  <si>
    <t xml:space="preserve">10 mg/10 mL (1 mg/mL)</t>
  </si>
  <si>
    <t xml:space="preserve">1 × 10 mL ampoule</t>
  </si>
  <si>
    <t xml:space="preserve">Alfentanil GH</t>
  </si>
  <si>
    <t xml:space="preserve">5 mg/10 mL (0.5 mg/mL)</t>
  </si>
  <si>
    <t xml:space="preserve">https://michaelschemist.com.au/products/rapifenalfentanil1mg2f2mlampx5</t>
  </si>
  <si>
    <t xml:space="preserve">Cisatracurium AJS</t>
  </si>
  <si>
    <t xml:space="preserve">https://medicineprices.org.za/#search:cistrax</t>
  </si>
  <si>
    <t xml:space="preserve">Testosterone PD</t>
  </si>
  <si>
    <t xml:space="preserve">Invabex</t>
  </si>
  <si>
    <t xml:space="preserve">Altirem IV</t>
  </si>
  <si>
    <t xml:space="preserve">5 x 5 mL vials (powder)</t>
  </si>
  <si>
    <t xml:space="preserve">https://medicineprices.org.za/#search:altirem</t>
  </si>
  <si>
    <t xml:space="preserve">5mg/ml</t>
  </si>
  <si>
    <t xml:space="preserve">5 x 10 mL vials (powder)</t>
  </si>
  <si>
    <t xml:space="preserve">Meroject</t>
  </si>
  <si>
    <t xml:space="preserve">1000mg/30ml</t>
  </si>
  <si>
    <t xml:space="preserve">10 x 30 mL vials (powder)</t>
  </si>
  <si>
    <t xml:space="preserve">https://medicineprices.org.za/#search:meroject</t>
  </si>
  <si>
    <t xml:space="preserve">Dyna Teicoplanin</t>
  </si>
  <si>
    <t xml:space="preserve">200mg</t>
  </si>
  <si>
    <t xml:space="preserve">1 x 20 mL vial (powder) + 1 x 3.2 mL solvent ampoule</t>
  </si>
  <si>
    <t xml:space="preserve">Teicoplanin PD</t>
  </si>
  <si>
    <t xml:space="preserve">Sucrofer</t>
  </si>
  <si>
    <t xml:space="preserve">5 x 5 mL ampoules/vials</t>
  </si>
  <si>
    <t xml:space="preserve">Diphenhydramine Hydrochloride</t>
  </si>
  <si>
    <t xml:space="preserve">https://www.mountainside-medical.com/products/diphenhydramine-injection-50-mg-ml-single-dose-vials-1-ml-x-25-pack</t>
  </si>
  <si>
    <t xml:space="preserve">1ml single dose ampul</t>
  </si>
  <si>
    <t xml:space="preserve">https://www.drugs.com/price-guide/isoproterenol</t>
  </si>
  <si>
    <t xml:space="preserve">Lincomycin Hydrochloride</t>
  </si>
  <si>
    <t xml:space="preserve">EQ 300MG BASE/ML</t>
  </si>
  <si>
    <t xml:space="preserve">2ml multi-dose vial</t>
  </si>
  <si>
    <t xml:space="preserve">https://www.drugs.com/price-guide/lincomycin</t>
  </si>
  <si>
    <t xml:space="preserve">25 x 10 mL (200 mg/10 mL) Multi-Dose Vials (NDC 42571-371-87)</t>
  </si>
  <si>
    <t xml:space="preserve">50MG/5ML (10MG/ML)</t>
  </si>
  <si>
    <t xml:space="preserve">10 × 5 mL single-dose vials; NDC 42571-370-99</t>
  </si>
  <si>
    <t xml:space="preserve">Vial single dose</t>
  </si>
  <si>
    <t xml:space="preserve">https://www.drugs.com/price-guide/brivaracetam</t>
  </si>
  <si>
    <t xml:space="preserve">5MG/2ML (2.5MG/ML)</t>
  </si>
  <si>
    <t xml:space="preserve">10MG/4ML (2.5MG/ML)</t>
  </si>
  <si>
    <t xml:space="preserve">1 × 4 mL vial; 5 × 4 mL vials</t>
  </si>
  <si>
    <t xml:space="preserve">Caffeine Citrate Brown &amp; Burk</t>
  </si>
  <si>
    <t xml:space="preserve">60 mg caffeine citrate/3 mL (= 30 mg caffeine base)</t>
  </si>
  <si>
    <t xml:space="preserve">10 x 3 mL vials</t>
  </si>
  <si>
    <t xml:space="preserve">https://www.medicinpriser.dk/Default.aspx?VirksomtStof=Caffein&amp;lng=2</t>
  </si>
  <si>
    <t xml:space="preserve">1 x 3 mL fill in a 5 mL vial</t>
  </si>
  <si>
    <t xml:space="preserve">Cyclact</t>
  </si>
  <si>
    <t xml:space="preserve">50 mg/1 mL</t>
  </si>
  <si>
    <t xml:space="preserve">https://michaelschemist.com.au/products/valoidinj50mg2f1ml5</t>
  </si>
  <si>
    <t xml:space="preserve">Australia, UK-NI</t>
  </si>
  <si>
    <t xml:space="preserve">Levetiracetam WP</t>
  </si>
  <si>
    <t xml:space="preserve">https://www.medshop.com.au/products/levetiracetam-500mg5ml-vial-10-levetiracetam-500mg5ml-vial</t>
  </si>
  <si>
    <t xml:space="preserve">Australia | EU/EEA (2): Germany, Luxembourg</t>
  </si>
  <si>
    <t xml:space="preserve">Isoprika</t>
  </si>
  <si>
    <t xml:space="preserve">MSN Laboratories</t>
  </si>
  <si>
    <t xml:space="preserve">1mL or 2 mL Single-Dose Vial x 25-Vial Carton</t>
  </si>
  <si>
    <t xml:space="preserve">1 Multi-dose Vial (5 mL)</t>
  </si>
  <si>
    <t xml:space="preserve">1 × 3.5 mg single-dose powder vial; NDC 72205-183-01 (Novadoz / MSN)</t>
  </si>
  <si>
    <t xml:space="preserve">US, UK, Australia, UK-NI | EU/EEA (1): Ireland</t>
  </si>
  <si>
    <t xml:space="preserve">10 × 5 mL single-dose vials; NDC 72205-272-07 (Novadoz / MSN)</t>
  </si>
  <si>
    <t xml:space="preserve">10 × 2 mL single-dose vials</t>
  </si>
  <si>
    <t xml:space="preserve">US, UK, Australia | EU/EEA (8): Croatia, Cyprus, Estonia, Ireland, Latvia, Lithuania, Poland, Slovenia</t>
  </si>
  <si>
    <t xml:space="preserve">US | EU/EEA (8): Bulgaria, Croatia, Czech Republic, Hungary, Ireland, Poland, Romania, Slovakia</t>
  </si>
  <si>
    <t xml:space="preserve">https://dmd-browser.nhsbsa.nhs.uk/ampp/view/208635</t>
  </si>
  <si>
    <t xml:space="preserve">https://dmd-browser.nhsbsa.nhs.uk/ampp/view/203257</t>
  </si>
  <si>
    <t xml:space="preserve">1.0 MMOL/ML</t>
  </si>
  <si>
    <t xml:space="preserve">2ml, 7.5ml, 15ml, 30ml, 67ml vial x 1 vial/ pack of 10</t>
  </si>
  <si>
    <t xml:space="preserve">https://dmd-browser.nhsbsa.nhs.uk/ampp/view/204692</t>
  </si>
  <si>
    <t xml:space="preserve">Bortezomib MSN Laboratories Europe</t>
  </si>
  <si>
    <t xml:space="preserve">https://zoek.officielebekendmakingen.nl/stcrt-2026-7257.html</t>
  </si>
  <si>
    <t xml:space="preserve">Gadobutrol MSN Laboratories Europe</t>
  </si>
  <si>
    <t xml:space="preserve">1 mmol/mL</t>
  </si>
  <si>
    <t xml:space="preserve">Sugammadex MSN</t>
  </si>
  <si>
    <t xml:space="preserve">MSN-Bortezomib</t>
  </si>
  <si>
    <t xml:space="preserve">Bupivacaine Hydrochloride</t>
  </si>
  <si>
    <t xml:space="preserve">OneSource Specialty Pharma</t>
  </si>
  <si>
    <t xml:space="preserve">0.25%</t>
  </si>
  <si>
    <t xml:space="preserve">10 × 10 mL vials; 1 × 30 mL single-dose vial</t>
  </si>
  <si>
    <t xml:space="preserve">https://www.drugs.com/price-guide/bupivacaine</t>
  </si>
  <si>
    <t xml:space="preserve">0.5%</t>
  </si>
  <si>
    <t xml:space="preserve">1 × 30 mL single-dose vial; 10 × 10 mL vials</t>
  </si>
  <si>
    <t xml:space="preserve">Methohexital Sodium</t>
  </si>
  <si>
    <t xml:space="preserve">500MG/VIAL</t>
  </si>
  <si>
    <t xml:space="preserve">multi dose vial</t>
  </si>
  <si>
    <t xml:space="preserve">Powder Vial (1 g) - pack count not verified</t>
  </si>
  <si>
    <t xml:space="preserve">Powder Vial (2 g) - pack count not verified</t>
  </si>
  <si>
    <t xml:space="preserve">Meropenem Steriscience</t>
  </si>
  <si>
    <t xml:space="preserve">https://www.aponeo.de/rx/19949801-meropenem-hexal-500-mg-plv-z-her-e-inj-o-inf-lsg.html</t>
  </si>
  <si>
    <t xml:space="preserve">EU/EEA (23): Germany, France, Netherlands, Belgium, Austria, Bulgaria, Croatia, Cyprus, Czech Republic, Denmark, Estonia, Finland, Greece, Hungary, Ireland, Italy, Latvia, Lithuania, Luxembourg, Malta, Portugal, Slovakia, Spain</t>
  </si>
  <si>
    <t xml:space="preserve">2 g</t>
  </si>
  <si>
    <t xml:space="preserve">1 x 2 g vial (powder)</t>
  </si>
  <si>
    <t xml:space="preserve">Cisatracurium Besylate</t>
  </si>
  <si>
    <t xml:space="preserve">Piramal Pharma</t>
  </si>
  <si>
    <t xml:space="preserve">10 × 5 mL single-dose vials; 10 × 10 mL multi-dose vials</t>
  </si>
  <si>
    <t xml:space="preserve">https://www.drugs.com/price-guide/cisatracurium</t>
  </si>
  <si>
    <t xml:space="preserve">EQ 10MG BASE/ML</t>
  </si>
  <si>
    <t xml:space="preserve">Gablofen</t>
  </si>
  <si>
    <t xml:space="preserve">0.05MG/ML</t>
  </si>
  <si>
    <t xml:space="preserve">1 mL single-dose syringe, 50 mcg per mL (NDC 66794-151-01)</t>
  </si>
  <si>
    <t xml:space="preserve">US, UK, UK-NI | EU/EEA (6): Germany, France, Netherlands, Belgium, Denmark, Sweden</t>
  </si>
  <si>
    <t xml:space="preserve">Rapifen</t>
  </si>
  <si>
    <t xml:space="preserve">10 x 2 mL ampoules (1 mg/2 mL; current Sep-2026 tariff pack); 5 x 10 mL Rapifen pack deleted Sep-2026</t>
  </si>
  <si>
    <t xml:space="preserve">https://medicineprices.org.za/#search:rapifen</t>
  </si>
  <si>
    <t xml:space="preserve">UK, Australia, South Africa, UK-NI | EU/EEA (15): Germany, France, Netherlands, Belgium, Austria, Czech Republic, Denmark, Finland, Ireland, Italy, Luxembourg, Norway, Portugal, Spain, Sweden</t>
  </si>
  <si>
    <t xml:space="preserve">Alfentanil Piramal</t>
  </si>
  <si>
    <t xml:space="preserve">0.5 mg/mL</t>
  </si>
  <si>
    <t xml:space="preserve">5 x 10 mL ampoules</t>
  </si>
  <si>
    <t xml:space="preserve">https://mediately.co/it/drugs/3ytjMRFtaIbVwcIRVFvxl1oiBXA/alfentanil-piramal-5-fiale-ev-10-ml-0-5-mg-ml</t>
  </si>
  <si>
    <t xml:space="preserve">Hypnomidate</t>
  </si>
  <si>
    <t xml:space="preserve">2 mg/mL</t>
  </si>
  <si>
    <t xml:space="preserve">https://www.shop-apotheke.com/arzneimittel/1854738/hypnomidate-2-mg-ml.htm</t>
  </si>
  <si>
    <t xml:space="preserve">South Africa, UK-NI | EU/EEA (10): Germany, France, Netherlands, Belgium, Austria, Croatia, Czech Republic, Luxembourg, Poland, Spain</t>
  </si>
  <si>
    <t xml:space="preserve">Remifentanil Piramal</t>
  </si>
  <si>
    <t xml:space="preserve">Sugammadex Piramal</t>
  </si>
  <si>
    <t xml:space="preserve">0.5mg/ml</t>
  </si>
  <si>
    <t xml:space="preserve">Sublimaze</t>
  </si>
  <si>
    <t xml:space="preserve">50mcg/ml</t>
  </si>
  <si>
    <t xml:space="preserve">https://medicineprices.org.za/#search:sublimaze</t>
  </si>
  <si>
    <t xml:space="preserve">South Africa, UK-NI | EU/EEA (16): Germany, France, Netherlands, Belgium, Austria, Croatia, Czech Republic, Denmark, Finland, Iceland, Ireland, Italy, Luxembourg, Norway, Portugal, Sweden</t>
  </si>
  <si>
    <t xml:space="preserve">Strides Pharma Science</t>
  </si>
  <si>
    <t xml:space="preserve">1 x vial (price normalized per unit; marketed pack unconfirmed)</t>
  </si>
  <si>
    <t xml:space="preserve">https://dmd-browser.nhsbsa.nhs.uk/ampp/view/175452</t>
  </si>
  <si>
    <t xml:space="preserve">Meropenem Strides Pharma</t>
  </si>
  <si>
    <t xml:space="preserve">10 x 500 mg vials (powder) (priced comparator pack)</t>
  </si>
  <si>
    <t xml:space="preserve">Zetaf</t>
  </si>
  <si>
    <t xml:space="preserve">2 g/vial</t>
  </si>
  <si>
    <t xml:space="preserve">1 × 2 g vial (powder)</t>
  </si>
  <si>
    <t xml:space="preserve">https://www.healthylife.com.au/products/ceftazidime-1g-x-1-vial</t>
  </si>
  <si>
    <t xml:space="preserve">Bindozef</t>
  </si>
  <si>
    <t xml:space="preserve">https://michaelschemist.com.au/products/cefepimepwdrforinj1gvial1</t>
  </si>
  <si>
    <t xml:space="preserve">https://michaelschemist.com.au/collections/prescriptions/products/cefepimepwdrforinj2gvial1</t>
  </si>
  <si>
    <t xml:space="preserve">Auro Piptaz</t>
  </si>
  <si>
    <t xml:space="preserve">2 g + 250 mg/vial</t>
  </si>
  <si>
    <t xml:space="preserve">1 × 2 g/250 mg vial (powder)</t>
  </si>
  <si>
    <t xml:space="preserve">https://michaelschemist.com.au/products/piperacillinsodium4gtazobactamsodium05gvial</t>
  </si>
  <si>
    <t xml:space="preserve">Auro-Piptaz</t>
  </si>
  <si>
    <t xml:space="preserve">4 g + 500 mg/vial</t>
  </si>
  <si>
    <t xml:space="preserve">1 × 4 g/500 mg vial (powder)</t>
  </si>
  <si>
    <t xml:space="preserve">Cortaject</t>
  </si>
  <si>
    <t xml:space="preserve">100mg /5ml</t>
  </si>
  <si>
    <t xml:space="preserve">100 mg vial (current SA pack count unresolved)</t>
  </si>
  <si>
    <t xml:space="preserve">https://medicineprices.org.za/#search:cortaject</t>
  </si>
  <si>
    <t xml:space="preserve">Chlorothiazide Sodium</t>
  </si>
  <si>
    <t xml:space="preserve">EQ 500MG BASE/VIAL</t>
  </si>
  <si>
    <t xml:space="preserve">1 Single-Dose Vial (18mL fill, lyophilized)</t>
  </si>
  <si>
    <t xml:space="preserve">https://www.drugs.com/price-guide/chlorothiazide</t>
  </si>
  <si>
    <t xml:space="preserve">Doxorubicin Hydrochloride</t>
  </si>
  <si>
    <t xml:space="preserve">1 × 25 mL single-dose vial; 1 × 100 mL multi-dose vial</t>
  </si>
  <si>
    <t xml:space="preserve">https://www.drugs.com/price-guide/doxorubicin</t>
  </si>
  <si>
    <t xml:space="preserve">US, UK, South Africa, UK-NI | EU/EEA (3): Netherlands, Poland, Romania</t>
  </si>
  <si>
    <t xml:space="preserve">Sugammadex Sun</t>
  </si>
  <si>
    <t xml:space="preserve">https://dmd-browser.nhsbsa.nhs.uk/ampp/view/195579</t>
  </si>
  <si>
    <t xml:space="preserve">1 x 300 mg vial (powder) + 1 x 2 mL solvent vial</t>
  </si>
  <si>
    <t xml:space="preserve">UK, Australia</t>
  </si>
  <si>
    <t xml:space="preserve">Fulvestrant Sun</t>
  </si>
  <si>
    <t xml:space="preserve">https://www.nhsbsa.nhs.uk/sites/default/files/2022-06/Drug%20Tariff%20Part%20VIIIA%20July%202022.pdf</t>
  </si>
  <si>
    <t xml:space="preserve">UK, UK-NI | EU/EEA (5): Netherlands, Poland, Romania, Spain, Sweden</t>
  </si>
  <si>
    <t xml:space="preserve">Bortezomib Sun</t>
  </si>
  <si>
    <t xml:space="preserve">https://dmd-browser.nhsbsa.nhs.uk/ampp/view/193706</t>
  </si>
  <si>
    <t xml:space="preserve">UK, Canada, South Africa, UK-NI | EU/EEA (30): Germany, France, Netherlands, Belgium, Austria, Bulgaria, Croatia, Cyprus, Czech Republic, Denmark, Estonia, Finland, Greece, Hungary, Iceland, Ireland, Italy, Latvia, Liechtenstein, Lithuania, Luxembourg, Malta, Norway, Poland, Portugal, Romania, Slovakia, Slovenia, Spain, Sweden</t>
  </si>
  <si>
    <t xml:space="preserve">Vecuronium Sun</t>
  </si>
  <si>
    <t xml:space="preserve">10 MG</t>
  </si>
  <si>
    <t xml:space="preserve">1/4/10/20 x 10mL vial </t>
  </si>
  <si>
    <t xml:space="preserve">https://dmd-browser.nhsbsa.nhs.uk/ampp/view/211689</t>
  </si>
  <si>
    <t xml:space="preserve">UK, Australia, South Africa, UK-NI | EU/EEA (1): Netherlands</t>
  </si>
  <si>
    <t xml:space="preserve">Testosterone</t>
  </si>
  <si>
    <t xml:space="preserve">1000 MG/4 ML</t>
  </si>
  <si>
    <t xml:space="preserve">UK, Australia | EU/EEA (10): Germany, France, Netherlands, Finland, Hungary, Italy, Norway, Slovakia, Spain, Sweden</t>
  </si>
  <si>
    <t xml:space="preserve">Terlipressin Acetate Sun</t>
  </si>
  <si>
    <t xml:space="preserve">0.12 MG/ML</t>
  </si>
  <si>
    <t xml:space="preserve">5 x 8.5 mL ampoules</t>
  </si>
  <si>
    <t xml:space="preserve">https://dmd-browser.nhsbsa.nhs.uk/ampp/view/212956</t>
  </si>
  <si>
    <t xml:space="preserve">UK, UK-NI | EU/EEA (9): Germany, France, Netherlands, Denmark, Finland, Italy, Poland, Spain, Sweden</t>
  </si>
  <si>
    <t xml:space="preserve">1/5/10/24 x 20mL vial </t>
  </si>
  <si>
    <t xml:space="preserve">https://dmd-browser.nhsbsa.nhs.uk/ampp/view/198278</t>
  </si>
  <si>
    <t xml:space="preserve">UK, UK-NI | EU/EEA (2): Netherlands, Italy</t>
  </si>
  <si>
    <t xml:space="preserve">https://dmd-browser.nhsbsa.nhs.uk/ampp/view/96481</t>
  </si>
  <si>
    <t xml:space="preserve">UK, UK-NI | EU/EEA (12): Germany, France, Netherlands, Belgium, Austria, Denmark, Finland, Italy, Norway, Poland, Romania, Sweden</t>
  </si>
  <si>
    <t xml:space="preserve">UK, Canada, Australia, South Africa, UK-NI | EU/EEA (13): Germany, Netherlands, Denmark, Estonia, Finland, Iceland, Latvia, Lithuania, Norway, Poland, Romania, Spain, Sweden</t>
  </si>
  <si>
    <t xml:space="preserve">Esomeprazol Sun</t>
  </si>
  <si>
    <t xml:space="preserve">Australia, UK-NI | EU/EEA (8): Germany, France, Netherlands, Denmark, Italy, Poland, Romania, Sweden</t>
  </si>
  <si>
    <t xml:space="preserve">Melfalan Sun</t>
  </si>
  <si>
    <t xml:space="preserve">Canada, UK-NI | EU/EEA (7): France, Netherlands, Austria, Denmark, Italy, Norway, Sweden</t>
  </si>
  <si>
    <t xml:space="preserve">Meropenem Basics</t>
  </si>
  <si>
    <t xml:space="preserve">500 mg (powder)</t>
  </si>
  <si>
    <t xml:space="preserve">10 x 500 mg powder vials (30 mL container capacity)</t>
  </si>
  <si>
    <t xml:space="preserve">Meropenem Ranbaxy</t>
  </si>
  <si>
    <t xml:space="preserve">Pantoprazol Sun</t>
  </si>
  <si>
    <t xml:space="preserve">Paricalcitol Sun</t>
  </si>
  <si>
    <t xml:space="preserve">2 mcg/mL</t>
  </si>
  <si>
    <t xml:space="preserve">5 x 1 mL vials</t>
  </si>
  <si>
    <t xml:space="preserve">https://www.aponeo.de/rx/10735547-paricalcitol-hexal-2-mikrogramm-ml-injektionslsg.html</t>
  </si>
  <si>
    <t xml:space="preserve">EU/EEA (2): Germany, Spain</t>
  </si>
  <si>
    <t xml:space="preserve">Teicoplanin Ranbaxy</t>
  </si>
  <si>
    <t xml:space="preserve">1 x 400 mg powder vial + 1 x 3 mL solvent ampoule</t>
  </si>
  <si>
    <t xml:space="preserve">Terlipresina Sun</t>
  </si>
  <si>
    <t xml:space="preserve">850 mcg/8.5 mL</t>
  </si>
  <si>
    <t xml:space="preserve">Testosteron Basics</t>
  </si>
  <si>
    <t xml:space="preserve">1 g/4 mL</t>
  </si>
  <si>
    <t xml:space="preserve">https://base-donnees-publique.medicaments.gouv.fr/medicament/61614600/extrait</t>
  </si>
  <si>
    <t xml:space="preserve">10 x 10 mg vials (powder)</t>
  </si>
  <si>
    <t xml:space="preserve">https://www.aliva.de/p/vecuronium-inresa-10-mg-pulver-z-herst-e-inj-lsg-10-pulver-zur-herstellung-einer-injektionsloesung-03379371</t>
  </si>
  <si>
    <t xml:space="preserve">Taro-Meropenem</t>
  </si>
  <si>
    <t xml:space="preserve">30 mL single-use vial; 10 vials/carton</t>
  </si>
  <si>
    <t xml:space="preserve">https://idbl.ab.bluecross.ca/idbl/drugsList?ptc=08120708</t>
  </si>
  <si>
    <t xml:space="preserve">40 mL single-use vial; 10 vials/carton</t>
  </si>
  <si>
    <t xml:space="preserve">Taro-Melphalan</t>
  </si>
  <si>
    <t xml:space="preserve">Kit containing 50 mg melphalan vial + 10 mL buffer/solvent vial</t>
  </si>
  <si>
    <t xml:space="preserve">Taro-Testosterone Cypionate</t>
  </si>
  <si>
    <t xml:space="preserve">10 mL multi-dose vial (contains benzyl alcohol preservative)</t>
  </si>
  <si>
    <t xml:space="preserve">https://www.formulary.health.gov.on.ca/formulary/detail.xhtml?drugId=02496003</t>
  </si>
  <si>
    <t xml:space="preserve">Taro-Bortezomib</t>
  </si>
  <si>
    <t xml:space="preserve">3.5 mg in 10 mL single-use vial; 1 vial/carton</t>
  </si>
  <si>
    <t xml:space="preserve">Aripena</t>
  </si>
  <si>
    <t xml:space="preserve">1 × 300 mg powder vial + diluent (kit)</t>
  </si>
  <si>
    <t xml:space="preserve">Empty Syringes</t>
  </si>
  <si>
    <t xml:space="preserve">1 × 400 mg powder vial + diluent (kit)</t>
  </si>
  <si>
    <t xml:space="preserve">Testosterone Sun</t>
  </si>
  <si>
    <t xml:space="preserve">1000 mg/4 mL (250 mg/mL)</t>
  </si>
  <si>
    <t xml:space="preserve">1 × 4 mL vial</t>
  </si>
  <si>
    <t xml:space="preserve">Octreotide Sun</t>
  </si>
  <si>
    <t xml:space="preserve">500 microgram/1 mL</t>
  </si>
  <si>
    <t xml:space="preserve">Australia, UK-NI | EU/EEA (5): Germany, Denmark, Italy, Spain, Sweden</t>
  </si>
  <si>
    <t xml:space="preserve">1 × 10 mg powder vial</t>
  </si>
  <si>
    <t xml:space="preserve">Esomeprazole Sun</t>
  </si>
  <si>
    <t xml:space="preserve">40 mg/vial</t>
  </si>
  <si>
    <t xml:space="preserve">1 × 40 mg glass vial (powder)</t>
  </si>
  <si>
    <t xml:space="preserve">Sumabid IV</t>
  </si>
  <si>
    <t xml:space="preserve">100mg/ml</t>
  </si>
  <si>
    <t xml:space="preserve">https://medicineprices.org.za/#search:sumabid</t>
  </si>
  <si>
    <t xml:space="preserve">Botigen</t>
  </si>
  <si>
    <t xml:space="preserve">https://medicineprices.org.za/#search:botigen</t>
  </si>
  <si>
    <t xml:space="preserve">Muscuron</t>
  </si>
  <si>
    <t xml:space="preserve">4mg/2ml</t>
  </si>
  <si>
    <t xml:space="preserve">5 x 2 mL vials (powder)</t>
  </si>
  <si>
    <t xml:space="preserve">10 x 2 mL vials (powder)</t>
  </si>
  <si>
    <t xml:space="preserve">Mercide</t>
  </si>
  <si>
    <t xml:space="preserve">1 x 40 mL vial (powder)</t>
  </si>
  <si>
    <t xml:space="preserve">https://medicineprices.org.za/#search:mercide</t>
  </si>
  <si>
    <t xml:space="preserve">Torrent Pharmaceuticals</t>
  </si>
  <si>
    <t xml:space="preserve">3 MG/3 ML</t>
  </si>
  <si>
    <t xml:space="preserve">5 x 3 mL ampoules</t>
  </si>
  <si>
    <t xml:space="preserve">https://dmd-browser.nhsbsa.nhs.uk/ampp/view/168374</t>
  </si>
  <si>
    <t xml:space="preserve">Fulvestrant Heumann</t>
  </si>
  <si>
    <t xml:space="preserve">Granisetron Torrent Pharma</t>
  </si>
  <si>
    <t xml:space="preserve">5 x 3 mL ampoules (priced comparator pack)</t>
  </si>
  <si>
    <t xml:space="preserve">Levetiracetam Heumann</t>
  </si>
  <si>
    <t xml:space="preserve">German pharmacy price (Apothekenverkaufspreis, incl. VAT) via mycare.de, EUR→USD 1.13</t>
  </si>
  <si>
    <t xml:space="preserve">https://www.mycare.de/online-kaufen/levetiracetam-till100mgml-infusionsloesungs--konzentrat-15576734</t>
  </si>
  <si>
    <t xml:space="preserve">Meropenem Heumann</t>
  </si>
  <si>
    <t xml:space="preserve">Paliperidon Heumann</t>
  </si>
  <si>
    <t xml:space="preserve">1 x 0.5 mL pre-filled syringe</t>
  </si>
  <si>
    <t xml:space="preserve">https://www.sanidad.gob.es/profesionales/nomenclator.do?metodo=buscarProductos&amp;especialidad=XEPLION%25</t>
  </si>
  <si>
    <t xml:space="preserve">EU/EEA (2): Germany, Sweden</t>
  </si>
  <si>
    <t xml:space="preserve">Voriconazol Heumann</t>
  </si>
  <si>
    <t xml:space="preserve">Rocuronium IV Biotech</t>
  </si>
  <si>
    <t xml:space="preserve">Meropenem Venus Pharma</t>
  </si>
  <si>
    <t xml:space="preserve">UK, UK-NI | EU/EEA (8): Germany, France, Netherlands, Belgium, Cyprus, Ireland, Italy, Spain</t>
  </si>
  <si>
    <t xml:space="preserve">2 G</t>
  </si>
  <si>
    <t xml:space="preserve">10 x 2 g vials (powder)</t>
  </si>
  <si>
    <t xml:space="preserve">https://dmd-browser.nhsbsa.nhs.uk/ampp/view/190496</t>
  </si>
  <si>
    <t xml:space="preserve">Ceftazidime Venus Pharma</t>
  </si>
  <si>
    <t xml:space="preserve">https://dmd-browser.nhsbsa.nhs.uk/ampp/view/170191</t>
  </si>
  <si>
    <t xml:space="preserve">Bleomycin Venus Pharma</t>
  </si>
  <si>
    <t xml:space="preserve">15,000 IU</t>
  </si>
  <si>
    <t xml:space="preserve">1 x 15,000 IU vial (powder)</t>
  </si>
  <si>
    <t xml:space="preserve">https://dmd-browser.nhsbsa.nhs.uk/ampp/view/208581</t>
  </si>
  <si>
    <t xml:space="preserve">Meropenem Venus</t>
  </si>
  <si>
    <t xml:space="preserve">1 gram powder vial, packaged in carton of ten vials</t>
  </si>
  <si>
    <t xml:space="preserve">EQ 250MG BASE/VIAL</t>
  </si>
  <si>
    <t xml:space="preserve">250 mg vials (glass); Box of 1 (NDC 64679-701-01), Box of 10 (NDC 64679-701-02), Box of 25 (NDC 64679-701-03)</t>
  </si>
  <si>
    <t xml:space="preserve">https://www.drugs.com/price-guide/ceftriaxone</t>
  </si>
  <si>
    <t xml:space="preserve">US, UK, UK-NI | EU/EEA (2): Ireland, Malta</t>
  </si>
  <si>
    <t xml:space="preserve">500 mg vials (glass); Box of 1 (NDC 64679-702-01) and Box of 10 (NDC 64679-702-02)</t>
  </si>
  <si>
    <t xml:space="preserve">https://dmd-browser.nhsbsa.nhs.uk/ampp/view/197707</t>
  </si>
  <si>
    <t xml:space="preserve">UK, Australia, UK-NI</t>
  </si>
  <si>
    <t xml:space="preserve">https://dmd-browser.nhsbsa.nhs.uk/ampp/view/197725</t>
  </si>
  <si>
    <t xml:space="preserve">5 x 4 mL ampoules</t>
  </si>
  <si>
    <t xml:space="preserve">https://dmd-browser.nhsbsa.nhs.uk/ampp/view/102025</t>
  </si>
  <si>
    <t xml:space="preserve">5 MG</t>
  </si>
  <si>
    <t xml:space="preserve">5 x 5 mg vials (powder)</t>
  </si>
  <si>
    <t xml:space="preserve">https://dmd-browser.nhsbsa.nhs.uk/ampp/view/87654</t>
  </si>
  <si>
    <t xml:space="preserve">Protamine Sulfate</t>
  </si>
  <si>
    <t xml:space="preserve">https://dmd-browser.nhsbsa.nhs.uk/ampp/view/64125</t>
  </si>
  <si>
    <t xml:space="preserve">Morphine Sulfate</t>
  </si>
  <si>
    <t xml:space="preserve">30 MG/ML</t>
  </si>
  <si>
    <t xml:space="preserve">10 x 1 mL ampoules</t>
  </si>
  <si>
    <t xml:space="preserve">10 x 10 mL ampoules</t>
  </si>
  <si>
    <t xml:space="preserve">https://dmd-browser.nhsbsa.nhs.uk/ampp/view/162030</t>
  </si>
  <si>
    <t xml:space="preserve">UK, UK-NI | EU/EEA (1): Ireland</t>
  </si>
  <si>
    <t xml:space="preserve">600 MCG/ML</t>
  </si>
  <si>
    <t xml:space="preserve">https://dmd-browser.nhsbsa.nhs.uk/ampp/view/210923</t>
  </si>
  <si>
    <t xml:space="preserve">5 x 1 mL ampoules</t>
  </si>
  <si>
    <t xml:space="preserve">https://dmd-browser.nhsbsa.nhs.uk/ampp/view/110861</t>
  </si>
  <si>
    <t xml:space="preserve">https://dmd-browser.nhsbsa.nhs.uk/ampp/view/110863</t>
  </si>
  <si>
    <t xml:space="preserve">UK, UK-NI | EU/EEA (2): Ireland, Malta</t>
  </si>
  <si>
    <t xml:space="preserve">Caffeine Citrate</t>
  </si>
  <si>
    <t xml:space="preserve">https://dmd-browser.nhsbsa.nhs.uk/ampp/view/59566</t>
  </si>
  <si>
    <t xml:space="preserve">3 MG/ML</t>
  </si>
  <si>
    <t xml:space="preserve">6 x 2 mL vials</t>
  </si>
  <si>
    <t xml:space="preserve">https://dmd-browser.nhsbsa.nhs.uk/ampp/view/87667</t>
  </si>
  <si>
    <t xml:space="preserve">Adenosine Wockhardt</t>
  </si>
  <si>
    <t xml:space="preserve">3 mg/mL</t>
  </si>
  <si>
    <t xml:space="preserve">https://www.aponeo.de/rx/17923772-adenosin-baxter-6-mg-2-ml-injektionsloesung.html</t>
  </si>
  <si>
    <t xml:space="preserve">Ceftazadime</t>
  </si>
  <si>
    <t xml:space="preserve">Daptomycin Wockhardt</t>
  </si>
  <si>
    <t xml:space="preserve">Hyalase</t>
  </si>
  <si>
    <t xml:space="preserve">1500 IU</t>
  </si>
  <si>
    <t xml:space="preserve">10 x 1500 IU ampoules (powder)</t>
  </si>
  <si>
    <t xml:space="preserve">https://www.medicijnkosten.nl/medicijn?artikel=HYALURONIDASE+INJ%2FINFUSIEPOEDER+AMPUL+1500IE&amp;id=b89726bfa881dc7b75ae7c2517d4b5b7</t>
  </si>
  <si>
    <t xml:space="preserve">UK-NI | EU/EEA (2): Ireland, Malta</t>
  </si>
  <si>
    <t xml:space="preserve">Metaraminol Wockhardt</t>
  </si>
  <si>
    <t xml:space="preserve">https://mediately.co/gr/drugs/YCsx3j2n2qawnnaJDmFwug8Ahhz/metaraminol-so-inj-inf-10mg-ml</t>
  </si>
  <si>
    <t xml:space="preserve">Milrinone Wockhardt</t>
  </si>
  <si>
    <t xml:space="preserve">Ondansetron Wockhardt</t>
  </si>
  <si>
    <t xml:space="preserve">Prosulf</t>
  </si>
  <si>
    <t xml:space="preserve">5 x 5 mL ampoules</t>
  </si>
  <si>
    <t xml:space="preserve">https://www.medicinpriser.dk/Default.aspx?VirksomtStof=Protamin</t>
  </si>
  <si>
    <t xml:space="preserve">Remifentanil Wockhardt</t>
  </si>
  <si>
    <t xml:space="preserve">5 mg</t>
  </si>
  <si>
    <t xml:space="preserve">Sodium Valproate Wockhardt</t>
  </si>
  <si>
    <t xml:space="preserve">400 mg/4 mL</t>
  </si>
  <si>
    <t xml:space="preserve">5 x 4 mL vials</t>
  </si>
  <si>
    <t xml:space="preserve">Vancomycin Wockhardt</t>
  </si>
  <si>
    <t xml:space="preserve">Daptomycin WKT</t>
  </si>
  <si>
    <t xml:space="preserve">Amikacin Wockhardt</t>
  </si>
  <si>
    <t xml:space="preserve">400 mg/4 mL (100 mg/mL)</t>
  </si>
  <si>
    <t xml:space="preserve">1 × 4 mL ampoule</t>
  </si>
  <si>
    <t xml:space="preserve">https://www.medshop.com.au/products/sodium-valproate-juno-400mg-4ml</t>
  </si>
  <si>
    <t xml:space="preserve">Acetazolamide Sodium</t>
  </si>
  <si>
    <t xml:space="preserve">Zydus Lifesciences</t>
  </si>
  <si>
    <t xml:space="preserve">https://www.drugs.com/price-guide/acetazolamide</t>
  </si>
  <si>
    <t xml:space="preserve">1 mL or 2mL Single-Dose Vial x 25-Vial Carton</t>
  </si>
  <si>
    <t xml:space="preserve">5mL Single-Dose Vial x 10-Vial Carton</t>
  </si>
  <si>
    <t xml:space="preserve">20mL Single-Dose Vial x 10-Vial Carton</t>
  </si>
  <si>
    <t xml:space="preserve">25 × 1 mL multi-dose vials; 10 × 10 mL multi-dose vials; 25 × 10 mL multi-dose vials; 1 × 30 mL multi-dose vial; 5 × 30 mL multi-dose vials</t>
  </si>
  <si>
    <t xml:space="preserve">https://www.drugs.com/price-guide/cyanocobalamin</t>
  </si>
  <si>
    <t xml:space="preserve">EQ 50MG BASE/VIAL</t>
  </si>
  <si>
    <t xml:space="preserve">https://www.drugs.com/price-guide/sodium-edecrin</t>
  </si>
  <si>
    <t xml:space="preserve">EQ 50MG BASE/ML</t>
  </si>
  <si>
    <t xml:space="preserve">1 mL Single-Dose Vial,5 mL Multiple-Dose Vial</t>
  </si>
  <si>
    <t xml:space="preserve">https://www.drugs.com/price-guide/haloperidol</t>
  </si>
  <si>
    <t xml:space="preserve">EQ 100MG BASE/ML</t>
  </si>
  <si>
    <t xml:space="preserve">Single -dose, 2 mL in 1 VIAL</t>
  </si>
  <si>
    <t xml:space="preserve">25MG/VIAL</t>
  </si>
  <si>
    <t xml:space="preserve">Not found (not in current FDA NDC listing)</t>
  </si>
  <si>
    <t xml:space="preserve">https://www.drugs.com/price-guide/indocyanine-green</t>
  </si>
  <si>
    <t xml:space="preserve">25 × 10 mL multi-dose vials</t>
  </si>
  <si>
    <t xml:space="preserve">Single-dose fliptop vial (verapamil hydrochloride injection 2.5 mg/mL)</t>
  </si>
  <si>
    <t xml:space="preserve">5 ml single dose vial</t>
  </si>
  <si>
    <t xml:space="preserve">https://www.drugs.com/price-guide/fluorescein</t>
  </si>
  <si>
    <t xml:space="preserve">EQ 500MG BASE/2ML (EQ 250MG BASE/ML)</t>
  </si>
  <si>
    <t xml:space="preserve">1 × 3.5 mg single-dose powder vial; NDC 70710-1411-1 (Zydus)</t>
  </si>
  <si>
    <t xml:space="preserve">US, UK, South Africa, UK-NI | EU/EEA (2): France, Spain</t>
  </si>
  <si>
    <t xml:space="preserve">2 × 5 mL single-dose syringes + safety needles; NDC 70710-1688-8</t>
  </si>
  <si>
    <t xml:space="preserve">Bortezomib Combix</t>
  </si>
  <si>
    <t xml:space="preserve">Ceftriaxone Zydus</t>
  </si>
  <si>
    <t xml:space="preserve">https://base-donnees-publique.medicaments.gouv.fr/medicament/66127233/extrait</t>
  </si>
  <si>
    <t xml:space="preserve">Zymib</t>
  </si>
  <si>
    <t xml:space="preserve">Zydus-Ondansetron</t>
  </si>
  <si>
    <t xml:space="preserve">8mg</t>
  </si>
  <si>
    <t xml:space="preserve">5 ampoules/vials</t>
  </si>
  <si>
    <t xml:space="preserve">Zypiron</t>
  </si>
  <si>
    <t xml:space="preserve">100mg/5ml</t>
  </si>
  <si>
    <t xml:space="preserve">Injectable value – methodology and calculation</t>
  </si>
  <si>
    <t xml:space="preserve">Injectable value ($'000) = India FY24 export of the API × average injectable share of registered products across 7 regulators. It is the volume input of the Scoring tab (col E).</t>
  </si>
  <si>
    <t xml:space="preserve">Minimum records per market for a share to count</t>
  </si>
  <si>
    <t xml:space="preserve">Methodology</t>
  </si>
  <si>
    <t xml:space="preserve">Why this is needed</t>
  </si>
  <si>
    <t xml:space="preserve">India's export figure for an API (HS 3002 + 3004) covers every dosage form – tablets, capsules, syrups, creams and injectables – and every exporter. For molecules sold mainly as oral products (e.g. pantoprazole, caffeine) most of that export is not an injectable opportunity for SurTrac. The injectable share isolates the injectable part so drugs can be compared on a like-for-like basis.</t>
  </si>
  <si>
    <t xml:space="preserve">Step 1 – Count registrations</t>
  </si>
  <si>
    <t xml:space="preserve">For each API, count in each of 7 regulator databases (EU/EEA, UK, Canada, Australia, South Africa, UAE, USA): Total = all registered products containing the API; Injectable = those that are injectable under the market's rule (table below).</t>
  </si>
  <si>
    <t xml:space="preserve">Step 2 – Share per market</t>
  </si>
  <si>
    <t xml:space="preserve">Injectable share = Injectable ÷ Total, calculated only where the market has at least 3 records (cell C3); smaller counts are too thin to be meaningful and are left blank.</t>
  </si>
  <si>
    <t xml:space="preserve">Step 3 – Average share</t>
  </si>
  <si>
    <t xml:space="preserve">Simple average of the available market shares – each market weighs the same, so one large database (e.g. the US) does not dominate.</t>
  </si>
  <si>
    <t xml:space="preserve">Step 4 – Injectable value</t>
  </si>
  <si>
    <t xml:space="preserve">Injectable value ($'000) = India FY24 export of the API × average injectable share. In Scoring, the volume score is the percentile rank of this value across all 333 drug × company pairs.</t>
  </si>
  <si>
    <t xml:space="preserve">Worked example – low share</t>
  </si>
  <si>
    <t xml:space="preserve">Pantoprazole: EU/EEA 254/665 = 38%; UK 16/54 = 30%; Canada 5/39 = 13%; Australia 10/80 = 12%; South Africa 16/66 = 24%; UAE 14/60 = 23%; USA 16/45 = 36% → average 25% (of 7 markets). India export $140,085k × 25% = injectable value $35,277k.</t>
  </si>
  <si>
    <t xml:space="preserve">Worked example – high share</t>
  </si>
  <si>
    <t xml:space="preserve">Adenosine: EU/EEA 64/67 = 96%; UK 10/10 = 100%; Canada 3/3 = 100%; Australia 10/11 = 91%; UAE 2/27 = 7%; USA 12/114 = 11% → average 67% (of 6 markets). India export $4,230k × 67% = injectable value $2,851k.</t>
  </si>
  <si>
    <t xml:space="preserve">Limitations</t>
  </si>
  <si>
    <t xml:space="preserve">1) Counts registered products, not units sold – a proxy for how the market splits between forms. 2) Molecule-level: the same value applies to every company making the API. 3) Australia includes listed (complementary) medicines and the US includes OTC listings, which lowers the share for vitamins, caffeine and similar molecules. 4) Brazil's file has no dosage-form field and is not used.</t>
  </si>
  <si>
    <t xml:space="preserve">Data sources</t>
  </si>
  <si>
    <t xml:space="preserve">Input</t>
  </si>
  <si>
    <t xml:space="preserve">Database</t>
  </si>
  <si>
    <t xml:space="preserve">Injectable rule</t>
  </si>
  <si>
    <t xml:space="preserve">How to check</t>
  </si>
  <si>
    <t xml:space="preserve">Source URL</t>
  </si>
  <si>
    <t xml:space="preserve">India export (col C)</t>
  </si>
  <si>
    <t xml:space="preserve">User workbook, Shortlisted Drugs X Company (6), col "Export ('000 USD)" – FY24 India exports, HS 3002 + 3004 (user's trade database)</t>
  </si>
  <si>
    <t xml:space="preserve">All dosage forms, all exporters</t>
  </si>
  <si>
    <t xml:space="preserve">Same value as Shortlist (6) col L for the API</t>
  </si>
  <si>
    <t xml:space="preserve">No public URL – user file</t>
  </si>
  <si>
    <t xml:space="preserve">EU/EEA</t>
  </si>
  <si>
    <t xml:space="preserve">EMA Article 57 product data (05-Aug-2026); 1 record = product × authorisation country</t>
  </si>
  <si>
    <t xml:space="preserve">Parenteral route (IV, IM, SC, intradermal, intrathecal, intravitreal, etc.)</t>
  </si>
  <si>
    <t xml:space="preserve">Filter "Active substance" contains the API → Total = rows; Injectable = rows with a parenteral "Route of administration"</t>
  </si>
  <si>
    <t xml:space="preserve">https://www.ema.europa.eu/en/documents/other/article-57-product-data_en.xlsx</t>
  </si>
  <si>
    <t xml:space="preserve">MHRA licensed products (user file UK_Master)</t>
  </si>
  <si>
    <t xml:space="preserve">Product name states injection / infusion / pre-filled syringe / vial / ampoule</t>
  </si>
  <si>
    <t xml:space="preserve">Search the API on the MHRA products site; count licences whose name states an injectable form</t>
  </si>
  <si>
    <t xml:space="preserve">https://products.mhra.gov.uk/</t>
  </si>
  <si>
    <t xml:space="preserve">Health Canada Drug Product Database (human, marketed)</t>
  </si>
  <si>
    <t xml:space="preserve">Parenteral route</t>
  </si>
  <si>
    <t xml:space="preserve">Search the API (Active ingredient) in DPD; count products with a parenteral route</t>
  </si>
  <si>
    <t xml:space="preserve">https://www.canada.ca/en/health-canada/services/drugs-health-products/drug-products/drug-product-database.html</t>
  </si>
  <si>
    <t xml:space="preserve">TGA ARTG (export-only listings excluded)</t>
  </si>
  <si>
    <t xml:space="preserve">Parenteral route or "Injection…" dosage form</t>
  </si>
  <si>
    <t xml:space="preserve">Search the API in ARTG; count entries with an injection dosage form</t>
  </si>
  <si>
    <t xml:space="preserve">https://www.tga.gov.au/resources/artg</t>
  </si>
  <si>
    <t xml:space="preserve">NDoH Single Exit Price registry (user file; discontinued excluded)</t>
  </si>
  <si>
    <t xml:space="preserve">Dosage form INJ, INF, PFS, PFP, POI, VAC, CAT, TPN</t>
  </si>
  <si>
    <t xml:space="preserve">Search the API on the public SEP viewer; count products with an injectable dosage form</t>
  </si>
  <si>
    <t xml:space="preserve">https://medicineprices.org.za/</t>
  </si>
  <si>
    <t xml:space="preserve">UAE</t>
  </si>
  <si>
    <t xml:space="preserve">Emirates Drug Establishment directory (user file; active registrations)</t>
  </si>
  <si>
    <t xml:space="preserve">Form = injection / infusion, or pack shows vial / ampoule / syringe</t>
  </si>
  <si>
    <t xml:space="preserve">Filter the user's UAE file by API; public URL not confirmed</t>
  </si>
  <si>
    <t xml:space="preserve">USA</t>
  </si>
  <si>
    <t xml:space="preserve">FDA NDC Directory, product.txt (07-Oct-2026); repackager copies collapsed</t>
  </si>
  <si>
    <t xml:space="preserve">Parenteral route or dosage form contains "INJECTION"</t>
  </si>
  <si>
    <t xml:space="preserve">Open zip → product.txt → filter "SUBSTANCENAME" contains the API → count by "ROUTENAME"</t>
  </si>
  <si>
    <t xml:space="preserve">https://www.accessdata.fda.gov/cder/ndctext.zip</t>
  </si>
  <si>
    <t xml:space="preserve">Calculation</t>
  </si>
  <si>
    <t xml:space="preserve">Result</t>
  </si>
  <si>
    <t xml:space="preserve">India export FY24 ($'000)</t>
  </si>
  <si>
    <t xml:space="preserve">Total</t>
  </si>
  <si>
    <t xml:space="preserve">Inject-able</t>
  </si>
  <si>
    <t xml:space="preserve">Share</t>
  </si>
  <si>
    <t xml:space="preserve">Markets with data</t>
  </si>
  <si>
    <t xml:space="preserve">Avg injectable share</t>
  </si>
  <si>
    <t xml:space="preserve">Ophthalmic</t>
  </si>
  <si>
    <t xml:space="preserve">Cardiovascular</t>
  </si>
  <si>
    <t xml:space="preserve">Anaesthesia</t>
  </si>
  <si>
    <t xml:space="preserve">Anti-infective</t>
  </si>
  <si>
    <t xml:space="preserve">Haematology</t>
  </si>
  <si>
    <t xml:space="preserve">Psychiatry</t>
  </si>
  <si>
    <t xml:space="preserve">Critical care</t>
  </si>
  <si>
    <t xml:space="preserve">Oncology</t>
  </si>
  <si>
    <t xml:space="preserve">Neurology</t>
  </si>
  <si>
    <t xml:space="preserve">Neonatology</t>
  </si>
  <si>
    <t xml:space="preserve">Women's health</t>
  </si>
  <si>
    <t xml:space="preserve">Cardiovascular / Renal</t>
  </si>
  <si>
    <t xml:space="preserve">Immunology / Allergy</t>
  </si>
  <si>
    <t xml:space="preserve">Nutrition / Haematology</t>
  </si>
  <si>
    <t xml:space="preserve">Gastroenterology</t>
  </si>
  <si>
    <t xml:space="preserve">Ortho / Oncology</t>
  </si>
  <si>
    <t xml:space="preserve">Endocrinology / Haematology</t>
  </si>
  <si>
    <t xml:space="preserve">Haematology / Nephrology</t>
  </si>
  <si>
    <t xml:space="preserve">Anaesthesia / Pain</t>
  </si>
  <si>
    <t xml:space="preserve">Oncology supportive</t>
  </si>
  <si>
    <t xml:space="preserve">Diagnostics</t>
  </si>
  <si>
    <t xml:space="preserve">Anaesthesia / Other</t>
  </si>
  <si>
    <t xml:space="preserve">Endocrinology / Critical care</t>
  </si>
  <si>
    <t xml:space="preserve">Palliative care / Anaesthesia</t>
  </si>
  <si>
    <t xml:space="preserve">Ortho</t>
  </si>
  <si>
    <t xml:space="preserve">Endocrinology / Oncology</t>
  </si>
  <si>
    <t xml:space="preserve">Women's health / Critical care</t>
  </si>
  <si>
    <t xml:space="preserve">Vaccines</t>
  </si>
  <si>
    <t xml:space="preserve">Oncology / Immunology</t>
  </si>
  <si>
    <t xml:space="preserve">Ortho / Immunology</t>
  </si>
  <si>
    <t xml:space="preserve">Oncology / Neurology</t>
  </si>
  <si>
    <t xml:space="preserve">Pain management</t>
  </si>
  <si>
    <t xml:space="preserve">Nephrology</t>
  </si>
  <si>
    <t xml:space="preserve">Diagnostics / Cardiovascular</t>
  </si>
  <si>
    <t xml:space="preserve">Hepatology</t>
  </si>
  <si>
    <t xml:space="preserve">Endocrinology</t>
  </si>
  <si>
    <t xml:space="preserve">Immunology</t>
  </si>
  <si>
    <t xml:space="preserve">Blue = hard-coded counts / inputs from source databases; black = formulas. Share shown only where the market has at least the minimum number of records (cell C3); average weights each market equally. Scoring col E = col AA rounded to $0.1k.</t>
  </si>
  <si>
    <t xml:space="preserve">Drug use and markets tapped – evidence</t>
  </si>
  <si>
    <t xml:space="preserve">One row per drug × company × market. Open the Evidence URL in a browser and look for the product / holder shown. Markets are company-level: the company's own group entity holds the licence.</t>
  </si>
  <si>
    <t xml:space="preserve">Drug utility</t>
  </si>
  <si>
    <t xml:space="preserve">Drug utility – source URL</t>
  </si>
  <si>
    <t xml:space="preserve">Market</t>
  </si>
  <si>
    <t xml:space="preserve">Product / licence holder to look for</t>
  </si>
  <si>
    <t xml:space="preserve">Evidence URL</t>
  </si>
  <si>
    <t xml:space="preserve">Source type</t>
  </si>
  <si>
    <t xml:space="preserve">Additional URL</t>
  </si>
  <si>
    <t xml:space="preserve">CARBOPROST TROMETHAMINE – ALEMBIC PHARMACEUTICALS LTD</t>
  </si>
  <si>
    <t xml:space="preserve">https://dailymed.nlm.nih.gov/dailymed/lookup.cfm?setid=c1cde9c7-b005-484f-8497-343c5ecd4f0a</t>
  </si>
  <si>
    <t xml:space="preserve">DailyMed label</t>
  </si>
  <si>
    <t xml:space="preserve">US label page (FDA-listed) shows the product, the labeler and the injectable dosage form</t>
  </si>
  <si>
    <t xml:space="preserve">EU/EEA (2): Malta, Sweden</t>
  </si>
  <si>
    <t xml:space="preserve">Alembic Pharmaceuticals Europe Ltd</t>
  </si>
  <si>
    <t xml:space="preserve">EMA Article 57 file (download)</t>
  </si>
  <si>
    <t xml:space="preserve">Article 57 file: filter "Active substance" contains "carboprost" and "Marketing authorisation holder" contains "Alembic" → "Product authorisation country"</t>
  </si>
  <si>
    <t xml:space="preserve">DIAZEPAM – ALEMBIC PHARMACEUTICALS LTD</t>
  </si>
  <si>
    <t xml:space="preserve">https://dailymed.nlm.nih.gov/dailymed/drugInfo.cfm?setid=7a912f1a-deee-46df-a8df-22a0afb06529</t>
  </si>
  <si>
    <t xml:space="preserve">FULVESTRANT – ALEMBIC PHARMACEUTICALS LTD</t>
  </si>
  <si>
    <t xml:space="preserve">https://dailymed.nlm.nih.gov/dailymed/drugInfo.cfm?setid=b02915fe-6c44-48c1-aaeb-997ddc59a595</t>
  </si>
  <si>
    <t xml:space="preserve">METHOTREXATE SODIUM – ALEMBIC PHARMACEUTICALS LTD</t>
  </si>
  <si>
    <t xml:space="preserve">https://dailymed.nlm.nih.gov/dailymed/drugInfo.cfm?setid=a63364d5-4dfa-49d7-8a5e-c8959ae1d37a</t>
  </si>
  <si>
    <t xml:space="preserve">PHYTONADIONE – ALEMBIC PHARMACEUTICALS LTD</t>
  </si>
  <si>
    <t xml:space="preserve">https://dailymed.nlm.nih.gov/dailymed/search.cfm?searchdb=ndc&amp;query=62332-826-05</t>
  </si>
  <si>
    <t xml:space="preserve">TRIAMCINOLONE ACETONIDE – ALEMBIC PHARMACEUTICALS LTD</t>
  </si>
  <si>
    <t xml:space="preserve">https://dailymed.nlm.nih.gov/dailymed/drugInfo.cfm?setid=1034d417-493a-443a-a62e-30786f673ee3</t>
  </si>
  <si>
    <t xml:space="preserve">AMPICILLIN SODIUM FOR INJECTION BP – AURO PHARMA INC</t>
  </si>
  <si>
    <t xml:space="preserve">https://health-products.canada.ca/dpd-bdpp/info?code=95007&amp;lang=eng</t>
  </si>
  <si>
    <t xml:space="preserve">Health Canada DPD</t>
  </si>
  <si>
    <t xml:space="preserve">Health Canada record shows the product, the company and the status (Marketed)</t>
  </si>
  <si>
    <t xml:space="preserve">Eugia Pharma (Malta) Limited</t>
  </si>
  <si>
    <t xml:space="preserve">Article 57 file: filter "Active substance" contains "ampicillin" and "Marketing authorisation holder" contains "Eugia" → "Product authorisation country"</t>
  </si>
  <si>
    <t xml:space="preserve">ARGATROBAN IN SODIUM CHLORIDE – EUGIA PHARMA SPECIALITIES LTD</t>
  </si>
  <si>
    <t xml:space="preserve">https://dailymed.nlm.nih.gov/dailymed/drugInfo.cfm?setid=d9b975bd-e3f4-466e-96ca-7bef7899506d</t>
  </si>
  <si>
    <t xml:space="preserve">UK (GB)</t>
  </si>
  <si>
    <t xml:space="preserve">AZACITIDINE 25 MG/ML POWDER FOR SUSPENSION FOR INJECTION – EUGIA (UK) LIMITED</t>
  </si>
  <si>
    <t xml:space="preserve">https://mhraproducts4853.blob.core.windows.net/docs/2efde25ac4cbefa21bb4640027e6b7243ef5b3f8</t>
  </si>
  <si>
    <t xml:space="preserve">MHRA licence document</t>
  </si>
  <si>
    <t xml:space="preserve">UK licence document (SmPC/PIL) shows the product name and the licence holder</t>
  </si>
  <si>
    <t xml:space="preserve">Eugia (Uk) Limited ; Eugia Pharma (Malta) Limited</t>
  </si>
  <si>
    <t xml:space="preserve">Article 57 file: filter "Active substance" contains "azacitidine" and "Marketing authorisation holder" contains "Eugia" → country "United Kingdom (Northern Ireland)"</t>
  </si>
  <si>
    <t xml:space="preserve">EU/EEA (8): Germany, France, Netherlands, Belgium, Italy, Poland, Portugal, Spain</t>
  </si>
  <si>
    <t xml:space="preserve">https://base-donnees-publique.medicaments.gouv.fr/index.php?page=1&amp;choixRecherche=medicament&amp;txtCaracteres=Azacitidine%20Arrow&amp;action=show</t>
  </si>
  <si>
    <t xml:space="preserve">France register (BDPM) search</t>
  </si>
  <si>
    <t xml:space="preserve">French register shows the product and holder (France). For the other countries: Article 57 file: filter "Active substance" contains "azacitidine" and "Marketing authorisation holder" contains "Eugia" → "Product authorisation country"</t>
  </si>
  <si>
    <t xml:space="preserve">AZACITIDINE EUGIA azacitidine 100 mg powder for injection vial – Eugia Pharma (Australia) Pty Ltd</t>
  </si>
  <si>
    <t xml:space="preserve">https://www.ebs.tga.gov.au/ebs/picmi/picmirepository.nsf/pdf?OpenAgent&amp;id=CP-2024-PI-01359-1</t>
  </si>
  <si>
    <t xml:space="preserve">TGA ARTG</t>
  </si>
  <si>
    <t xml:space="preserve">ARTG public summary shows the product and the sponsor</t>
  </si>
  <si>
    <t xml:space="preserve">BORTEZOMIB – EUGIA PHARMA SPECIALITIES LTD</t>
  </si>
  <si>
    <t xml:space="preserve">https://dailymed.nlm.nih.gov/dailymed/search.cfm?labeltype=all&amp;query=Bortezomib</t>
  </si>
  <si>
    <t xml:space="preserve">DailyMed search</t>
  </si>
  <si>
    <t xml:space="preserve">Search lists the US labels; open the one from the holder shown</t>
  </si>
  <si>
    <t xml:space="preserve">BORTEZOMIB MILPHARM 3.5 MG POWDER FOR SOLUTION FOR INJECTION – MILPHARM LIMITED</t>
  </si>
  <si>
    <t xml:space="preserve">https://mhraproducts4853.blob.core.windows.net/docs/0c08f164559c903dce45f10a6de733bdd83f7e40</t>
  </si>
  <si>
    <t xml:space="preserve">Eugia Pharma (Malta) Limited ; Milpharm Limited</t>
  </si>
  <si>
    <t xml:space="preserve">Article 57 file: filter "Active substance" contains "bortezomib" and "Marketing authorisation holder" contains "Eugia" or "Milpharm" → country "United Kingdom (Northern Ireland)"</t>
  </si>
  <si>
    <t xml:space="preserve">https://base-donnees-publique.medicaments.gouv.fr/index.php?page=1&amp;choixRecherche=medicament&amp;txtCaracteres=Bortezomib%20Arrow&amp;action=show</t>
  </si>
  <si>
    <t xml:space="preserve">French register shows the product and holder (France). For the other countries: Article 57 file: filter "Active substance" contains "bortezomib" and "Marketing authorisation holder" contains "Eugia" or "Milpharm" → "Product authorisation country"</t>
  </si>
  <si>
    <t xml:space="preserve">EUG-BORTEZOMIB bortezomib  3.5 mg powder for injection vial – Eugia Pharma (Australia) Pty Ltd</t>
  </si>
  <si>
    <t xml:space="preserve">https://www.ebs.tga.gov.au/servlet/xmlmillr6?dbid=ebs/PublicHTML/pdfStore.nsf&amp;docid=401630&amp;agid=(PrintDetailsPublic)&amp;actionid=1</t>
  </si>
  <si>
    <t xml:space="preserve">Article 57 file: filter "Active substance" contains "bupivacaine" and "Marketing authorisation holder" contains "Eugia" → country "United Kingdom (Northern Ireland)"</t>
  </si>
  <si>
    <t xml:space="preserve">EU/EEA (5): Germany, Netherlands, Italy, Portugal, Spain</t>
  </si>
  <si>
    <t xml:space="preserve">Article 57 file: filter "Active substance" contains "bupivacaine" and "Marketing authorisation holder" contains "Eugia" → "Product authorisation country"</t>
  </si>
  <si>
    <t xml:space="preserve">CARBOPROST TROMETHAMINE – EUGIA PHARMA SPECIALITIES LTD</t>
  </si>
  <si>
    <t xml:space="preserve">Auro Cefepime Injection 1000 mg – Aurogen South Africa (Pty) Ltd</t>
  </si>
  <si>
    <t xml:space="preserve">https://pi-pil-repository.sahpra.org.za/wp-content/uploads/2022/08/1.3.1.1-Auro-Cefepime-Injection.pdf</t>
  </si>
  <si>
    <t xml:space="preserve">SAHPRA</t>
  </si>
  <si>
    <t xml:space="preserve">SAHPRA professional information shows the product and the applicant</t>
  </si>
  <si>
    <t xml:space="preserve">https://base-donnees-publique.medicaments.gouv.fr/index.php?page=1&amp;choixRecherche=medicament&amp;txtCaracteres=Ceftazidime%20Arrow&amp;action=show</t>
  </si>
  <si>
    <t xml:space="preserve">French register shows the product and holder (France). For the other countries: Article 57 file: filter "Active substance" contains "ceftazidime" and "Marketing authorisation holder" contains "Eugia" → "Product authorisation country"</t>
  </si>
  <si>
    <t xml:space="preserve">Arrow Generiques ; Eugia Pharma (Malta) Limited</t>
  </si>
  <si>
    <t xml:space="preserve">https://base-donnees-publique.medicaments.gouv.fr/index.php?page=1&amp;choixRecherche=medicament&amp;txtCaracteres=Ceftriaxone%20Almus&amp;action=show</t>
  </si>
  <si>
    <t xml:space="preserve">French register shows the product and holder (France). For the other countries: Article 57 file: filter "Active substance" contains "ceftriaxone" and "Marketing authorisation holder" contains "Eugia" or "Arrow" → "Product authorisation country"</t>
  </si>
  <si>
    <t xml:space="preserve">CHLORPROMAZINE HYDROCHLORIDE – EUGIA PHARMA SPECIALITIES LTD</t>
  </si>
  <si>
    <t xml:space="preserve">https://dailymed.nlm.nih.gov/dailymed/lookup.cfm?setid=07e6144a-b460-4887-b8e2-dd371c14a55c</t>
  </si>
  <si>
    <t xml:space="preserve">CYCLOPHOSPHAMIDE – EUGIA PHARMA SPECIALITIES LTD</t>
  </si>
  <si>
    <t xml:space="preserve">https://dailymed.nlm.nih.gov/dailymed/drugInfo.cfm?setid=3c1eb470-0bba-457d-94e3-b9508f0d398a</t>
  </si>
  <si>
    <t xml:space="preserve">DACTINOMYCIN – EUGIA PHARMA SPECIALITIES LTD</t>
  </si>
  <si>
    <t xml:space="preserve">https://dailymed.nlm.nih.gov/dailymed/drugInfo.cfm?setid=aa047ee8-f2e8-4720-84b1-d1c4532d6c63</t>
  </si>
  <si>
    <t xml:space="preserve">Article 57 file: filter "Active substance" contains "daptomycin" and "Marketing authorisation holder" contains "Eugia" → "Product authorisation country"</t>
  </si>
  <si>
    <t xml:space="preserve">https://base-donnees-publique.medicaments.gouv.fr/index.php?page=1&amp;choixRecherche=medicament&amp;txtCaracteres=Doxorubicine%20Arrow&amp;action=show</t>
  </si>
  <si>
    <t xml:space="preserve">French register shows the product and holder (France). For the other countries: Article 57 file: filter "Active substance" contains "doxorubicin" and "Marketing authorisation holder" contains "Eugia" → "Product authorisation country"</t>
  </si>
  <si>
    <t xml:space="preserve">EPHEDRINE SULFATE – EUGIA PHARMA SPECIALITIES LTD</t>
  </si>
  <si>
    <t xml:space="preserve">https://dailymed.nlm.nih.gov/dailymed/drugInfo.cfm?setid=a5862de7-4118-4bda-8075-0b2524e04585</t>
  </si>
  <si>
    <t xml:space="preserve">https://base-donnees-publique.medicaments.gouv.fr/index.php?page=1&amp;choixRecherche=medicament&amp;txtCaracteres=Ephedrine%20Arrow&amp;action=show</t>
  </si>
  <si>
    <t xml:space="preserve">French register shows the product and holder (France). For the other countries: Article 57 file: filter "Active substance" contains "ephedrine" and "Marketing authorisation holder" contains "Eugia" → "Product authorisation country"</t>
  </si>
  <si>
    <t xml:space="preserve">Aurobindo N.V. ; Eugia Pharma (Malta) Limited</t>
  </si>
  <si>
    <t xml:space="preserve">Article 57 file: filter "Active substance" contains "epirubicin" and "Marketing authorisation holder" contains "Eugia" or "Aurobindo" → "Product authorisation country"</t>
  </si>
  <si>
    <t xml:space="preserve">EPTIFIBATIDE – EUGIA PHARMA SPECIALITIES LTD</t>
  </si>
  <si>
    <t xml:space="preserve">https://dailymed.nlm.nih.gov/dailymed/drugInfo.cfm?setid=00ad7bbe-cadd-4647-b74b-adfc9f2b5e94</t>
  </si>
  <si>
    <t xml:space="preserve">ERTAPENEM SODIUM – EUGIA PHARMA SPECIALITIES LTD</t>
  </si>
  <si>
    <t xml:space="preserve">https://dailymed.nlm.nih.gov/dailymed/drugInfo.cfm?setid=f725a68c-31a2-482a-9744-19adc47506b5</t>
  </si>
  <si>
    <t xml:space="preserve">Aurobindo Pharma România S.R.L. ; Eugia Pharma (Malta) Limited ; Milpharm Limited</t>
  </si>
  <si>
    <t xml:space="preserve">Article 57 file: filter "Active substance" contains "ertapenem" and "Marketing authorisation holder" contains "Eugia" or "Aurobindo" or "Milpharm" → country "United Kingdom (Northern Ireland)"</t>
  </si>
  <si>
    <t xml:space="preserve">ERTAPENEM FOR INJECTION – AURO PHARMA INC</t>
  </si>
  <si>
    <t xml:space="preserve">https://health-products.canada.ca/dpd-bdpp/info?code=98213&amp;lang=eng</t>
  </si>
  <si>
    <t xml:space="preserve">EU/EEA (6): France, Italy, Poland, Portugal, Romania, Spain</t>
  </si>
  <si>
    <t xml:space="preserve">https://base-donnees-publique.medicaments.gouv.fr/index.php?page=1&amp;choixRecherche=medicament&amp;txtCaracteres=Ertapenem%20Arrow&amp;action=show</t>
  </si>
  <si>
    <t xml:space="preserve">French register shows the product and holder (France). For the other countries: Article 57 file: filter "Active substance" contains "ertapenem" and "Marketing authorisation holder" contains "Eugia" or "Aurobindo" or "Milpharm" → "Product authorisation country"</t>
  </si>
  <si>
    <t xml:space="preserve">Etamep – Aurogen South Africa (Pty) Ltd</t>
  </si>
  <si>
    <t xml:space="preserve">https://pi-pil-repository.sahpra.org.za/wp-content/uploads/2023/07/pil_ETAMEP.pdf</t>
  </si>
  <si>
    <t xml:space="preserve">ESMOLOL HYDROCHLORIDE – EUGIA PHARMA SPECIALITIES LTD</t>
  </si>
  <si>
    <t xml:space="preserve">https://dailymed.nlm.nih.gov/dailymed/drugInfo.cfm?setid=ac22475d-2d78-469f-9435-b403ac4ee380</t>
  </si>
  <si>
    <t xml:space="preserve">Article 57 file: filter "Active substance" contains "esmolol" and "Marketing authorisation holder" contains "Eugia" → "Product authorisation country"</t>
  </si>
  <si>
    <t xml:space="preserve">Article 57 file: filter "Active substance" contains "flucloxacillin" and "Marketing authorisation holder" contains "Eugia" → country "United Kingdom (Northern Ireland)"</t>
  </si>
  <si>
    <t xml:space="preserve">EU/EEA (6): Germany, France, Netherlands, Belgium, Luxembourg, Portugal</t>
  </si>
  <si>
    <t xml:space="preserve">https://base-donnees-publique.medicaments.gouv.fr/index.php?page=1&amp;choixRecherche=medicament&amp;txtCaracteres=Flucloxacilline&amp;action=show</t>
  </si>
  <si>
    <t xml:space="preserve">French register shows the product and holder (France). For the other countries: Article 57 file: filter "Active substance" contains "flucloxacillin" and "Marketing authorisation holder" contains "Eugia" → "Product authorisation country"</t>
  </si>
  <si>
    <t xml:space="preserve">EUG-FLUCLOXACILLIN flucloxacillin (as sodium) 500 mg powder for injection vial – Eugia Pharma (Australia) Pty Ltd</t>
  </si>
  <si>
    <t xml:space="preserve">https://www.ebs.tga.gov.au/ebs/picmi/picmirepository.nsf/pdf?OpenAgent&amp;id=CP-2024-PI-02513-1</t>
  </si>
  <si>
    <t xml:space="preserve">FLUOROURACIL – EUGIA PHARMA SPECIALITIES LTD</t>
  </si>
  <si>
    <t xml:space="preserve">https://dailymed.nlm.nih.gov/dailymed/drugInfo.cfm?setid=199ef964-8a9b-403e-a2ae-759280b3d1d1</t>
  </si>
  <si>
    <t xml:space="preserve">FLUPHENAZINE DECANOATE – EUGIA PHARMA SPECIALITIES LTD</t>
  </si>
  <si>
    <t xml:space="preserve">https://dailymed.nlm.nih.gov/dailymed/drugInfo.cfm?setid=1f532edc-1a2c-4221-80dd-1ac158dd3a72</t>
  </si>
  <si>
    <t xml:space="preserve">Article 57 file: filter "Active substance" contains "folinic" and "Marketing authorisation holder" contains "Eugia" → "Product authorisation country"</t>
  </si>
  <si>
    <t xml:space="preserve">FULVESTRANT 250 MG SOLUTION FOR INJECTION IN PRE-FILLED SYRINGE – MILPHARM LIMITED</t>
  </si>
  <si>
    <t xml:space="preserve">https://mhraproducts4853.blob.core.windows.net/docs/662771b8a40d902278b3bdf8028b29838cd8e06c</t>
  </si>
  <si>
    <t xml:space="preserve">https://base-donnees-publique.medicaments.gouv.fr/index.php?page=1&amp;choixRecherche=medicament&amp;txtCaracteres=Fulvestrant%20Arrow&amp;action=show</t>
  </si>
  <si>
    <t xml:space="preserve">French register shows the product and holder (France). For the other countries: Article 57 file: filter "Active substance" contains "fulvestrant" and "Marketing authorisation holder" contains "Eugia" → "Product authorisation country"</t>
  </si>
  <si>
    <t xml:space="preserve">EUG-FULVESTRANT fulvestrant 250 mg/5 mL solution for injection pre-filled syringe – Eugia Pharma (Australia) Pty Ltd</t>
  </si>
  <si>
    <t xml:space="preserve">https://www.tga.gov.au/resources/artg/408393</t>
  </si>
  <si>
    <t xml:space="preserve">HYDRALAZINE HYDROCHLORIDE INJECTION, USP – AURO PHARMA INC</t>
  </si>
  <si>
    <t xml:space="preserve">https://health-products.canada.ca/dpd-bdpp/info?code=100550&amp;lang=eng</t>
  </si>
  <si>
    <t xml:space="preserve">IBANDRONATE SODIUM – EUGIA PHARMA SPECIALITIES LTD</t>
  </si>
  <si>
    <t xml:space="preserve">https://dailymed.nlm.nih.gov/dailymed/lookup.cfm?setid=e81f2c5b-bead-48ac-be3e-016cf963d7ed</t>
  </si>
  <si>
    <t xml:space="preserve">MEDROXYPROGESTERONE ACETATE – EUGIA PHARMA SPECIALITIES LTD</t>
  </si>
  <si>
    <t xml:space="preserve">https://dailymed.nlm.nih.gov/dailymed/search.cfm?searchdb=ndc&amp;query=55150-329-25</t>
  </si>
  <si>
    <t xml:space="preserve">Article 57 file: filter "Active substance" contains "melphalan" and "Marketing authorisation holder" contains "Eugia" → "Product authorisation country"</t>
  </si>
  <si>
    <t xml:space="preserve">Article 57 file: filter "Active substance" contains "meropenem" and "Marketing authorisation holder" contains "Eugia" or "Aurobindo" or "Milpharm" → country "United Kingdom (Northern Ireland)"</t>
  </si>
  <si>
    <t xml:space="preserve">MEROPENEM FOR INJECTION – AURO PHARMA INC</t>
  </si>
  <si>
    <t xml:space="preserve">https://health-products.canada.ca/dpd-bdpp/info?code=95075&amp;lang=eng</t>
  </si>
  <si>
    <t xml:space="preserve">EU/EEA (8): Germany, France, Belgium, Ireland, Italy, Portugal, Romania, Spain</t>
  </si>
  <si>
    <t xml:space="preserve">https://base-donnees-publique.medicaments.gouv.fr/index.php?page=1&amp;choixRecherche=medicament&amp;txtCaracteres=Meropenem&amp;action=show</t>
  </si>
  <si>
    <t xml:space="preserve">French register shows the product and holder (France). For the other countries: Article 57 file: filter "Active substance" contains "meropenem" and "Marketing authorisation holder" contains "Eugia" or "Aurobindo" or "Milpharm" → "Product authorisation country"</t>
  </si>
  <si>
    <t xml:space="preserve">MESNA – EUGIA PHARMA SPECIALITIES LTD</t>
  </si>
  <si>
    <t xml:space="preserve">https://dailymed.nlm.nih.gov/dailymed/drugInfo.cfm?setid=49e9c804-9e88-4774-8faf-35bd61b3a8e9</t>
  </si>
  <si>
    <t xml:space="preserve">METHOTREXATE SODIUM PRESERVATIVE FREE – EUGIA PHARMA SPECIALITIES LTD</t>
  </si>
  <si>
    <t xml:space="preserve">https://dailymed.nlm.nih.gov/dailymed/search.cfm?searchdb=ndc&amp;query=55150-510</t>
  </si>
  <si>
    <t xml:space="preserve">METHYLPREDNISOLONE ACETATE – EUGIA PHARMA SPECIALITIES LTD</t>
  </si>
  <si>
    <t xml:space="preserve">https://dailymed.nlm.nih.gov/dailymed/search.cfm?searchdb=ndc&amp;query=55150-262</t>
  </si>
  <si>
    <t xml:space="preserve">Article 57 file: filter "Active substance" contains "mitomycin" and "Marketing authorisation holder" contains "Eugia" → "Product authorisation country"</t>
  </si>
  <si>
    <t xml:space="preserve">NAFCILLIN SODIUM – EUGIA PHARMA SPECIALITIES LTD</t>
  </si>
  <si>
    <t xml:space="preserve">https://dailymed.nlm.nih.gov/dailymed/search.cfm?searchdb=ndc&amp;query=55150-122</t>
  </si>
  <si>
    <t xml:space="preserve">NALOXONE HYDROCHLORIDE – EUGIA PHARMA SPECIALITIES LTD</t>
  </si>
  <si>
    <t xml:space="preserve">https://dailymed.nlm.nih.gov/dailymed/search.cfm?searchdb=ndc&amp;query=55150-345-01</t>
  </si>
  <si>
    <t xml:space="preserve">NALOXONE HYDROCHLORIDE INJECTION, USP – EUGIA PHARMA INC.</t>
  </si>
  <si>
    <t xml:space="preserve">https://health-products.canada.ca/dpd-bdpp/info?code=102386&amp;lang=eng</t>
  </si>
  <si>
    <t xml:space="preserve">ONDANSETRON 2MG/ML SOLUTION FOR INJECTION OR INFUSION – EUGIA (UK) LIMITED</t>
  </si>
  <si>
    <t xml:space="preserve">NHS dm+d</t>
  </si>
  <si>
    <t xml:space="preserve">NHS dictionary of medicines page shows the product pack and the supplier</t>
  </si>
  <si>
    <t xml:space="preserve">Aurobindo Pharma B.V. ; Aurobindo Pharma România S.R.L. ; Eugia (Uk) Limited ; Eugia Pharma (Malta) Limited</t>
  </si>
  <si>
    <t xml:space="preserve">Article 57 file: filter "Active substance" contains "ondansetron" and "Marketing authorisation holder" contains "Eugia" or "Aurobindo" → country "United Kingdom (Northern Ireland)"</t>
  </si>
  <si>
    <t xml:space="preserve">AURO-ONDANSETRON INJECTION – AURO PHARMA INC</t>
  </si>
  <si>
    <t xml:space="preserve">https://health-products.canada.ca/dpd-bdpp/info?code=98138&amp;lang=eng</t>
  </si>
  <si>
    <t xml:space="preserve">EU/EEA (7): Germany, Belgium, Italy, Luxembourg, Portugal, Romania, Spain</t>
  </si>
  <si>
    <t xml:space="preserve">Article 57 file: filter "Active substance" contains "ondansetron" and "Marketing authorisation holder" contains "Eugia" or "Aurobindo" → "Product authorisation country"</t>
  </si>
  <si>
    <t xml:space="preserve">OXACILLIN SODIUM – EUGIA PHARMA SPECIALITIES LTD</t>
  </si>
  <si>
    <t xml:space="preserve">https://dailymed.nlm.nih.gov/dailymed/drugInfo.cfm?setid=81e90279-9889-47bd-974b-334c181f295c</t>
  </si>
  <si>
    <t xml:space="preserve">PALONOSETRON HYDROCHLORIDE – EUGIA PHARMA SPECIALITIES LTD</t>
  </si>
  <si>
    <t xml:space="preserve">https://dailymed.nlm.nih.gov/dailymed/drugInfo.cfm?setid=42e2d437-0712-4e9c-9c2a-00093c406d62</t>
  </si>
  <si>
    <t xml:space="preserve">PANTOPRAZOLE 40 MG POWDER FOR SOLUTION FOR INJECTION – EUGIA (UK) LIMITED</t>
  </si>
  <si>
    <t xml:space="preserve">Article 57 file: filter "Active substance" contains "pantoprazole" and "Marketing authorisation holder" contains "Eugia" → country "United Kingdom (Northern Ireland)"</t>
  </si>
  <si>
    <t xml:space="preserve">PANTOPRAZOLE FOR INJECTION – AURO PHARMA INC</t>
  </si>
  <si>
    <t xml:space="preserve">https://health-products.canada.ca/dpd-bdpp/info?code=94611&amp;lang=eng</t>
  </si>
  <si>
    <t xml:space="preserve">https://base-donnees-publique.medicaments.gouv.fr/index.php?page=1&amp;choixRecherche=medicament&amp;txtCaracteres=Pantoprazole%20Arrow&amp;action=show</t>
  </si>
  <si>
    <t xml:space="preserve">French register shows the product and holder (France). For the other countries: Article 57 file: filter "Active substance" contains "pantoprazole" and "Marketing authorisation holder" contains "Eugia" → "Product authorisation country"</t>
  </si>
  <si>
    <t xml:space="preserve">PLERIXAFOR – EUGIA PHARMA SPECIALITIES LTD</t>
  </si>
  <si>
    <t xml:space="preserve">https://dailymed.nlm.nih.gov/dailymed/drugInfo.cfm?setid=58c9fa02-3701-d411-f946-790a62ddc064</t>
  </si>
  <si>
    <t xml:space="preserve">PLERIXAFOR 20 MG/ML SOLUTION FOR INJECTION – EUGIA (UK) LIMITED</t>
  </si>
  <si>
    <t xml:space="preserve">https://mhraproducts4853.blob.core.windows.net/docs/bb7448515c77d7fb12fb87b29dc3839d02e684f3</t>
  </si>
  <si>
    <t xml:space="preserve">Article 57 file: filter "Active substance" contains "plerixafor" and "Marketing authorisation holder" contains "Eugia" → country "United Kingdom (Northern Ireland)"</t>
  </si>
  <si>
    <t xml:space="preserve">PLERIXAFOR INJECTION – EUGIA PHARMA INC.</t>
  </si>
  <si>
    <t xml:space="preserve">https://health-products.canada.ca/dpd-bdpp/info?code=102820&amp;lang=eng</t>
  </si>
  <si>
    <t xml:space="preserve">https://base-donnees-publique.medicaments.gouv.fr/index.php?page=1&amp;choixRecherche=medicament&amp;txtCaracteres=Plerixafor%20Arrow&amp;action=show</t>
  </si>
  <si>
    <t xml:space="preserve">French register shows the product and holder (France). For the other countries: Article 57 file: filter "Active substance" contains "plerixafor" and "Marketing authorisation holder" contains "Eugia" → "Product authorisation country"</t>
  </si>
  <si>
    <t xml:space="preserve">PLERIXAFOR EUGIA plerixafor 24 mg/ 1.2 mL solution for injection vial – Eugia Pharma (Australia) Pty Ltd</t>
  </si>
  <si>
    <t xml:space="preserve">https://www.ebs.tga.gov.au/ebs/picmi/picmirepository.nsf/pdf?OpenAgent&amp;id=CP-2024-PI-01246-1</t>
  </si>
  <si>
    <t xml:space="preserve">PROGESTERONE – EUGIA PHARMA SPECIALITIES LTD</t>
  </si>
  <si>
    <t xml:space="preserve">https://dailymed.nlm.nih.gov/dailymed/drugInfo.cfm?setid=7d19df3b-94ed-4681-beae-9caaf137d014</t>
  </si>
  <si>
    <t xml:space="preserve">REGADENOSON – EUGIA PHARMA SPECIALITIES LTD</t>
  </si>
  <si>
    <t xml:space="preserve">https://dailymed.nlm.nih.gov/dailymed/drugInfo.cfm?setid=b553eb2d-0c3f-444e-ad4c-282328683110</t>
  </si>
  <si>
    <t xml:space="preserve">Aurobindo Pharma B.V.</t>
  </si>
  <si>
    <t xml:space="preserve">Article 57 file: filter "Active substance" contains "remifentanil" and "Marketing authorisation holder" contains "Aurobindo" → "Product authorisation country"</t>
  </si>
  <si>
    <t xml:space="preserve">ROPIVACAINE HYDROCHLORIDE – EUGIA PHARMA SPECIALITIES LTD</t>
  </si>
  <si>
    <t xml:space="preserve">https://dailymed.nlm.nih.gov/dailymed/drugInfo.cfm?setid=3763b7b6-da49-4658-b93d-28f5da24d09e</t>
  </si>
  <si>
    <t xml:space="preserve">SILDENAFIL CITRATE – EUGIA PHARMA SPECIALITIES LTD</t>
  </si>
  <si>
    <t xml:space="preserve">https://dailymed.nlm.nih.gov/dailymed/drugInfo.cfm?setid=bb92d686-a81e-4b91-8048-693af0534cb3</t>
  </si>
  <si>
    <t xml:space="preserve">TESTOSTERONE CYPIONATE – EUGIA PHARMA SPECIALITIES LTD</t>
  </si>
  <si>
    <t xml:space="preserve">https://dailymed.nlm.nih.gov/dailymed/drugInfo.cfm?setid=f901e2b2-f143-4237-8e95-0d134585490b</t>
  </si>
  <si>
    <t xml:space="preserve">TESTOSTERONE ENANTHATE – EUGIA PHARMA SPECIALITIES LTD</t>
  </si>
  <si>
    <t xml:space="preserve">https://dailymed.nlm.nih.gov/dailymed/drugInfo.cfm?setid=82a98132-9d5f-40a5-8c4f-f52f2a5de60e</t>
  </si>
  <si>
    <t xml:space="preserve">TIROFIBAN HYDROCHLORIDE – EUGIA PHARMA SPECIALITIES LTD</t>
  </si>
  <si>
    <t xml:space="preserve">https://dailymed.nlm.nih.gov/dailymed/drugInfo.cfm?setid=d554acff-22e9-4f28-b826-ee1b91daa2df</t>
  </si>
  <si>
    <t xml:space="preserve">Article 57 file: filter "Active substance" contains "tirofiban" and "Marketing authorisation holder" contains "Eugia" → country "United Kingdom (Northern Ireland)"</t>
  </si>
  <si>
    <t xml:space="preserve">EU/EEA (4): France, Netherlands, Italy, Portugal</t>
  </si>
  <si>
    <t xml:space="preserve">Article 57 file: filter "Active substance" contains "tirofiban" and "Marketing authorisation holder" contains "Eugia" → "Product authorisation country"</t>
  </si>
  <si>
    <t xml:space="preserve">Article 57 file: filter "Active substance" contains "tranexamic" and "Marketing authorisation holder" contains "Eugia" → country "United Kingdom (Northern Ireland)"</t>
  </si>
  <si>
    <t xml:space="preserve">TRANEXAMIC ACID INJECTION – AURO PHARMA INC</t>
  </si>
  <si>
    <t xml:space="preserve">https://health-products.canada.ca/dpd-bdpp/info?code=95428&amp;lang=eng</t>
  </si>
  <si>
    <t xml:space="preserve">EU/EEA (5): Germany, France, Italy, Poland, Portugal</t>
  </si>
  <si>
    <t xml:space="preserve">https://base-donnees-publique.medicaments.gouv.fr/index.php?page=1&amp;choixRecherche=medicament&amp;txtCaracteres=Acide%20Tranexamique&amp;action=show</t>
  </si>
  <si>
    <t xml:space="preserve">French register shows the product and holder (France). For the other countries: Article 57 file: filter "Active substance" contains "tranexamic" and "Marketing authorisation holder" contains "Eugia" → "Product authorisation country"</t>
  </si>
  <si>
    <t xml:space="preserve">TRIAMCINOLONE ACETONIDE – EUGIA PHARMA SPECIALITIES LTD</t>
  </si>
  <si>
    <t xml:space="preserve">VECURONIUM BROMIDE – EUGIA PHARMA SPECIALITIES LTD</t>
  </si>
  <si>
    <t xml:space="preserve">https://dailymed.nlm.nih.gov/dailymed/lookup.cfm?setid=86d81719-534c-4e50-ae39-d8b20e50dfad</t>
  </si>
  <si>
    <t xml:space="preserve">VERAPAMIL HYDROCHLORIDE – EUGIA PHARMA SPECIALITIES LTD</t>
  </si>
  <si>
    <t xml:space="preserve">https://dailymed.nlm.nih.gov/dailymed/drugInfo.cfm?setid=def3b9ba-523d-4b83-a80d-fa6f362e111c</t>
  </si>
  <si>
    <t xml:space="preserve">Aurobindo Pharma B.V. ; Eugia Pharma (Malta) Limited</t>
  </si>
  <si>
    <t xml:space="preserve">https://base-donnees-publique.medicaments.gouv.fr/index.php?page=1&amp;choixRecherche=medicament&amp;txtCaracteres=Vinorelbine&amp;action=show</t>
  </si>
  <si>
    <t xml:space="preserve">French register shows the product and holder (France). For the other countries: Article 57 file: filter "Active substance" contains "vinorelbine" and "Marketing authorisation holder" contains "Eugia" or "Aurobindo" → "Product authorisation country"</t>
  </si>
  <si>
    <t xml:space="preserve">AZACITIDINE CIPLA azacitidine 100 mg powder for injection vial – Cipla Australia Pty Ltd</t>
  </si>
  <si>
    <t xml:space="preserve">https://www.ebs.tga.gov.au/servlet/xmlmillr6?dbid=ebs/PublicHTML/pdfStore.nsf&amp;docid=285655&amp;agid=(PrintDetailsPublic)&amp;actionid=1</t>
  </si>
  <si>
    <t xml:space="preserve">CIPLA BLEOMYCIN 15K bleomycin sulfate 15000 IU powder for injection vial – Cipla Australia Pty Ltd</t>
  </si>
  <si>
    <t xml:space="preserve">https://www.healthdirect.gov.au/medicines/brand/amt%2C765691000168104/bleomycin-15k-cipla</t>
  </si>
  <si>
    <t xml:space="preserve">Consumer medicine page (healthdirect / other)</t>
  </si>
  <si>
    <t xml:space="preserve">Page shows the Australian product and its sponsor</t>
  </si>
  <si>
    <t xml:space="preserve">Cipla Bleomycin – Cipla Medpro (Pty) Ltd</t>
  </si>
  <si>
    <t xml:space="preserve">https://medsinfoportal.sahpra.org.za/pil/da701bba09930b6759e3519933be7136.pdf</t>
  </si>
  <si>
    <t xml:space="preserve">Onbort  – Cipla Medpro (Pty) Ltd</t>
  </si>
  <si>
    <t xml:space="preserve">https://pi-pil-repository.sahpra.org.za/wp-content/uploads/2025/08/Final_PI-_ONBORT.pdf</t>
  </si>
  <si>
    <t xml:space="preserve">Cefect 1 g – Actor Pharma (Pty) Ltd</t>
  </si>
  <si>
    <t xml:space="preserve">SEP registry viewer</t>
  </si>
  <si>
    <t xml:space="preserve">Search shows the product on the South African registered price list (only registered products are listed)</t>
  </si>
  <si>
    <t xml:space="preserve">DAPTOMYCIN 350 MG POWDER FOR SOLUTION FOR INJECTION OR INFUSION – CIPLA (EU) LIMITED</t>
  </si>
  <si>
    <t xml:space="preserve">https://mhraproducts4853.blob.core.windows.net/docs/a63e0068e2c1943c944704ec48517d5eb5a0e436</t>
  </si>
  <si>
    <t xml:space="preserve">EU/EEA (3): Germany, Portugal, Spain</t>
  </si>
  <si>
    <t xml:space="preserve">Cipla Europe Nv</t>
  </si>
  <si>
    <t xml:space="preserve">Article 57 file: filter "Active substance" contains "daptomycin" and "Marketing authorisation holder" contains "Cipla" → "Product authorisation country"</t>
  </si>
  <si>
    <t xml:space="preserve">CIPLA DAPTOMYCIN daptomycin 350 mg powder for injection vial – Cipla Australia Pty Ltd</t>
  </si>
  <si>
    <t xml:space="preserve">https://www.ebs.tga.gov.au/ebs/picmi/picmirepository.nsf/pdf?OpenAgent&amp;id=CP-2023-PI-01892-1</t>
  </si>
  <si>
    <t xml:space="preserve">Cipla Doxorubicin 10 – Cipla Medpro (Pty) Ltd</t>
  </si>
  <si>
    <t xml:space="preserve">https://medsinfoportal.sahpra.org.za/pi/630dc9c6196521be5b9372d6e0896f56.pdf</t>
  </si>
  <si>
    <t xml:space="preserve">Article 57 file: filter "Active substance" contains "fulvestrant" and "Marketing authorisation holder" contains "Cipla" → "Product authorisation country"</t>
  </si>
  <si>
    <t xml:space="preserve">HYDROCORTISONE SODIUM SUCCINATE – CIPLA LTD</t>
  </si>
  <si>
    <t xml:space="preserve">https://dailymed.nlm.nih.gov/dailymed/search.cfm?searchdb=ndc&amp;query=69097-004</t>
  </si>
  <si>
    <t xml:space="preserve">CIPLA HYDROCORTISONE hydrocortisone (as sodium succinate) 100 mg powder for injection vial – Cipla Australia Pty Ltd</t>
  </si>
  <si>
    <t xml:space="preserve">https://www.ebs.tga.gov.au/ebs/picmi/picmirepository.nsf/pdf?OpenAgent&amp;id=CP-2022-PI-01547-1</t>
  </si>
  <si>
    <t xml:space="preserve">CIPLA ISOPRENALINE isoprenaline hydrochloride 0.2 mg/1 mL injection solution ampoule – Cipla Australia Pty Ltd</t>
  </si>
  <si>
    <t xml:space="preserve">https://www.ebs.tga.gov.au/ebs/picmi/picmirepository.nsf/pdf?OpenAgent&amp;id=CP-2022-PI-01316-1</t>
  </si>
  <si>
    <t xml:space="preserve">LANREOTIDE ACETATE – INVAGEN PHARMACEUTICALS INC</t>
  </si>
  <si>
    <t xml:space="preserve">https://dailymed.nlm.nih.gov/dailymed/drugInfo.cfm?setid=2892b4c3-0329-4d29-97ff-3b45283bbab1</t>
  </si>
  <si>
    <t xml:space="preserve">Measles Vaccine Cipla – Cipla Medpro (Pty) Ltd</t>
  </si>
  <si>
    <t xml:space="preserve">https://medicineprices.org.za/#search:measles</t>
  </si>
  <si>
    <t xml:space="preserve">CIPLA MEDROXYPROGESTERONE medroxyprogesterone acetate 150 mg/1 mL injection suspension vial – Cipla Australia Pty Ltd</t>
  </si>
  <si>
    <t xml:space="preserve">https://www.tga.gov.au/resources/annual-charge-exemptions/cipla-medroxyprogesterone-medroxyprogesterone-acetate-150-mg1-ml-injection-suspension-vial-2024-25</t>
  </si>
  <si>
    <t xml:space="preserve">PALOCIP palonosetron hydrochloride 250 microgram/5 mL solution for injection – Cipla Australia Pty Ltd</t>
  </si>
  <si>
    <t xml:space="preserve">https://www.ebs.tga.gov.au/servlet/xmlmillr6?dbid=ebs/PublicHTML/pdfStore.nsf&amp;docid=267130&amp;agid=(PrintDetailsPublic)&amp;actionid=1</t>
  </si>
  <si>
    <t xml:space="preserve">PHENYLEPHRINE CIPLA phenylephrine hydrochloride 10 mg / 1 mL injection USP vial – Cipla Australia Pty Ltd</t>
  </si>
  <si>
    <t xml:space="preserve">https://www.ebs.tga.gov.au/servlet/xmlmillr6?dbid=ebs/PublicHTML/pdfStore.nsf&amp;docid=304362&amp;agid=(PrintDetailsPublic)&amp;actionid=1</t>
  </si>
  <si>
    <t xml:space="preserve">PHYTONADIONE – CIPLA LTD</t>
  </si>
  <si>
    <t xml:space="preserve">https://dailymed.nlm.nih.gov/dailymed/search.cfm?searchdb=ndc&amp;query=69097-003-96</t>
  </si>
  <si>
    <t xml:space="preserve">Streptase 750 000 Iu – Actor Pharma (Pty) Ltd</t>
  </si>
  <si>
    <t xml:space="preserve">Article 57 file: filter "Active substance" contains "sugammadex" and "Marketing authorisation holder" contains "Cipla" → "Product authorisation country"</t>
  </si>
  <si>
    <t xml:space="preserve">CIPLA SUGAMMADEX sugammadex (as sodium) 200 mg/2 mL solution for injection vial – Cipla Australia Pty Ltd</t>
  </si>
  <si>
    <t xml:space="preserve">TGA ARTG search</t>
  </si>
  <si>
    <t xml:space="preserve">Search the product name in the ARTG; sponsor = holder shown</t>
  </si>
  <si>
    <t xml:space="preserve">Senuom 2 ml – Cipla Medpro (Pty) Ltd</t>
  </si>
  <si>
    <t xml:space="preserve">https://pi-pil-repository.sahpra.org.za/wp-content/uploads/2023/04/Final_PI_SENUOM_Applicant.pdf</t>
  </si>
  <si>
    <t xml:space="preserve">Cipla Teicoplanin 400 mg – Cipla Medpro (Pty) Ltd</t>
  </si>
  <si>
    <t xml:space="preserve">https://medsinfoportal.sahpra.org.za/pil/4482c47ecb020931a053f527db2883e0.pdf</t>
  </si>
  <si>
    <t xml:space="preserve">TESTOSTERONE CYPIONATE – CIPLA LTD</t>
  </si>
  <si>
    <t xml:space="preserve">https://dailymed.nlm.nih.gov/dailymed/drugInfo.cfm?setid=78d55bad-4a5b-4e21-aeb8-a4c6346208be</t>
  </si>
  <si>
    <t xml:space="preserve">Testosterone Cipla – Cipla Medpro (Pty) Ltd</t>
  </si>
  <si>
    <t xml:space="preserve">https://pi-pil-repository.sahpra.org.za/wp-content/uploads/2025/10/570491_Testosterone-cipla_PI_Applicant.pdf</t>
  </si>
  <si>
    <t xml:space="preserve">TRASTUCIP trastuzumab 150 mg powder for injection vial – Cipla Australia Pty Ltd</t>
  </si>
  <si>
    <t xml:space="preserve">https://www.ebs.tga.gov.au/servlet/xmlmillr6?dbid=ebs/PublicHTML/pdfStore.nsf&amp;docid=368972&amp;agid=(PrintDetailsPublic)&amp;actionid=1</t>
  </si>
  <si>
    <t xml:space="preserve">Cytoblastin Aqueous – Cipla Medpro (Pty) Ltd</t>
  </si>
  <si>
    <t xml:space="preserve">https://medicineprices.org.za/#search:cytoblastin</t>
  </si>
  <si>
    <t xml:space="preserve">Cipla Vinorelbine 10 – Cipla Medpro (Pty) Ltd</t>
  </si>
  <si>
    <t xml:space="preserve">https://medsinfoportal.sahpra.org.za/pil/36f7abdc01fd9359da933b04b2161e20.pdf</t>
  </si>
  <si>
    <t xml:space="preserve">AZACITIDINE BETAPHARM 25 MG/ML POWDER FOR SUSPENSION FOR INJECTION – DR REDDY'S LABORATORIES (UK) LIMITED</t>
  </si>
  <si>
    <t xml:space="preserve">https://mhraproducts4853.blob.core.windows.net/docs/11c1ec30fc299931e4de1e6eb1da508221e64e2f</t>
  </si>
  <si>
    <t xml:space="preserve">AZACITIDINE FOR INJECTION – DR REDDY'S LABORATORIES LTD</t>
  </si>
  <si>
    <t xml:space="preserve">https://health-products.canada.ca/dpd-bdpp/info?code=95068&amp;lang=eng</t>
  </si>
  <si>
    <t xml:space="preserve">Betapharm Arzneimittel Gmbh ; Reddy Pharma Sas</t>
  </si>
  <si>
    <t xml:space="preserve">https://www.ema.europa.eu/en/medicines/human/EPAR/azacitidine-betapharm</t>
  </si>
  <si>
    <t xml:space="preserve">EMA EU-wide authorisation page</t>
  </si>
  <si>
    <t xml:space="preserve">Page shows the EU-wide (central) authorisation – valid in all EU/EEA countries – and the holder. Article 57 file: filter "Active substance" contains "azacitidine" and "Marketing authorisation holder" contains "Reddy" or "Betapharm" → "Product authorisation country"</t>
  </si>
  <si>
    <t xml:space="preserve">REDDAZA azacitidine 100 mg powder for injection vial – Dr Reddys Laboratories Australia Pty Ltd</t>
  </si>
  <si>
    <t xml:space="preserve">https://www.ebs.tga.gov.au/ebs/picmi/picmirepository.nsf/pdf?OpenAgent&amp;id=CP-2016-PI-01288-1</t>
  </si>
  <si>
    <t xml:space="preserve">Azacitidine DRL – Dr Reddy's Laboratories (Pty) Ltd</t>
  </si>
  <si>
    <t xml:space="preserve">https://pi-pil-repository.sahpra.org.za/wp-content/uploads/2023/07/approved-pil.pdf</t>
  </si>
  <si>
    <t xml:space="preserve">BIVALIRUDIN – DR REDDYS LABORATORIES LTD</t>
  </si>
  <si>
    <t xml:space="preserve">https://dailymed.nlm.nih.gov/dailymed/search.cfm?labeltype=all&amp;query=Bivalirudin</t>
  </si>
  <si>
    <t xml:space="preserve">BORTEZOMIB – DR REDDYS LABORATORIES LTD</t>
  </si>
  <si>
    <t xml:space="preserve">BORTEZOMIB DR. REDDY'S 3.5 MG POWDER FOR SOLUTION FOR INJECTION – DR REDDY'S LABORATORIES (UK) LIMITED</t>
  </si>
  <si>
    <t xml:space="preserve">https://mhraproducts4853.blob.core.windows.net/docs/3f37ca6630cfcad926467080f4d6bb4a305ed4fa</t>
  </si>
  <si>
    <t xml:space="preserve">Betapharm Arzneimittel Gmbh ; Dr. Reddy's Laboratories (Uk) Ltd ; Dr. Reddy's Laboratories Romania S.R.L. ; Dr. Reddy’s S.R.L. ; Reddy Holding Gmbh ; Reddy Pharma Iberia, S.A. ; Reddy Pharma Sas</t>
  </si>
  <si>
    <t xml:space="preserve">Article 57 file: filter "Active substance" contains "bortezomib" and "Marketing authorisation holder" contains "Reddy" or "Betapharm" → country "United Kingdom (Northern Ireland)"</t>
  </si>
  <si>
    <t xml:space="preserve">BORTEZOMIB FOR INJECTION – DR REDDY'S LABORATORIES LTD</t>
  </si>
  <si>
    <t xml:space="preserve">https://health-products.canada.ca/dpd-bdpp/info?code=93883&amp;lang=eng</t>
  </si>
  <si>
    <t xml:space="preserve">EU/EEA (13): Germany, France, Netherlands, Finland, Ireland, Italy, Malta, Norway, Poland, Portugal, Romania, Spain, Sweden</t>
  </si>
  <si>
    <t xml:space="preserve">https://base-donnees-publique.medicaments.gouv.fr/index.php?page=1&amp;choixRecherche=medicament&amp;txtCaracteres=Bortezomib&amp;action=show</t>
  </si>
  <si>
    <t xml:space="preserve">French register shows the product and holder (France). For the other countries: Article 57 file: filter "Active substance" contains "bortezomib" and "Marketing authorisation holder" contains "Reddy" or "Betapharm" → "Product authorisation country"</t>
  </si>
  <si>
    <t xml:space="preserve">Bertred 3,5 – Dr Reddy's Laboratories (Pty) Ltd</t>
  </si>
  <si>
    <t xml:space="preserve">https://pi-pil-repository.sahpra.org.za/wp-content/uploads/2025/04/pil-approved-5.pdf</t>
  </si>
  <si>
    <t xml:space="preserve">CARBOPROST TROMETHAMINE – DR REDDYS LABORATORIES LTD</t>
  </si>
  <si>
    <t xml:space="preserve">https://dailymed.nlm.nih.gov/dailymed/lookup.cfm?setid=ce9f0ea6-69f9-6b68-2811-3b51e34acea6</t>
  </si>
  <si>
    <t xml:space="preserve">CARBOPROST DR.REDDY'S carboprost (as trometamol) 250 microgram /1 mL injection vial – Dr Reddys Laboratories Australia Pty Ltd</t>
  </si>
  <si>
    <t xml:space="preserve">https://www.ebs.tga.gov.au/ebs/picmi/picmirepository.nsf/pdf?OpenAgent&amp;id=CP-2023-PI-01598-1</t>
  </si>
  <si>
    <t xml:space="preserve">CYCLOPHOSPHAMIDE – DR REDDYS LABORATORIES INC</t>
  </si>
  <si>
    <t xml:space="preserve">https://dailymed.nlm.nih.gov/dailymed/drugInfo.cfm?setid=a5818647-d840-e9d7-c7b8-6541b485e44e</t>
  </si>
  <si>
    <t xml:space="preserve">EU/EEA (4): Germany, France, Romania, Spain</t>
  </si>
  <si>
    <t xml:space="preserve">Betapharm Arzneimittel Gmbh ; Dr. Reddy's Laboratories Romania Srl ; Reddy Pharma Iberia, S.A. ; Reddy Pharma Sas</t>
  </si>
  <si>
    <t xml:space="preserve">https://base-donnees-publique.medicaments.gouv.fr/index.php?page=1&amp;choixRecherche=medicament&amp;txtCaracteres=Cyclophosphamide%20Reddy&amp;action=show</t>
  </si>
  <si>
    <t xml:space="preserve">French register shows the product and holder (France). For the other countries: Article 57 file: filter "Active substance" contains "cyclophosphamide" and "Marketing authorisation holder" contains "Reddy" or "Betapharm" → "Product authorisation country"</t>
  </si>
  <si>
    <t xml:space="preserve">DAPTOMYCIN DR. REDDY'S 350 MG POWDER FOR SOLUTION FOR INJECTION/INFUSION – DR REDDY'S LABORATORIES (UK) LIMITED</t>
  </si>
  <si>
    <t xml:space="preserve">https://mhraproducts4853.blob.core.windows.net/docs/60c8a02705c24afc73bb76255b45928c586ba95b</t>
  </si>
  <si>
    <t xml:space="preserve">Article 57 file: filter "Active substance" contains "daptomycin" and "Marketing authorisation holder" contains "Reddy" or "Betapharm" → country "United Kingdom (Northern Ireland)"</t>
  </si>
  <si>
    <t xml:space="preserve">DAPTOMYCIN FOR INJECTION – DR REDDY'S LABORATORIES LTD</t>
  </si>
  <si>
    <t xml:space="preserve">https://health-products.canada.ca/dpd-bdpp/info?code=98052&amp;lang=eng</t>
  </si>
  <si>
    <t xml:space="preserve">EU/EEA (11): Germany, France, Austria, Finland, Ireland, Italy, Malta, Portugal, Romania, Spain, Sweden</t>
  </si>
  <si>
    <t xml:space="preserve">https://base-donnees-publique.medicaments.gouv.fr/index.php?page=1&amp;choixRecherche=medicament&amp;txtCaracteres=Daptomycine%20Reddy&amp;action=show</t>
  </si>
  <si>
    <t xml:space="preserve">French register shows the product and holder (France). For the other countries: Article 57 file: filter "Active substance" contains "daptomycin" and "Marketing authorisation holder" contains "Reddy" or "Betapharm" → "Product authorisation country"</t>
  </si>
  <si>
    <t xml:space="preserve">DAPTOMYCIN-DRLA daptomycin 350 mg powder for injection vial – Dr Reddys Laboratories Australia Pty Ltd</t>
  </si>
  <si>
    <t xml:space="preserve">https://www.ebs.tga.gov.au/ebs/picmi/picmirepository.nsf/pdf?OpenAgent&amp;id=CP-2021-PI-01507-1</t>
  </si>
  <si>
    <t xml:space="preserve">DESMOPRESSIN ACETATE – DR REDDYS LABORATORIES LTD</t>
  </si>
  <si>
    <t xml:space="preserve">https://dailymed.nlm.nih.gov/dailymed/drugInfo.cfm?setid=60dd8694-58d8-d88e-26f2-f28baa53787e</t>
  </si>
  <si>
    <t xml:space="preserve">DIAZEPAM – DR REDDYS LABORATORIES LTD</t>
  </si>
  <si>
    <t xml:space="preserve">EPHEDRINE SULFATE – DR REDDYS LABORATORIES LTD</t>
  </si>
  <si>
    <t xml:space="preserve">https://dailymed.nlm.nih.gov/dailymed/drugInfo.cfm?setid=1d1c41c1-8f5f-ee76-c890-4f1f2a3b2e96</t>
  </si>
  <si>
    <t xml:space="preserve">ERIBULIN MESYLATE – DR REDDYS LABORATORIES LTD</t>
  </si>
  <si>
    <t xml:space="preserve">https://dailymed.nlm.nih.gov/dailymed/drugInfo.cfm?setid=1038e984-3bf7-5bbf-f1ec-ce15ae330efc</t>
  </si>
  <si>
    <t xml:space="preserve">ERIBULIN 0.44 MG/ML SOLUTION FOR INJECTION – DR REDDY'S LABORATORIES (UK) LIMITED</t>
  </si>
  <si>
    <t xml:space="preserve">Betapharm Arzneimittel Gmbh ; Dr. Reddy's Laboratories (Uk) Ltd ; Dr. Reddy's Laboratories Romania S.R.L.</t>
  </si>
  <si>
    <t xml:space="preserve">Article 57 file: filter "Active substance" contains "eribulin" and "Marketing authorisation holder" contains "Reddy" or "Betapharm" → country "United Kingdom (Northern Ireland)"</t>
  </si>
  <si>
    <t xml:space="preserve">ERIBULIN MESYLATE INJECTION – DR REDDY'S LABORATORIES LTD</t>
  </si>
  <si>
    <t xml:space="preserve">https://health-products.canada.ca/dpd-bdpp/info?code=103467&amp;lang=eng</t>
  </si>
  <si>
    <t xml:space="preserve">EU/EEA (2): Germany, Romania</t>
  </si>
  <si>
    <t xml:space="preserve">Article 57 file: filter "Active substance" contains "eribulin" and "Marketing authorisation holder" contains "Reddy" or "Betapharm" → "Product authorisation country"</t>
  </si>
  <si>
    <t xml:space="preserve">ERIBULIN-RZ eribulin mesilate 1 mg/2 ml solution for injection vial – Dr Reddys Laboratories Australia Pty Ltd</t>
  </si>
  <si>
    <t xml:space="preserve">https://www.ebs.tga.gov.au/ebs/picmi/picmirepository.nsf/pdf?OpenAgent&amp;id=CP-2024-PI-02722-1</t>
  </si>
  <si>
    <t xml:space="preserve">ERIBULIN DRL – Dr Reddy's Laboratories (Pty) Ltd</t>
  </si>
  <si>
    <t xml:space="preserve">https://medicineprices.org.za/#search:eribulin</t>
  </si>
  <si>
    <t xml:space="preserve">ERTAPENEM FOR INJECTION – DR REDDY'S LABORATORIES LTD</t>
  </si>
  <si>
    <t xml:space="preserve">https://health-products.canada.ca/dpd-bdpp/info?code=100038&amp;lang=eng</t>
  </si>
  <si>
    <t xml:space="preserve">FERRICARBO iron (as ferric carboxymaltose) 500 mg/10 mL solution for injection vial – Dr Reddys Laboratories Australia Pty Ltd</t>
  </si>
  <si>
    <t xml:space="preserve">https://www.tga.gov.au/resources/artg/431990</t>
  </si>
  <si>
    <t xml:space="preserve">FULVESTRANT – DR REDDYS LABORATORIES LTD</t>
  </si>
  <si>
    <t xml:space="preserve">https://dailymed.nlm.nih.gov/dailymed/drugInfo.cfm?setid=2fc17ba3-83c7-a2b4-8a75-6a0cb1e07682</t>
  </si>
  <si>
    <t xml:space="preserve">FULVESTRANT DR. REDDY'S 250 MG SOLUTION FOR INJECTION IN PRE-FILLED SYRINGE – DR REDDY'S LABORATORIES (UK) LIMITED</t>
  </si>
  <si>
    <t xml:space="preserve">https://mhraproducts4853.blob.core.windows.net/docs/15cb9531a83993d5871cb4fbb39a9f60d681facb</t>
  </si>
  <si>
    <t xml:space="preserve">Betapharm Arzneimittel Gmbh ; Dr. Reddy's Laboratories (Uk) Ltd ; Dr. Reddy's Laboratories Romania S.R.L. ; Dr. Reddy’s S.R.L. ; Reddy Holding Gmbh ; Reddy Pharma Iberia, S.A.</t>
  </si>
  <si>
    <t xml:space="preserve">Article 57 file: filter "Active substance" contains "fulvestrant" and "Marketing authorisation holder" contains "Reddy" or "Betapharm" → country "United Kingdom (Northern Ireland)"</t>
  </si>
  <si>
    <t xml:space="preserve">EU/EEA (10): Germany, Denmark, Ireland, Italy, Norway, Poland, Portugal, Romania, Spain, Sweden</t>
  </si>
  <si>
    <t xml:space="preserve">Article 57 file: filter "Active substance" contains "fulvestrant" and "Marketing authorisation holder" contains "Reddy" or "Betapharm" → "Product authorisation country"</t>
  </si>
  <si>
    <t xml:space="preserve">Eranfu 250 – Dr Reddy's Laboratories (Pty) Ltd</t>
  </si>
  <si>
    <t xml:space="preserve">https://pi-pil-repository.sahpra.org.za/wp-content/uploads/2025/02/approved-pi.pdf</t>
  </si>
  <si>
    <t xml:space="preserve">Betapharm Arzneimittel Gmbh</t>
  </si>
  <si>
    <t xml:space="preserve">Article 57 file: filter "Active substance" contains "ibandron" and "Marketing authorisation holder" contains "Betapharm" → "Product authorisation country"</t>
  </si>
  <si>
    <t xml:space="preserve">NALOXONE HYDROCHLORIDE – DR REDDYS LABORATORIES LTD</t>
  </si>
  <si>
    <t xml:space="preserve">https://dailymed.nlm.nih.gov/dailymed/search.cfm?searchdb=ndc&amp;query=43598-750-11</t>
  </si>
  <si>
    <t xml:space="preserve">NEOSTIGMINE METHYLSULFATE – DR REDDYS LABORATORIES LTD</t>
  </si>
  <si>
    <t xml:space="preserve">https://dailymed.nlm.nih.gov/dailymed/drugInfo.cfm?setid=12575d1a-a2c2-37b2-0dcf-31e58bbc2a10</t>
  </si>
  <si>
    <t xml:space="preserve">PALONOSETRON HYDROCHLORIDE – DR REDDYS LABORATORIES LTD</t>
  </si>
  <si>
    <t xml:space="preserve">https://dailymed.nlm.nih.gov/dailymed/lookup.cfm?setid=991b8452-852c-c55c-7b1b-e97c4964777a</t>
  </si>
  <si>
    <t xml:space="preserve">EU/EEA (3): Germany, Italy, Romania</t>
  </si>
  <si>
    <t xml:space="preserve">Betapharm Arzneimittel Gmbh ; Dr. Reddy's Laboratories Romania Srl ; Dr. Reddy’s S.R.L.</t>
  </si>
  <si>
    <t xml:space="preserve">Article 57 file: filter "Active substance" contains "palonosetron" and "Marketing authorisation holder" contains "Reddy" or "Betapharm" → "Product authorisation country"</t>
  </si>
  <si>
    <t xml:space="preserve">PALONOSET palonosetron (as hydrochloride) 250 microgram/5 mL solution for injection vial – Dr Reddys Laboratories Australia Pty Ltd</t>
  </si>
  <si>
    <t xml:space="preserve">https://www.ebs.tga.gov.au/ebs/picmi/picmirepository.nsf/pdf?OpenAgent&amp;id=CP-2016-PI-02208-1</t>
  </si>
  <si>
    <t xml:space="preserve">PHYTONADIONE – DR REDDYS LABORATORIES LTD</t>
  </si>
  <si>
    <t xml:space="preserve">https://dailymed.nlm.nih.gov/dailymed/drugInfo.cfm?setid=02445c07-7b4b-cd70-54e8-ebefc814f547</t>
  </si>
  <si>
    <t xml:space="preserve">PLERIXAFOR – DR REDDYS LABORATORIES LTD</t>
  </si>
  <si>
    <t xml:space="preserve">REGADENOSON – DR REDDYS LABORATORIES LTD</t>
  </si>
  <si>
    <t xml:space="preserve">https://dailymed.nlm.nih.gov/dailymed/search.cfm?labeltype=all&amp;query=Regadenoson</t>
  </si>
  <si>
    <t xml:space="preserve">SUCCINYLCHOLINE CHLORIDE – DR REDDYS LABORATORIES LTD</t>
  </si>
  <si>
    <t xml:space="preserve">https://dailymed.nlm.nih.gov/dailymed/drugInfo.cfm?setid=6e6e0ce7-c73c-407f-9678-724425f24976</t>
  </si>
  <si>
    <t xml:space="preserve">SUCCINYLCHOLINE CHLORIDE INJECTION, USP – DR REDDY'S LABORATORIES LTD</t>
  </si>
  <si>
    <t xml:space="preserve">https://pdf.hres.ca/dpd_pm/00069183.PDF</t>
  </si>
  <si>
    <t xml:space="preserve">Product monograph</t>
  </si>
  <si>
    <t xml:space="preserve">Canadian product monograph shows the product and the manufacturer</t>
  </si>
  <si>
    <t xml:space="preserve">SUGAMMADEX SODIUM – DR REDDYS LABORATORIES LTD</t>
  </si>
  <si>
    <t xml:space="preserve">https://dailymed.nlm.nih.gov/dailymed/drugInfo.cfm?setid=4f90c37e-3505-0968-38fd-fc7e4dd66e82</t>
  </si>
  <si>
    <t xml:space="preserve">SUGAMMADEX 100MG/ML SOLUTION FOR INJECTION – DR REDDY'S LABORATORIES (UK) LIMITED</t>
  </si>
  <si>
    <t xml:space="preserve">Betapharm Arzneimittel Gmbh ; Dr. Reddy's Laboratories (Uk) Ltd ; Dr. Reddy's Laboratories Romania Srl ; Dr. Reddy’s S.R.L. ; Reddy Holding Gmbh ; Reddy Pharma Iberia, S.A. ; Reddy Pharma Sas</t>
  </si>
  <si>
    <t xml:space="preserve">Article 57 file: filter "Active substance" contains "sugammadex" and "Marketing authorisation holder" contains "Reddy" or "Betapharm" → country "United Kingdom (Northern Ireland)"</t>
  </si>
  <si>
    <t xml:space="preserve">EU/EEA (16): Germany, France, Netherlands, Austria, Czech Republic, Denmark, Finland, Ireland, Italy, Norway, Poland, Portugal, Romania, Slovakia, Spain, Sweden</t>
  </si>
  <si>
    <t xml:space="preserve">https://base-donnees-publique.medicaments.gouv.fr/index.php?page=1&amp;choixRecherche=medicament&amp;txtCaracteres=Sugammadex&amp;action=show</t>
  </si>
  <si>
    <t xml:space="preserve">French register shows the product and holder (France). For the other countries: Article 57 file: filter "Active substance" contains "sugammadex" and "Marketing authorisation holder" contains "Reddy" or "Betapharm" → "Product authorisation country"</t>
  </si>
  <si>
    <t xml:space="preserve">SUGAMMADEX-REDDY'S sugammadex (as sodium) 200 mg/2 mL injection vial – Dr Reddys Laboratories Australia Pty Ltd</t>
  </si>
  <si>
    <t xml:space="preserve">https://www.ebs.tga.gov.au/ebs/picmi/picmirepository.nsf/pdf?OpenAgent&amp;id=CP-2021-PI-01471-1</t>
  </si>
  <si>
    <t xml:space="preserve">Neuvysi 200 – Dr Reddy's Laboratories (Pty) Ltd</t>
  </si>
  <si>
    <t xml:space="preserve">https://pi-pil-repository.sahpra.org.za/wp-content/uploads/2023/11/Final_PI_Neuvysi_Applicant.pdf</t>
  </si>
  <si>
    <t xml:space="preserve">THIOTEPA – DR REDDYS LABORATORIES LTD</t>
  </si>
  <si>
    <t xml:space="preserve">https://dailymed.nlm.nih.gov/dailymed/drugInfo.cfm?setid=0def6a5e-4bf5-b1fd-47b7-0f17ecfd9bc2</t>
  </si>
  <si>
    <t xml:space="preserve">TRIAMCINOLONE ACETONIDE – DR REDDYS LABORATORIES LTD</t>
  </si>
  <si>
    <t xml:space="preserve">ACETAZOLAMIDE TILLOMED 500 MG POWDER FOR SOLUTION FOR INJECTION – TILLOMED LABORATORIES LIMITED</t>
  </si>
  <si>
    <t xml:space="preserve">Tillomed Laboratories Ltd</t>
  </si>
  <si>
    <t xml:space="preserve">Article 57 file: filter "Active substance" contains "acetazolamide" and "Marketing authorisation holder" contains "Tillomed" → country "United Kingdom (Northern Ireland)"</t>
  </si>
  <si>
    <t xml:space="preserve">AMIKACIN 250 MG/ML SOLUTION FOR INJECTION/INFUSION – TILLOMED LABORATORIES LIMITED</t>
  </si>
  <si>
    <t xml:space="preserve">Tillomed Laboratories Ltd ; Tillomed Malta Ltd</t>
  </si>
  <si>
    <t xml:space="preserve">Article 57 file: filter "Active substance" contains "amikacin" and "Marketing authorisation holder" contains "Tillomed" → country "United Kingdom (Northern Ireland)"</t>
  </si>
  <si>
    <t xml:space="preserve">AMIKACIN SULFATE INJECTION USP – MARCAN PHARMACEUTICALS INC</t>
  </si>
  <si>
    <t xml:space="preserve">https://health-products.canada.ca/dpd-bdpp/info?code=97163&amp;lang=eng</t>
  </si>
  <si>
    <t xml:space="preserve">EU/EEA (1): Malta</t>
  </si>
  <si>
    <t xml:space="preserve">Article 57 file: filter "Active substance" contains "amikacin" and "Marketing authorisation holder" contains "Tillomed" → "Product authorisation country"</t>
  </si>
  <si>
    <t xml:space="preserve">AMIKACIN EMC amikacin (as sulfate) 500 mg/2 mL solution for injection vial – Emcure Pharmaceuticals Pty Ltd</t>
  </si>
  <si>
    <t xml:space="preserve">https://www.ebs.tga.gov.au/ebs/picmi/picmirepository.nsf/pdf?OpenAgent&amp;id=CP-2019-PI-02339-1</t>
  </si>
  <si>
    <t xml:space="preserve">Tillomed Italia S.R.L.</t>
  </si>
  <si>
    <t xml:space="preserve">Article 57 file: filter "Active substance" contains "ampicillin" and "Marketing authorisation holder" contains "Tillomed" → "Product authorisation country"</t>
  </si>
  <si>
    <t xml:space="preserve">AZACITIDINE TILLOMED 25 MG/ML POWDER FOR SUSPENSION FOR INJECTION – TILLOMED LABORATORIES LIMITED</t>
  </si>
  <si>
    <t xml:space="preserve">https://mhraproducts4853.blob.core.windows.net/docs/e4d662e29a638c2305c604ee1f25827e963a09f4</t>
  </si>
  <si>
    <t xml:space="preserve">Tillomed Italia S.R.L. ; Tillomed Laboratories Ltd ; Tillomed Pharma Gmbh</t>
  </si>
  <si>
    <t xml:space="preserve">Article 57 file: filter "Active substance" contains "azacitidine" and "Marketing authorisation holder" contains "Tillomed" → country "United Kingdom (Northern Ireland)"</t>
  </si>
  <si>
    <t xml:space="preserve">EU/EEA (9): Germany, France, Netherlands, Austria, Denmark, Finland, Italy, Norway, Sweden</t>
  </si>
  <si>
    <t xml:space="preserve">https://base-donnees-publique.medicaments.gouv.fr/index.php?page=1&amp;choixRecherche=medicament&amp;txtCaracteres=Azacitidine%20Tillomed&amp;action=show</t>
  </si>
  <si>
    <t xml:space="preserve">French register shows the product and holder (France). For the other countries: Article 57 file: filter "Active substance" contains "azacitidine" and "Marketing authorisation holder" contains "Tillomed" → "Product authorisation country"</t>
  </si>
  <si>
    <t xml:space="preserve">Tillomed Laboratories Ltd ; Tillomed Pharma Gmbh</t>
  </si>
  <si>
    <t xml:space="preserve">Article 57 file: filter "Active substance" contains "bortezomib" and "Marketing authorisation holder" contains "Tillomed" → country "United Kingdom (Northern Ireland)"</t>
  </si>
  <si>
    <t xml:space="preserve">BORTEZOMIB FOR INJECTION – MARCAN PHARMACEUTICALS INC</t>
  </si>
  <si>
    <t xml:space="preserve">https://health-products.canada.ca/dpd-bdpp/info?code=98328&amp;lang=eng</t>
  </si>
  <si>
    <t xml:space="preserve">EU/EEA (2): Germany, France</t>
  </si>
  <si>
    <t xml:space="preserve">https://base-donnees-publique.medicaments.gouv.fr/index.php?page=1&amp;choixRecherche=medicament&amp;txtCaracteres=Bortezomib%20Tillomed&amp;action=show</t>
  </si>
  <si>
    <t xml:space="preserve">French register shows the product and holder (France). For the other countries: Article 57 file: filter "Active substance" contains "bortezomib" and "Marketing authorisation holder" contains "Tillomed" → "Product authorisation country"</t>
  </si>
  <si>
    <t xml:space="preserve">COLISTIMETHATE FOR INJECTION USP – MARCAN PHARMACEUTICALS INC</t>
  </si>
  <si>
    <t xml:space="preserve">https://health-products.canada.ca/dpd-bdpp/info?code=103531&amp;lang=eng</t>
  </si>
  <si>
    <t xml:space="preserve">CYCLOPHOSPHAMIDE FOR INJECTION USP – MARCAN PHARMACEUTICALS INC</t>
  </si>
  <si>
    <t xml:space="preserve">https://health-products.canada.ca/dpd-bdpp/info?code=106329&amp;lang=eng</t>
  </si>
  <si>
    <t xml:space="preserve">DAPTOMYCIN TILLOMED 350 MG POWDER FOR SOLUTION FOR INJECTION /INFUSION – TILLOMED LABORATORIES LIMITED</t>
  </si>
  <si>
    <t xml:space="preserve">https://mhraproducts4853.blob.core.windows.net/docs/9afd4b27b19aa5c9bee689358bc17d6502fcab14</t>
  </si>
  <si>
    <t xml:space="preserve">EU/EEA (4): Germany, France, Italy, Spain</t>
  </si>
  <si>
    <t xml:space="preserve">Laboratorios Tillomed Spain, S.L.U ; Tillomed Italia S.R.L. ; Tillomed Pharma Gmbh</t>
  </si>
  <si>
    <t xml:space="preserve">https://base-donnees-publique.medicaments.gouv.fr/index.php?page=1&amp;choixRecherche=medicament&amp;txtCaracteres=Daptomycin%20Tillomed&amp;action=show</t>
  </si>
  <si>
    <t xml:space="preserve">French register shows the product and holder (France). For the other countries: Article 57 file: filter "Active substance" contains "daptomycin" and "Marketing authorisation holder" contains "Tillomed" → "Product authorisation country"</t>
  </si>
  <si>
    <t xml:space="preserve">Tillomed Malta Ltd</t>
  </si>
  <si>
    <t xml:space="preserve">https://base-donnees-publique.medicaments.gouv.fr/index.php?page=1&amp;choixRecherche=medicament&amp;txtCaracteres=Eribuline%20Tillomed&amp;action=show</t>
  </si>
  <si>
    <t xml:space="preserve">French register shows the product and holder (France). For the other countries: Article 57 file: filter "Active substance" contains "eribulin" and "Marketing authorisation holder" contains "Tillomed" → "Product authorisation country"</t>
  </si>
  <si>
    <t xml:space="preserve">Laboratorios Tillomed Spain, S.L.U ; Tillomed Italia S.R.L. ; Tillomed Laboratories Ltd ; Tillomed Malta Ltd ; Tillomed Pharma Gmbh</t>
  </si>
  <si>
    <t xml:space="preserve">Article 57 file: filter "Active substance" contains "esomeprazole" and "Marketing authorisation holder" contains "Tillomed" → country "United Kingdom (Northern Ireland)"</t>
  </si>
  <si>
    <t xml:space="preserve">EU/EEA (7): Germany, France, Netherlands, Austria, Ireland, Italy, Poland</t>
  </si>
  <si>
    <t xml:space="preserve">https://base-donnees-publique.medicaments.gouv.fr/index.php?page=1&amp;choixRecherche=medicament&amp;txtCaracteres=Esomeprazole%20Tillomed&amp;action=show</t>
  </si>
  <si>
    <t xml:space="preserve">French register shows the product and holder (France). For the other countries: Article 57 file: filter "Active substance" contains "esomeprazole" and "Marketing authorisation holder" contains "Tillomed" → "Product authorisation country"</t>
  </si>
  <si>
    <t xml:space="preserve">ISOPROTERENOL HYDROCHLORIDE INJECTION USP – MARCAN PHARMACEUTICALS INC</t>
  </si>
  <si>
    <t xml:space="preserve">https://health-products.canada.ca/dpd-bdpp/info?code=99218&amp;lang=eng</t>
  </si>
  <si>
    <t xml:space="preserve">EU/EEA (2): France, Portugal</t>
  </si>
  <si>
    <t xml:space="preserve">Laboratorios Tillomed Spain, S.L.U ; Tillomed Pharma Gmbh</t>
  </si>
  <si>
    <t xml:space="preserve">https://base-donnees-publique.medicaments.gouv.fr/index.php?page=1&amp;choixRecherche=medicament&amp;txtCaracteres=Isoprenaline%20Chlorhydrate&amp;action=show</t>
  </si>
  <si>
    <t xml:space="preserve">French register shows the product and holder (France). For the other countries: Article 57 file: filter "Active substance" contains "isoprenaline" and "Marketing authorisation holder" contains "Tillomed" → "Product authorisation country"</t>
  </si>
  <si>
    <t xml:space="preserve">MELPHALAN 50 MG POWDER AND SOLVENT FOR SOLUTION FOR INJECTION/INFUSION – TILLOMED LABORATORIES LIMITED</t>
  </si>
  <si>
    <t xml:space="preserve">https://mhraproducts4853.blob.core.windows.net/docs/b72d32face7ce61d71696787ed3106ac25618280</t>
  </si>
  <si>
    <t xml:space="preserve">Tillomed Italia S.R.L. ; Tillomed Laboratories Ltd ; Tillomed Malta Ltd ; Tillomed Pharma Gmbh</t>
  </si>
  <si>
    <t xml:space="preserve">Article 57 file: filter "Active substance" contains "melphalan" and "Marketing authorisation holder" contains "Tillomed" → country "United Kingdom (Northern Ireland)"</t>
  </si>
  <si>
    <t xml:space="preserve">MELPHALAN FOR INJECTION – Marcan Pharmaceuticals Inc.</t>
  </si>
  <si>
    <t xml:space="preserve">https://health-products.canada.ca/dpd-bdpp/info?code=96274&amp;lang=eng</t>
  </si>
  <si>
    <t xml:space="preserve">EU/EEA (14): Germany, France, Netherlands, Belgium, Austria, Croatia, Cyprus, Greece, Ireland, Italy, Latvia, Portugal, Slovakia, Slovenia</t>
  </si>
  <si>
    <t xml:space="preserve">https://base-donnees-publique.medicaments.gouv.fr/index.php?page=1&amp;choixRecherche=medicament&amp;txtCaracteres=Melphalan%20Tillomed&amp;action=show</t>
  </si>
  <si>
    <t xml:space="preserve">French register shows the product and holder (France). For the other countries: Article 57 file: filter "Active substance" contains "melphalan" and "Marketing authorisation holder" contains "Tillomed" → "Product authorisation country"</t>
  </si>
  <si>
    <t xml:space="preserve">MELPHA melphalan (as hydrochloride) 50 mg powder for injection vial with diluent composite pack – Emcure Pharmaceuticals Pty Ltd</t>
  </si>
  <si>
    <t xml:space="preserve">https://www.ebs.tga.gov.au/ebs/picmi/picmirepository.nsf/pdf?OpenAgent&amp;id=CP-2018-PI-01539-1</t>
  </si>
  <si>
    <t xml:space="preserve">MILRINONE 1 MG/ML SOLUTION FOR INJECTION AND INFUSION – TILLOMED LABORATORIES LIMITED</t>
  </si>
  <si>
    <t xml:space="preserve">Article 57 file: filter "Active substance" contains "milrinone" and "Marketing authorisation holder" contains "Tillomed" → country "United Kingdom (Northern Ireland)"</t>
  </si>
  <si>
    <t xml:space="preserve">EU/EEA (5): Germany, France, Netherlands, Austria, Malta</t>
  </si>
  <si>
    <t xml:space="preserve">https://base-donnees-publique.medicaments.gouv.fr/index.php?page=1&amp;choixRecherche=medicament&amp;txtCaracteres=Milrinone%20Tillomed&amp;action=show</t>
  </si>
  <si>
    <t xml:space="preserve">French register shows the product and holder (France). For the other countries: Article 57 file: filter "Active substance" contains "milrinone" and "Marketing authorisation holder" contains "Tillomed" → "Product authorisation country"</t>
  </si>
  <si>
    <t xml:space="preserve">NEOSTIGMINE METHYLSULFATE INJECTION USP – Marcan Pharmaceuticals Inc.</t>
  </si>
  <si>
    <t xml:space="preserve">https://health-products.canada.ca/dpd-bdpp/info?code=96586&amp;lang=eng</t>
  </si>
  <si>
    <t xml:space="preserve">Tillomed Pharma Gmbh</t>
  </si>
  <si>
    <t xml:space="preserve">Article 57 file: filter "Active substance" contains "ondansetron" and "Marketing authorisation holder" contains "Tillomed" → "Product authorisation country"</t>
  </si>
  <si>
    <t xml:space="preserve">PANTOPRAZOLE 40 MG POWDER FOR SOLUTION FOR INJECTION – TILLOMED LABORATORIES LIMITED</t>
  </si>
  <si>
    <t xml:space="preserve">Article 57 file: filter "Active substance" contains "pantoprazole" and "Marketing authorisation holder" contains "Tillomed" → country "United Kingdom (Northern Ireland)"</t>
  </si>
  <si>
    <t xml:space="preserve">EU/EEA (3): Germany, France, Italy</t>
  </si>
  <si>
    <t xml:space="preserve">https://base-donnees-publique.medicaments.gouv.fr/index.php?page=1&amp;choixRecherche=medicament&amp;txtCaracteres=Pantoprazole%20Tillomed&amp;action=show</t>
  </si>
  <si>
    <t xml:space="preserve">French register shows the product and holder (France). For the other countries: Article 57 file: filter "Active substance" contains "pantoprazole" and "Marketing authorisation holder" contains "Tillomed" → "Product authorisation country"</t>
  </si>
  <si>
    <t xml:space="preserve">PENTAMIDINE ISETIONATE TILLOMED 300 MG POWDER FOR SOLUTION FOR INJECTION/INFUSION – TILLOMED LABORATORIES LIMITED</t>
  </si>
  <si>
    <t xml:space="preserve">Article 57 file: filter "Active substance" contains "pentamidine" and "Marketing authorisation holder" contains "Tillomed" → country "United Kingdom (Northern Ireland)"</t>
  </si>
  <si>
    <t xml:space="preserve">PENTAMIDINE ISETIONATE FOR INJECTION BP – MARCAN PHARMACEUTICALS INC</t>
  </si>
  <si>
    <t xml:space="preserve">https://health-products.canada.ca/dpd-bdpp/info?code=100704&amp;lang=eng</t>
  </si>
  <si>
    <t xml:space="preserve">EU/EEA (8): Germany, France, Netherlands, Denmark, Finland, Ireland, Norway, Sweden</t>
  </si>
  <si>
    <t xml:space="preserve">https://base-donnees-publique.medicaments.gouv.fr/index.php?page=1&amp;choixRecherche=medicament&amp;txtCaracteres=Pentamidine%20Tillomed&amp;action=show</t>
  </si>
  <si>
    <t xml:space="preserve">French register shows the product and holder (France). For the other countries: Article 57 file: filter "Active substance" contains "pentamidine" and "Marketing authorisation holder" contains "Tillomed" → "Product authorisation country"</t>
  </si>
  <si>
    <t xml:space="preserve">PENTAMIDINE-EMC pentamidine isetionate 300 mg powder for injection vial – Emcure Pharmaceuticals Pty Ltd</t>
  </si>
  <si>
    <t xml:space="preserve">https://www.ebs.tga.gov.au/ebs/picmi/picmirepository.nsf/pdf?OpenAgent&amp;id=CP-2023-PI-02341-1</t>
  </si>
  <si>
    <t xml:space="preserve">PLERIXAFOR 20 MG/ML SOLUTION FOR INJECTION – TILLOMED LABORATORIES LIMITED</t>
  </si>
  <si>
    <t xml:space="preserve">https://mhraproducts4853.blob.core.windows.net/docs/07357ed28124fa9adf67221cff8397b75709ff50</t>
  </si>
  <si>
    <t xml:space="preserve">Tillomed Italia S.R.L. ; Tillomed Pharma Gmbh</t>
  </si>
  <si>
    <t xml:space="preserve">https://base-donnees-publique.medicaments.gouv.fr/index.php?page=1&amp;choixRecherche=medicament&amp;txtCaracteres=Plerixafor%20Tillomed&amp;action=show</t>
  </si>
  <si>
    <t xml:space="preserve">French register shows the product and holder (France). For the other countries: Article 57 file: filter "Active substance" contains "plerixafor" and "Marketing authorisation holder" contains "Tillomed" → "Product authorisation country"</t>
  </si>
  <si>
    <t xml:space="preserve">PROPOFOL INJECTION – MARCAN PHARMACEUTICALS INC</t>
  </si>
  <si>
    <t xml:space="preserve">https://health-products.canada.ca/dpd-bdpp/info?code=101486&amp;lang=eng</t>
  </si>
  <si>
    <t xml:space="preserve">SUGAMMADEX 100 MG/ML SOLUTION FOR INJECTION – TILLOMED LABORATORIES LIMITED</t>
  </si>
  <si>
    <t xml:space="preserve">Laboratorios Tillomed Spain, S.L.U ; Tillomed Italia S.R.L. ; Tillomed Laboratories Ltd ; Tillomed Pharma Gmbh</t>
  </si>
  <si>
    <t xml:space="preserve">Article 57 file: filter "Active substance" contains "sugammadex" and "Marketing authorisation holder" contains "Tillomed" → country "United Kingdom (Northern Ireland)"</t>
  </si>
  <si>
    <t xml:space="preserve">EU/EEA (5): Germany, France, Netherlands, Italy, Spain</t>
  </si>
  <si>
    <t xml:space="preserve">Article 57 file: filter "Active substance" contains "sugammadex" and "Marketing authorisation holder" contains "Tillomed" → "Product authorisation country"</t>
  </si>
  <si>
    <t xml:space="preserve">Glenmark Arzneimittel Gmbh ; Glenmark Pharmaceuticals S.R.O.</t>
  </si>
  <si>
    <t xml:space="preserve">Article 57 file: filter "Active substance" contains "azacitidine" and "Marketing authorisation holder" contains "Glenmark" → "Product authorisation country"</t>
  </si>
  <si>
    <t xml:space="preserve">EU/EEA (11): Germany, France, Netherlands, Denmark, Finland, Italy, Norway, Poland, Slovakia, Spain, Sweden</t>
  </si>
  <si>
    <t xml:space="preserve">Article 57 file: filter "Active substance" contains "bortezomib" and "Marketing authorisation holder" contains "Glenmark" → "Product authorisation country"</t>
  </si>
  <si>
    <t xml:space="preserve">BORTRACZO bortezomib 2.5 mg/1 mL solution for injection – Glenmark Pharmaceuticals Australia Pty Ltd</t>
  </si>
  <si>
    <t xml:space="preserve">https://www.tga.gov.au/resources/artg/444811</t>
  </si>
  <si>
    <t xml:space="preserve">ERIBULIN MESYLATE – GLENMARK PHARMACEUTICALS INC USA</t>
  </si>
  <si>
    <t xml:space="preserve">https://dailymed.nlm.nih.gov/dailymed/drugInfo.cfm?setid=55f4017d-5ea8-4622-bf59-9b9c329097fd</t>
  </si>
  <si>
    <t xml:space="preserve">ERIBULIN 0.44 MG/ML SOLUTION FOR INJECTION – GLENMARK PHARMACEUTICALS EUROPE LIMITED</t>
  </si>
  <si>
    <t xml:space="preserve">https://mhraproducts4853.blob.core.windows.net/docs/b0ceabb0dd6b7d5e0d5eaf6156cd2acdc6593ea6</t>
  </si>
  <si>
    <t xml:space="preserve">Glenmark Arzneimittel Gmbh ; Glenmark Pharmaceuticals Europe Limited ; Glenmark Pharmaceuticals S.R.O.</t>
  </si>
  <si>
    <t xml:space="preserve">Article 57 file: filter "Active substance" contains "eribulin" and "Marketing authorisation holder" contains "Glenmark" → country "United Kingdom (Northern Ireland)"</t>
  </si>
  <si>
    <t xml:space="preserve">EU/EEA (6): Denmark, Finland, Italy, Norway, Spain, Sweden</t>
  </si>
  <si>
    <t xml:space="preserve">Article 57 file: filter "Active substance" contains "eribulin" and "Marketing authorisation holder" contains "Glenmark" → "Product authorisation country"</t>
  </si>
  <si>
    <t xml:space="preserve">FULVESTRANT – GLENMARK PHARMACEUTICALS INC USA</t>
  </si>
  <si>
    <t xml:space="preserve">https://dailymed.nlm.nih.gov/dailymed/drugInfo.cfm?setid=99cf8b69-4c23-4886-80e9-b23e348b5bd7</t>
  </si>
  <si>
    <t xml:space="preserve">FULVESTRANT 250 MG SOLUTION FOR INJECTION IN PRE-FILLED SYRINGE – GLENMARK PHARMACEUTICALS EUROPE LIMITED</t>
  </si>
  <si>
    <t xml:space="preserve">https://mhraproducts4853.blob.core.windows.net/docs/4e24a9a4b6a719b2aafafdba94273597a32d78e1</t>
  </si>
  <si>
    <t xml:space="preserve">Glenmark Arzneimittel Gmbh ; Glenmark Pharmaceuticals Europe Limited</t>
  </si>
  <si>
    <t xml:space="preserve">Article 57 file: filter "Active substance" contains "fulvestrant" and "Marketing authorisation holder" contains "Glenmark" → country "United Kingdom (Northern Ireland)"</t>
  </si>
  <si>
    <t xml:space="preserve">EU/EEA (5): Germany, Netherlands, Denmark, Spain, Sweden</t>
  </si>
  <si>
    <t xml:space="preserve">Article 57 file: filter "Active substance" contains "fulvestrant" and "Marketing authorisation holder" contains "Glenmark" → "Product authorisation country"</t>
  </si>
  <si>
    <t xml:space="preserve">Glenmark Arzneimittel Gmbh</t>
  </si>
  <si>
    <t xml:space="preserve">Article 57 file: filter "Active substance" contains "plerixafor" and "Marketing authorisation holder" contains "Glenmark" → "Product authorisation country"</t>
  </si>
  <si>
    <t xml:space="preserve">SUGAMMADEX 100 MG/ML SOLUTION FOR INJECTION – GLENMARK PHARMACEUTICALS EUROPE LIMITED</t>
  </si>
  <si>
    <t xml:space="preserve">https://mhraproducts4853.blob.core.windows.net/docs/e45682bfe340af873ea832a08fc0d30da2179c79</t>
  </si>
  <si>
    <t xml:space="preserve">Article 57 file: filter "Active substance" contains "sugammadex" and "Marketing authorisation holder" contains "Glenmark" → country "United Kingdom (Northern Ireland)"</t>
  </si>
  <si>
    <t xml:space="preserve">EU/EEA (7): Germany, Denmark, Finland, Italy, Norway, Spain, Sweden</t>
  </si>
  <si>
    <t xml:space="preserve">Article 57 file: filter "Active substance" contains "sugammadex" and "Marketing authorisation holder" contains "Glenmark" → "Product authorisation country"</t>
  </si>
  <si>
    <t xml:space="preserve">AZACITIDINE 25 MG/ML POWDER FOR SUSPENSION FOR INJECTION – AMAROX LIMITED</t>
  </si>
  <si>
    <t xml:space="preserve">https://mhraproducts4853.blob.core.windows.net/docs/f9227b59e7a18d99e840d90e17567148b1e67b9a</t>
  </si>
  <si>
    <t xml:space="preserve">Amarox Limited</t>
  </si>
  <si>
    <t xml:space="preserve">Article 57 file: filter "Active substance" contains "azacitidine" and "Marketing authorisation holder" contains "Amarox" → country "United Kingdom (Northern Ireland)"</t>
  </si>
  <si>
    <t xml:space="preserve">BORTEZOMIB – HETERO LABS LTD UNIT VI</t>
  </si>
  <si>
    <t xml:space="preserve">https://dailymed.nlm.nih.gov/dailymed/drugInfo.cfm?setid=04aafa6a-a50d-4a47-a831-be8e8bb992ac</t>
  </si>
  <si>
    <t xml:space="preserve">BORTEZOMIB 2.5 MG/ML SOLUTION FOR INJECTION – AMAROX LIMITED</t>
  </si>
  <si>
    <t xml:space="preserve">https://mhraproducts4853.blob.core.windows.net/docs/7e2b44fca58941c5658f914dc653e9323cf4a2cd</t>
  </si>
  <si>
    <t xml:space="preserve">Amarox Limited ; Amarox Pharma B.V. ; Amarox Pharma Gmbh ; Tarbis Farma, S.L.</t>
  </si>
  <si>
    <t xml:space="preserve">Article 57 file: filter "Active substance" contains "bortezomib" and "Marketing authorisation holder" contains "Amarox" or "Tarbis" → country "United Kingdom (Northern Ireland)"</t>
  </si>
  <si>
    <t xml:space="preserve">EU/EEA (3): Germany, Netherlands, Spain</t>
  </si>
  <si>
    <t xml:space="preserve">Article 57 file: filter "Active substance" contains "bortezomib" and "Marketing authorisation holder" contains "Amarox" or "Tarbis" → "Product authorisation country"</t>
  </si>
  <si>
    <t xml:space="preserve">BORTEZOMIB HETERO bortezomib 3.5 mg powder for injection vial – Hetero Australia Pty Ltd</t>
  </si>
  <si>
    <t xml:space="preserve">https://www.ebs.tga.gov.au/servlet/xmlmillr6?dbid=ebs/PublicHTML/pdfStore.nsf&amp;docid=214243&amp;agid=(PrintDetailsPublic)&amp;actionid=1</t>
  </si>
  <si>
    <t xml:space="preserve">Bortiv  – Hetero Drugs South Africa (Pty) Ltd</t>
  </si>
  <si>
    <t xml:space="preserve">BRIVARACETAM 10 MG / ML SOLUTION FOR INJECTION / INFUSION – AMAROX LIMITED</t>
  </si>
  <si>
    <t xml:space="preserve">https://mhraproducts4853.blob.core.windows.net/docs/da6e39cbeb26faea8c72a05b7312c32134b623cd</t>
  </si>
  <si>
    <t xml:space="preserve">Amarox Limited ; Amarox Pharma Gmbh ; Amarox Pharma S.R.L. ; Tarbis Farma, S.L.</t>
  </si>
  <si>
    <t xml:space="preserve">Article 57 file: filter "Active substance" contains "brivaracetam" and "Marketing authorisation holder" contains "Amarox" or "Tarbis" → country "United Kingdom (Northern Ireland)"</t>
  </si>
  <si>
    <t xml:space="preserve">EU/EEA (3): Germany, Italy, Spain</t>
  </si>
  <si>
    <t xml:space="preserve">Article 57 file: filter "Active substance" contains "brivaracetam" and "Marketing authorisation holder" contains "Amarox" or "Tarbis" → "Product authorisation country"</t>
  </si>
  <si>
    <t xml:space="preserve">CHLORPROMAZINE HYDROCHLORIDE – ASPIRO PHARMA LTD</t>
  </si>
  <si>
    <t xml:space="preserve">https://dailymed.nlm.nih.gov/dailymed/drugInfo.cfm?setid=6564346c-661c-41cf-9cef-db6aa15710cd</t>
  </si>
  <si>
    <t xml:space="preserve">CYANOCOBALAMIN – ASPIRO PHARMA LTD</t>
  </si>
  <si>
    <t xml:space="preserve">https://dailymed.nlm.nih.gov/dailymed/search.cfm?labeltype=all&amp;query=Cyanocobalamin</t>
  </si>
  <si>
    <t xml:space="preserve">DAPTOMYCIN 350 MG POWDER FOR SOLUTION FOR INJECTION OR INFUSION – AMAROX LIMITED</t>
  </si>
  <si>
    <t xml:space="preserve">https://mhraproducts4853.blob.core.windows.net/docs/767f850723d94449fe9c9148dd21c9b7daf22e18</t>
  </si>
  <si>
    <t xml:space="preserve">Article 57 file: filter "Active substance" contains "daptomycin" and "Marketing authorisation holder" contains "Amarox" or "Tarbis" → country "United Kingdom (Northern Ireland)"</t>
  </si>
  <si>
    <t xml:space="preserve">Article 57 file: filter "Active substance" contains "daptomycin" and "Marketing authorisation holder" contains "Amarox" or "Tarbis" → "Product authorisation country"</t>
  </si>
  <si>
    <t xml:space="preserve">GLYOPY 1 mg/5 ml VIAL – Hetero Drugs South Africa (Pty) Ltd</t>
  </si>
  <si>
    <t xml:space="preserve">SEP registry (NDoH)</t>
  </si>
  <si>
    <t xml:space="preserve">Download the Single Exit Price database and find the product (not on the public viewer)</t>
  </si>
  <si>
    <t xml:space="preserve">ISOPROTERENOL HYDROCHLORIDE – ASPIRO PHARMA LTD</t>
  </si>
  <si>
    <t xml:space="preserve">https://dailymed.nlm.nih.gov/dailymed/search.cfm?labeltype=all&amp;query=Isoproterenol+Hydrochloride</t>
  </si>
  <si>
    <t xml:space="preserve">LIDOCAINE HYDROCHLORIDE – ASPIRO PHARMA LTD</t>
  </si>
  <si>
    <t xml:space="preserve">https://dailymed.nlm.nih.gov/dailymed/drugInfo.cfm?setid=cfbca641-aeee-4dc8-a340-30c53d3b023b</t>
  </si>
  <si>
    <t xml:space="preserve">MAGNESIUM SULFATE – ASPIRO PHARMA LTD</t>
  </si>
  <si>
    <t xml:space="preserve">https://dailymed.nlm.nih.gov/dailymed/drugInfo.cfm?setid=5a0f9db9-b8be-c923-e063-6394a90a7dd7</t>
  </si>
  <si>
    <t xml:space="preserve">MELPHALAN 50 MG POWDER AND SOLVENT FOR SOLUTION FOR INJECTION/INFUSION – AMAROX LIMITED</t>
  </si>
  <si>
    <t xml:space="preserve">https://mhraproducts4853.blob.core.windows.net/docs/703e9b8af2577bc6d1c69e9d1f96615cbdcb7a07</t>
  </si>
  <si>
    <t xml:space="preserve">Article 57 file: filter "Active substance" contains "melphalan" and "Marketing authorisation holder" contains "Amarox" or "Tarbis" → country "United Kingdom (Northern Ireland)"</t>
  </si>
  <si>
    <t xml:space="preserve">Article 57 file: filter "Active substance" contains "melphalan" and "Marketing authorisation holder" contains "Amarox" or "Tarbis" → "Product authorisation country"</t>
  </si>
  <si>
    <t xml:space="preserve">METHOTREXATE SODIUM – HETERO LABS LTD UNIT VI</t>
  </si>
  <si>
    <t xml:space="preserve">https://dailymed.nlm.nih.gov/dailymed/search.cfm?labeltype=all&amp;query=Methotrexate+Sodium</t>
  </si>
  <si>
    <t xml:space="preserve">Hetnoset – Hetero Drugs South Africa (Pty) Ltd</t>
  </si>
  <si>
    <t xml:space="preserve">https://medicineprices.org.za/#search:hetnoset</t>
  </si>
  <si>
    <t xml:space="preserve">PANTOPRAZOLE 40 MG POWDER FOR SOLUTION FOR INJECTION – AMAROX LIMITED</t>
  </si>
  <si>
    <t xml:space="preserve">Article 57 file: filter "Active substance" contains "pantoprazole" and "Marketing authorisation holder" contains "Amarox" or "Tarbis" → country "United Kingdom (Northern Ireland)"</t>
  </si>
  <si>
    <t xml:space="preserve">Article 57 file: filter "Active substance" contains "pantoprazole" and "Marketing authorisation holder" contains "Amarox" or "Tarbis" → "Product authorisation country"</t>
  </si>
  <si>
    <t xml:space="preserve">PLERIXAFOR – HETERO LABS LTD UNIT VI</t>
  </si>
  <si>
    <t xml:space="preserve">https://dailymed.nlm.nih.gov/dailymed/drugInfo.cfm?setid=bb8e1167-8378-4e73-9bcb-d69093ec829b</t>
  </si>
  <si>
    <t xml:space="preserve">PLERIXAFOR 20 MG/ML SOLUTION FOR INJECTION – AMAROX LIMITED</t>
  </si>
  <si>
    <t xml:space="preserve">https://mhraproducts4853.blob.core.windows.net/docs/04f9e2d2b4b82a0ffe5f86e1d5d606b552cb19c3</t>
  </si>
  <si>
    <t xml:space="preserve">Article 57 file: filter "Active substance" contains "plerixafor" and "Marketing authorisation holder" contains "Amarox" or "Tarbis" → country "United Kingdom (Northern Ireland)"</t>
  </si>
  <si>
    <t xml:space="preserve">Article 57 file: filter "Active substance" contains "plerixafor" and "Marketing authorisation holder" contains "Amarox" or "Tarbis" → "Product authorisation country"</t>
  </si>
  <si>
    <t xml:space="preserve">Heterix 24 – Hetero Drugs South Africa (Pty) Ltd</t>
  </si>
  <si>
    <t xml:space="preserve">PROPOFOL – ASPIRO PHARMA LTD</t>
  </si>
  <si>
    <t xml:space="preserve">https://dailymed.nlm.nih.gov/dailymed/search.cfm?labeltype=all&amp;query=Propofol</t>
  </si>
  <si>
    <t xml:space="preserve">Article 57 file: filter "Active substance" contains "rocuronium" and "Marketing authorisation holder" contains "Amarox" → country "United Kingdom (Northern Ireland)"</t>
  </si>
  <si>
    <t xml:space="preserve">SODIUM BICARBONATE – ASPIRO PHARMA LTD</t>
  </si>
  <si>
    <t xml:space="preserve">https://dailymed.nlm.nih.gov/dailymed/search.cfm?labeltype=all&amp;query=Sodium+Bicarbonate</t>
  </si>
  <si>
    <t xml:space="preserve">SUCCINYLCHOLINE CHLORIDE – ASPIRO PHARMA LTD</t>
  </si>
  <si>
    <t xml:space="preserve">https://dailymed.nlm.nih.gov/dailymed/drugInfo.cfm?setid=7d0f0431-e616-49c2-80d8-0752a45428db</t>
  </si>
  <si>
    <t xml:space="preserve">SUGAMMADEX SODIUM – ASPIRO PHARMA LTD</t>
  </si>
  <si>
    <t xml:space="preserve">https://dailymed.nlm.nih.gov/dailymed/drugInfo.cfm?setid=9adda802-fab2-40c1-9c2f-358debdfb249</t>
  </si>
  <si>
    <t xml:space="preserve">SUGAMMADEX 100 MG/ML SOLUTION FOR INJECTION – AMAROX LIMITED</t>
  </si>
  <si>
    <t xml:space="preserve">Article 57 file: filter "Active substance" contains "sugammadex" and "Marketing authorisation holder" contains "Amarox" or "Tarbis" → country "United Kingdom (Northern Ireland)"</t>
  </si>
  <si>
    <t xml:space="preserve">Article 57 file: filter "Active substance" contains "sugammadex" and "Marketing authorisation holder" contains "Amarox" or "Tarbis" → "Product authorisation country"</t>
  </si>
  <si>
    <t xml:space="preserve">Sugmasol 200mg/2ml – Hetero Drugs South Africa (Pty) Ltd</t>
  </si>
  <si>
    <t xml:space="preserve">TEICOPLANIN 400 MG POWDER AND SOLVENT FOR SOLUTION FOR INJECTION/ INFUSION OR ORAL SOLUTION – AMAROX LIMITED</t>
  </si>
  <si>
    <t xml:space="preserve">https://mhraproducts4853.blob.core.windows.net/docs/cdd932519ea5620f679cbc05a39d576016396f04</t>
  </si>
  <si>
    <t xml:space="preserve">Article 57 file: filter "Active substance" contains "teicoplanin" and "Marketing authorisation holder" contains "Amarox" → country "United Kingdom (Northern Ireland)"</t>
  </si>
  <si>
    <t xml:space="preserve">VERAPAMIL HYDROCHLORIDE – ASPIRO PHARMA LTD</t>
  </si>
  <si>
    <t xml:space="preserve">https://dailymed.nlm.nih.gov/dailymed/search.cfm?labeltype=all&amp;query=Verapamil+Hydrochloride</t>
  </si>
  <si>
    <t xml:space="preserve">Accord-Uk Limited</t>
  </si>
  <si>
    <t xml:space="preserve">Article 57 file: filter "Active substance" contains "amiodarone" and "Marketing authorisation holder" contains "Accord" → country "United Kingdom (Northern Ireland)"</t>
  </si>
  <si>
    <t xml:space="preserve">AMIODARONE 30 mg/ml PREFILLED SYRINGE ACCORD – Accord Healthcare (Pty) Ltd</t>
  </si>
  <si>
    <t xml:space="preserve">https://pi-pil-repository.sahpra.org.za/wp-content/uploads/2023/08/Final_PI_Amiodarone_Applicant.pdf</t>
  </si>
  <si>
    <t xml:space="preserve">Accord Healthcare Limited ; Accord Healthcare S.L.U.</t>
  </si>
  <si>
    <t xml:space="preserve">Article 57 file: filter "Active substance" contains "amoxicill" and "Marketing authorisation holder" contains "Accord" → country "United Kingdom (Northern Ireland)"</t>
  </si>
  <si>
    <t xml:space="preserve">EU/EEA (1): Portugal</t>
  </si>
  <si>
    <t xml:space="preserve">Article 57 file: filter "Active substance" contains "amoxicill" and "Marketing authorisation holder" contains "Accord" → "Product authorisation country"</t>
  </si>
  <si>
    <t xml:space="preserve">ARGATROBAN IN SODIUM CHLORIDE – ACCORD HEALTHCARE INC</t>
  </si>
  <si>
    <t xml:space="preserve">https://dailymed.nlm.nih.gov/dailymed/drugInfo.cfm?setid=46cdf9e6-839c-49c8-9ee1-c30cfdd9368d</t>
  </si>
  <si>
    <t xml:space="preserve">Accord Healthcare B.V. ; Accord Healthcare France Sas ; Accord Healthcare Limited</t>
  </si>
  <si>
    <t xml:space="preserve">Article 57 file: filter "Active substance" contains "argatroban" and "Marketing authorisation holder" contains "Accord" → country "United Kingdom (Northern Ireland)"</t>
  </si>
  <si>
    <t xml:space="preserve">EU/EEA (3): Germany, France, Austria</t>
  </si>
  <si>
    <t xml:space="preserve">https://base-donnees-publique.medicaments.gouv.fr/index.php?page=1&amp;choixRecherche=medicament&amp;txtCaracteres=Argatroban%20Accord&amp;action=show</t>
  </si>
  <si>
    <t xml:space="preserve">French register shows the product and holder (France). For the other countries: Article 57 file: filter "Active substance" contains "argatroban" and "Marketing authorisation holder" contains "Accord" → "Product authorisation country"</t>
  </si>
  <si>
    <t xml:space="preserve">Accord Healthcare Limited</t>
  </si>
  <si>
    <t xml:space="preserve">Article 57 file: filter "Active substance" contains "atracurium" and "Marketing authorisation holder" contains "Accord" → country "United Kingdom (Northern Ireland)"</t>
  </si>
  <si>
    <t xml:space="preserve">ATROPINE SULFATE – ACCORD HEALTHCARE INC</t>
  </si>
  <si>
    <t xml:space="preserve">https://dailymed.nlm.nih.gov/dailymed/drugInfo.cfm?setid=c82cb295-ffce-47d6-97ad-a8aa723f4e4f</t>
  </si>
  <si>
    <t xml:space="preserve">ATROPINE SULFATE 0.1 MG/ML, SOLUTION FOR INJECTION IN PRE-FILLED SYRINGE – ACCORD-UK LIMITED</t>
  </si>
  <si>
    <t xml:space="preserve">https://mhraproducts4853.blob.core.windows.net/docs/83f16d64af85ebcff9e5a6717926b9a997285ef9</t>
  </si>
  <si>
    <t xml:space="preserve">Accord Healthcare B.V. ; Accord Healthcare France Sas ; Accord Healthcare Polska Sp. Z O.O. ; Accord Healthcare S.L.U. ; Accord-Uk Limited</t>
  </si>
  <si>
    <t xml:space="preserve">Article 57 file: filter "Active substance" contains "atropin" and "Marketing authorisation holder" contains "Accord" → country "United Kingdom (Northern Ireland)"</t>
  </si>
  <si>
    <t xml:space="preserve">EU/EEA (13): Germany, France, Netherlands, Austria, Czech Republic, Denmark, Finland, Italy, Norway, Portugal, Romania, Spain, Sweden</t>
  </si>
  <si>
    <t xml:space="preserve">https://base-donnees-publique.medicaments.gouv.fr/index.php?page=1&amp;choixRecherche=medicament&amp;txtCaracteres=Atropine%20Sulfate&amp;action=show</t>
  </si>
  <si>
    <t xml:space="preserve">French register shows the product and holder (France). For the other countries: Article 57 file: filter "Active substance" contains "atropin" and "Marketing authorisation holder" contains "Accord" → "Product authorisation country"</t>
  </si>
  <si>
    <t xml:space="preserve">AZACITIDINE ACCORD 25 MG/ML POWDER FOR SUSPENSION FOR INJECTION – ACCORD HEALTHCARE LIMITED</t>
  </si>
  <si>
    <t xml:space="preserve">https://mhraproducts4853.blob.core.windows.net/docs/a2a772c860b9386451c6a3574cfdaf10ef66ccc2</t>
  </si>
  <si>
    <t xml:space="preserve">Accord Healthcare S.L.U.</t>
  </si>
  <si>
    <t xml:space="preserve">https://www.ema.europa.eu/en/medicines/human/EPAR/azacitidine-accord</t>
  </si>
  <si>
    <t xml:space="preserve">Page shows the EU-wide (central) authorisation – valid in all EU/EEA countries – and the holder. Article 57 file: filter "Active substance" contains "azacitidine" and "Marketing authorisation holder" contains "Accord" → "Product authorisation country"</t>
  </si>
  <si>
    <t xml:space="preserve">AZACCORD azacitidine 100mg powder for injection vial – Accord Healthcare Pty Ltd</t>
  </si>
  <si>
    <t xml:space="preserve">https://www.ebs.tga.gov.au/servlet/xmlmillr6?dbid=ebs/PublicHTML/pdfStore.nsf&amp;docid=265773&amp;agid=(PrintDetailsPublic)&amp;actionid=1</t>
  </si>
  <si>
    <t xml:space="preserve">BIVALIRUDIN – ACCORD HEALTHCARE INC</t>
  </si>
  <si>
    <t xml:space="preserve">https://dailymed.nlm.nih.gov/dailymed/drugInfo.cfm?setid=c20969cb-72d4-469b-9bd8-332250d896c3</t>
  </si>
  <si>
    <t xml:space="preserve">BIVALIRUDIN 250 MG POWDER FOR CONCENTRATE FOR SOLUTION FOR INJECTION OR INFUSION – ACCORD HEALTHCARE LIMITED</t>
  </si>
  <si>
    <t xml:space="preserve">https://mhraproducts4853.blob.core.windows.net/docs/30f752c59283a6203a2ee801fcc269de3749bd69</t>
  </si>
  <si>
    <t xml:space="preserve">Accord Healthcare B.V. ; Accord Healthcare France Sas ; Accord Healthcare Limited ; Accord Healthcare Polska Sp. Z O.O. ; Accord Healthcare S.L.U.</t>
  </si>
  <si>
    <t xml:space="preserve">Article 57 file: filter "Active substance" contains "bivalirudin" and "Marketing authorisation holder" contains "Accord" → country "United Kingdom (Northern Ireland)"</t>
  </si>
  <si>
    <t xml:space="preserve">EU/EEA (9): Germany, France, Netherlands, Belgium, Austria, Italy, Poland, Portugal, Slovenia</t>
  </si>
  <si>
    <t xml:space="preserve">https://base-donnees-publique.medicaments.gouv.fr/index.php?page=1&amp;choixRecherche=medicament&amp;txtCaracteres=Bivalirudine%20Accord&amp;action=show</t>
  </si>
  <si>
    <t xml:space="preserve">French register shows the product and holder (France). For the other countries: Article 57 file: filter "Active substance" contains "bivalirudin" and "Marketing authorisation holder" contains "Accord" → "Product authorisation country"</t>
  </si>
  <si>
    <t xml:space="preserve">BLEOMYCIN 15000 IU POWDER FOR SOLUTION FOR INJECTION/ INFUSION – ACCORD HEALTHCARE LIMITED</t>
  </si>
  <si>
    <t xml:space="preserve">Article 57 file: filter "Active substance" contains "bleomycin" and "Marketing authorisation holder" contains "Accord" → country "United Kingdom (Northern Ireland)"</t>
  </si>
  <si>
    <t xml:space="preserve">EU/EEA (14): Germany, France, Netherlands, Belgium, Austria, Czech Republic, Denmark, Finland, Norway, Poland, Portugal, Romania, Spain, Sweden</t>
  </si>
  <si>
    <t xml:space="preserve">https://base-donnees-publique.medicaments.gouv.fr/index.php?page=1&amp;choixRecherche=medicament&amp;txtCaracteres=Bleomycine%20Accord&amp;action=show</t>
  </si>
  <si>
    <t xml:space="preserve">French register shows the product and holder (France). For the other countries: Article 57 file: filter "Active substance" contains "bleomycin" and "Marketing authorisation holder" contains "Accord" → "Product authorisation country"</t>
  </si>
  <si>
    <t xml:space="preserve">BLEOMYCIN ACCORD bleomycin (as sulfate) 15,000 IU powder for injection vial – Accord Healthcare Pty Ltd</t>
  </si>
  <si>
    <t xml:space="preserve">https://www.tga.gov.au/resources/artg/455447</t>
  </si>
  <si>
    <t xml:space="preserve">BORTEZOMIB 2.0 MG SOLUTION FOR INJECTION IN PRE-FILLED SYRINGE – ACCORD HEALTHCARE LIMITED</t>
  </si>
  <si>
    <t xml:space="preserve">https://mhraproducts4853.blob.core.windows.net/docs/12980f46e6a82ae30e1d8b52c7aa037faf108ac2</t>
  </si>
  <si>
    <t xml:space="preserve">https://www.ema.europa.eu/en/medicines/human/EPAR/bortezomib-accord</t>
  </si>
  <si>
    <t xml:space="preserve">EU-wide (central) authorisation also covers Northern Ireland; page shows the product and the holder. Or: Article 57 file: filter "Active substance" contains "bortezomib" and "Marketing authorisation holder" contains "Accord" → country "United Kingdom (Northern Ireland)"</t>
  </si>
  <si>
    <t xml:space="preserve">Page shows the EU-wide (central) authorisation – valid in all EU/EEA countries – and the holder. Article 57 file: filter "Active substance" contains "bortezomib" and "Marketing authorisation holder" contains "Accord" → "Product authorisation country"</t>
  </si>
  <si>
    <t xml:space="preserve">BORTEZOMIB ACCORD bortezomib 2.5 mg/1 mL solution for injection vial – Accord Healthcare Pty Ltd</t>
  </si>
  <si>
    <t xml:space="preserve">https://www.ebs.tga.gov.au/ebs/picmi/picmirepository.nsf/pdf?OpenAgent&amp;id=CP-2021-PI-01166-1</t>
  </si>
  <si>
    <t xml:space="preserve">Valtib – Accord Healthcare (Pty) Ltd</t>
  </si>
  <si>
    <t xml:space="preserve">Accord Healthcare B.V. ; Accord Healthcare France Sas ; Accord Healthcare Polska Sp. Z O.O. ; Accord Healthcare S.L.U.</t>
  </si>
  <si>
    <t xml:space="preserve">https://base-donnees-publique.medicaments.gouv.fr/index.php?page=1&amp;choixRecherche=medicament&amp;txtCaracteres=Cefepime%20Accord&amp;action=show</t>
  </si>
  <si>
    <t xml:space="preserve">French register shows the product and holder (France). For the other countries: Article 57 file: filter "Active substance" contains "cefepime" and "Marketing authorisation holder" contains "Accord" → "Product authorisation country"</t>
  </si>
  <si>
    <t xml:space="preserve">Article 57 file: filter "Active substance" contains "ceftriaxone" and "Marketing authorisation holder" contains "Accord" → "Product authorisation country"</t>
  </si>
  <si>
    <t xml:space="preserve">CISATRACURIUM 5 MG/ML SOLUTION FOR INJECTION/INFUSION – ACCORD HEALTHCARE LIMITED</t>
  </si>
  <si>
    <t xml:space="preserve">Article 57 file: filter "Active substance" contains "cisatracurium" and "Marketing authorisation holder" contains "Accord" → country "United Kingdom (Northern Ireland)"</t>
  </si>
  <si>
    <t xml:space="preserve">EU/EEA (12): France, Netherlands, Austria, Croatia, Cyprus, Denmark, Finland, Hungary, Norway, Poland, Portugal, Spain</t>
  </si>
  <si>
    <t xml:space="preserve">https://base-donnees-publique.medicaments.gouv.fr/index.php?page=1&amp;choixRecherche=medicament&amp;txtCaracteres=Cisatracurium%20Accord&amp;action=show</t>
  </si>
  <si>
    <t xml:space="preserve">French register shows the product and holder (France). For the other countries: Article 57 file: filter "Active substance" contains "cisatracurium" and "Marketing authorisation holder" contains "Accord" → "Product authorisation country"</t>
  </si>
  <si>
    <t xml:space="preserve">CISATRACURIUM ACCORD cisatracurium (as besilate) 10 mg / 5 mL solution for injection vial – Accord Healthcare Pty Ltd</t>
  </si>
  <si>
    <t xml:space="preserve">https://www.healthdirect.gov.au/medicines/brand/amt%2C747971000168108/cisatracurium-accord</t>
  </si>
  <si>
    <t xml:space="preserve">COLISTIMETHATE SODIUM 2 MILLION INTERNATIONAL UNITS (IU) POWDER FOR SOLUTION FOR INJECTION/INFUSION – ACCORD-UK LIMITED</t>
  </si>
  <si>
    <t xml:space="preserve">https://mhraproducts4853.blob.core.windows.net/docs/8aa64ad76fd15cb2547c7efd93adab9ba205d731</t>
  </si>
  <si>
    <t xml:space="preserve">Accord Healthcare B.V. ; Accord Healthcare France Sas ; Accord Healthcare Ireland Limited ; Accord Healthcare Polska Sp. Z O.O. ; Accord Healthcare S.L.U. ; Accord-Uk Limited</t>
  </si>
  <si>
    <t xml:space="preserve">Article 57 file: filter "Active substance" contains "colisti" and "Marketing authorisation holder" contains "Accord" → country "United Kingdom (Northern Ireland)"</t>
  </si>
  <si>
    <t xml:space="preserve">EU/EEA (20): France, Netherlands, Belgium, Austria, Bulgaria, Croatia, Cyprus, Czech Republic, Denmark, Estonia, Hungary, Ireland, Italy, Lithuania, Poland, Portugal, Romania, Slovenia, Spain, Sweden</t>
  </si>
  <si>
    <t xml:space="preserve">https://base-donnees-publique.medicaments.gouv.fr/index.php?page=1&amp;choixRecherche=medicament&amp;txtCaracteres=Colistimethate%20Sodique&amp;action=show</t>
  </si>
  <si>
    <t xml:space="preserve">French register shows the product and holder (France). For the other countries: Article 57 file: filter "Active substance" contains "colisti" and "Marketing authorisation holder" contains "Accord" → "Product authorisation country"</t>
  </si>
  <si>
    <t xml:space="preserve">CYCLOPHOSPHAMIDE ACCORD 2000 MG POWDER FOR SOLUTION FOR INJECTION/INFUSION – ACCORD HEALTHCARE LIMITED</t>
  </si>
  <si>
    <t xml:space="preserve">https://mhraproducts4853.blob.core.windows.net/docs/d3c74c787031827e9a6482db982411c9ea5b4974</t>
  </si>
  <si>
    <t xml:space="preserve">Accord Healthcare B.V. ; Accord Healthcare France Sas ; Accord Healthcare Limited ; Accord Healthcare Polska Sp. Z O.O. ; Accord Healthcare S.L.U. ; Accord-Uk Limited</t>
  </si>
  <si>
    <t xml:space="preserve">Article 57 file: filter "Active substance" contains "cyclophosphamide" and "Marketing authorisation holder" contains "Accord" → country "United Kingdom (Northern Ireland)"</t>
  </si>
  <si>
    <t xml:space="preserve">EU/EEA (20): Germany, France, Netherlands, Belgium, Bulgaria, Croatia, Cyprus, Czech Republic, Denmark, Estonia, Finland, Italy, Latvia, Lithuania, Norway, Poland, Portugal, Romania, Spain, Sweden</t>
  </si>
  <si>
    <t xml:space="preserve">Article 57 file: filter "Active substance" contains "cyclophosphamide" and "Marketing authorisation holder" contains "Accord" → "Product authorisation country"</t>
  </si>
  <si>
    <t xml:space="preserve">CYCLOPHOSPHAMIDE INTAS cyclophosphamide (as monohydrate) 500 mg powder for injection vial – Accord Healthcare Pty Ltd</t>
  </si>
  <si>
    <t xml:space="preserve">https://www.ebs.tga.gov.au/servlet/xmlmillr6?dbid=ebs/PublicHTML/pdfStore.nsf&amp;docid=361544&amp;agid=(PrintDetailsPublic)&amp;actionid=1</t>
  </si>
  <si>
    <t xml:space="preserve">CYTARABINE 20MG/ML SOLUTION FOR INJECTION/INFUSION – ACCORD HEALTHCARE LIMITED</t>
  </si>
  <si>
    <t xml:space="preserve">Accord Healthcare B.V. ; Accord Healthcare France Sas ; Accord Healthcare Ireland Limited ; Accord Healthcare Limited ; Accord Healthcare Polska Sp. Z O.O. ; Accord Healthcare S.L.U.</t>
  </si>
  <si>
    <t xml:space="preserve">Article 57 file: filter "Active substance" contains "cytarabine" and "Marketing authorisation holder" contains "Accord" → country "United Kingdom (Northern Ireland)"</t>
  </si>
  <si>
    <t xml:space="preserve">EU/EEA (25): Germany, France, Netherlands, Belgium, Austria, Bulgaria, Cyprus, Czech Republic, Denmark, Estonia, Finland, Hungary, Ireland, Italy, Latvia, Lithuania, Malta, Norway, Poland, Portugal, Romania, Slovakia, Slovenia, Spain, Sweden</t>
  </si>
  <si>
    <t xml:space="preserve">https://base-donnees-publique.medicaments.gouv.fr/index.php?page=1&amp;choixRecherche=medicament&amp;txtCaracteres=Cytarabine%20Accord&amp;action=show</t>
  </si>
  <si>
    <t xml:space="preserve">French register shows the product and holder (France). For the other countries: Article 57 file: filter "Active substance" contains "cytarabine" and "Marketing authorisation holder" contains "Accord" → "Product authorisation country"</t>
  </si>
  <si>
    <t xml:space="preserve">CYTARABINE ACCORD cytarabine 4000 mg/40 mL injection vial – Accord Healthcare Pty Ltd</t>
  </si>
  <si>
    <t xml:space="preserve">https://www.ebs.tga.gov.au/ebs/picmi/picmirepository.nsf/pdf?OpenAgent&amp;id=CP-2019-PI-01435-1</t>
  </si>
  <si>
    <t xml:space="preserve">DAPTOMYCIN 350 MG POWDER FOR SOLUTION FOR INJECTION/INFUSION – ACCORD-UK LIMITED</t>
  </si>
  <si>
    <t xml:space="preserve">https://mhraproducts4853.blob.core.windows.net/docs/0183f536246db149ed7afbe39d17c1895384ae38</t>
  </si>
  <si>
    <t xml:space="preserve">Accord Healthcare B.V. ; Accord Healthcare France Sas ; Accord Healthcare Ireland Limited ; Accord Healthcare Limited ; Accord Healthcare Polska Sp. Z O.O. ; Accord Healthcare S.L.U. ; Accord-Uk Limited</t>
  </si>
  <si>
    <t xml:space="preserve">Article 57 file: filter "Active substance" contains "daptomycin" and "Marketing authorisation holder" contains "Accord" → country "United Kingdom (Northern Ireland)"</t>
  </si>
  <si>
    <t xml:space="preserve">EU/EEA (17): Germany, France, Netherlands, Austria, Croatia, Czech Republic, Denmark, Finland, Greece, Ireland, Italy, Norway, Poland, Portugal, Slovenia, Spain, Sweden</t>
  </si>
  <si>
    <t xml:space="preserve">https://base-donnees-publique.medicaments.gouv.fr/index.php?page=1&amp;choixRecherche=medicament&amp;txtCaracteres=Daptomycine&amp;action=show</t>
  </si>
  <si>
    <t xml:space="preserve">French register shows the product and holder (France). For the other countries: Article 57 file: filter "Active substance" contains "daptomycin" and "Marketing authorisation holder" contains "Accord" → "Product authorisation country"</t>
  </si>
  <si>
    <t xml:space="preserve">DAPTOMYCIN ACCORD daptomycin 350 mg powder for injection vial – Accord Healthcare Pty Ltd</t>
  </si>
  <si>
    <t xml:space="preserve">https://www.ebs.tga.gov.au/servlet/xmlmillr6?dbid=ebs/PublicHTML/pdfStore.nsf&amp;docid=315391&amp;agid=(PrintDetailsPublic)&amp;actionid=1</t>
  </si>
  <si>
    <t xml:space="preserve">DABUCOR 500 – Accord Healthcare (Pty) Ltd</t>
  </si>
  <si>
    <t xml:space="preserve">https://pi-pil-repository.sahpra.org.za/wp-content/uploads/2023/04/Final_PIL_Dabucor_Applicant.pdf</t>
  </si>
  <si>
    <t xml:space="preserve">DEGARELIX 80 MG POWDER AND SOLVENT FOR SOLUTION FOR INJECTION – ACCORD HEALTHCARE LIMITED</t>
  </si>
  <si>
    <t xml:space="preserve">https://mhraproducts4853.blob.core.windows.net/docs/7a814678d4b4e608757e54abcf1f8525475a6699</t>
  </si>
  <si>
    <t xml:space="preserve">https://www.ema.europa.eu/en/medicines/human/EPAR/degarelix-accord</t>
  </si>
  <si>
    <t xml:space="preserve">Page shows the EU-wide (central) authorisation – valid in all EU/EEA countries – and the holder. Article 57 file: filter "Active substance" contains "degarelix" and "Marketing authorisation holder" contains "Accord" → "Product authorisation country"</t>
  </si>
  <si>
    <t xml:space="preserve">JUBEREQ 120 MG SOLUTION FOR INJECTION – ACCORD HEALTHCARE LIMITED</t>
  </si>
  <si>
    <t xml:space="preserve">https://dmd-browser.nhsbsa.nhs.uk/ampp/view/212227</t>
  </si>
  <si>
    <t xml:space="preserve">https://www.ema.europa.eu/en/medicines/human/EPAR/jubereq</t>
  </si>
  <si>
    <t xml:space="preserve">Page shows the EU-wide (central) authorisation – valid in all EU/EEA countries – and the holder. Article 57 file: filter "Active substance" contains "denosumab" and "Marketing authorisation holder" contains "Accord" → "Product authorisation country"</t>
  </si>
  <si>
    <t xml:space="preserve">DOSTIVA denosumab 70mg/mL (120mg/1.7mL) solution for injection vial – Accord Healthcare Pty Ltd</t>
  </si>
  <si>
    <t xml:space="preserve">https://www.tga.gov.au/resources/artg/450305</t>
  </si>
  <si>
    <t xml:space="preserve">https://www.ema.europa.eu/en/medicines/human/EPAR/zolsketil-pegylated-liposomal</t>
  </si>
  <si>
    <t xml:space="preserve">EU-wide (central) authorisation also covers Northern Ireland; page shows the product and the holder. Or: Article 57 file: filter "Active substance" contains "doxorubicin" and "Marketing authorisation holder" contains "Accord" → country "United Kingdom (Northern Ireland)"</t>
  </si>
  <si>
    <t xml:space="preserve">DOXORUBICIN INJECTION, BP – ACCORD HEALTHCARE INC</t>
  </si>
  <si>
    <t xml:space="preserve">https://health-products.canada.ca/dpd-bdpp/info?code=86785&amp;lang=eng</t>
  </si>
  <si>
    <t xml:space="preserve">Page shows the EU-wide (central) authorisation – valid in all EU/EEA countries – and the holder. Article 57 file: filter "Active substance" contains "doxorubicin" and "Marketing authorisation holder" contains "Accord" → "Product authorisation country"</t>
  </si>
  <si>
    <t xml:space="preserve">DOXORUBICIN ACCORD doxorubicin hydrochloride 200 mg/100 mL concentrated solution for injection vial – Accord Healthcare Pty Ltd</t>
  </si>
  <si>
    <t xml:space="preserve">https://www.tga.gov.au/resources/artg/174248</t>
  </si>
  <si>
    <t xml:space="preserve">Rubexet 50mg/25ml – Accord Healthcare (Pty) Ltd</t>
  </si>
  <si>
    <t xml:space="preserve">https://www.sahpra.org.za/wp-content/uploads/2020/02/Rubexet_PI_Accord_MCC-format-02-October-2014.pdf</t>
  </si>
  <si>
    <t xml:space="preserve">Accord Healthcare B.V. ; Accord Healthcare France Sas ; Accord Healthcare S.L.U.</t>
  </si>
  <si>
    <t xml:space="preserve">https://base-donnees-publique.medicaments.gouv.fr/index.php?page=1&amp;choixRecherche=medicament&amp;txtCaracteres=Adrenaline%20Accord&amp;action=show</t>
  </si>
  <si>
    <t xml:space="preserve">French register shows the product and holder (France). For the other countries: Article 57 file: filter "Active substance" contains "adrenaline" and "Marketing authorisation holder" contains "Accord" → "Product authorisation country"</t>
  </si>
  <si>
    <t xml:space="preserve">EPIRUBICIN HYDROCHLORIDE 2 MG/ML SOLUTION FOR INJECTION OR INFUSION – ACCORD HEALTHCARE LIMITED</t>
  </si>
  <si>
    <t xml:space="preserve">Article 57 file: filter "Active substance" contains "epirubicin" and "Marketing authorisation holder" contains "Accord" → country "United Kingdom (Northern Ireland)"</t>
  </si>
  <si>
    <t xml:space="preserve">EU/EEA (20): France, Netherlands, Belgium, Austria, Czech Republic, Denmark, Estonia, Finland, Hungary, Ireland, Italy, Latvia, Lithuania, Malta, Norway, Poland, Portugal, Slovakia, Spain, Sweden</t>
  </si>
  <si>
    <t xml:space="preserve">https://base-donnees-publique.medicaments.gouv.fr/index.php?page=1&amp;choixRecherche=medicament&amp;txtCaracteres=Epirubicine%20Accord&amp;action=show</t>
  </si>
  <si>
    <t xml:space="preserve">French register shows the product and holder (France). For the other countries: Article 57 file: filter "Active substance" contains "epirubicin" and "Marketing authorisation holder" contains "Accord" → "Product authorisation country"</t>
  </si>
  <si>
    <t xml:space="preserve">EPIRUBICIN ACCORD epirubicin hydrochloride 20mg/10mL concentrated injection vial – Accord Healthcare Pty Ltd</t>
  </si>
  <si>
    <t xml:space="preserve">https://www.safetyandquality.gov.au/medicine-finder/epirubicin-accord-solution-for-injection</t>
  </si>
  <si>
    <t xml:space="preserve">Accord Epirubicin 10 – Accord Healthcare (Pty) Ltd</t>
  </si>
  <si>
    <t xml:space="preserve">https://medicineprices.org.za/#search:accord</t>
  </si>
  <si>
    <t xml:space="preserve">https://www.ema.europa.eu/en/medicines/human/EPAR/eptifibatide-accord</t>
  </si>
  <si>
    <t xml:space="preserve">Page shows the EU-wide (central) authorisation – valid in all EU/EEA countries – and the holder. Article 57 file: filter "Active substance" contains "eptifibatide" and "Marketing authorisation holder" contains "Accord" → "Product authorisation country"</t>
  </si>
  <si>
    <t xml:space="preserve">Accord Healthcare B.V. ; Accord Healthcare France Sas ; Accord Healthcare Polska Sp. Z O.O.</t>
  </si>
  <si>
    <t xml:space="preserve">Article 57 file: filter "Active substance" contains "eribulin" and "Marketing authorisation holder" contains "Accord" → "Product authorisation country"</t>
  </si>
  <si>
    <t xml:space="preserve">ESOMEPRAZOLE 40 MG POWDER FOR SOLUTION FOR INJECTION/INFUSION – ACCORD HEALTHCARE LIMITED</t>
  </si>
  <si>
    <t xml:space="preserve">Accord Healthcare B.V. ; Accord Healthcare Ireland Limited ; Accord Healthcare Limited ; Accord Healthcare S.L.U.</t>
  </si>
  <si>
    <t xml:space="preserve">Article 57 file: filter "Active substance" contains "esomeprazole" and "Marketing authorisation holder" contains "Accord" → country "United Kingdom (Northern Ireland)"</t>
  </si>
  <si>
    <t xml:space="preserve">EU/EEA (4): Netherlands, Ireland, Italy, Portugal</t>
  </si>
  <si>
    <t xml:space="preserve">Article 57 file: filter "Active substance" contains "esomeprazole" and "Marketing authorisation holder" contains "Accord" → "Product authorisation country"</t>
  </si>
  <si>
    <t xml:space="preserve">Article 57 file: filter "Active substance" contains "flucloxacillin" and "Marketing authorisation holder" contains "Accord" → country "United Kingdom (Northern Ireland)"</t>
  </si>
  <si>
    <t xml:space="preserve">FLUDARABINE PHOSPHATE 25MG/ML CONCENTRATE FOR SOLUTION FOR INJECTION/INFUSION – ACCORD-UK LIMITED</t>
  </si>
  <si>
    <t xml:space="preserve">Article 57 file: filter "Active substance" contains "fludarabine" and "Marketing authorisation holder" contains "Accord" → country "United Kingdom (Northern Ireland)"</t>
  </si>
  <si>
    <t xml:space="preserve">EU/EEA (21): Germany, France, Netherlands, Belgium, Austria, Bulgaria, Croatia, Cyprus, Czech Republic, Estonia, Finland, Hungary, Ireland, Italy, Lithuania, Poland, Portugal, Romania, Slovenia, Spain, Sweden</t>
  </si>
  <si>
    <t xml:space="preserve">https://base-donnees-publique.medicaments.gouv.fr/index.php?page=1&amp;choixRecherche=medicament&amp;txtCaracteres=Fludarabine%20Accord&amp;action=show</t>
  </si>
  <si>
    <t xml:space="preserve">French register shows the product and holder (France). For the other countries: Article 57 file: filter "Active substance" contains "fludarabine" and "Marketing authorisation holder" contains "Accord" → "Product authorisation country"</t>
  </si>
  <si>
    <t xml:space="preserve">FLUOROURACIL 50 MG/ML, SOLUTION FOR INJECTION OR INFUSION – ACCORD HEALTHCARE LIMITED</t>
  </si>
  <si>
    <t xml:space="preserve">Article 57 file: filter "Active substance" contains "fluorouracil" and "Marketing authorisation holder" contains "Accord" → country "United Kingdom (Northern Ireland)"</t>
  </si>
  <si>
    <t xml:space="preserve">FLUOROURACIL INJECTION USP – ACCORD HEALTHCARE INC</t>
  </si>
  <si>
    <t xml:space="preserve">https://health-products.canada.ca/dpd-bdpp/info?code=89810&amp;lang=eng</t>
  </si>
  <si>
    <t xml:space="preserve">EU/EEA (27): Germany, France, Netherlands, Belgium, Austria, Bulgaria, Croatia, Cyprus, Czech Republic, Denmark, Estonia, Finland, Hungary, Iceland, Ireland, Italy, Latvia, Lithuania, Luxembourg, Norway, Poland, Portugal, Romania, Slovakia, Slovenia, Spain, Sweden</t>
  </si>
  <si>
    <t xml:space="preserve">https://base-donnees-publique.medicaments.gouv.fr/index.php?page=1&amp;choixRecherche=medicament&amp;txtCaracteres=Fluorouracile%20Accord&amp;action=show</t>
  </si>
  <si>
    <t xml:space="preserve">French register shows the product and holder (France). For the other countries: Article 57 file: filter "Active substance" contains "fluorouracil" and "Marketing authorisation holder" contains "Accord" → "Product authorisation country"</t>
  </si>
  <si>
    <t xml:space="preserve">FULVESTRANT – ACCORD HEALTHCARE INC</t>
  </si>
  <si>
    <t xml:space="preserve">https://dailymed.nlm.nih.gov/dailymed/drugInfo.cfm?setid=b471eb51-488e-5312-e053-2a95a90a8116</t>
  </si>
  <si>
    <t xml:space="preserve">FULVESTRANT 250MG SOLUTION FOR INJECTION IN PRE-FILLED SYRINGE – ACCORD HEALTHCARE LIMITED</t>
  </si>
  <si>
    <t xml:space="preserve">https://mhraproducts4853.blob.core.windows.net/docs/b46086f37376e5481490ddb82a9d2e3645873236</t>
  </si>
  <si>
    <t xml:space="preserve">Article 57 file: filter "Active substance" contains "fulvestrant" and "Marketing authorisation holder" contains "Accord" → country "United Kingdom (Northern Ireland)"</t>
  </si>
  <si>
    <t xml:space="preserve">EU/EEA (25): Germany, France, Netherlands, Belgium, Austria, Bulgaria, Croatia, Cyprus, Czech Republic, Denmark, Estonia, Finland, Greece, Hungary, Iceland, Ireland, Italy, Norway, Poland, Portugal, Romania, Slovakia, Slovenia, Spain, Sweden</t>
  </si>
  <si>
    <t xml:space="preserve">https://base-donnees-publique.medicaments.gouv.fr/index.php?page=1&amp;choixRecherche=medicament&amp;txtCaracteres=Fulvestrant%20Accord&amp;action=show</t>
  </si>
  <si>
    <t xml:space="preserve">French register shows the product and holder (France). For the other countries: Article 57 file: filter "Active substance" contains "fulvestrant" and "Marketing authorisation holder" contains "Accord" → "Product authorisation country"</t>
  </si>
  <si>
    <t xml:space="preserve">FULVESTRANT INTAS fulvestrant 250 mg/5 mL solution for injection pre-filled syringe – Accord Healthcare Pty Ltd</t>
  </si>
  <si>
    <t xml:space="preserve">https://www.ebs.tga.gov.au/ebs/picmi/picmirepository.nsf/pdf?OpenAgent&amp;id=CP-2021-PI-01020-1</t>
  </si>
  <si>
    <t xml:space="preserve">Fuldexa – Accord Healthcare (Pty) Ltd</t>
  </si>
  <si>
    <t xml:space="preserve">https://medicineprices.org.za/#search:fuldexa</t>
  </si>
  <si>
    <t xml:space="preserve">Accord Healthcare B.V. ; Accord Healthcare Limited ; Accord Healthcare S.L.U.</t>
  </si>
  <si>
    <t xml:space="preserve">Article 57 file: filter "Active substance" contains "glycopyrr" and "Marketing authorisation holder" contains "Accord" → country "United Kingdom (Northern Ireland)"</t>
  </si>
  <si>
    <t xml:space="preserve">EU/EEA (6): Germany, Austria, Cyprus, Finland, Italy, Sweden</t>
  </si>
  <si>
    <t xml:space="preserve">Article 57 file: filter "Active substance" contains "glycopyrr" and "Marketing authorisation holder" contains "Accord" → "Product authorisation country"</t>
  </si>
  <si>
    <t xml:space="preserve">GLYCOPYRROLATE ACCORD glycopyrronium bromide 0.6 mg/3 mL injection ampoules – Accord Healthcare Pty Ltd</t>
  </si>
  <si>
    <t xml:space="preserve">https://www.ebs.tga.gov.au/ebs/picmi/picmirepository.nsf/pdf?OpenAgent&amp;id=CP-2016-PI-02612-1</t>
  </si>
  <si>
    <t xml:space="preserve">Article 57 file: filter "Active substance" contains "hydroxocobalamin" and "Marketing authorisation holder" contains "Accord" → country "United Kingdom (Northern Ireland)"</t>
  </si>
  <si>
    <t xml:space="preserve">IBANDRONATE SODIUM – ACCORD HEALTHCARE INC</t>
  </si>
  <si>
    <t xml:space="preserve">https://dailymed.nlm.nih.gov/dailymed/fda/fdaDrugXsl.cfm?setid=2b84257d-d8b3-56fe-e054-00144ff88e88</t>
  </si>
  <si>
    <t xml:space="preserve">IBANDRONIC ACID ACCORD 3 MG SOLUTION FOR INJECTION IN PRE-FILLED SYRINGE – ACCORD HEALTHCARE LIMITED</t>
  </si>
  <si>
    <t xml:space="preserve">https://mhraproducts4853.blob.core.windows.net/docs/77d3cbbc5361b04cb13407c5649837410927261d</t>
  </si>
  <si>
    <t xml:space="preserve">https://www.ema.europa.eu/en/medicines/human/EPAR/ibandronic-acid-accord</t>
  </si>
  <si>
    <t xml:space="preserve">Page shows the EU-wide (central) authorisation – valid in all EU/EEA countries – and the holder. Article 57 file: filter "Active substance" contains "ibandron" and "Marketing authorisation holder" contains "Accord" → "Product authorisation country"</t>
  </si>
  <si>
    <t xml:space="preserve">Article 57 file: filter "Active substance" contains "idarubicin" and "Marketing authorisation holder" contains "Accord" → country "United Kingdom (Northern Ireland)"</t>
  </si>
  <si>
    <t xml:space="preserve">EU/EEA (4): France, Finland, Poland, Portugal</t>
  </si>
  <si>
    <t xml:space="preserve">https://base-donnees-publique.medicaments.gouv.fr/index.php?page=1&amp;choixRecherche=medicament&amp;txtCaracteres=Idarubicine%20Accord&amp;action=show</t>
  </si>
  <si>
    <t xml:space="preserve">French register shows the product and holder (France). For the other countries: Article 57 file: filter "Active substance" contains "idarubicin" and "Marketing authorisation holder" contains "Accord" → "Product authorisation country"</t>
  </si>
  <si>
    <t xml:space="preserve">CAMCEVI 21MG PROLONGED-RELEASE SUSPENSION FOR INJECTION – ACCORD HEALTHCARE LIMITED</t>
  </si>
  <si>
    <t xml:space="preserve">https://mhraproducts4853.blob.core.windows.net/docs/9139290e853308d1ca62298463423a242ccfa099</t>
  </si>
  <si>
    <t xml:space="preserve">https://www.ema.europa.eu/en/medicines/human/EPAR/camcevi</t>
  </si>
  <si>
    <t xml:space="preserve">Page shows the EU-wide (central) authorisation – valid in all EU/EEA countries – and the holder. Article 57 file: filter "Active substance" contains "leuprorelin" and "Marketing authorisation holder" contains "Accord" → "Product authorisation country"</t>
  </si>
  <si>
    <t xml:space="preserve">Article 57 file: filter "Active substance" contains "lidocaine" and "Marketing authorisation holder" contains "Accord" → country "United Kingdom (Northern Ireland)"</t>
  </si>
  <si>
    <t xml:space="preserve">EU/EEA (7): Austria, Cyprus, Estonia, Lithuania, Norway, Portugal, Sweden</t>
  </si>
  <si>
    <t xml:space="preserve">Article 57 file: filter "Active substance" contains "lidocaine" and "Marketing authorisation holder" contains "Accord" → "Product authorisation country"</t>
  </si>
  <si>
    <t xml:space="preserve">LIDOCAINE ACCORD 2% lidocaine hydrochloride 100 mg/5 mL injection ampoule – Accord Healthcare Pty Ltd</t>
  </si>
  <si>
    <t xml:space="preserve">https://www.ebs.tga.gov.au/ebs/picmi/picmirepository.nsf/pdf?OpenAgent&amp;id=CP-2019-PI-01963-1</t>
  </si>
  <si>
    <t xml:space="preserve">MELPHALAN 50 MG CONCENTRATE AND SOLVENT FOR SOLUTION FOR INJECTION/INFUSION – ACCORD-UK LIMITED</t>
  </si>
  <si>
    <t xml:space="preserve">https://mhraproducts4853.blob.core.windows.net/docs/1740a36db8ba332d071a925f2871b14576fa46c7</t>
  </si>
  <si>
    <t xml:space="preserve">Article 57 file: filter "Active substance" contains "melphalan" and "Marketing authorisation holder" contains "Accord" → country "United Kingdom (Northern Ireland)"</t>
  </si>
  <si>
    <t xml:space="preserve">METHOTREXATE 25 MG/ML SOLUTION FOR INJECTION – ACCORD HEALTHCARE LIMITED</t>
  </si>
  <si>
    <t xml:space="preserve">Article 57 file: filter "Active substance" contains "methotrexate" and "Marketing authorisation holder" contains "Accord" → country "United Kingdom (Northern Ireland)"</t>
  </si>
  <si>
    <t xml:space="preserve">METHOTREXATE INJECTION BP – ACCORD HEALTHCARE INC</t>
  </si>
  <si>
    <t xml:space="preserve">https://produits-sante.canada.ca/dpd-bdpp/info?code=81253&amp;lang=eng</t>
  </si>
  <si>
    <t xml:space="preserve">EU/EEA (25): Germany, France, Netherlands, Belgium, Austria, Bulgaria, Croatia, Cyprus, Czech Republic, Denmark, Estonia, Finland, Greece, Hungary, Ireland, Italy, Latvia, Lithuania, Norway, Poland, Portugal, Slovakia, Slovenia, Spain, Sweden</t>
  </si>
  <si>
    <t xml:space="preserve">https://base-donnees-publique.medicaments.gouv.fr/index.php?page=1&amp;choixRecherche=medicament&amp;txtCaracteres=Izixate&amp;action=show</t>
  </si>
  <si>
    <t xml:space="preserve">French register shows the product and holder (France). For the other countries: Article 57 file: filter "Active substance" contains "methotrexate" and "Marketing authorisation holder" contains "Accord" → "Product authorisation country"</t>
  </si>
  <si>
    <t xml:space="preserve">METHOTREXATE INTAS methotrexate 1000mg/10mL injection vial – Accord Healthcare Pty Ltd</t>
  </si>
  <si>
    <t xml:space="preserve">https://www.healthdirect.gov.au/medicines/brand/amt%2C933505761000036101/methotrexate-intas</t>
  </si>
  <si>
    <t xml:space="preserve">Article 57 file: filter "Active substance" contains "midazolam" and "Marketing authorisation holder" contains "Accord" → country "United Kingdom (Northern Ireland)"</t>
  </si>
  <si>
    <t xml:space="preserve">EU/EEA (22): Germany, France, Netherlands, Belgium, Austria, Cyprus, Czech Republic, Denmark, Finland, Greece, Hungary, Iceland, Ireland, Italy, Malta, Norway, Poland, Portugal, Slovakia, Slovenia, Spain, Sweden</t>
  </si>
  <si>
    <t xml:space="preserve">https://base-donnees-publique.medicaments.gouv.fr/index.php?page=1&amp;choixRecherche=medicament&amp;txtCaracteres=Midazolam%20Accord&amp;action=show</t>
  </si>
  <si>
    <t xml:space="preserve">French register shows the product and holder (France). For the other countries: Article 57 file: filter "Active substance" contains "midazolam" and "Marketing authorisation holder" contains "Accord" → "Product authorisation country"</t>
  </si>
  <si>
    <t xml:space="preserve">MIDAZOLAM ACCORD midazolam (as hydrochloride) 50 mg/10 mL solution for injection syringe – Accord Healthcare Pty Ltd</t>
  </si>
  <si>
    <t xml:space="preserve">https://www.ebs.tga.gov.au/ebs/picmi/picmirepository.nsf/pdf?OpenAgent&amp;id=CP-2016-PI-02501-1</t>
  </si>
  <si>
    <t xml:space="preserve">MITOMYCIN 40 MG, POWDER FOR SOLUTION FOR INJECTION/INFUSION – ACCORD HEALTHCARE LIMITED</t>
  </si>
  <si>
    <t xml:space="preserve">Article 57 file: filter "Active substance" contains "mitomycin" and "Marketing authorisation holder" contains "Accord" → country "United Kingdom (Northern Ireland)"</t>
  </si>
  <si>
    <t xml:space="preserve">MITOMYCIN FOR INJECTION USP – ACCORD HEALTHCARE INC</t>
  </si>
  <si>
    <t xml:space="preserve">https://health-products.canada.ca/dpd-bdpp/info?code=95282&amp;lang=eng</t>
  </si>
  <si>
    <t xml:space="preserve">EU/EEA (16): Germany, France, Netherlands, Belgium, Bulgaria, Cyprus, Czech Republic, Estonia, Finland, Italy, Poland, Portugal, Romania, Slovakia, Slovenia, Spain</t>
  </si>
  <si>
    <t xml:space="preserve">https://base-donnees-publique.medicaments.gouv.fr/index.php?page=1&amp;choixRecherche=medicament&amp;txtCaracteres=Mitomycine%20Accord&amp;action=show</t>
  </si>
  <si>
    <t xml:space="preserve">French register shows the product and holder (France). For the other countries: Article 57 file: filter "Active substance" contains "mitomycin" and "Marketing authorisation holder" contains "Accord" → "Product authorisation country"</t>
  </si>
  <si>
    <t xml:space="preserve">Accord Healthcare B.V. ; Accord Healthcare France Sas ; Accord Healthcare Limited ; Accord Healthcare S.L.U.</t>
  </si>
  <si>
    <t xml:space="preserve">Article 57 file: filter "Active substance" contains "mitoxantrone" and "Marketing authorisation holder" contains "Accord" → country "United Kingdom (Northern Ireland)"</t>
  </si>
  <si>
    <t xml:space="preserve">EU/EEA (3): France, Netherlands, Spain</t>
  </si>
  <si>
    <t xml:space="preserve">https://base-donnees-publique.medicaments.gouv.fr/index.php?page=1&amp;choixRecherche=medicament&amp;txtCaracteres=Mitoxantrone%20Accord&amp;action=show</t>
  </si>
  <si>
    <t xml:space="preserve">French register shows the product and holder (France). For the other countries: Article 57 file: filter "Active substance" contains "mitoxantrone" and "Marketing authorisation holder" contains "Accord" → "Product authorisation country"</t>
  </si>
  <si>
    <t xml:space="preserve">NALOXONE HYDROCHLORIDE – ACCORD HEALTHCARE INC</t>
  </si>
  <si>
    <t xml:space="preserve">https://dailymed.nlm.nih.gov/dailymed/search.cfm?labeltype=all&amp;query=Naloxone+Hydrochloride</t>
  </si>
  <si>
    <t xml:space="preserve">NALOXONE 400MICROGRAMS/ML SOLUTION FOR INJECTION IN PRE-FILLED SYRINGE – ACCORD-UK LIMITED</t>
  </si>
  <si>
    <t xml:space="preserve">https://mhraproducts4853.blob.core.windows.net/docs/1b85c921ff22e65de2c4cb817669b364513ade84</t>
  </si>
  <si>
    <t xml:space="preserve">Article 57 file: filter "Active substance" contains "naloxone" and "Marketing authorisation holder" contains "Accord" → country "United Kingdom (Northern Ireland)"</t>
  </si>
  <si>
    <t xml:space="preserve">EU/EEA (12): Germany, France, Netherlands, Austria, Czech Republic, Denmark, Finland, Ireland, Italy, Norway, Portugal, Sweden</t>
  </si>
  <si>
    <t xml:space="preserve">Article 57 file: filter "Active substance" contains "naloxone" and "Marketing authorisation holder" contains "Accord" → "Product authorisation country"</t>
  </si>
  <si>
    <t xml:space="preserve">ONDANSETRON HYDROCHLORIDE – ACCORD HEALTHCARE INC</t>
  </si>
  <si>
    <t xml:space="preserve">https://dailymed.nlm.nih.gov/dailymed/search.cfm?searchdb=ndc&amp;query=16729-298</t>
  </si>
  <si>
    <t xml:space="preserve">ONDANSETRON 8 MG SOLUTION FOR INJECTION/INFUSION IN PRE-FILLED SYRINGE – ACCORD-UK LIMITED</t>
  </si>
  <si>
    <t xml:space="preserve">Article 57 file: filter "Active substance" contains "ondansetron" and "Marketing authorisation holder" contains "Accord" → country "United Kingdom (Northern Ireland)"</t>
  </si>
  <si>
    <t xml:space="preserve">EU/EEA (23): Germany, France, Netherlands, Belgium, Austria, Bulgaria, Cyprus, Czech Republic, Denmark, Estonia, Finland, Ireland, Italy, Latvia, Lithuania, Malta, Norway, Poland, Portugal, Slovakia, Slovenia, Spain, Sweden</t>
  </si>
  <si>
    <t xml:space="preserve">https://base-donnees-publique.medicaments.gouv.fr/index.php?page=1&amp;choixRecherche=medicament&amp;txtCaracteres=Ondansetron%20Accord&amp;action=show</t>
  </si>
  <si>
    <t xml:space="preserve">French register shows the product and holder (France). For the other countries: Article 57 file: filter "Active substance" contains "ondansetron" and "Marketing authorisation holder" contains "Accord" → "Product authorisation country"</t>
  </si>
  <si>
    <t xml:space="preserve">ONDANSETRON ACCORD ondansetron (as hydrochloride dihydrate) 4 mg/2 mL solution for injection pre-filled syringe – Accord Healthcare Pty Ltd</t>
  </si>
  <si>
    <t xml:space="preserve">https://www.ebs.tga.gov.au/ebs/picmi/picmirepository.nsf/pdf?OpenAgent&amp;id=CP-2016-PI-02393-1</t>
  </si>
  <si>
    <t xml:space="preserve">https://www.ema.europa.eu/en/medicines/human/EPAR/naveruclif</t>
  </si>
  <si>
    <t xml:space="preserve">EU-wide (central) authorisation also covers Northern Ireland; page shows the product and the holder. Or: Article 57 file: filter "Active substance" contains "paclitaxel" and "Marketing authorisation holder" contains "Accord" → country "United Kingdom (Northern Ireland)"</t>
  </si>
  <si>
    <t xml:space="preserve">PACLITAXEL INJECTION USP – ACCORD HEALTHCARE INC</t>
  </si>
  <si>
    <t xml:space="preserve">https://health-products.canada.ca/dpd-bdpp/info?code=87681&amp;lang=eng</t>
  </si>
  <si>
    <t xml:space="preserve">Page shows the EU-wide (central) authorisation – valid in all EU/EEA countries – and the holder. Article 57 file: filter "Active substance" contains "paclitaxel" and "Marketing authorisation holder" contains "Accord" → "Product authorisation country"</t>
  </si>
  <si>
    <t xml:space="preserve">PALONOSETRON ACCORD 250 MICROGRAMS SOLUTION FOR INJECTION – ACCORD HEALTHCARE LIMITED</t>
  </si>
  <si>
    <t xml:space="preserve">https://mhraproducts4853.blob.core.windows.net/docs/f5e999c5eaed01985040c89afd30ed8456f534a6</t>
  </si>
  <si>
    <t xml:space="preserve">https://www.ema.europa.eu/en/medicines/human/EPAR/palonosetron-accord</t>
  </si>
  <si>
    <t xml:space="preserve">Page shows the EU-wide (central) authorisation – valid in all EU/EEA countries – and the holder. Article 57 file: filter "Active substance" contains "palonosetron" and "Marketing authorisation holder" contains "Accord" → "Product authorisation country"</t>
  </si>
  <si>
    <t xml:space="preserve">Palcita – Accord Healthcare (Pty) Ltd</t>
  </si>
  <si>
    <t xml:space="preserve">https://medicineprices.org.za/#search:palcita</t>
  </si>
  <si>
    <t xml:space="preserve">PANTOPRAZOLE 40 MG POWDER FOR SOLUTION FOR INJECTION – ACCORD HEALTHCARE LIMITED</t>
  </si>
  <si>
    <t xml:space="preserve">Accord Healthcare B.V. ; Accord Healthcare Limited ; Accord Healthcare Polska Sp. Z O.O. ; Accord Healthcare S.L.U.</t>
  </si>
  <si>
    <t xml:space="preserve">Article 57 file: filter "Active substance" contains "pantoprazole" and "Marketing authorisation holder" contains "Accord" → country "United Kingdom (Northern Ireland)"</t>
  </si>
  <si>
    <t xml:space="preserve">EU/EEA (12): Netherlands, Belgium, Bulgaria, Cyprus, Denmark, Finland, Hungary, Poland, Portugal, Slovakia, Slovenia, Sweden</t>
  </si>
  <si>
    <t xml:space="preserve">Article 57 file: filter "Active substance" contains "pantoprazole" and "Marketing authorisation holder" contains "Accord" → "Product authorisation country"</t>
  </si>
  <si>
    <t xml:space="preserve">PARICALCITOL – ACCORD HEALTHCARE INC</t>
  </si>
  <si>
    <t xml:space="preserve">https://dailymed.nlm.nih.gov/dailymed/drugInfo.cfm?setid=2b7c7587-2042-0d9c-e054-00144ff88e88</t>
  </si>
  <si>
    <t xml:space="preserve">EU/EEA (5): Germany, Netherlands, Czech Republic, Finland, Portugal</t>
  </si>
  <si>
    <t xml:space="preserve">Accord Healthcare B.V. ; Accord Healthcare Polska Sp. Z O.O. ; Accord Healthcare S.L.U.</t>
  </si>
  <si>
    <t xml:space="preserve">Article 57 file: filter "Active substance" contains "paricalcitol" and "Marketing authorisation holder" contains "Accord" → "Product authorisation country"</t>
  </si>
  <si>
    <t xml:space="preserve">PELGRAZ 6 MG SOLUTION FOR INJECTION IN PRE-FILLED SYRINGE – ACCORD HEALTHCARE LIMITED</t>
  </si>
  <si>
    <t xml:space="preserve">https://mhraproducts4853.blob.core.windows.net/docs/558dcfb1d7c94ccfc6b14703ecd62a427ca2264d</t>
  </si>
  <si>
    <t xml:space="preserve">https://www.ema.europa.eu/en/medicines/human/EPAR/pelgraz</t>
  </si>
  <si>
    <t xml:space="preserve">Page shows the EU-wide (central) authorisation – valid in all EU/EEA countries – and the holder. Article 57 file: filter "Active substance" contains "pegfilgrastim" and "Marketing authorisation holder" contains "Accord" → "Product authorisation country"</t>
  </si>
  <si>
    <t xml:space="preserve">PHENYLEPHRINE ACCORD phenylephrine hydrochloride 10 mg/1 mL solution for injection vial – Accord Healthcare Pty Ltd</t>
  </si>
  <si>
    <t xml:space="preserve">https://www.ebs.tga.gov.au/ebs/picmi/picmirepository.nsf/pdf?OpenAgent&amp;id=CP-2020-PI-02525-1</t>
  </si>
  <si>
    <t xml:space="preserve">PHENYLCORD 10 mg/ml – Accord Healthcare (Pty) Ltd</t>
  </si>
  <si>
    <t xml:space="preserve">Article 57 file: filter "Active substance" contains "phenytoin" and "Marketing authorisation holder" contains "Accord" → country "United Kingdom (Northern Ireland)"</t>
  </si>
  <si>
    <t xml:space="preserve">Article 57 file: filter "Active substance" contains "phenytoin" and "Marketing authorisation holder" contains "Accord" → "Product authorisation country"</t>
  </si>
  <si>
    <t xml:space="preserve">PLERIXAFOR 20 MG/ML SOLUTION FOR INJECTION – ACCORD HEALTHCARE LIMITED</t>
  </si>
  <si>
    <t xml:space="preserve">https://www.ema.europa.eu/en/medicines/human/EPAR/plerixafor-accord</t>
  </si>
  <si>
    <t xml:space="preserve">Page shows the EU-wide (central) authorisation – valid in all EU/EEA countries – and the holder. Article 57 file: filter "Active substance" contains "plerixafor" and "Marketing authorisation holder" contains "Accord" → "Product authorisation country"</t>
  </si>
  <si>
    <t xml:space="preserve">PLERIXAFOR ACCORD plerixafor 24 mg/1.2 mL solution for injection vial – Accord Healthcare Pty Ltd</t>
  </si>
  <si>
    <t xml:space="preserve">http://tga.gov.au/resources/artg/398073</t>
  </si>
  <si>
    <t xml:space="preserve">PROGESTERONE – ACCORD HEALTHCARE INC</t>
  </si>
  <si>
    <t xml:space="preserve">https://dailymed.nlm.nih.gov/dailymed/search.cfm?labeltype=all&amp;query=Progesterone</t>
  </si>
  <si>
    <t xml:space="preserve">FOVLUSSEA 10 MG/ML SOLUTION FOR INJECTION – ACCORD HEALTHCARE LIMITED</t>
  </si>
  <si>
    <t xml:space="preserve">https://mhraproducts4853.blob.core.windows.net/docs/0cd995a5637a3bd404fb0dc96033abecfd8ffc95</t>
  </si>
  <si>
    <t xml:space="preserve">REGADENOSON – ACCORD HEALTHCARE INC</t>
  </si>
  <si>
    <t xml:space="preserve">Accord Healthcare B.V. ; Accord Healthcare Ireland Limited ; Accord Healthcare Polska Sp. Z O.O. ; Accord Healthcare S.L.U. ; Accord-Uk Limited</t>
  </si>
  <si>
    <t xml:space="preserve">Article 57 file: filter "Active substance" contains "rocuronium" and "Marketing authorisation holder" contains "Accord" → country "United Kingdom (Northern Ireland)"</t>
  </si>
  <si>
    <t xml:space="preserve">EU/EEA (11): Germany, Netherlands, Austria, Czech Republic, Denmark, Finland, Ireland, Italy, Norway, Portugal, Sweden</t>
  </si>
  <si>
    <t xml:space="preserve">Article 57 file: filter "Active substance" contains "rocuronium" and "Marketing authorisation holder" contains "Accord" → "Product authorisation country"</t>
  </si>
  <si>
    <t xml:space="preserve">Suxamethonium Intas – Accord Healthcare Pty Ltd</t>
  </si>
  <si>
    <t xml:space="preserve">SUGAMMADEX 100 MG/ML SOLUTION FOR INJECTION – ACCORD HEALTHCARE LIMITED</t>
  </si>
  <si>
    <t xml:space="preserve">https://mhraproducts4853.blob.core.windows.net/docs/44089c416fe7066a241a329bc84997950abfd99d</t>
  </si>
  <si>
    <t xml:space="preserve">Article 57 file: filter "Active substance" contains "sugammadex" and "Marketing authorisation holder" contains "Accord" → country "United Kingdom (Northern Ireland)"</t>
  </si>
  <si>
    <t xml:space="preserve">EU/EEA (18): France, Netherlands, Austria, Croatia, Cyprus, Denmark, Estonia, Finland, Ireland, Italy, Lithuania, Norway, Poland, Portugal, Romania, Slovakia, Spain, Sweden</t>
  </si>
  <si>
    <t xml:space="preserve">https://base-donnees-publique.medicaments.gouv.fr/index.php?page=1&amp;choixRecherche=medicament&amp;txtCaracteres=Sugammadex%20Accord&amp;action=show</t>
  </si>
  <si>
    <t xml:space="preserve">French register shows the product and holder (France). For the other countries: Article 57 file: filter "Active substance" contains "sugammadex" and "Marketing authorisation holder" contains "Accord" → "Product authorisation country"</t>
  </si>
  <si>
    <t xml:space="preserve">SUGAMMADEX ACCORD sugammadex (as sodium) 200 mg/2 mL solution for injection vial – Accord Healthcare Pty Ltd</t>
  </si>
  <si>
    <t xml:space="preserve">https://www.ebs.tga.gov.au/servlet/xmlmillr6?dbid=ebs/PublicHTML/pdfStore.nsf&amp;docid=372777&amp;agid=(PrintDetailsPublic)&amp;actionid=1</t>
  </si>
  <si>
    <t xml:space="preserve">Accord Healthcare B.V. ; Accord Healthcare S.L.U.</t>
  </si>
  <si>
    <t xml:space="preserve">Article 57 file: filter "Active substance" contains "teicoplanin" and "Marketing authorisation holder" contains "Accord" → "Product authorisation country"</t>
  </si>
  <si>
    <t xml:space="preserve">https://www.ema.europa.eu/en/medicines/human/EPAR/tigecycline-accord</t>
  </si>
  <si>
    <t xml:space="preserve">Page shows the EU-wide (central) authorisation – valid in all EU/EEA countries – and the holder. Article 57 file: filter "Active substance" contains "tigecycline" and "Marketing authorisation holder" contains "Accord" → "Product authorisation country"</t>
  </si>
  <si>
    <t xml:space="preserve">TIGECYCLINE ACCORD tigecycline 50 mg powder for injection vial – Accord Healthcare Pty Ltd</t>
  </si>
  <si>
    <t xml:space="preserve">https://www.ebs.tga.gov.au/servlet/xmlmillr6?dbid=ebs/PublicHTML/pdfStore.nsf&amp;docid=331680&amp;agid=(PrintDetailsPublic)&amp;actionid=1</t>
  </si>
  <si>
    <t xml:space="preserve">IMULDOSA 45 MG SOLUTION FOR INJECTION IN PRE-FILLED SYRINGE – ACCORD HEALTHCARE LIMITED</t>
  </si>
  <si>
    <t xml:space="preserve">https://mhraproducts4853.blob.core.windows.net/docs/7f0af292cea25f881c619785dd36da19d641eb1a</t>
  </si>
  <si>
    <t xml:space="preserve">https://www.ema.europa.eu/en/medicines/human/EPAR/imuldosa</t>
  </si>
  <si>
    <t xml:space="preserve">EU-wide (central) authorisation also covers Northern Ireland; page shows the product and the holder. Or: Article 57 file: filter "Active substance" contains "ustekinumab" and "Marketing authorisation holder" contains "Accord" → country "United Kingdom (Northern Ireland)"</t>
  </si>
  <si>
    <t xml:space="preserve">Page shows the EU-wide (central) authorisation – valid in all EU/EEA countries – and the holder. Article 57 file: filter "Active substance" contains "ustekinumab" and "Marketing authorisation holder" contains "Accord" → "Product authorisation country"</t>
  </si>
  <si>
    <t xml:space="preserve">Accord-Vincristine 1mg/ml  – Accord Healthcare (Pty) Ltd</t>
  </si>
  <si>
    <t xml:space="preserve">https://www.sahpra.org.za/document-category/product-recall/page/7/</t>
  </si>
  <si>
    <t xml:space="preserve">Article 57 file: filter "Active substance" contains "vinorelbine" and "Marketing authorisation holder" contains "Accord" → country "United Kingdom (Northern Ireland)"</t>
  </si>
  <si>
    <t xml:space="preserve">EU/EEA (21): Germany, France, Netherlands, Belgium, Austria, Cyprus, Czech Republic, Denmark, Estonia, Finland, Italy, Latvia, Lithuania, Norway, Poland, Portugal, Romania, Slovakia, Slovenia, Spain, Sweden</t>
  </si>
  <si>
    <t xml:space="preserve">https://base-donnees-publique.medicaments.gouv.fr/index.php?page=1&amp;choixRecherche=medicament&amp;txtCaracteres=Vinorelbine%20Accord&amp;action=show</t>
  </si>
  <si>
    <t xml:space="preserve">French register shows the product and holder (France). For the other countries: Article 57 file: filter "Active substance" contains "vinorelbine" and "Marketing authorisation holder" contains "Accord" → "Product authorisation country"</t>
  </si>
  <si>
    <t xml:space="preserve">ALFENTANIL GH injection alfentanil (as hydrochloride) 5 mg/10 mL injection ampoule – Generic Health Pty Ltd</t>
  </si>
  <si>
    <t xml:space="preserve">https://www.nps.org.au/assets/medicines/8bd3b47f-93b8-42ea-9c27-a53300ffa94f.pdf</t>
  </si>
  <si>
    <t xml:space="preserve">CEFAZOLIN SXP cefazolin (as sodium) 1000 mg powder for injection vial – Southern Cross Pharma Pty Ltd</t>
  </si>
  <si>
    <t xml:space="preserve">https://www.ebs.tga.gov.au/servlet/xmlmillr6?dbid=ebs/PublicHTML/pdfStore.nsf&amp;docid=322861&amp;agid=(PrintDetailsPublic)&amp;actionid=1</t>
  </si>
  <si>
    <t xml:space="preserve">CISATRACURIUM AJS cisatracurium (as besilate) 10mg/5mL injection solution in vial – Southern Cross Pharma Pty Ltd</t>
  </si>
  <si>
    <t xml:space="preserve">https://www.healthdirect.gov.au/medicines/brand/amt%2C913251000168100/cisatracurium-ajs</t>
  </si>
  <si>
    <t xml:space="preserve">DAPTOMYCIN LUPIN daptomycin 350 mg powder for injection vial – Southern Cross Pharma Pty Ltd</t>
  </si>
  <si>
    <t xml:space="preserve">https://www.ebs.tga.gov.au/ebs/picmi/picmirepository.nsf/pdf?OpenAgent&amp;id=CP-2023-PI-01405-1</t>
  </si>
  <si>
    <t xml:space="preserve">DIAZEPAM – LUPIN LTD</t>
  </si>
  <si>
    <t xml:space="preserve">https://dailymed.nlm.nih.gov/dailymed/search.cfm?labeltype=all&amp;query=Diazepam</t>
  </si>
  <si>
    <t xml:space="preserve">DROPERIDOL LUPIN droperidol 2.5 mg/1 mL solution for injection glass ampoule – Southern Cross Pharma Pty Ltd</t>
  </si>
  <si>
    <t xml:space="preserve">https://www.ebs.tga.gov.au/ebs/picmi/picmirepository.nsf/pdf?OpenAgent&amp;id=CP-2017-PI-01601-1</t>
  </si>
  <si>
    <t xml:space="preserve">Sucrofer – Pharma Dynamics (Pty) Ltd</t>
  </si>
  <si>
    <t xml:space="preserve">https://medicineprices.org.za/#search:sucrofer</t>
  </si>
  <si>
    <t xml:space="preserve">EPHEDRINE HYDROCHLORIDE AJS ephedrine hydrochloride  30mg / mL solution for injection ampoule – Southern Cross Pharma Pty Ltd</t>
  </si>
  <si>
    <t xml:space="preserve">https://www.ebs.tga.gov.au/servlet/xmlmillr6?dbid=ebs/PublicHTML/pdfStore.nsf&amp;docid=259539&amp;agid=(PrintDetailsPublic)&amp;actionid=1</t>
  </si>
  <si>
    <t xml:space="preserve">INVABEX – Pharma Dynamics (Pty) Ltd</t>
  </si>
  <si>
    <t xml:space="preserve">https://medicineprices.org.za/#search:invabex</t>
  </si>
  <si>
    <t xml:space="preserve">FAMOTIDINE – LUPIN LTD</t>
  </si>
  <si>
    <t xml:space="preserve">https://dailymed.nlm.nih.gov/dailymed/search.cfm?labeltype=all&amp;query=Famotidine</t>
  </si>
  <si>
    <t xml:space="preserve">Fentanyl GH Solution for Injection 500 microgram/10 mL ampoule – Generic Health Pty Ltd</t>
  </si>
  <si>
    <t xml:space="preserve">https://www.safetyandquality.gov.au/medicine-finder/fentanyl-gh</t>
  </si>
  <si>
    <t xml:space="preserve">MEROPENEM GH meropenem (as trihydrate) 500 mg powder for injection vial – Lupin Australia Pty Limited</t>
  </si>
  <si>
    <t xml:space="preserve">https://www.healthdirect.gov.au/medicines/brand/amt%2C1310041000168105/meropenem-gh</t>
  </si>
  <si>
    <t xml:space="preserve">MEROJECT 1 g  – Pharma Dynamics (Pty) Ltd</t>
  </si>
  <si>
    <t xml:space="preserve">https://pi-pil-repository.sahpra.org.za/wp-content/uploads/2025/02/Approved-PIL-25-November-2024.pdf</t>
  </si>
  <si>
    <t xml:space="preserve">Milrinone GH 10mg/10 mL Concentrated Injection milrinone (as lactate) 10mg/10 mL ampoule – Generic Health Pty Ltd</t>
  </si>
  <si>
    <t xml:space="preserve">https://www.safetyandquality.gov.au/medicine-finder/milrinone-gh-concentrate-for-infusion</t>
  </si>
  <si>
    <t xml:space="preserve">OLANZAPINE GH IM olanzapine 10 mg powder for injection vial – Generic Health Pty Ltd</t>
  </si>
  <si>
    <t xml:space="preserve">https://www.tga.gov.au/resources/artg/484114</t>
  </si>
  <si>
    <t xml:space="preserve">OXYTOCIN GH Solution for Injection 10 IU/1 mL ampoule – Generic Health Pty Ltd</t>
  </si>
  <si>
    <t xml:space="preserve">https://www.safetyandquality.gov.au/medicine-finder/oxytocin-gh</t>
  </si>
  <si>
    <t xml:space="preserve">Altirem IV 2 mg – Pharma Dynamics (Pty) Ltd</t>
  </si>
  <si>
    <t xml:space="preserve">https://pi-pil-repository.sahpra.org.za/wp-content/uploads/2025/05/Approved-PI-12-May-2025.pdf</t>
  </si>
  <si>
    <t xml:space="preserve">SUGAMMADEX SODIUM – LUPIN LTD</t>
  </si>
  <si>
    <t xml:space="preserve">https://dailymed.nlm.nih.gov/dailymed/drugInfo.cfm?setid=9f2e66d7-a5d2-4593-bb30-6d4a418381aa</t>
  </si>
  <si>
    <t xml:space="preserve">SUGAMMADEX LUPIN sugammadex (as sodium) 200 mg/2 mL solution for injection vial – Lupin Australia Pty Limited</t>
  </si>
  <si>
    <t xml:space="preserve">https://www.ebs.tga.gov.au/ebs/picmi/picmirepository.nsf/pdf?OpenAgent&amp;id=CP-2023-PI-02604-1&amp;d=20260925172310101</t>
  </si>
  <si>
    <t xml:space="preserve">TEICOPLANIN SXP teicoplanin 400 mg powder for injection with diluent ampoule – Southern Cross Pharma Pty Ltd</t>
  </si>
  <si>
    <t xml:space="preserve">https://www.ebs.tga.gov.au/servlet/xmlmillr6?dbid=ebs/PublicHTML/pdfStore.nsf&amp;docid=259192&amp;agid=(PrintDetailsPublic)&amp;actionid=1</t>
  </si>
  <si>
    <t xml:space="preserve">Dyna Teicoplanin 200mg – Pharma Dynamics (Pty) Ltd</t>
  </si>
  <si>
    <t xml:space="preserve">https://medicineprices.org.za/#search:dyna</t>
  </si>
  <si>
    <t xml:space="preserve">Testosterone PD – Pharma Dynamics (Pty) Ltd</t>
  </si>
  <si>
    <t xml:space="preserve">https://medicineprices.org.za/#search:testosterone</t>
  </si>
  <si>
    <t xml:space="preserve">BORTEZOMIB – MSN LABORATORIES PRIVATE LTD</t>
  </si>
  <si>
    <t xml:space="preserve">https://dailymed.nlm.nih.gov/dailymed/drugInfo.cfm?setid=d41340c2-7fe8-42b2-aaa5-c9f9b0e9b50e</t>
  </si>
  <si>
    <t xml:space="preserve">BORTEZOMIB 3.5 MG POWDER FOR SOLUTION FOR INJECTION – MSN LABORATORIES EUROPE LIMITED</t>
  </si>
  <si>
    <t xml:space="preserve">https://mhraproducts4853.blob.core.windows.net/docs/8703115c833741c52c0b5e3efbbb2258862cffa1</t>
  </si>
  <si>
    <t xml:space="preserve">Msn Laboratories Europe Ltd ; Msn Labs Europe Limited</t>
  </si>
  <si>
    <t xml:space="preserve">Article 57 file: filter "Active substance" contains "bortezomib" and "Marketing authorisation holder" contains "MSN" → country "United Kingdom (Northern Ireland)"</t>
  </si>
  <si>
    <t xml:space="preserve">EU/EEA (1): Ireland</t>
  </si>
  <si>
    <t xml:space="preserve">Article 57 file: filter "Active substance" contains "bortezomib" and "Marketing authorisation holder" contains "MSN" → "Product authorisation country"</t>
  </si>
  <si>
    <t xml:space="preserve">MSN-BORTEZOMIB bortezomib 3.5 mg powder for injection vial – MSN Laboratories Australia Pty Ltd</t>
  </si>
  <si>
    <t xml:space="preserve">https://www.tga.gov.au/resources/artg/306550</t>
  </si>
  <si>
    <t xml:space="preserve">BRIVARACETAM – MSN LABORATORIES PRIVATE LTD</t>
  </si>
  <si>
    <t xml:space="preserve">https://dailymed.nlm.nih.gov/dailymed/drugInfo.cfm?setid=2c6af271-3222-4602-98a6-14754f0a29ba</t>
  </si>
  <si>
    <t xml:space="preserve">CHLORPROMAZINE HYDROCHLORIDE – MSN LABORATORIES PRIVATE LTD</t>
  </si>
  <si>
    <t xml:space="preserve">https://dailymed.nlm.nih.gov/dailymed/drugInfo.cfm?setid=867d5c7f-52d4-4794-b1d4-6747f3262fba</t>
  </si>
  <si>
    <t xml:space="preserve">FLUPHENAZINE DECANOATE – MSN LABORATORIES PRIVATE LTD</t>
  </si>
  <si>
    <t xml:space="preserve">https://dailymed.nlm.nih.gov/dailymed/search.cfm?labeltype=all&amp;query=Fluphenazine+Decanoate</t>
  </si>
  <si>
    <t xml:space="preserve">GADOBUTROL 1.0 MMOL/ML SOLUTION FOR INJECTION – MSN LABORATORIES EUROPE LIMITED</t>
  </si>
  <si>
    <t xml:space="preserve">https://mhraproducts4853.blob.core.windows.net/docs/a892ae362be90b720fee33b3e1c9cf5f06e6ed09</t>
  </si>
  <si>
    <t xml:space="preserve">Msn Laboratories Europe Ltd</t>
  </si>
  <si>
    <t xml:space="preserve">Article 57 file: filter "Active substance" contains "gadobutrol" and "Marketing authorisation holder" contains "MSN" → country "United Kingdom (Northern Ireland)"</t>
  </si>
  <si>
    <t xml:space="preserve">PLERIXAFOR – MSN LABORATORIES PRIVATE LTD</t>
  </si>
  <si>
    <t xml:space="preserve">EU/EEA (8): Bulgaria, Croatia, Czech Republic, Hungary, Ireland, Poland, Romania, Slovakia</t>
  </si>
  <si>
    <t xml:space="preserve">Msn Labs Europe Limited</t>
  </si>
  <si>
    <t xml:space="preserve">Article 57 file: filter "Active substance" contains "plerixafor" and "Marketing authorisation holder" contains "MSN" → "Product authorisation country"</t>
  </si>
  <si>
    <t xml:space="preserve">SUGAMMADEX SODIUM – MSN LABORATORIES PRIVATE LTD</t>
  </si>
  <si>
    <t xml:space="preserve">https://dailymed.nlm.nih.gov/dailymed/drugInfo.cfm?setid=ab41ea1c-266f-421c-8fc4-6e7ff518a75d</t>
  </si>
  <si>
    <t xml:space="preserve">SUGAMMADEX 100 MG/ML SOLUTION FOR INJECTION – MSN LABORATORIES EUROPE LIMITED</t>
  </si>
  <si>
    <t xml:space="preserve">https://mhraproducts4853.blob.core.windows.net/docs/7aa20df6854ee9b7ef3bc783930d858a9979d943</t>
  </si>
  <si>
    <t xml:space="preserve">EU/EEA (8): Croatia, Cyprus, Estonia, Ireland, Latvia, Lithuania, Poland, Slovenia</t>
  </si>
  <si>
    <t xml:space="preserve">Article 57 file: filter "Active substance" contains "sugammadex" and "Marketing authorisation holder" contains "MSN" → "Product authorisation country"</t>
  </si>
  <si>
    <t xml:space="preserve">SUGAMMADEX MSN sugammadex (as sodium) 200 mg/2 mL solution for injection vial – MSN Laboratories Australia Pty Ltd</t>
  </si>
  <si>
    <t xml:space="preserve">https://www.ebs.tga.gov.au/ebs/picmi/picmirepository.nsf/pdf?OpenAgent&amp;id=CP-2026-PI-01917-1</t>
  </si>
  <si>
    <t xml:space="preserve">BRIVARACETAM – MICRO LABS LTD</t>
  </si>
  <si>
    <t xml:space="preserve">https://dailymed.nlm.nih.gov/dailymed/drugInfo.cfm?setid=c054a1c9-2aa7-473b-a04b-622596f36c95</t>
  </si>
  <si>
    <t xml:space="preserve">Brown &amp; Burk Uk Limited</t>
  </si>
  <si>
    <t xml:space="preserve">Article 57 file: filter "Active substance" contains "caffeine" and "Marketing authorisation holder" contains "Brown &amp; Burk" → country "United Kingdom (Northern Ireland)"</t>
  </si>
  <si>
    <t xml:space="preserve">CARBOPROST TROMETHAMINE – MICRO LABS LTD</t>
  </si>
  <si>
    <t xml:space="preserve">Article 57 file: filter "Active substance" contains "cyclizine" and "Marketing authorisation holder" contains "Brown &amp; Burk" → country "United Kingdom (Northern Ireland)"</t>
  </si>
  <si>
    <t xml:space="preserve">CYCLACT cyclizine lactate 50 mg/1 mL injection ampoule – Micro Labs Pty Ltd</t>
  </si>
  <si>
    <t xml:space="preserve">https://www.ebs.tga.gov.au/servlet/xmlmillr6?dbid=ebs/PublicHTML/pdfStore.nsf&amp;docid=394390&amp;agid=(PrintDetailsPublic)&amp;actionid=1</t>
  </si>
  <si>
    <t xml:space="preserve">DIPHENHYDRAMINE HYDROCHLORIDE – MICRO LABS LTD</t>
  </si>
  <si>
    <t xml:space="preserve">https://dailymed.nlm.nih.gov/dailymed/drugInfo.cfm?setid=c2981222-1671-4ecd-a5a2-286f0663f1ae</t>
  </si>
  <si>
    <t xml:space="preserve">ISOPROTERENOL HYDROCHLORIDE – MICRO LABS LTD</t>
  </si>
  <si>
    <t xml:space="preserve">https://dailymed.nlm.nih.gov/dailymed/drugInfo.cfm?setid=0f6a7651-e7b4-4ada-8ccd-2123d094a113</t>
  </si>
  <si>
    <t xml:space="preserve">ISOPRIKA isoprenaline hydrochloride 1.0 mg/5 mL injection solution ampoule – Micro Labs Pty Ltd</t>
  </si>
  <si>
    <t xml:space="preserve">https://www.ebs.tga.gov.au/servlet/xmlmillr6?dbid=ebs/PublicHTML/pdfStore.nsf&amp;docid=358311&amp;agid=(PrintDetailsPublic)&amp;actionid=1</t>
  </si>
  <si>
    <t xml:space="preserve">EU/EEA (2): Germany, Luxembourg</t>
  </si>
  <si>
    <t xml:space="preserve">Micro Labs Gmbh</t>
  </si>
  <si>
    <t xml:space="preserve">Article 57 file: filter "Active substance" contains "levetiracetam" and "Marketing authorisation holder" contains "Micro Labs" → "Product authorisation country"</t>
  </si>
  <si>
    <t xml:space="preserve">LEVETIRACETAM WP levetiracetam 500 mg/5 mL concentrated injection for IV infusion vial – Micro Labs Pty Ltd</t>
  </si>
  <si>
    <t xml:space="preserve">https://www.ebs.tga.gov.au/servlet/xmlmillr6?dbid=ebs/PublicHTML/pdfStore.nsf&amp;docid=397976&amp;agid=(PrintDetailsPublic)&amp;actionid=1</t>
  </si>
  <si>
    <t xml:space="preserve">LINCOMYCIN HYDROCHLORIDE – MICRO LABS LTD</t>
  </si>
  <si>
    <t xml:space="preserve">https://dailymed.nlm.nih.gov/dailymed/search.cfm?searchdb=ndc&amp;query=68083-478</t>
  </si>
  <si>
    <t xml:space="preserve">SUCCINYLCHOLINE CHLORIDE – MICRO LABS LTD</t>
  </si>
  <si>
    <t xml:space="preserve">https://dailymed.nlm.nih.gov/dailymed/drugInfo.cfm?setid=204f1c24-4bf6-40d5-95f3-a732db28e033</t>
  </si>
  <si>
    <t xml:space="preserve">VERAPAMIL HYDROCHLORIDE – MICRO LABS LTD</t>
  </si>
  <si>
    <t xml:space="preserve">https://dailymed.nlm.nih.gov/dailymed/drugInfo.cfm?setid=9f19a5b4-286c-2c3f-e053-2a95a90a51df</t>
  </si>
  <si>
    <t xml:space="preserve">BUPIVACAINE HYDROCHLORIDE – ONESOURCE SPECIALTY PTE LTD</t>
  </si>
  <si>
    <t xml:space="preserve">https://dailymed.nlm.nih.gov/dailymed/drugInfo.cfm?setid=f29c905e-9a55-446f-a89d-860ad9ade7ad</t>
  </si>
  <si>
    <t xml:space="preserve">CARBOPROST TROMETHAMINE – ONESOURCE SPECIALTY PTE LTD</t>
  </si>
  <si>
    <t xml:space="preserve">Steriscience B.V.</t>
  </si>
  <si>
    <t xml:space="preserve">https://base-donnees-publique.medicaments.gouv.fr/index.php?page=1&amp;choixRecherche=medicament&amp;txtCaracteres=Meropenem%20Steriscience&amp;action=show</t>
  </si>
  <si>
    <t xml:space="preserve">French register shows the product and holder (France). For the other countries: Article 57 file: filter "Active substance" contains "meropenem" and "Marketing authorisation holder" contains "Steriscience" → "Product authorisation country"</t>
  </si>
  <si>
    <t xml:space="preserve">METHOHEXITAL SODIUM – ONESOURCE SPECIALTY PTE LTD</t>
  </si>
  <si>
    <t xml:space="preserve">https://dailymed.nlm.nih.gov/dailymed/search.cfm?searchdb=ndc&amp;query=83270-003</t>
  </si>
  <si>
    <t xml:space="preserve">NAFCILLIN SODIUM – ONESOURCE SPECIALTY PTE LTD</t>
  </si>
  <si>
    <t xml:space="preserve">https://dailymed.nlm.nih.gov/dailymed/search.cfm?searchdb=ndc&amp;query=83270-310</t>
  </si>
  <si>
    <t xml:space="preserve">RAPIFEN SOLUTION FOR INJECTION OR INFUSION – PIRAMAL CRITICAL CARE LIMITED</t>
  </si>
  <si>
    <t xml:space="preserve">https://dmd-browser.nhsbsa.nhs.uk/ampp/view/20811</t>
  </si>
  <si>
    <t xml:space="preserve">Piramal Critical Care B.V. ; Piramal Critical Care Italia Spa ; Piramal Critical Care Limited</t>
  </si>
  <si>
    <t xml:space="preserve">Article 57 file: filter "Active substance" contains "alfentanil" and "Marketing authorisation holder" contains "Piramal" → country "United Kingdom (Northern Ireland)"</t>
  </si>
  <si>
    <t xml:space="preserve">EU/EEA (15): Germany, France, Netherlands, Belgium, Austria, Czech Republic, Denmark, Finland, Ireland, Italy, Luxembourg, Norway, Portugal, Spain, Sweden</t>
  </si>
  <si>
    <t xml:space="preserve">https://base-donnees-publique.medicaments.gouv.fr/index.php?page=1&amp;choixRecherche=medicament&amp;txtCaracteres=Rapifen&amp;action=show</t>
  </si>
  <si>
    <t xml:space="preserve">French register shows the product and holder (France). For the other countries: Article 57 file: filter "Active substance" contains "alfentanil" and "Marketing authorisation holder" contains "Piramal" → "Product authorisation country"</t>
  </si>
  <si>
    <t xml:space="preserve">RAPIFEN alfentanil 1mg/2mL (as hydrochloride) injection – Piramal Critical Care Pty Ltd</t>
  </si>
  <si>
    <t xml:space="preserve">https://www.safetyandquality.gov.au/medicine-finder/rapifen</t>
  </si>
  <si>
    <t xml:space="preserve">Rapifen 2ml – Piramal Critical Care South Africa (Pty) Ltd</t>
  </si>
  <si>
    <t xml:space="preserve">https://www.sahpra.org.za/wp-content/uploads/2020/02/Rapifen_PI_Piramal-Critical-Care_MCC-format-01-February-2010.pdf</t>
  </si>
  <si>
    <t xml:space="preserve">GABLOFEN – PIRAMAL CRITICAL CARE INC</t>
  </si>
  <si>
    <t xml:space="preserve">https://dailymed.nlm.nih.gov/dailymed/lookup.cfm?setid=00d3e846-dd92-448d-9ab8-6a07be823cc1</t>
  </si>
  <si>
    <t xml:space="preserve">GABLOFEN 2 MG/ML SOLUTION FOR INJECTION/INFUSION IN PRE-FILLED SYRINGE – PIRAMAL CRITICAL CARE LIMITED</t>
  </si>
  <si>
    <t xml:space="preserve">https://products.mhra.gov.uk/search/?search=baclofen</t>
  </si>
  <si>
    <t xml:space="preserve">MHRA search</t>
  </si>
  <si>
    <t xml:space="preserve">Click the substance in the results, then find the product of the holder shown</t>
  </si>
  <si>
    <t xml:space="preserve">Piramal Critical Care B.V. ; Piramal Critical Care Limited</t>
  </si>
  <si>
    <t xml:space="preserve">Article 57 file: filter "Active substance" contains "baclofen" and "Marketing authorisation holder" contains "Piramal" → country "United Kingdom (Northern Ireland)"</t>
  </si>
  <si>
    <t xml:space="preserve">EU/EEA (6): Germany, France, Netherlands, Belgium, Denmark, Sweden</t>
  </si>
  <si>
    <t xml:space="preserve">https://base-donnees-publique.medicaments.gouv.fr/index.php?page=1&amp;choixRecherche=medicament&amp;txtCaracteres=Spacyr&amp;action=show</t>
  </si>
  <si>
    <t xml:space="preserve">French register shows the product and holder (France). For the other countries: Article 57 file: filter "Active substance" contains "baclofen" and "Marketing authorisation holder" contains "Piramal" → "Product authorisation country"</t>
  </si>
  <si>
    <t xml:space="preserve">CISATRACURIUM BESYLATE – PIRAMAL HEALTHCARE UK LTD</t>
  </si>
  <si>
    <t xml:space="preserve">https://dailymed.nlm.nih.gov/dailymed/drugInfo.cfm?setid=d8b5eb77-b393-4cd7-86c5-d2a9d131f96d</t>
  </si>
  <si>
    <t xml:space="preserve">Article 57 file: filter "Active substance" contains "etomidate" and "Marketing authorisation holder" contains "Piramal" → country "United Kingdom (Northern Ireland)"</t>
  </si>
  <si>
    <t xml:space="preserve">EU/EEA (10): Germany, France, Netherlands, Belgium, Austria, Croatia, Czech Republic, Luxembourg, Poland, Spain</t>
  </si>
  <si>
    <t xml:space="preserve">https://base-donnees-publique.medicaments.gouv.fr/index.php?page=1&amp;choixRecherche=medicament&amp;txtCaracteres=Hypnomidate&amp;action=show</t>
  </si>
  <si>
    <t xml:space="preserve">French register shows the product and holder (France). For the other countries: Article 57 file: filter "Active substance" contains "etomidate" and "Marketing authorisation holder" contains "Piramal" → "Product authorisation country"</t>
  </si>
  <si>
    <t xml:space="preserve">Hypnomidate – Piramal Critical Care South Africa (Pty) Ltd</t>
  </si>
  <si>
    <t xml:space="preserve">https://medicineprices.org.za/#search:hypnomidate</t>
  </si>
  <si>
    <t xml:space="preserve">Article 57 file: filter "Active substance" contains "fentanyl" and "Marketing authorisation holder" contains "Piramal" → country "United Kingdom (Northern Ireland)"</t>
  </si>
  <si>
    <t xml:space="preserve">EU/EEA (16): Germany, France, Netherlands, Belgium, Austria, Croatia, Czech Republic, Denmark, Finland, Iceland, Ireland, Italy, Luxembourg, Norway, Portugal, Sweden</t>
  </si>
  <si>
    <t xml:space="preserve">https://base-donnees-publique.medicaments.gouv.fr/index.php?page=1&amp;choixRecherche=medicament&amp;txtCaracteres=Fentanyl%20Piramal&amp;action=show</t>
  </si>
  <si>
    <t xml:space="preserve">French register shows the product and holder (France). For the other countries: Article 57 file: filter "Active substance" contains "fentanyl" and "Marketing authorisation holder" contains "Piramal" → "Product authorisation country"</t>
  </si>
  <si>
    <t xml:space="preserve">Piramal Critical Care B.V.</t>
  </si>
  <si>
    <t xml:space="preserve">Article 57 file: filter "Active substance" contains "remifentanil" and "Marketing authorisation holder" contains "Piramal" → "Product authorisation country"</t>
  </si>
  <si>
    <t xml:space="preserve">SUGAMMADEX 100 MG/ ML SOLUTION FOR INJECTION – PIRAMAL CRITICAL CARE LIMITED</t>
  </si>
  <si>
    <t xml:space="preserve">https://mhraproducts4853.blob.core.windows.net/docs/65c89059d784c50dab28071e95ac40d97f54368d</t>
  </si>
  <si>
    <t xml:space="preserve">https://www.ema.europa.eu/en/medicines/human/EPAR/sugammadex-piramal</t>
  </si>
  <si>
    <t xml:space="preserve">EU-wide (central) authorisation also covers Northern Ireland; page shows the product and the holder. Or: Article 57 file: filter "Active substance" contains "sugammadex" and "Marketing authorisation holder" contains "Piramal" → country "United Kingdom (Northern Ireland)"</t>
  </si>
  <si>
    <t xml:space="preserve">Page shows the EU-wide (central) authorisation – valid in all EU/EEA countries – and the holder. Article 57 file: filter "Active substance" contains "sugammadex" and "Marketing authorisation holder" contains "Piramal" → "Product authorisation country"</t>
  </si>
  <si>
    <t xml:space="preserve">BINDOZEF INJECTION 1g cefepime (as hydrochloride) 1 g powder for injection vial – Strides Pharma Science Pty Ltd</t>
  </si>
  <si>
    <t xml:space="preserve">https://www.healthdirect.gov.au/medicines/brand/amt%2C888961000168107/bindozef</t>
  </si>
  <si>
    <t xml:space="preserve">ZETAF 2g ceftazidime (as pentahydrate) 2g powder for injection vial – Strides Pharma Science Pty Ltd</t>
  </si>
  <si>
    <t xml:space="preserve">https://www.healthdirect.gov.au/medicines/brand/amt%2C933507581000036107/zetaf</t>
  </si>
  <si>
    <t xml:space="preserve">CORTAJECT 100 mg – Strides S.A. Pharmaceuticals (Pty) Ltd</t>
  </si>
  <si>
    <t xml:space="preserve">MEROPENEM 500MG POWDER FOR SOLUTION FOR INJECTION OR INFUSION – STRIDES PHARMA UK LIMITED</t>
  </si>
  <si>
    <t xml:space="preserve">Strides Pharma Uk Limited</t>
  </si>
  <si>
    <t xml:space="preserve">Article 57 file: filter "Active substance" contains "meropenem" and "Marketing authorisation holder" contains "Strides" → country "United Kingdom (Northern Ireland)"</t>
  </si>
  <si>
    <t xml:space="preserve">AURO PIPTAZ 2 g/0.25 g piperacillin 2g (as sodium) and tazobactam 250mg (as sodium) powder for injection vial – Strides Pharma Science Pty Ltd</t>
  </si>
  <si>
    <t xml:space="preserve">https://www.healthdirect.gov.au/medicines/brand/amt%2C933703631000036101/piptaz-2-g-0.25-g-auro</t>
  </si>
  <si>
    <t xml:space="preserve">ARIPIPRAZOLE 300 MG POWDER AND SOLVENT FOR PROLONGED-RELEASE SUSPENSION FOR INJECTION – SUN PHARMA UK LIMITED</t>
  </si>
  <si>
    <t xml:space="preserve">https://mhraproducts4853.blob.core.windows.net/docs/3f1e00ed4b97700f12503d40822ed0706e54eaed</t>
  </si>
  <si>
    <t xml:space="preserve">ARIPENA aripiprazole 300 mg powder and diluent for prolonged release suspension for injection vial kit – Sun Pharma ANZ Pty Ltd</t>
  </si>
  <si>
    <t xml:space="preserve">https://www.ebs.tga.gov.au/ebs/picmi/picmirepository.nsf/pdf?OpenAgent&amp;id=CP-2025-PI-01168-1</t>
  </si>
  <si>
    <t xml:space="preserve">BORTEZOMIB SUN 3.5 MG POWDER FOR SOLUTION FOR INJECTION – SUN PHARMACEUTICAL INDUSTRIES EUROPE BV</t>
  </si>
  <si>
    <t xml:space="preserve">https://mhraproducts4853.blob.core.windows.net/docs/300ac5b7309146ded231acf96131c8ba8ea5dc2e</t>
  </si>
  <si>
    <t xml:space="preserve">Sun Pharmaceutical Industries Europe B.V.</t>
  </si>
  <si>
    <t xml:space="preserve">https://www.ema.europa.eu/en/medicines/human/EPAR/bortezomib-sun</t>
  </si>
  <si>
    <t xml:space="preserve">EU-wide (central) authorisation also covers Northern Ireland; page shows the product and the holder. Or: Article 57 file: filter "Active substance" contains "bortezomib" and "Marketing authorisation holder" contains "Sun Pharm" → country "United Kingdom (Northern Ireland)"</t>
  </si>
  <si>
    <t xml:space="preserve">TARO-BORTEZOMIB – TARO PHARMACEUTICALS INC</t>
  </si>
  <si>
    <t xml:space="preserve">https://pdf.hres.ca/dpd_pm/00067579.PDF</t>
  </si>
  <si>
    <t xml:space="preserve">Page shows the EU-wide (central) authorisation – valid in all EU/EEA countries – and the holder. Article 57 file: filter "Active substance" contains "bortezomib" and "Marketing authorisation holder" contains "Sun Pharm" → "Product authorisation country"</t>
  </si>
  <si>
    <t xml:space="preserve">BOTIGEN 3,5 – Ranbaxy Pharmaceuticals (Pty) Ltd</t>
  </si>
  <si>
    <t xml:space="preserve">https://pi-pil-repository.sahpra.org.za/wp-content/uploads/2026/02/Botigen-pil.pdf</t>
  </si>
  <si>
    <t xml:space="preserve">CHLOROTHIAZIDE SODIUM – SUN PHARMACEUTICAL INDUSTRIES LTD</t>
  </si>
  <si>
    <t xml:space="preserve">https://dailymed.nlm.nih.gov/dailymed/drugInfo.cfm?setid=bf921935-9740-458e-b786-69f76d8ad139</t>
  </si>
  <si>
    <t xml:space="preserve">DOXORUBICIN HYDROCHLORIDE – SUN PHARMACEUTICAL INDUSTRIES LTD</t>
  </si>
  <si>
    <t xml:space="preserve">https://dailymed.nlm.nih.gov/dailymed/drugInfo.cfm?setid=6bcde92b-e584-4919-866a-68847ea201ba</t>
  </si>
  <si>
    <t xml:space="preserve">Article 57 file: filter "Active substance" contains "doxorubicin" and "Marketing authorisation holder" contains "Sun Pharm" → country "United Kingdom (Northern Ireland)"</t>
  </si>
  <si>
    <t xml:space="preserve">Sun Pharmaceutical Industries Europe B.V. ; Sun Pharmaceuticals Germany Gmbh</t>
  </si>
  <si>
    <t xml:space="preserve">Article 57 file: filter "Active substance" contains "esomeprazole" and "Marketing authorisation holder" contains "Sun Pharm" → country "United Kingdom (Northern Ireland)"</t>
  </si>
  <si>
    <t xml:space="preserve">EU/EEA (8): Germany, France, Netherlands, Denmark, Italy, Poland, Romania, Sweden</t>
  </si>
  <si>
    <t xml:space="preserve">https://base-donnees-publique.medicaments.gouv.fr/index.php?page=1&amp;choixRecherche=medicament&amp;txtCaracteres=Esomeprazole%20Sun&amp;action=show</t>
  </si>
  <si>
    <t xml:space="preserve">French register shows the product and holder (France). For the other countries: Article 57 file: filter "Active substance" contains "esomeprazole" and "Marketing authorisation holder" contains "Sun Pharm" → "Product authorisation country"</t>
  </si>
  <si>
    <t xml:space="preserve">ESOMEPRAZOLE SUN esomeprazole sodium 40mg powder for injection glass vial – Sun Pharma ANZ Pty Ltd</t>
  </si>
  <si>
    <t xml:space="preserve">https://www.safetyandquality.gov.au/medicine-finder/esomeprazole-sun</t>
  </si>
  <si>
    <t xml:space="preserve">FULVESTRANT SUN 250 MG SOLUTION FOR INJECTION IN PRE-FILLED SYRINGE – SUN PHARMACEUTICAL INDUSTRIES EUROPE BV</t>
  </si>
  <si>
    <t xml:space="preserve">https://mhraproducts4853.blob.core.windows.net/docs/aecc2774280857fc21e451486124f7b54d8cd890</t>
  </si>
  <si>
    <t xml:space="preserve">Article 57 file: filter "Active substance" contains "fulvestrant" and "Marketing authorisation holder" contains "Sun Pharm" → country "United Kingdom (Northern Ireland)"</t>
  </si>
  <si>
    <t xml:space="preserve">EU/EEA (5): Netherlands, Poland, Romania, Spain, Sweden</t>
  </si>
  <si>
    <t xml:space="preserve">Article 57 file: filter "Active substance" contains "fulvestrant" and "Marketing authorisation holder" contains "Sun Pharm" → "Product authorisation country"</t>
  </si>
  <si>
    <t xml:space="preserve">Article 57 file: filter "Active substance" contains "melphalan" and "Marketing authorisation holder" contains "Sun Pharm" → country "United Kingdom (Northern Ireland)"</t>
  </si>
  <si>
    <t xml:space="preserve">TARO-MELPHALAN – TARO PHARMACEUTICALS INC</t>
  </si>
  <si>
    <t xml:space="preserve">https://health-products.canada.ca/dpd-bdpp/info?code=97057&amp;lang=eng</t>
  </si>
  <si>
    <t xml:space="preserve">EU/EEA (7): France, Netherlands, Austria, Denmark, Italy, Norway, Sweden</t>
  </si>
  <si>
    <t xml:space="preserve">https://base-donnees-publique.medicaments.gouv.fr/index.php?page=1&amp;choixRecherche=medicament&amp;txtCaracteres=Melphalan%20Sun&amp;action=show</t>
  </si>
  <si>
    <t xml:space="preserve">French register shows the product and holder (France). For the other countries: Article 57 file: filter "Active substance" contains "melphalan" and "Marketing authorisation holder" contains "Sun Pharm" → "Product authorisation country"</t>
  </si>
  <si>
    <t xml:space="preserve">MEROPENEM 500MG POWDER FOR SOLUTION FOR INJECTION OR INFUSION – SUN PHARMA UK LIMITED</t>
  </si>
  <si>
    <t xml:space="preserve">Basics Gmbh ; Ranbaxy Poland Sp. Zo.O ; Sun Pharma Uk Limited ; Sun Pharmaceutical Industries Europe B.V. ; Terapia S.A.</t>
  </si>
  <si>
    <t xml:space="preserve">Article 57 file: filter "Active substance" contains "meropenem" and "Marketing authorisation holder" contains "Sun Pharm" or "Basics" or "Ranbaxy" or "Terapia" → country "United Kingdom (Northern Ireland)"</t>
  </si>
  <si>
    <t xml:space="preserve">TARO-MEROPENEM – SUN PHARMA CANADA INC</t>
  </si>
  <si>
    <t xml:space="preserve">https://health-products.canada.ca/dpd-bdpp/info?code=90612&amp;lang=eng</t>
  </si>
  <si>
    <t xml:space="preserve">EU/EEA (13): Germany, Netherlands, Denmark, Estonia, Finland, Iceland, Latvia, Lithuania, Norway, Poland, Romania, Spain, Sweden</t>
  </si>
  <si>
    <t xml:space="preserve">Article 57 file: filter "Active substance" contains "meropenem" and "Marketing authorisation holder" contains "Sun Pharm" or "Basics" or "Ranbaxy" or "Terapia" → "Product authorisation country"</t>
  </si>
  <si>
    <t xml:space="preserve">MEROPENEM RANBAXY meropenem (as trihydrate) 1g powder for injection vial – Sun Pharma ANZ Pty Ltd</t>
  </si>
  <si>
    <t xml:space="preserve">https://www.tga.gov.au/resources/artg/167024</t>
  </si>
  <si>
    <t xml:space="preserve">Mercide 1 g – Ranbaxy Pharmaceuticals (Pty) Ltd</t>
  </si>
  <si>
    <t xml:space="preserve">https://medsinfoportal.sahpra.org.za/pil/0d412c0ea487c6e954a1603a1de0815a.pdf</t>
  </si>
  <si>
    <t xml:space="preserve">Article 57 file: filter "Active substance" contains "octreotide" and "Marketing authorisation holder" contains "Sun Pharm" → country "United Kingdom (Northern Ireland)"</t>
  </si>
  <si>
    <t xml:space="preserve">EU/EEA (5): Germany, Denmark, Italy, Spain, Sweden</t>
  </si>
  <si>
    <t xml:space="preserve">Article 57 file: filter "Active substance" contains "octreotide" and "Marketing authorisation holder" contains "Sun Pharm" → "Product authorisation country"</t>
  </si>
  <si>
    <t xml:space="preserve">OCTREOTIDE SUN octreotide (as acetate) 500 microgram/1 mL solution for injection ampoule – Sun Pharma ANZ Pty Ltd</t>
  </si>
  <si>
    <t xml:space="preserve">https://www.ebs.tga.gov.au/servlet/xmlmillr6?dbid=ebs/PublicHTML/pdfStore.nsf&amp;docid=311224&amp;agid=(PrintDetailsPublic)&amp;actionid=1</t>
  </si>
  <si>
    <t xml:space="preserve">PANTOPRAZOLE 40 MG POWDER FOR SOLUTION FOR INJECTION/INFUSION – SUN PHARMACEUTICAL INDUSTRIES EUROPE BV</t>
  </si>
  <si>
    <t xml:space="preserve">Sun Pharma Italia S.R.L. ; Sun Pharmaceutical Industries Europe B.V. ; Sun Pharmaceuticals Germany Gmbh</t>
  </si>
  <si>
    <t xml:space="preserve">Article 57 file: filter "Active substance" contains "pantoprazole" and "Marketing authorisation holder" contains "Sun Pharm" → country "United Kingdom (Northern Ireland)"</t>
  </si>
  <si>
    <t xml:space="preserve">EU/EEA (12): Germany, France, Netherlands, Belgium, Austria, Denmark, Finland, Italy, Norway, Poland, Romania, Sweden</t>
  </si>
  <si>
    <t xml:space="preserve">https://base-donnees-publique.medicaments.gouv.fr/index.php?page=1&amp;choixRecherche=medicament&amp;txtCaracteres=Pantoprazole%20Sun&amp;action=show</t>
  </si>
  <si>
    <t xml:space="preserve">French register shows the product and holder (France). For the other countries: Article 57 file: filter "Active substance" contains "pantoprazole" and "Marketing authorisation holder" contains "Sun Pharm" → "Product authorisation country"</t>
  </si>
  <si>
    <t xml:space="preserve">Article 57 file: filter "Active substance" contains "paricalcitol" and "Marketing authorisation holder" contains "Sun Pharm" → "Product authorisation country"</t>
  </si>
  <si>
    <t xml:space="preserve">SUGAMMADEX SODIUM – SUN PHARMACEUTICAL INDUSTRIES INC</t>
  </si>
  <si>
    <t xml:space="preserve">SUGAMMADEX SUN 100 MG/ML SOLUTION FOR INJECTION – SUN PHARMA UK LIMITED</t>
  </si>
  <si>
    <t xml:space="preserve">Ranbaxy Poland Sp. Zo.O ; Sun Pharma Uk Limited ; Sun Pharmaceutical Industries Europe B.V. ; Terapia S.A.</t>
  </si>
  <si>
    <t xml:space="preserve">Article 57 file: filter "Active substance" contains "sugammadex" and "Marketing authorisation holder" contains "Sun Pharm" or "Ranbaxy" or "Terapia" → country "United Kingdom (Northern Ireland)"</t>
  </si>
  <si>
    <t xml:space="preserve">EU/EEA (3): Netherlands, Poland, Romania</t>
  </si>
  <si>
    <t xml:space="preserve">Article 57 file: filter "Active substance" contains "sugammadex" and "Marketing authorisation holder" contains "Sun Pharm" or "Ranbaxy" or "Terapia" → "Product authorisation country"</t>
  </si>
  <si>
    <t xml:space="preserve">SUMABID 100 IV – Ranbaxy Pharmaceuticals (Pty) Ltd</t>
  </si>
  <si>
    <t xml:space="preserve">https://pi-pil-repository.sahpra.org.za/wp-content/uploads/2022/08/Final_PIL_Sumabid_Applicant.pdf</t>
  </si>
  <si>
    <t xml:space="preserve">TEICOPLANIN 400 MG POWDER FOR SOLUTION FOR INJECTION/INFUSION OR ORAL SOLUTION – SUN PHARMA UK LIMITED</t>
  </si>
  <si>
    <t xml:space="preserve">https://mhraproducts4853.blob.core.windows.net/docs/bb7e0f317f1d83fcc56a50c2ee7913094c687d19</t>
  </si>
  <si>
    <t xml:space="preserve">Sun Pharma Uk Limited ; Sun Pharmaceutical Industries Europe B.V.</t>
  </si>
  <si>
    <t xml:space="preserve">Article 57 file: filter "Active substance" contains "teicoplanin" and "Marketing authorisation holder" contains "Sun Pharm" → country "United Kingdom (Northern Ireland)"</t>
  </si>
  <si>
    <t xml:space="preserve">EU/EEA (2): Netherlands, Italy</t>
  </si>
  <si>
    <t xml:space="preserve">Article 57 file: filter "Active substance" contains "teicoplanin" and "Marketing authorisation holder" contains "Sun Pharm" → "Product authorisation country"</t>
  </si>
  <si>
    <t xml:space="preserve">TERLIPRESSIN ACETATE SUN 0.12 MG/ML SOLUTION FOR INJECTION – SUN PHARMACEUTICAL INDUSTRIES EUROPE BV</t>
  </si>
  <si>
    <t xml:space="preserve">https://mhraproducts4853.blob.core.windows.net/docs/87e83833753716c061280fd48b95d5801f88bfa9</t>
  </si>
  <si>
    <t xml:space="preserve">Article 57 file: filter "Active substance" contains "terlipressin" and "Marketing authorisation holder" contains "Sun Pharm" → country "United Kingdom (Northern Ireland)"</t>
  </si>
  <si>
    <t xml:space="preserve">EU/EEA (9): Germany, France, Netherlands, Denmark, Finland, Italy, Poland, Spain, Sweden</t>
  </si>
  <si>
    <t xml:space="preserve">https://base-donnees-publique.medicaments.gouv.fr/index.php?page=1&amp;choixRecherche=medicament&amp;txtCaracteres=Terlipressine%20Sun&amp;action=show</t>
  </si>
  <si>
    <t xml:space="preserve">French register shows the product and holder (France). For the other countries: Article 57 file: filter "Active substance" contains "terlipressin" and "Marketing authorisation holder" contains "Sun Pharm" → "Product authorisation country"</t>
  </si>
  <si>
    <t xml:space="preserve">TARO-TESTOSTERONE CYPIONATE INJECTION – TARO PHARMACEUTICALS INC</t>
  </si>
  <si>
    <t xml:space="preserve">https://health-products.canada.ca/dpd-bdpp/info?code=98589&amp;lang=eng</t>
  </si>
  <si>
    <t xml:space="preserve">TESTOSTERONE 1000 MG/4 ML SOLUTION FOR INJECTION – SUN PHARMA UK LIMITED</t>
  </si>
  <si>
    <t xml:space="preserve">https://mhraproducts4853.blob.core.windows.net/docs/f8741f99ca6de4849059aed1dc8b234fa8b588e0</t>
  </si>
  <si>
    <t xml:space="preserve">EU/EEA (10): Germany, France, Netherlands, Finland, Hungary, Italy, Norway, Slovakia, Spain, Sweden</t>
  </si>
  <si>
    <t xml:space="preserve">Basics Gmbh ; Sun Pharmaceutical Industries Europe B.V.</t>
  </si>
  <si>
    <t xml:space="preserve">https://base-donnees-publique.medicaments.gouv.fr/index.php?page=1&amp;choixRecherche=medicament&amp;txtCaracteres=Undecanoate&amp;action=show</t>
  </si>
  <si>
    <t xml:space="preserve">French register shows the product and holder (France). For the other countries: Article 57 file: filter "Active substance" contains "testosterone undecanoate" and "Marketing authorisation holder" contains "Sun Pharm" or "Basics" → "Product authorisation country"</t>
  </si>
  <si>
    <t xml:space="preserve">TESTOSTERONE SUN testosterone undecanoate 1000 mg/4 mL oily solution for injection vial – Sun Pharma ANZ Pty Ltd</t>
  </si>
  <si>
    <t xml:space="preserve">https://www.tga.gov.au/resources/artg/414397</t>
  </si>
  <si>
    <t xml:space="preserve">VECURONIUM SUN 10 MG POWDER FOR SOLUTION FOR INJECTION/INFUSION – SUN PHARMACEUTICAL INDUSTRIES EUROPE BV</t>
  </si>
  <si>
    <t xml:space="preserve">https://mhraproducts4853.blob.core.windows.net/docs/f13255972d04925e4d0ad2e36748738836fae19e</t>
  </si>
  <si>
    <t xml:space="preserve">Article 57 file: filter "Active substance" contains "vecuronium" and "Marketing authorisation holder" contains "Sun Pharm" → country "United Kingdom (Northern Ireland)"</t>
  </si>
  <si>
    <t xml:space="preserve">Article 57 file: filter "Active substance" contains "vecuronium" and "Marketing authorisation holder" contains "Sun Pharm" → "Product authorisation country"</t>
  </si>
  <si>
    <t xml:space="preserve">VECURONIUM SUN vecuronium bromide 10mg powder for injection glass vial – Sun Pharma ANZ Pty Ltd</t>
  </si>
  <si>
    <t xml:space="preserve">https://www.healthdirect.gov.au/medicines/brand/amt%2C1305051000168103/vecuronium-sun</t>
  </si>
  <si>
    <t xml:space="preserve">Muscuron – Ranbaxy Pharmaceuticals (Pty) Ltd</t>
  </si>
  <si>
    <t xml:space="preserve">https://pi-pil-repository.sahpra.org.za/wp-content/uploads/2024/01/2024-01-08-Muscuron-approved-pil.pdf</t>
  </si>
  <si>
    <t xml:space="preserve">Heumann Pharma Gmbh &amp; Co. Generica Kg</t>
  </si>
  <si>
    <t xml:space="preserve">Article 57 file: filter "Active substance" contains "fulvestrant" and "Marketing authorisation holder" contains "Heumann" → "Product authorisation country"</t>
  </si>
  <si>
    <t xml:space="preserve">GRANISETRON 3MG/3ML CONCENTRATE FOR SOLUTION FOR INFUSION OR INJECTION – TORRENT PHARMA (UK) LTD</t>
  </si>
  <si>
    <t xml:space="preserve">https://mhraproducts4853.blob.core.windows.net/docs/e257ce9e9b4060c3c4a0c73cd7f61f9b6423679a</t>
  </si>
  <si>
    <t xml:space="preserve">Torrent Pharma (Uk) Ltd.</t>
  </si>
  <si>
    <t xml:space="preserve">Article 57 file: filter "Active substance" contains "granisetron" and "Marketing authorisation holder" contains "Torrent" → country "United Kingdom (Northern Ireland)"</t>
  </si>
  <si>
    <t xml:space="preserve">Article 57 file: filter "Active substance" contains "levetiracetam" and "Marketing authorisation holder" contains "Heumann" → "Product authorisation country"</t>
  </si>
  <si>
    <t xml:space="preserve">Article 57 file: filter "Active substance" contains "meropenem" and "Marketing authorisation holder" contains "Heumann" → "Product authorisation country"</t>
  </si>
  <si>
    <t xml:space="preserve">Article 57 file: filter "Active substance" contains "paliperidone" and "Marketing authorisation holder" contains "Heumann" → "Product authorisation country"</t>
  </si>
  <si>
    <t xml:space="preserve">ROCURONIUM 50 IV BIOTECH – Biotech Laboratories (Pty) Ltd</t>
  </si>
  <si>
    <t xml:space="preserve">https://medicineprices.org.za/#search:rocuronium</t>
  </si>
  <si>
    <t xml:space="preserve">Article 57 file: filter "Active substance" contains "voriconazole" and "Marketing authorisation holder" contains "Heumann" → "Product authorisation country"</t>
  </si>
  <si>
    <t xml:space="preserve">BLEOMYCIN VENUS PHARMA 15,000 IU POWDER FOR SOLUTION FOR INJECTION / INFUSION – VENUS PHARMA GMBH</t>
  </si>
  <si>
    <t xml:space="preserve">https://mhraproducts4853.blob.core.windows.net/docs/bb8555ee31d8ac21ce7ea2481563ab908752699c</t>
  </si>
  <si>
    <t xml:space="preserve">CEFTAZIDIME VENUS PHARMA 2 G POWDER FOR SOLUTION FOR INJECTION/INFUSION – VENUS PHARMA GMBH</t>
  </si>
  <si>
    <t xml:space="preserve">CEFTRIAXONE 2G POWDER FOR SOLUTION FOR INJECTION OR INFUSION – VENUS PHARMA GMBH</t>
  </si>
  <si>
    <t xml:space="preserve">https://mhraproducts4853.blob.core.windows.net/docs/620992012871d9e5a72bdb1e861678d5901cf630</t>
  </si>
  <si>
    <t xml:space="preserve">MEROPENEM VENUS PHARMA 500 MG POWDER FOR SOLUTION FOR INJECTION/INFUSION – VENUS PHARMA GMBH</t>
  </si>
  <si>
    <t xml:space="preserve">https://mhraproducts4853.blob.core.windows.net/docs/acbc6e7bb34bb7ce66320f7e651ff6f476c3ade3</t>
  </si>
  <si>
    <t xml:space="preserve">Venus Pharma Gmbh</t>
  </si>
  <si>
    <t xml:space="preserve">Article 57 file: filter "Active substance" contains "meropenem" and "Marketing authorisation holder" contains "Venus" → country "United Kingdom (Northern Ireland)"</t>
  </si>
  <si>
    <t xml:space="preserve">EU/EEA (8): Germany, France, Netherlands, Belgium, Cyprus, Ireland, Italy, Spain</t>
  </si>
  <si>
    <t xml:space="preserve">https://base-donnees-publique.medicaments.gouv.fr/index.php?page=1&amp;choixRecherche=medicament&amp;txtCaracteres=Meropenem%20Venus&amp;action=show</t>
  </si>
  <si>
    <t xml:space="preserve">French register shows the product and holder (France). For the other countries: Article 57 file: filter "Active substance" contains "meropenem" and "Marketing authorisation holder" contains "Venus" → "Product authorisation country"</t>
  </si>
  <si>
    <t xml:space="preserve">ADENOSINE 3MG/ML SOLUTION FOR INJECTION – WOCKHARDT UK LIMITED</t>
  </si>
  <si>
    <t xml:space="preserve">https://mhraproducts4853.blob.core.windows.net/docs/ce49908fa961f98a13c36c78620a967d33be1b8b</t>
  </si>
  <si>
    <t xml:space="preserve">Wockhardt Uk Ltd</t>
  </si>
  <si>
    <t xml:space="preserve">Article 57 file: filter "Active substance" contains "adenosine" and "Marketing authorisation holder" contains "Wockhardt" → country "United Kingdom (Northern Ireland)"</t>
  </si>
  <si>
    <t xml:space="preserve">AMIKACIN WOCKHARDT amikacin (as sulfate) 500mg/2mL solution for injection infusion vial – Wockhardt Bio Pty Ltd</t>
  </si>
  <si>
    <t xml:space="preserve">https://www.ebs.tga.gov.au/ebs/picmi/picmirepository.nsf/pdf?OpenAgent&amp;id=CP-2018-PI-01293-1</t>
  </si>
  <si>
    <t xml:space="preserve">CAFFEINE CITRATE 10MG/ML SOLUTION FOR INJECTION – WOCKHARDT UK LIMITED</t>
  </si>
  <si>
    <t xml:space="preserve">https://mhraproducts4853.blob.core.windows.net/docs/eadef0847539ae80277f0273fc908c29f79089c5</t>
  </si>
  <si>
    <t xml:space="preserve">Article 57 file: filter "Active substance" contains "caffeine" and "Marketing authorisation holder" contains "Wockhardt" → country "United Kingdom (Northern Ireland)"</t>
  </si>
  <si>
    <t xml:space="preserve">CEFTAZIDIME 2G POWDER FOR SOLUTION FOR INJECTION OR INFUSION – WOCKHARDT UK LIMITED</t>
  </si>
  <si>
    <t xml:space="preserve">Pinewood Laboratories Limited ; Wockhardt Uk Ltd</t>
  </si>
  <si>
    <t xml:space="preserve">Article 57 file: filter "Active substance" contains "ceftazidime" and "Marketing authorisation holder" contains "Wockhardt" or "Pinewood" → country "United Kingdom (Northern Ireland)"</t>
  </si>
  <si>
    <t xml:space="preserve">EU/EEA (2): Ireland, Malta</t>
  </si>
  <si>
    <t xml:space="preserve">Article 57 file: filter "Active substance" contains "ceftazidime" and "Marketing authorisation holder" contains "Wockhardt" or "Pinewood" → "Product authorisation country"</t>
  </si>
  <si>
    <t xml:space="preserve">CEFTRIAXONE – WOCKHARDT BIO AG</t>
  </si>
  <si>
    <t xml:space="preserve">https://dailymed.nlm.nih.gov/dailymed/drugInfo.cfm?setid=3b36beb7-db94-4b07-8c81-bd2b601a6601</t>
  </si>
  <si>
    <t xml:space="preserve">CEFTRIAXONE 2G POWDER FOR SOLUTION FOR INJECTION/INFUSION – WOCKHARDT UK LIMITED</t>
  </si>
  <si>
    <t xml:space="preserve">Article 57 file: filter "Active substance" contains "ceftriaxone" and "Marketing authorisation holder" contains "Wockhardt" or "Pinewood" → country "United Kingdom (Northern Ireland)"</t>
  </si>
  <si>
    <t xml:space="preserve">Article 57 file: filter "Active substance" contains "ceftriaxone" and "Marketing authorisation holder" contains "Wockhardt" or "Pinewood" → "Product authorisation country"</t>
  </si>
  <si>
    <t xml:space="preserve">CHLORPHENAMINE 10MG/ML SOLUTION FOR INJECTION – WOCKHARDT UK LIMITED</t>
  </si>
  <si>
    <t xml:space="preserve">https://mhraproducts4853.blob.core.windows.net/docs/f4594f4c3cc23114acb072e65ac513664e1ab8d4</t>
  </si>
  <si>
    <t xml:space="preserve">Article 57 file: filter "Active substance" contains "chlorphenamine" and "Marketing authorisation holder" contains "Wockhardt" → country "United Kingdom (Northern Ireland)"</t>
  </si>
  <si>
    <t xml:space="preserve">DAPTOMYCIN 350 MG POWDER FOR SOLUTION FOR INJECTION OR INFUSION – WOCKHARDT UK LIMITED</t>
  </si>
  <si>
    <t xml:space="preserve">Article 57 file: filter "Active substance" contains "daptomycin" and "Marketing authorisation holder" contains "Wockhardt" → country "United Kingdom (Northern Ireland)"</t>
  </si>
  <si>
    <t xml:space="preserve">DAPTOMYCIN WKT daptomycin 500 mg powder for injection vial – Wockhardt Bio Pty Ltd</t>
  </si>
  <si>
    <t xml:space="preserve">https://www.ebs.tga.gov.au/ebs/picmi/picmirepository.nsf/pdf?OpenAgent&amp;id=CP-2023-PI-01384-1</t>
  </si>
  <si>
    <t xml:space="preserve">HALOPERIDOL 5MG/ML SOLUTION FOR INJECTION – WOCKHARDT UK LIMITED</t>
  </si>
  <si>
    <t xml:space="preserve">https://mhraproducts4853.blob.core.windows.net/docs/c39d08ff0acc6dc6d5b1523ab09699a21e4f0137</t>
  </si>
  <si>
    <t xml:space="preserve">Article 57 file: filter "Active substance" contains "haloperidol" and "Marketing authorisation holder" contains "Wockhardt" → country "United Kingdom (Northern Ireland)"</t>
  </si>
  <si>
    <t xml:space="preserve">Article 57 file: filter "Active substance" contains "hyaluronidase" and "Marketing authorisation holder" contains "Wockhardt" or "Pinewood" → country "United Kingdom (Northern Ireland)"</t>
  </si>
  <si>
    <t xml:space="preserve">Article 57 file: filter "Active substance" contains "hyaluronidase" and "Marketing authorisation holder" contains "Wockhardt" or "Pinewood" → "Product authorisation country"</t>
  </si>
  <si>
    <t xml:space="preserve">HYOSCINE HYDROBROMIDE 600 MCG/ML SOLUTION FOR INJECTION – WOCKHARDT UK LIMITED</t>
  </si>
  <si>
    <t xml:space="preserve">https://products.mhra.gov.uk/search/?search=hyoscine</t>
  </si>
  <si>
    <t xml:space="preserve">Article 57 file: filter "Active substance" contains "hyoscine hydrobromide" and "Marketing authorisation holder" contains "Wockhardt" → country "United Kingdom (Northern Ireland)"</t>
  </si>
  <si>
    <t xml:space="preserve">Article 57 file: filter "Active substance" contains "metaraminol" and "Marketing authorisation holder" contains "Wockhardt" → country "United Kingdom (Northern Ireland)"</t>
  </si>
  <si>
    <t xml:space="preserve">METARAMINOL WOCKHARDT metaraminol (as tartrate) 5mg in 10mL solution for injection ampoule – Wockhardt Bio Pty Ltd</t>
  </si>
  <si>
    <t xml:space="preserve">https://www.ebs.tga.gov.au/ebs/picmi/picmirepository.nsf/pdf?OpenAgent&amp;id=CP-2023-PI-01637-1</t>
  </si>
  <si>
    <t xml:space="preserve">MILRINONE 1MG/ML SOLUTION FOR INJECTION/INFUSION – WOCKHARDT UK LIMITED</t>
  </si>
  <si>
    <t xml:space="preserve">https://mhraproducts4853.blob.core.windows.net/docs/8d4555c20d185d4c32c594d228e76e53b76b0650</t>
  </si>
  <si>
    <t xml:space="preserve">Article 57 file: filter "Active substance" contains "milrinone" and "Marketing authorisation holder" contains "Wockhardt" or "Pinewood" → country "United Kingdom (Northern Ireland)"</t>
  </si>
  <si>
    <t xml:space="preserve">Article 57 file: filter "Active substance" contains "milrinone" and "Marketing authorisation holder" contains "Wockhardt" or "Pinewood" → "Product authorisation country"</t>
  </si>
  <si>
    <t xml:space="preserve">MORPHINE SULFATE 30MG/ML SOLUTION FOR INJECTION – WOCKHARDT UK LIMITED</t>
  </si>
  <si>
    <t xml:space="preserve">https://products.mhra.gov.uk/search/?search=morphine</t>
  </si>
  <si>
    <t xml:space="preserve">Article 57 file: filter "Active substance" contains "morphine" and "Marketing authorisation holder" contains "Wockhardt" → country "United Kingdom (Northern Ireland)"</t>
  </si>
  <si>
    <t xml:space="preserve">Article 57 file: filter "Active substance" contains "ondansetron" and "Marketing authorisation holder" contains "Wockhardt" → country "United Kingdom (Northern Ireland)"</t>
  </si>
  <si>
    <t xml:space="preserve">OXACILLIN SODIUM – WOCKHARDT BIO AG</t>
  </si>
  <si>
    <t xml:space="preserve">https://dailymed.nlm.nih.gov/dailymed/search.cfm?searchdb=ndc&amp;query=64679-698</t>
  </si>
  <si>
    <t xml:space="preserve">PROTAMINE SULFATE 10MG/ML SOLUTION FOR INJECTION – WOCKHARDT UK LIMITED</t>
  </si>
  <si>
    <t xml:space="preserve">Article 57 file: filter "Active substance" contains "protamine" and "Marketing authorisation holder" contains "Wockhardt" → country "United Kingdom (Northern Ireland)"</t>
  </si>
  <si>
    <t xml:space="preserve">REMIFENTANIL 5MG POWDER FOR CONCENTRATE FOR SOLUTION FOR INJECTION OR INFUSION – WOCKHARDT UK LIMITED</t>
  </si>
  <si>
    <t xml:space="preserve">Article 57 file: filter "Active substance" contains "remifentanil" and "Marketing authorisation holder" contains "Wockhardt" → country "United Kingdom (Northern Ireland)"</t>
  </si>
  <si>
    <t xml:space="preserve">SODIUM VALPROATE 100MG/ML SOLUTION FOR INJECTION OR INFUSION – WOCKHARDT UK LIMITED</t>
  </si>
  <si>
    <t xml:space="preserve">Article 57 file: filter "Active substance" contains "valpro" and "Marketing authorisation holder" contains "Wockhardt" → country "United Kingdom (Northern Ireland)"</t>
  </si>
  <si>
    <t xml:space="preserve">SODIUM VALPROATE WOCKHARDT sodium valproate 400 mg/4 mL solution for injection ampoule – Wockhardt Bio Pty Ltd</t>
  </si>
  <si>
    <t xml:space="preserve">https://www.tga.gov.au/resources/artg/279248</t>
  </si>
  <si>
    <t xml:space="preserve">SUGAMMADEX 100 MG/ML SOLUTION FOR INJECTION – WOCKHARDT UK LIMITED</t>
  </si>
  <si>
    <t xml:space="preserve">Article 57 file: filter "Active substance" contains "sugammadex" and "Marketing authorisation holder" contains "Wockhardt" → country "United Kingdom (Northern Ireland)"</t>
  </si>
  <si>
    <t xml:space="preserve">Article 57 file: filter "Active substance" contains "vancomycin" and "Marketing authorisation holder" contains "Wockhardt" → country "United Kingdom (Northern Ireland)"</t>
  </si>
  <si>
    <t xml:space="preserve">ACETAZOLAMIDE SODIUM – ZYDUS PHARMACEUTICALS USA INC</t>
  </si>
  <si>
    <t xml:space="preserve">https://dailymed.nlm.nih.gov/dailymed/search.cfm?labeltype=all&amp;query=Acetazolamide+Sodium</t>
  </si>
  <si>
    <t xml:space="preserve">BORTEZOMIB – ZYDUS PHARMACEUTICALS USA INC</t>
  </si>
  <si>
    <t xml:space="preserve">https://dailymed.nlm.nih.gov/dailymed/drugInfo.cfm?setid=0eb8daef-18da-43bb-b7c6-38c4c8b5dd80</t>
  </si>
  <si>
    <t xml:space="preserve">BORTEZOMIB 3.5 MG POWDER FOR SOLUTION FOR INJECTION – ZYDUS PHARMACEUTICALS UK LTD</t>
  </si>
  <si>
    <t xml:space="preserve">https://mhraproducts4853.blob.core.windows.net/docs/fd1559e1fe8ad5d4484aa5c74fde8d60c48452b0</t>
  </si>
  <si>
    <t xml:space="preserve">Laboratorios Combix, S.L.U. ; Zydus France ; Zydus Pharmaceuticals Uk Limited</t>
  </si>
  <si>
    <t xml:space="preserve">Article 57 file: filter "Active substance" contains "bortezomib" and "Marketing authorisation holder" contains "Zydus" or "Combix" → country "United Kingdom (Northern Ireland)"</t>
  </si>
  <si>
    <t xml:space="preserve">EU/EEA (2): France, Spain</t>
  </si>
  <si>
    <t xml:space="preserve">Article 57 file: filter "Active substance" contains "bortezomib" and "Marketing authorisation holder" contains "Zydus" or "Combix" → "Product authorisation country"</t>
  </si>
  <si>
    <t xml:space="preserve">Zymib – Zydus Healthcare SA (Pty) Ltd</t>
  </si>
  <si>
    <t xml:space="preserve">https://pi-pil-repository.sahpra.org.za/wp-content/uploads/2025/01/1.3.2-Bortezomib-Zydus-PIL-for-repository.pdf</t>
  </si>
  <si>
    <t xml:space="preserve">Zydus France</t>
  </si>
  <si>
    <t xml:space="preserve">https://base-donnees-publique.medicaments.gouv.fr/index.php?page=1&amp;choixRecherche=medicament&amp;txtCaracteres=Ceftriaxone%20Zydus&amp;action=show</t>
  </si>
  <si>
    <t xml:space="preserve">French register shows the product and holder (France). For the other countries: Article 57 file: filter "Active substance" contains "ceftriaxone" and "Marketing authorisation holder" contains "Zydus" → "Product authorisation country"</t>
  </si>
  <si>
    <t xml:space="preserve">CHLORPROMAZINE HYDROCHLORIDE – ZYDUS PHARMACEUTICALS USA INC</t>
  </si>
  <si>
    <t xml:space="preserve">https://dailymed.nlm.nih.gov/dailymed/lookup.cfm?setid=7cd6dc0d-e98d-40ae-80d4-c15f63056abf</t>
  </si>
  <si>
    <t xml:space="preserve">CISATRACURIUM BESYLATE – ZYDUS PHARMACEUTICALS USA INC</t>
  </si>
  <si>
    <t xml:space="preserve">https://dailymed.nlm.nih.gov/dailymed/fda/fdaDrugXsl.cfm?setid=e145a40e-b046-4064-b35e-0da40ff3703e&amp;type=display</t>
  </si>
  <si>
    <t xml:space="preserve">CYANOCOBALAMIN – ZYDUS PHARMACEUTICALS USA INC</t>
  </si>
  <si>
    <t xml:space="preserve">https://dailymed.nlm.nih.gov/dailymed/drugInfo.cfm?setid=e6712877-ace0-441c-99a9-adf567c0b9a2</t>
  </si>
  <si>
    <t xml:space="preserve">ETHACRYNATE SODIUM – ZYDUS PHARMACEUTICALS USA INC</t>
  </si>
  <si>
    <t xml:space="preserve">https://dailymed.nlm.nih.gov/dailymed/search.cfm?labeltype=all&amp;query=Ethacrynate+Sodium</t>
  </si>
  <si>
    <t xml:space="preserve">ETOMIDATE – ZYDUS PHARMACEUTICALS USA INC</t>
  </si>
  <si>
    <t xml:space="preserve">https://dailymed.nlm.nih.gov/dailymed/search.cfm?labeltype=all&amp;query=Etomidate</t>
  </si>
  <si>
    <t xml:space="preserve">FLUORESCEIN SODIUM – ZYDUS LIFESCIENCES GLOBAL FZE</t>
  </si>
  <si>
    <t xml:space="preserve">https://dailymed.nlm.nih.gov/dailymed/drugInfo.cfm?setid=19aea137-3f47-4b69-9884-3bff5f79b04a</t>
  </si>
  <si>
    <t xml:space="preserve">FULVESTRANT – ZYDUS PHARMACEUTICALS USA INC</t>
  </si>
  <si>
    <t xml:space="preserve">https://dailymed.nlm.nih.gov/dailymed/drugInfo.cfm?setid=994edf79-20a5-4e3a-bb35-c4fe3e65acba</t>
  </si>
  <si>
    <t xml:space="preserve">HALOPERIDOL DECANOATE – ZYDUS PHARMACEUTICALS USA INC</t>
  </si>
  <si>
    <t xml:space="preserve">https://dailymed.nlm.nih.gov/dailymed/search.cfm?searchdb=ndc&amp;query=70710-1461</t>
  </si>
  <si>
    <t xml:space="preserve">HYDROCORTISONE SODIUM SUCCINATE – ZYDUS PHARMACEUTICALS USA INC</t>
  </si>
  <si>
    <t xml:space="preserve">https://dailymed.nlm.nih.gov/dailymed/drugInfo.cfm?setid=37534164-9de5-4bb3-9f87-341dfcf90883</t>
  </si>
  <si>
    <t xml:space="preserve">INDOCYANINE GREEN – ZYDUS LIFESCIENCES GLOBAL FZE</t>
  </si>
  <si>
    <t xml:space="preserve">https://dailymed.nlm.nih.gov/dailymed/search.cfm?labeltype=all&amp;query=Indocyanine+Green</t>
  </si>
  <si>
    <t xml:space="preserve">Zypiron 20 – Zydus Healthcare SA (Pty) Ltd</t>
  </si>
  <si>
    <t xml:space="preserve">https://medicineprices.org.za/#search:zypiron</t>
  </si>
  <si>
    <t xml:space="preserve">Zydus-Ondansetron 8 mg Injection – Zydus Healthcare SA (Pty) Ltd</t>
  </si>
  <si>
    <t xml:space="preserve">https://medicineprices.org.za/#search:zydus-ondansetron</t>
  </si>
  <si>
    <t xml:space="preserve">SUCCINYLCHOLINE CHLORIDE – ZYDUS PHARMACEUTICALS USA INC</t>
  </si>
  <si>
    <t xml:space="preserve">https://dailymed.nlm.nih.gov/dailymed/drugInfo.cfm?setid=017e5ad4-028e-4e34-ac09-d0c8d64c880a</t>
  </si>
  <si>
    <t xml:space="preserve">SUGAMMADEX SODIUM – ZYDUS PHARMACEUTICALS USA INC</t>
  </si>
  <si>
    <t xml:space="preserve">VERAPAMIL HYDROCHLORIDE – ZYDUS PHARMACEUTICALS USA INC</t>
  </si>
  <si>
    <t xml:space="preserve">https://dailymed.nlm.nih.gov/dailymed/fda/fdaDrugXsl.cfm?setid=c87c7f7e-cdf5-42c7-a831-a7515d2d51d6&amp;type=display</t>
  </si>
  <si>
    <t xml:space="preserve">Price evidence – presentation level</t>
  </si>
  <si>
    <t xml:space="preserve">USD per unit (vial / ampoule / syringe). Pair price = average of presentations priced &gt; $5. Price confidence: Exact = company's own product; Same-market proxy = another maker's price in a market where the company holds the licence; Cross-market proxy = price from a market where it does not. Gaps filled from US CMS ASP, VA FSS, Australia PBS and South Africa SEP registry.</t>
  </si>
  <si>
    <t xml:space="preserve">Product</t>
  </si>
  <si>
    <t xml:space="preserve">Fill volume (mL)</t>
  </si>
  <si>
    <t xml:space="preserve">Price (USD / unit)</t>
  </si>
  <si>
    <t xml:space="preserve">Price market</t>
  </si>
  <si>
    <t xml:space="preserve">How to check / pricing basis</t>
  </si>
  <si>
    <t xml:space="preserve">User workbook, USA (Filled) tab: Generic retail proxy. 250 mcg/mL carboprost injectable solution. Drugs.com lowest quoted cash price for selected source pack: USD 300.12 / 10 (10 x 1 milliliters). 300.12 ÷ 10 = USD 30.01 per 1 mL vial. Not an exact sponsor price.  Checked 27-Sep-2026.</t>
  </si>
  <si>
    <t xml:space="preserve">Denmark</t>
  </si>
  <si>
    <t xml:space="preserve">User workbook, European Union tab: Competitor proxy - Denmark, medicinpriser.dk (Laegemiddelstyrelsen), English view; Prostinfenem (Pfizer) carboprost 0.25 mg/mL solution for injection, pack 1 x 1 mL (varenr 076166). Pharmacy Retail Price (AUP) per pack as labelled on the page, price period 14-Sep-2026 to 27-Sep-2026. EUR 66.22 per pack of 1 / 1 = EUR 66.22/vial (same as DKK 495.00 / 7.4755 DKK/EUR, ECB 25-Sep-2026). Container of the comparator is not stated on the page. Exact Alembic SmPC supports 250 mcg/1 mL in a 1 mL glass vial, one vial per pack, IM use.</t>
  </si>
  <si>
    <t xml:space="preserve">Open zip → "October 2026 Medicare Part B Payment Limit File" → find HCPCS J3360 → "Payment Limit" (USD per billing unit); × units per vial as in note · J3360 $5.069/5 mg × 2 (10 mg/2 mL)</t>
  </si>
  <si>
    <t xml:space="preserve">User workbook, USA (Filled) tab: Generic retail proxy. 50 mg/mL fulvestrant intramuscular solution. Drugs.com cash price USD 59.94 for 10 (2 x 5 milliliters). 59.94 ÷ 2 = USD 29.97/5 mL syringe. Manufacturer not identified by source. Checked 27-Sep-2026.</t>
  </si>
  <si>
    <t xml:space="preserve">User workbook, USA (Filled) tab: Generic retail proxy. 25 mg/mL preservative-free methotrexate injectable solution. Drugs.com lowest quoted cash price for selected source pack: USD 15.10 / 40 milliliters. 15.1 ÷ 1 = USD 15.10 per 40 mL vial. Not an exact sponsor price.  Checked 27-Sep-2026.</t>
  </si>
  <si>
    <t xml:space="preserve">User workbook, USA (Filled) tab: Generic retail proxy. 25 mg/mL methotrexate injectable solution. Drugs.com lowest quoted cash price for selected source pack: USD 28.06 / 10 (5 x 2 milliliters). 28.06 ÷ 5 = USD 5.61 per 2 mL vial. Not an exact sponsor price.  Checked 27-Sep-2026.</t>
  </si>
  <si>
    <t xml:space="preserve">Open zip → "October 2026 Medicare Part B Payment Limit File" → find HCPCS J3430 → "Payment Limit" (USD per billing unit); × units per vial as in note · J3430 $3.989 per 1 mg</t>
  </si>
  <si>
    <t xml:space="preserve">Open zip → "October 2026 Medicare Part B Payment Limit File" → find HCPCS J3301 → "Payment Limit" (USD per billing unit); × units per vial as in note · J3301 $0.787/10 mg × 4 (40 mg/mL, 1 mL)</t>
  </si>
  <si>
    <t xml:space="preserve">User workbook, Canada tab: Exact Auro product – Alberta</t>
  </si>
  <si>
    <t xml:space="preserve">User workbook, USA (Filled) tab: Generic retail proxy. 1 mg/mL argatroban intravenous solution. Drugs.com cash price USD 90.40 for 50 (1 x 50 milliliters). 90.4 ÷ 1 = USD 90.40/50 mL vial. Manufacturer not identified by source. Checked 27-Sep-2026.</t>
  </si>
  <si>
    <t xml:space="preserve">User workbook, UK tab: Competitor dm+d proxy – GBP 272.85 for the priced/target pack of 1; GBP 272.85 ÷ 1 = GBP 272.85 per vial; × 1.322 (ECB, 24-Sep-2026) = USD 360.71 per vial. Exact maker price not available; competitor pack used as proxy.</t>
  </si>
  <si>
    <t xml:space="preserve">Italy</t>
  </si>
  <si>
    <t xml:space="preserve">User workbook, European Union tab: Same-MAH / same-product-family price – Italy; Eugia/Aurobindo azacitidine 100 mg powder vial. EUR 351.70 per vial. Italian brand differs from Azacitidin Puren, therefore not labelled exact brand.</t>
  </si>
  <si>
    <t xml:space="preserve">User workbook, Australia tab: Generic proxy – same molecule, strength and presentation; competitor PBS AEMP; PBS item 12771E (Powder for injection 100 mg); AEMP AUD 14.63 per unit; PBS ex-manufacturer price file Sep-2026.</t>
  </si>
  <si>
    <t xml:space="preserve">User workbook, USA (Filled) tab: Generic retail proxy. 3.5 mg bortezomib injectable powder for injection. Drugs.com lowest quoted cash price for selected source pack: USD 22.25 / 1. 22.25 ÷ 1 = USD 22.25 per vial. Not an exact sponsor price.  Checked 27-Sep-2026.</t>
  </si>
  <si>
    <t xml:space="preserve">User workbook, UK tab: Competitor dm+d proxy – GBP 648.02 for the priced/target pack of 1; GBP 648.02 ÷ 1 = GBP 648.02 per vial; × 1.322 (ECB, 24-Sep-2026) = USD 856.68 per vial. Exact maker price not available; competitor pack used as proxy.</t>
  </si>
  <si>
    <t xml:space="preserve">User workbook, European Union tab: Same-MAH / same-product-family price – Italy; Aurobindo/Eugia bortezomib 3.5 mg powder vial. EUR 1,277.98/vial. Italian brand differs from Bortezomib Arrow.</t>
  </si>
  <si>
    <t xml:space="preserve">User workbook, Australia tab: Maker's PBS AEMP – same sponsor, same strength/presentation, listed under a different PBS brand; PBS item 12219D (Powder for injection 3.5 mg); AEMP AUD 20.47 per unit; PBS ex-manufacturer price file Sep-2026.</t>
  </si>
  <si>
    <t xml:space="preserve">Germany</t>
  </si>
  <si>
    <t xml:space="preserve">User workbook, European Union tab: Exact product price - Germany, aponeo.de; Bupivan 0.5% 5 mg/mL, 25 mg/5 mL glass ampoules, PZN 12675950. Private prescription price checked 28-Sep-2026. EUR 22.78 per pack of 5 / 5 = EUR 4.56/ampoule.</t>
  </si>
  <si>
    <t xml:space="preserve">User workbook, South Africa (Updated) tab: Exact SA SEP (supplied NDoH Medicine Price Registry, 10-Sep-2026) – R94.27 per pack of 1; 94.27 ÷ 1 = R94.27/vial. Exact SA PI confirms AURO CEFEPIME 1000 mg in a 20 mL vial and permits intramuscular administration; therefore HCW. FX: R94.27/unit × 0.06083945 = USD 5.74/unit.</t>
  </si>
  <si>
    <t xml:space="preserve">User workbook, South Africa (Updated) tab: Exact SA SEP (supplied NDoH Medicine Price Registry, 10-Sep-2026) – R204.14 per pack of 1; 204.14 ÷ 1 = R204.14/vial. Exact SA PI confirms AURO CEFEPIME 2000 mg in a 50 mL vial and permits intramuscular administration; therefore HCW. FX: R204.14/unit × 0.06083945 = USD 12.42/unit.</t>
  </si>
  <si>
    <t xml:space="preserve">France</t>
  </si>
  <si>
    <t xml:space="preserve">User workbook, European Union tab: Exact product price – France; Ceftazidime Arrow/Eugia 1 g powder vial. France public price including dispensing fee EUR 7.52 per vial.</t>
  </si>
  <si>
    <t xml:space="preserve">User workbook, European Union tab: Exact same-MAH product price – Italy; Ceftriaxone Aurobindo/Eugia 1 g IM kit containing 1 powder vial plus 1 x 3.5 mL solvent ampoule. Italy public price EUR 4.96 per complete kit. Price denominator corrected from ampoule to commercial kit.</t>
  </si>
  <si>
    <t xml:space="preserve">User workbook, European Union tab: Same-group proxy - Italy, AIFA Class A list; Ceftriaxone Eugia Pharma (Malta) (Aurobindo group, as Arrow Generiques) 1 g IM powder + 1 x 3.5 mL solvent, 1 kit. Public price (prezzo al pubblico) dated 30-Apr-2026. EUR 4.96 per pack of 1 / 1 = EUR 4.96/kit. The AIFA list also shows an Almus Srl pack of the same presentation at EUR 4.96.</t>
  </si>
  <si>
    <t xml:space="preserve">User workbook, USA (Filled) tab: Generic retail proxy. 25 mg/mL chlorpromazine injectable solution. Drugs.com lowest quoted cash price for selected source pack: USD 374.04 / 25 (25 x 1 milliliters). 374.04 ÷ 25 = USD 14.96 per 1 mL ampoule. Not an exact sponsor price. Price applies only to the 1 mL ampoule stated here.  Checked 27-Sep-2026.</t>
  </si>
  <si>
    <t xml:space="preserve">User workbook, USA (Filled) tab: Generic retail proxy. 200 mg/mL cyclophosphamide intravenous solution. Drugs.com cash price USD 216.12 for 5 milliliters. 216.12 ÷ 1 = USD 216.12/5 mL vial. Manufacturer not identified by source. Checked 27-Sep-2026.</t>
  </si>
  <si>
    <t xml:space="preserve">User workbook, USA (Filled) tab: Generic retail proxy. 200 mg/mL cyclophosphamide intravenous solution. Drugs.com cash price USD 427.80 for 10 milliliters. 427.8 ÷ 1 = USD 427.80/10 mL vial. Manufacturer not identified by source. Checked 27-Sep-2026.</t>
  </si>
  <si>
    <t xml:space="preserve">User workbook, USA (Filled) tab: Generic retail proxy. 200 mg/mL cyclophosphamide intravenous solution. Drugs.com cash price USD 58.20 for 2.5 milliliters. 58.2 ÷ 1 = USD 58.20/2.5 mL vial. Manufacturer not identified by source. Checked 27-Sep-2026.</t>
  </si>
  <si>
    <t xml:space="preserve">User workbook, USA (Filled) tab: Generic retail proxy. 0.5 mg dactinomycin intravenous powder for injection. Drugs.com cash price USD 427.80 for 1. 427.8 ÷ 1 = USD 427.80/vial. Manufacturer not identified by source. Checked 27-Sep-2026.</t>
  </si>
  <si>
    <t xml:space="preserve">User workbook, European Union tab: Competitor proxy - Italy, AIFA Classe H list; DAPTOMICINA ACCORDPHARMA*1 flaconcino 350 mg powder vial, holder Accord Healthcare SLU (no Eugia/Aurobindo line listed); same molecule, strength and powder vial. Prezzo al pubblico dated 30-Apr-2026. EUR 82.95 per pack of 1 / 1 = EUR 82.95/vial.</t>
  </si>
  <si>
    <t xml:space="preserve">User workbook, European Union tab: Exact maker price - Italy, AIFA Classe H list; DOXORUBICINA*1 flaconcino EV 5 ml 2 mg/ml, holder Eugia Pharma (Malta) Limited. Prezzo al pubblico dated 30-Apr-2026. EUR 14.90 per pack of 1 / 1 = EUR 14.90/vial.</t>
  </si>
  <si>
    <t xml:space="preserve">User workbook, USA (Filled) tab: Generic retail proxy. 50 mg/mL ephedrine intravenous solution. Drugs.com cash price USD 133.80 for 25 (25 x 1 milliliters). 133.8 ÷ 25 = USD 5.35/1 mL vial. Manufacturer not identified by source. Checked 27-Sep-2026.</t>
  </si>
  <si>
    <t xml:space="preserve">User workbook, European Union tab: Competitor proxy - Italy, AIFA Classe H list; EPIRUBICINA*1 flaconcino 25 ml 2 mg/ml, holder Teva Italia Srl; same molecule, concentration and 25 mL vial. Prezzo al pubblico dated 30-Apr-2026. EUR 81.18 per pack of 1 / 1 = EUR 81.18/vial. Pack per the Aurobindo group Belgian SmPC (Epirubicin Eugia).</t>
  </si>
  <si>
    <t xml:space="preserve">User workbook, USA (Filled) tab: Generic retail proxy. 2 mg/mL eptifibatide intravenous solution. Drugs.com cash price USD 343.80 for 100 milliliters. 343.8 ÷ 1 = USD 343.80/100 mL vial. Manufacturer not identified by source. Checked 27-Sep-2026.</t>
  </si>
  <si>
    <t xml:space="preserve">User workbook, USA (Filled) tab: Generic retail proxy. 1 g ertapenem injectable powder for injection. Drugs.com lowest quoted cash price for selected source pack: USD 100.17 / 10. 100.17 ÷ 10 = USD 10.02 per vial. Not an exact sponsor price.  Checked 27-Sep-2026.</t>
  </si>
  <si>
    <t xml:space="preserve">User workbook, Canada tab: Exact Auro product - Alberta 14-Sep-2026; DIN 02492148; per vial</t>
  </si>
  <si>
    <t xml:space="preserve">User workbook, South Africa (Updated) tab: Exact SA SEP (supplied NDoH Medicine Price Registry, 10-Sep-2026) – R310.00 per pack of 1; 310.00 ÷ 1 = R310.00/vial. Exact SA leaflet confirms a 20 mL vial and explicitly provides instructions for IM use; therefore HCW rather than infusion-only. FX: R310.00/unit × 0.06083945 = USD 18.86/unit.</t>
  </si>
  <si>
    <t xml:space="preserve">User workbook, South Africa (Updated) tab: Exact SA SEP (supplied NDoH Medicine Price Registry, 10-Sep-2026) – R3,100.00 per pack of 10; 3,100.00 ÷ 10 = R310.00/vial. Exact SA leaflet confirms each ETAMEP unit is a 20 mL vial and explicitly provides instructions for IM use; therefore HCW. FX: R310.00/unit × 0.06083945 = USD 18.86/unit.</t>
  </si>
  <si>
    <t xml:space="preserve">User workbook, South Africa (Updated) tab: Exact SA SEP (supplied NDoH Medicine Price Registry, 10-Sep-2026) – R5,508.64 per pack of 10; 5,508.64 ÷ 10 = R550.864, rounded to R550.86/vial. Exact SA PI confirms IVERZAM is supplied in a 20 mL vial and explicitly permits deep IM injection; therefore HCW. FX: R550.864/unit × 0.06083945 = USD 33.51/unit.</t>
  </si>
  <si>
    <t xml:space="preserve">User workbook, South Africa (Updated) tab: Exact SA SEP (supplied NDoH Medicine Price Registry, 10-Sep-2026) – R550.86 per pack of 1; 550.86 ÷ 1 = R550.86/vial. Exact SA PI confirms IVERZAM is supplied in a 20 mL vial and explicitly permits deep IM injection; therefore HCW. FX: R550.86/unit × 0.06083945 = USD 33.51/unit.</t>
  </si>
  <si>
    <t xml:space="preserve">Not priced – other presentations of this pair are priced</t>
  </si>
  <si>
    <t xml:space="preserve">Other presentations of this drug × company are priced</t>
  </si>
  <si>
    <t xml:space="preserve">User workbook, USA (Filled) tab: Generic retail proxy. 20 mg/mL esmolol intravenous solution. Drugs.com cash price USD 545.40 for 1000 (10 x 100 milliliters). 545.4 ÷ 10 = USD 54.54/100 mL bag. Manufacturer not identified by source. Checked 27-Sep-2026.</t>
  </si>
  <si>
    <t xml:space="preserve">NHS dm+d pack price GBP 25.00 for 10 vials ÷ 10 × 1.322 · Eugia UK 500 mg vial competitor proxy (GBP 2.50/vial); cross-market proxy</t>
  </si>
  <si>
    <t xml:space="preserve">Find "FLUCLOXACILLINA" K24 1 g vial in AIFA Class H list (EUR) × 1.13 · Flucloxacillina K24 1 g vial EUR 2.95; cross-market proxy</t>
  </si>
  <si>
    <t xml:space="preserve">Not found</t>
  </si>
  <si>
    <t xml:space="preserve">No public price found for this presentation</t>
  </si>
  <si>
    <t xml:space="preserve">User workbook, USA (Filled) tab: Generic retail proxy. 50 mg/mL fluorouracil intravenous solution. Drugs.com cash price USD 56.79 for 200 (10 x 20 milliliters). 56.79 ÷ 10 = USD 5.68/20 mL vial. Manufacturer not identified by source. Checked 27-Sep-2026.</t>
  </si>
  <si>
    <t xml:space="preserve">User workbook, USA (Filled) tab: Generic retail proxy. decanoate 25 mg/mL fluphenazine injectable solution. Drugs.com cash price USD 54.55 for 5 milliliters. 54.55 ÷ 1 = USD 54.55/5 mL vial. Manufacturer not identified by source. Checked 27-Sep-2026.</t>
  </si>
  <si>
    <t xml:space="preserve">User workbook, European Union tab: Competitor proxy - Denmark, medicinpriser.dk (Danish Medicines Agency); Calciumfolinat Fresenius Kabi 10 mg/mL, 10 x 100 mL inj./inf. solution (varenr 540548), same concentration and fill. AUP (pharmacy retail price, 'Pris pr. pakning'; AIP DKK 3,300.00 not used), price period 14-Sep-2026 to 27-Sep-2026. DKK 4,295.30 per pack of 10 / 10 = DKK 429.53; / 7.4755 DKK/EUR (ECB 25-Sep-2026) = EUR 57.46/vial. Caveat: DK listing does not state the container type.</t>
  </si>
  <si>
    <t xml:space="preserve">User workbook, UK tab: NHS Drug Tariff generic proxy – GBP 522.41 for the priced/target pack of 2; GBP 522.41 ÷ 2 = GBP 261.20 per pre-filled syringe; × 1.322 (ECB, 24-Sep-2026) = USD 345.31 per pre-filled syringe. Exact maker price not available; national generic tariff used as proxy.</t>
  </si>
  <si>
    <t xml:space="preserve">User workbook, European Union tab: Exact maker price - Italy, AIFA Class H list (Eugia Pharma (Malta) Limited, AIC 050313028); Fulvestrant 250 mg/5 mL pre-filled syringes IM + safety needles, pack of 2. Prezzo al pubblico dated 30-Apr-2026. EUR 941.36 per pack of 2 / 2 = EUR 470.68/syringe.</t>
  </si>
  <si>
    <t xml:space="preserve">User workbook, Australia tab: Generic proxy – same molecule, strength and presentation; competitor PBS AEMP; PBS item 12300J (Injection 250 mg in 5 mL pre-filled syringe); AEMP AUD 134.60 per pricing quantity of 2 ÷ 2 = AUD 67.30 per unit; PBS ex-manufacturer price file Sep-2026.</t>
  </si>
  <si>
    <t xml:space="preserve">User workbook, Canada tab: Exact product - Ontario formulary; per 1 mL vial</t>
  </si>
  <si>
    <t xml:space="preserve">User workbook, Canada tab: Exact product - Alberta 14-Sep-2026; DIN 02537699; per vial</t>
  </si>
  <si>
    <t xml:space="preserve">User workbook, USA (Filled) tab: Generic retail proxy. 3 mg/3 mL ibandronate intravenous solution. Drugs.com lowest quoted cash price for selected source pack: USD 125.00 / 3 milliliters. 125 ÷ 1 = USD 125.00 per 3 mL syringe. Not an exact sponsor price. Ibandronate 3 mg/3 mL injectable presentation is a pre-filled syringe; generic retail proxy, not maker price. Checked 27-Sep-2026.</t>
  </si>
  <si>
    <t xml:space="preserve">User workbook, USA (Filled) tab: Generic retail proxy. 150 mg/mL medroxyprogesterone intramuscular suspension. Drugs.com lowest quoted cash price for selected source pack: USD 25.66 / 1 milliliter. 25.66 ÷ 1 = USD 25.66 per 1 mL vial. Not an exact sponsor price.  Checked 27-Sep-2026.</t>
  </si>
  <si>
    <t xml:space="preserve">User workbook, USA (Filled) tab: Competitor retail price proxy. Amneal medroxyprogesterone acetate 150 mg/mL pre-filled syringe, NDC 70121-1480-01. USD 44.85 for 1 units. 44.85 ÷ 1 = USD 44.85 per syringe. Not the target sponsor price. Public price checked 27-Sep-2026.</t>
  </si>
  <si>
    <t xml:space="preserve">User workbook, European Union tab: Competitor proxy - Italy, AIFA Class H list (30-04-2026, linked from aifa.gov.it/liste-farmaci-a-h); Sun Pharmaceutical Ind. Europe B.V. MELFALAN 50 mg powder vial + 10 mL solvent vial. Italy public price (prezzo al pubblico) dated 30-Apr-2026. EUR 84.25 per pack of 1 / 1 = EUR 84.25/vial. Previous Spanish vademecum.es pricing page hides prices behind a professional login, so the old amount could not be verified; replaced.</t>
  </si>
  <si>
    <t xml:space="preserve">User workbook, European Union tab: Exact maker price - Italy, AIFA Class H list (30-04-2026, linked from aifa.gov.it/liste-farmaci-a-h); Eugia Pharma (Malta) Limited MEROPENEM 10 x 500 mg powder vials. Italy public price (prezzo al pubblico) dated 30-Apr-2026. EUR 106.90 per pack of 10 / 10 = EUR 10.69/vial.</t>
  </si>
  <si>
    <t xml:space="preserve">User workbook, Canada tab: Exact Auro product; Alberta Dec-2024</t>
  </si>
  <si>
    <t xml:space="preserve">User workbook, USA (Filled) tab: Generic retail proxy. 100 mg/mL mesna injectable solution. Drugs.com lowest quoted cash price for selected source pack: USD 22.25 / 10 milliliters. 22.25 ÷ 1 = USD 22.25 per 10 mL vial. Not an exact sponsor price.  Checked 27-Sep-2026.</t>
  </si>
  <si>
    <t xml:space="preserve">User workbook, USA (Filled) tab: Generic retail proxy. 25 mg/mL preservative-free methotrexate injectable solution. Drugs.com lowest quoted cash price for selected source pack: USD 7.15 / 2 milliliters. 7.15 ÷ 1 = USD 7.15 per 2 mL vial. Not an exact sponsor price.  Checked 27-Sep-2026.</t>
  </si>
  <si>
    <t xml:space="preserve">User workbook, USA (Filled) tab: Calibrated generic retail proxy. 25 mg/mL preservative-free methotrexate injectable solution. Drugs.com lowest quoted cash price for selected source pack: USD 12.38 / 10 milliliters. 12.38 ÷ 1 × 0.8 = USD 9.90 per 8 mL vial. Not an exact sponsor price. Same concentration and formulation, scaled by container volume.  Checked 27-Sep-2026.</t>
  </si>
  <si>
    <t xml:space="preserve">User workbook, USA (Filled) tab: Generic retail proxy. 25 mg/mL preservative-free methotrexate injectable solution. Drugs.com lowest quoted cash price for selected source pack: USD 12.38 / 10 milliliters. 12.38 ÷ 1 = USD 12.38 per 10 mL vial. Not an exact sponsor price.  Checked 27-Sep-2026.</t>
  </si>
  <si>
    <t xml:space="preserve">Open zip → "October 2026 Medicare Part B Payment Limit File" → find HCPCS J1010 → "Payment Limit" (USD per billing unit); × units per vial as in note · J1010 $0.123/mg × 40</t>
  </si>
  <si>
    <t xml:space="preserve">Open zip → "October 2026 Medicare Part B Payment Limit File" → find HCPCS J1010 → "Payment Limit" (USD per billing unit); × units per vial as in note · J1010 $0.123/mg × 80</t>
  </si>
  <si>
    <t xml:space="preserve">User workbook, European Union tab: Calibrated estimate - Italy, AIFA Class H list (30-04-2026, linked from aifa.gov.it/liste-farmaci-a-h); Medac GmbH MITOMICINA 10 mg powder, 1 vial (same molecule, powder vial). Italy public price (prezzo al pubblico) dated 30-Apr-2026. EUR 24.73 per pack of 1 / 1 = EUR 24.73/vial; x 20 mg/10 mg = EUR 49.46/vial. The 20 mg Aurovitas pack is authorised (14-Jul-2026) but shown as not yet marketed in Spain.</t>
  </si>
  <si>
    <t xml:space="preserve">User workbook, USA (Filled) tab: Generic retail proxy. 1 g nafcillin injectable powder for injection. Drugs.com lowest quoted cash price for selected source pack: USD 87.60 / 10. 87.6 ÷ 10 = USD 8.76 per vial. Not an exact sponsor price.  Checked 27-Sep-2026.</t>
  </si>
  <si>
    <t xml:space="preserve">User workbook, USA (Filled) tab: Generic retail proxy. 2 g nafcillin injectable powder for injection. Drugs.com lowest quoted cash price for selected source pack: USD 60.64 / 10. 60.64 ÷ 10 = USD 6.06 per vial. Not an exact sponsor price.  Checked 27-Sep-2026.</t>
  </si>
  <si>
    <t xml:space="preserve">User workbook, USA (Filled) tab: Generic retail proxy. 0.4 mg/mL naloxone injectable solution. Drugs.com lowest quoted cash price for selected source pack: USD 64.32 / 10 (10 x 1 milliliters). 64.32 ÷ 10 = USD 6.43 per 1 mL vial. Not an exact sponsor price. Price applies only to the 1 mL vial stated here.  Checked 27-Sep-2026.</t>
  </si>
  <si>
    <t xml:space="preserve">User workbook, Canada tab: Volume-scaled generic proxy - Teva DIN 02382482 (1 mL ampoule); Alberta 14-Sep-2026; CAD 13.7450/mL x 10 mL = 137.45; target 10 mL multidose vial price unverified</t>
  </si>
  <si>
    <t xml:space="preserve">User workbook, UK tab: Competitor dm+d proxy – GBP 23.98 for the priced/target pack of 5; GBP 23.98 ÷ 5 = GBP 4.80 per ampoule; × 1.322 (ECB, 24-Sep-2026) = USD 6.34 per ampoule. Exact maker price not available; competitor pack used as proxy.</t>
  </si>
  <si>
    <t xml:space="preserve">User workbook, European Union tab: Same-group proxy - Italy, AIFA Class H list (30-04-2026, linked from aifa.gov.it/liste-farmaci-a-h); Eugia Pharma (Malta) Limited (Aurobindo group, different local MAH) ONDANSETRONE 2 mg/mL 2 mL, 10 ampoules. Italy public price (prezzo al pubblico) dated 30-Apr-2026. EUR 47.07 per pack of 10 / 10 = EUR 4.71/ampoule.</t>
  </si>
  <si>
    <t xml:space="preserve">User workbook, Canada tab: Exact product - Ontario formulary Sep-2026 (Off-Formulary Interchangeable), per 2 mL vial; DIN 02491524; duplicate-row format assignment assumed</t>
  </si>
  <si>
    <t xml:space="preserve">User workbook, Canada tab: Exact product - Ontario formulary Sep-2026 (Off-Formulary Interchangeable), per 4 mL vial; DIN 02491532; duplicate-row format assignment assumed</t>
  </si>
  <si>
    <t xml:space="preserve">User workbook, Canada tab: Generic proxy - Omega (preservative free); Alberta 14-Sep-2026; 3.4552/mL × 4 mL; proxy DIN 02271761; DIN 02544830; duplicate-row format assignment assumed</t>
  </si>
  <si>
    <t xml:space="preserve">User workbook, USA (Filled) tab: Generic retail proxy. 1 g oxacillin injectable powder for injection. Drugs.com lowest quoted cash price for selected source pack: USD 109.30 / 10. 109.3 ÷ 10 = USD 10.93 per vial. Not an exact sponsor price.  Checked 27-Sep-2026.</t>
  </si>
  <si>
    <t xml:space="preserve">User workbook, USA (Filled) tab: Generic retail proxy. 0.25 mg/5 mL palonosetron intravenous solution. Drugs.com lowest quoted cash price for selected source pack: USD 9.74 / 5 milliliters. 9.74 ÷ 1 = USD 9.74 per 5 mL vial. Not an exact sponsor price.  Checked 27-Sep-2026.</t>
  </si>
  <si>
    <t xml:space="preserve">User workbook, UK tab: Competitor dm+d proxy – GBP 5.00 for the priced/target pack of 1; GBP 5.00 ÷ 1 = GBP 5.00 per vial; × 1.322 (ECB, 24-Sep-2026) = USD 6.61 per vial. Exact maker price not available; competitor pack used as proxy.</t>
  </si>
  <si>
    <t xml:space="preserve">User workbook, Canada tab: Exact Auro product – Alberta Mar-2026</t>
  </si>
  <si>
    <t xml:space="preserve">User workbook, USA (Filled) tab: Generic retail proxy. 20 mg/mL plerixafor subcutaneous solution. Drugs.com cash price USD 343.80 for 1.2 milliliters. 343.8 ÷ 1 = USD 343.80/1.2 mL vial. Manufacturer not identified by source. Checked 27-Sep-2026.</t>
  </si>
  <si>
    <t xml:space="preserve">User workbook, UK tab: Competitor dm+d proxy – GBP 4,800.00 for the priced/target pack of 1; GBP 4,800.00 ÷ 1 = GBP 4,800.00 per vial; × 1.322 (ECB, 24-Sep-2026) = USD 6,345.60 per vial. Exact maker price not available; competitor pack used as proxy.</t>
  </si>
  <si>
    <t xml:space="preserve">User workbook, European Union tab: Exact maker price - Italy, AIFA Classe H list; Eugia Pharma (Malta) Limited PLERIXAFOR 24 mg (20 mg/mL), 1 vial SC, AIC 050448012. Public price (prezzo al pubblico) dated 30-04-2026. EUR 6480.02 per pack of 1 / 1 = EUR 6480.02/vial.</t>
  </si>
  <si>
    <t xml:space="preserve">User workbook, Canada tab: Exact product - Alberta 14-Sep-2026; DIN 02539454; per vial</t>
  </si>
  <si>
    <t xml:space="preserve">User workbook, Australia tab: Maker's PBS AEMP – exact product; PBS item 10083Q (Injection 24 mg in 1.2 mL); Oct-2026 AEMP AUD 799.38 per unit (Sep-2026 AEMP was AUD 1,129.54); PBS price-disclosure determination, Oct-2026 AEMP (effective 1-Oct-2026); pricing quantity from Sep-2026 AEMP file.</t>
  </si>
  <si>
    <t xml:space="preserve">User workbook, USA (Filled) tab: Generic retail proxy. 50 mg/mL progesterone intramuscular solution. Drugs.com lowest quoted cash price for selected source pack: USD 22.25 / 10 milliliters. 22.25 ÷ 1 = USD 22.25 per 10 mL vial. Not an exact sponsor price.  Checked 27-Sep-2026.</t>
  </si>
  <si>
    <t xml:space="preserve">Open zip → "October 2026 Medicare Part B Payment Limit File" → find HCPCS J2785 → "Payment Limit" (USD per billing unit); × units per vial as in note · J2785 $2.507/0.1 mg × 4 (0.4 mg/5 mL)</t>
  </si>
  <si>
    <t xml:space="preserve">User workbook, European Union tab: Competitor proxy - Denmark, Laegemiddelstyrelsen medicinpriser.dk (price period 14.09.2026-27.09.2026); Remifentanil "hameln" 1 mg powder for concentrate for solution for injection/infusion, 5 vials, varenummer 512466. AUP (pharmacy retail price; column "Pris pr. pakning", labelled "Pharmacy Retail Price" in the site English view). DKK 232.80 per pack of 5 / 5 = DKK 46.56; / 7.4755 DKK/EUR (ECB 25-Sep-2026) = EUR 6.23/vial.</t>
  </si>
  <si>
    <t xml:space="preserve">User workbook, USA (Filled) tab: Generic retail proxy. 0.2% ropivacaine injectable solution. Drugs.com cash price USD 188.40 for 500 (25 x 20 milliliters). 188.4 ÷ 25 = USD 7.54/20 mL vial. Manufacturer not identified by source. Checked 27-Sep-2026.</t>
  </si>
  <si>
    <t xml:space="preserve">User workbook, USA (Filled) tab: Generic retail proxy. 0.5% ropivacaine injectable solution. Drugs.com cash price USD 125.40 for 500 (25 x 20 milliliters). 125.4 ÷ 25 = USD 5.02/20 mL vial. Manufacturer not identified by source. Checked 27-Sep-2026.</t>
  </si>
  <si>
    <t xml:space="preserve">User workbook, USA (Filled) tab: Generic retail proxy. 1% ropivacaine injectable solution. Drugs.com cash price USD 246.15 for 250 (25 x 10 milliliters). 246.15 ÷ 25 = USD 9.85/10 mL vial. Manufacturer not identified by source. Checked 27-Sep-2026.</t>
  </si>
  <si>
    <t xml:space="preserve">User workbook, USA (Filled) tab: Generic retail proxy. 0.5% ropivacaine injectable solution. Drugs.com cash price USD 175.80 for 750 (25 x 30 milliliters). 175.8 ÷ 25 = USD 7.03/30 mL vial. Manufacturer not identified by source. Checked 27-Sep-2026.</t>
  </si>
  <si>
    <t xml:space="preserve">User workbook, USA (Filled) tab: Generic retail proxy. 0.75% ropivacaine injectable solution. Drugs.com cash price USD 414.25 for 500 (25 x 20 milliliters). 414.25 ÷ 25 = USD 16.57/20 mL vial. Manufacturer not identified by source. Checked 27-Sep-2026.</t>
  </si>
  <si>
    <t xml:space="preserve">User workbook, USA (Filled) tab: Generic retail proxy. 1% ropivacaine injectable solution. Drugs.com cash price USD 175.80 for 500 (25 x 20 milliliters). 175.8 ÷ 25 = USD 7.03/20 mL vial. Manufacturer not identified by source. Checked 27-Sep-2026.</t>
  </si>
  <si>
    <t xml:space="preserve">User workbook, USA (Filled) tab: Generic retail proxy. 10 mg/12.5 mL sildenafil intravenous solution. Drugs.com cash price USD 161.80 for 12.5 milliliters. 161.8 ÷ 1 = USD 161.80/12.5 mL vial. Manufacturer not identified by source. Checked 27-Sep-2026.</t>
  </si>
  <si>
    <t xml:space="preserve">User workbook, USA (Filled) tab: Generic retail proxy. cypionate 100 mg/mL testosterone intramuscular solution. Drugs.com lowest quoted cash price for selected source pack: USD 27.26 / 10 milliliters. 27.26 ÷ 1 = USD 27.26 per 10 mL vial. Not an exact sponsor price.  Checked 27-Sep-2026.</t>
  </si>
  <si>
    <t xml:space="preserve">User workbook, USA (Filled) tab: Generic retail proxy. cypionate 200 mg/mL testosterone intramuscular solution. Drugs.com lowest quoted cash price for selected source pack: USD 14.00 / 1 milliliter. 14 ÷ 1 = USD 14.00 per 1 mL vial. Not an exact sponsor price. Price applies only to the 1 mL vial stated here.  Checked 27-Sep-2026.</t>
  </si>
  <si>
    <t xml:space="preserve">User workbook, USA (Filled) tab: Generic retail proxy. enanthate 200 mg/mL testosterone intramuscular solution. Drugs.com lowest quoted cash price for selected source pack: USD 36.17 / 5 milliliters. 36.17 ÷ 1 = USD 36.17 per 5 mL vial. Not an exact sponsor price.  Checked 27-Sep-2026.</t>
  </si>
  <si>
    <t xml:space="preserve">User workbook, USA (Filled) tab: Generic retail proxy. 50 mcg/mL tirofiban intravenous solution. Drugs.com cash price USD 81.22 for 100 milliliters. 81.22 ÷ 1 = USD 81.22/100 mL bag. Manufacturer not identified by source. Checked 27-Sep-2026.</t>
  </si>
  <si>
    <t xml:space="preserve">User workbook, USA (Filled) tab: Generic retail proxy. 50 mcg/mL tirofiban intravenous solution. Drugs.com cash price USD 198.40 for 250 milliliters. 198.4 ÷ 1 = USD 198.40/250 mL bag. Manufacturer not identified by source. Checked 27-Sep-2026.</t>
  </si>
  <si>
    <t xml:space="preserve">User workbook, Canada tab: Generic proxy – JAMP / Sandoz; Alberta Apr-2026; 3.7725/mL × 5 mL</t>
  </si>
  <si>
    <t xml:space="preserve">User workbook, Canada tab: Exact product; Alberta 14-Sep-2026; 4.0555/mL × 5 mL; DIN 02531208; DIN 02531208; duplicate-row format assignment assumed</t>
  </si>
  <si>
    <t xml:space="preserve">Search shows Norcuron 10 mg pack price (SEP, ZAR); ÷ 10 vials × 0.0608. Site is a public viewer of the SA Single Exit Price registry · Norcuron 10 mg, R1,306.55 read as pack of 10 vials; no US public price (not separately paid by Medicare)</t>
  </si>
  <si>
    <t xml:space="preserve">User workbook, USA (Filled) tab: Generic retail proxy. 2.5 mg/mL verapamil intravenous solution. Drugs.com lowest quoted cash price for selected source pack: USD 13.63 / 2 milliliters. 13.63 ÷ 1 = USD 13.63 per 2 mL vial. Not an exact sponsor price. Price applies only to the 2 mL vial stated here.  Checked 27-Sep-2026.</t>
  </si>
  <si>
    <t xml:space="preserve">User workbook, European Union tab: Exact maker price - Italy, AIFA Classe H list dated 30-Apr-2026; VINORELBINA*1 flaconcino EV 10 mg 1 ml 10 mg/ml, Eugia Pharma (Malta) Limited. Prezzo al pubblico EUR 21.59 per pack of 1 = EUR 21.59/vial.</t>
  </si>
  <si>
    <t xml:space="preserve">User workbook, Australia tab: Generic proxy – same molecule, strength and powder-for-injection vial presentation; competitor DBL Bleomycin Sulfate; PBS item 7244G; pricing quantity 1; AEMP AUD 43.69 = AUD 43.69 per vial; Sep-2026 PBS EFC file.</t>
  </si>
  <si>
    <t xml:space="preserve">User workbook, South Africa (Updated) tab: Exact SA SEP (NDoH Database of Medicine Prices, 10-Sep-2026) – NAPPI 3006083001, Pack Size 1, Quantity 1; R853.92 ÷ 1 = R853.92 per unit. FX: R853.92 × 0.06083945 (ECB, 24-Sep-2026) = USD 51.95.</t>
  </si>
  <si>
    <t xml:space="preserve">User workbook, South Africa (Updated) tab: Exact SA SEP (NDoH Database of Medicine Prices, 10-Sep-2026) – NAPPI 3002686001, Pack Size 10, Quantity 1; R2,683.88 ÷ 1 = R2,683.88 per unit. FX: R2,683.88 × 0.06083945 (ECB, 24-Sep-2026) = USD 163.29.</t>
  </si>
  <si>
    <t xml:space="preserve">Search shows "Cefect" Single Exit Price (ZAR) by pack; per-unit price × 0.0608. Site is a public viewer of the SA Single Exit Price registry</t>
  </si>
  <si>
    <t xml:space="preserve">User workbook, UK tab: Exact maker dm+d price – GBP 62.00 for the priced/target pack of 1; GBP 62.00 ÷ 1 = GBP 62.00 per vial; × 1.322 (ECB, 24-Sep-2026) = USD 81.96 per vial.</t>
  </si>
  <si>
    <t xml:space="preserve">User workbook, European Union tab: Competitor proxy - Italy, AIFA Classe H list; DAPTOMICINA ACCORDPHARMA*1 flaconcino 350 mg powder vial, holder Accord Healthcare SLU (no Cipla line listed); same molecule, strength and powder vial. Prezzo al pubblico dated 30-Apr-2026. EUR 82.95 per pack of 1 / 1 = EUR 82.95/vial.</t>
  </si>
  <si>
    <t xml:space="preserve">User workbook, South Africa (Updated) tab: SA SEP (NDoH Database of Medicine Prices, 10-Sep-2026) – NAPPI 718301001, Pack Size 1, Quantity 5, SEP R103.68. Tier B (SA PI/PIL opened): the SA leaflet shows 1 x 5 mL vial per carton, so 1 is the container count. Unit price = R103.68 ÷ 1 = R103.68 per container. [Literal SEP ÷ Quantity = R20.74; not used – see Validation_Log.] FX: R103.68 × 0.06083945 (ECB, 24-Sep-2026) = USD 6.31.</t>
  </si>
  <si>
    <t xml:space="preserve">User workbook, South Africa (Updated) tab: SA SEP (NDoH Database of Medicine Prices, 10-Sep-2026) – NAPPI 718302001, Pack Size 1, Quantity 25, SEP R518.38. Tier B (SA PI/PIL opened): the SA leaflet shows 1 x 25 mL vial per carton, so 1 is the container count. Unit price = R518.38 ÷ 1 = R518.38 per container. [Literal SEP ÷ Quantity = R20.74; not used – see Validation_Log.] FX: R518.38 × 0.06083945 (ECB, 24-Sep-2026) = USD 31.54.</t>
  </si>
  <si>
    <t xml:space="preserve">User workbook, European Union tab: Competitor proxy - Italy, AIFA Class H list; Fulvestrant Accord Healthcare SLU 250 mg/5 mL pre-filled syringes IM, pack of 2, same strength and device. Prezzo al pubblico dated 30-Apr-2026. EUR 941.36 per pack of 2 / 2 = EUR 470.68/syringe.</t>
  </si>
  <si>
    <t xml:space="preserve">Open zip → "October 2026 Medicare Part B Payment Limit File" → find HCPCS J1720 → "Payment Limit" (USD per billing unit); × units per vial as in note · J1720 $23.149 per 100 mg vial</t>
  </si>
  <si>
    <t xml:space="preserve">Filter "Generic" contains "ISOPRENALINE" (injection) → "Price" ÷ units in "PackageDescription"; median of vendors as in note · Median of 2 vendors, 0.2 mg/mL 1 mL (US shortage-era pricing); cross-market proxy</t>
  </si>
  <si>
    <t xml:space="preserve">Filter "Generic" contains "ISOPRENALINE" (injection) → "Price" ÷ units in "PackageDescription"; median of vendors as in note · Median of 2 vendors, 0.2 mg/mL 5 mL (US shortage-era pricing); cross-market proxy</t>
  </si>
  <si>
    <t xml:space="preserve">User workbook, USA (Filled) tab: Branded competitor retail proxy. Somatuline Depot 60 mg/0.2 mL pre-filled syringe. Drugs.com cash price USD 6,545.62 for one syringe ÷ 1 = USD 6,545.62/syringe. Not a Cipla/InvaGen price. No dose scaling. Checked 27-Sep-2026.</t>
  </si>
  <si>
    <t xml:space="preserve">User workbook, USA (Filled) tab: Branded competitor retail proxy. Somatuline Depot 90 mg/0.3 mL pre-filled syringe. Drugs.com cash price USD 8,714.12 for one syringe ÷ 1 = USD 8,714.12/syringe. Not a Cipla/InvaGen price. No dose scaling. Checked 27-Sep-2026.</t>
  </si>
  <si>
    <t xml:space="preserve">User workbook, USA (Filled) tab: Generic retail proxy. 120 mg/0.5 mL lanreotide subcutaneous solution. Drugs.com cash price USD 2,652.02 for 0.5 milliliters. 2652.02 ÷ 1 = USD 2652.02/0.5 mL syringe. Manufacturer not identified by source. Checked 27-Sep-2026.</t>
  </si>
  <si>
    <t xml:space="preserve">User workbook, South Africa (Updated) tab: Exact SA SEP (NDoH Database of Medicine Prices, 10-Sep-2026) – NAPPI 3002554001, Pack Size 1, Quantity 1; R157.05 ÷ 1 = R157.05 per unit. FX: R157.05 × 0.06083945 (ECB, 24-Sep-2026) = USD 9.55.</t>
  </si>
  <si>
    <t xml:space="preserve">User workbook, South Africa (Updated) tab: Exact SA SEP (NDoH Database of Medicine Prices, 10-Sep-2026) – NAPPI 3002554002, Pack Size 10, Quantity 1; R1,570.58 ÷ 1 = R1,570.58 per unit. FX: R1,570.58 × 0.06083945 (ECB, 24-Sep-2026) = USD 95.55.</t>
  </si>
  <si>
    <t xml:space="preserve">User workbook, Australia tab: see Pricing Url</t>
  </si>
  <si>
    <t xml:space="preserve">User workbook, Australia tab: Generic proxy – same molecule, strength and presentation; competitor PBS AEMP; PBS item 5295Q (Injection 250 micrograms (as hydrochloride) in 5 mL); AEMP AUD 9.91 per unit; PBS ex-manufacturer price file Sep-2026.</t>
  </si>
  <si>
    <t xml:space="preserve">Open zip → "October 2026 Medicare Part B Payment Limit File" → find HCPCS J2371 → "Payment Limit" (USD per billing unit); × units per vial as in note · J2371 $0.002/20 mcg × 500 (10 mg/1 mL); cross-market proxy</t>
  </si>
  <si>
    <t xml:space="preserve">Open zip → "October 2026 Medicare Part B Payment Limit File" → find HCPCS J3430 → "Payment Limit" (USD per billing unit); × units per vial as in note · J3430 $3.989/mg × 10</t>
  </si>
  <si>
    <t xml:space="preserve">Search shows "Streptase" Single Exit Price (ZAR) by pack; per-unit price × 0.0608. Site is a public viewer of the SA Single Exit Price registry</t>
  </si>
  <si>
    <t xml:space="preserve">User workbook, European Union tab: Competitor proxy - Germany, aponeo.de online pharmacy; Sugammadex Amarox 100 mg/mL, 10 x 2 mL, PZN 18660518. Private-prescription retail price (incl. VAT and pharmacy margin) viewed 28-Sep-2026. EUR 575.32 per pack of 10 / 10 = EUR 57.53/vial.</t>
  </si>
  <si>
    <t xml:space="preserve">Search shows "Senuom" Single Exit Price (ZAR) by pack; per-unit price × 0.0608. Site is a public viewer of the SA Single Exit Price registry</t>
  </si>
  <si>
    <t xml:space="preserve">User workbook, South Africa (Updated) tab: Exact SA SEP (NDoH Database of Medicine Prices, 10-Sep-2026) – NAPPI 721682001, Pack Size 3, Quantity 1; R229.62 ÷ 1 = R229.62 per unit. FX: R229.62 × 0.06083945 (ECB, 24-Sep-2026) = USD 13.97.</t>
  </si>
  <si>
    <t xml:space="preserve">User workbook, South Africa (Updated) tab: Exact SA SEP (NDoH Database of Medicine Prices, 10-Sep-2026) – NAPPI 3010279001, Pack Size 4, Quantity 1; R1,947.00 ÷ 1 = R1,947.00 per unit. FX: R1,947.00 × 0.06083945 (ECB, 24-Sep-2026) = USD 118.45.</t>
  </si>
  <si>
    <t xml:space="preserve">Filter "Item Code" = 10383L (Herzuma 150 mg) → "AEMP" AUD 105.18 per vial × 0.70 · Herzuma (biosimilar) 150 mg vial AEMP AUD 105.18</t>
  </si>
  <si>
    <t xml:space="preserve">User workbook, South Africa (Updated) tab: Exact SA SEP (NDoH Database of Medicine Prices, 10-Sep-2026) – NAPPI 717203001, Pack Size 10, Quantity 1; R347.86 ÷ 1 = R347.86 per unit. FX: R347.86 × 0.06083945 (ECB, 24-Sep-2026) = USD 21.16.</t>
  </si>
  <si>
    <t xml:space="preserve">User workbook, South Africa (Updated) tab: Exact SA SEP (NDoH Database of Medicine Prices, 10-Sep-2026) – NAPPI 716184001, Pack Size 1, Quantity 1; R330.73 ÷ 1 = R330.73 per unit. FX: R330.73 × 0.06083945 (ECB, 24-Sep-2026) = USD 20.12.</t>
  </si>
  <si>
    <t xml:space="preserve">User workbook, South Africa (Updated) tab: Exact SA SEP (NDoH Database of Medicine Prices, 10-Sep-2026) – NAPPI 716185001, Pack Size 5, Quantity 1; R1,653.65 ÷ 1 = R1,653.65 per unit. FX: R1,653.65 × 0.06083945 (ECB, 24-Sep-2026) = USD 100.61.</t>
  </si>
  <si>
    <t xml:space="preserve">User workbook, European Union tab: Exact maker price - Italy, AIFA Class H list 30-04-2026; Azacitidina Betapharm Arzneimittel GmbH 100 mg powder vial, 1 vial. Public price dated 30-04-2026. EUR 351.70 per pack of 1 / 1 = EUR 351.70/vial.</t>
  </si>
  <si>
    <t xml:space="preserve">User workbook, Canada tab: Generic proxy – JAMP / Sandoz; Alberta Jan-2026</t>
  </si>
  <si>
    <t xml:space="preserve">User workbook, Australia tab: Maker's PBS AEMP – same sponsor, same strength/presentation, listed under a different PBS brand; PBS item 12771E (Powder for injection 100 mg); AEMP AUD 14.63 per unit; PBS ex-manufacturer price file Sep-2026.</t>
  </si>
  <si>
    <t xml:space="preserve">User workbook, South Africa (Updated) tab: Exact SA SEP (NDoH Database of Medicine Prices, 10-Sep-2026) – NAPPI 3002433001, Pack Size 1, Quantity 1; R2,129.25 ÷ 1 = R2,129.25 per unit. FX: R2,129.25 × 0.06083945 (ECB, 24-Sep-2026) = USD 129.54.</t>
  </si>
  <si>
    <t xml:space="preserve">User workbook, USA (Filled) tab: Generic retail proxy. 250 mg bivalirudin intravenous powder for injection. Drugs.com lowest quoted cash price for selected source pack: USD 311.56 / 10. 311.56 ÷ 10 = USD 31.16 per vial. Not an exact sponsor price. Row 515 has incomplete locked strength; 250 mg powder vial is stated in existing packaging. Checked 27-Sep-2026.</t>
  </si>
  <si>
    <t xml:space="preserve">User workbook, UK tab: Exact maker dm+d price – GBP 762.38 for the priced/target pack of 1; GBP 762.38 ÷ 1 = GBP 762.38 per vial; × 1.322 (ECB, 24-Sep-2026) = USD 1,007.87 per vial.</t>
  </si>
  <si>
    <t xml:space="preserve">User workbook, European Union tab: Exact maker price – Italy; Dr. Reddy's bortezomib 3.5 mg powder vial. EUR 1,277.98 per vial. IV and SC administration permitted, therefore HCW.</t>
  </si>
  <si>
    <t xml:space="preserve">User workbook, Canada tab: Generic proxy – Teva; Alberta Jan-2026</t>
  </si>
  <si>
    <t xml:space="preserve">Search shows "Bertred" Single Exit Price (ZAR) by pack; per-unit price × 0.0608. Site is a public viewer of the SA Single Exit Price registry</t>
  </si>
  <si>
    <t xml:space="preserve">Filter "Generic" contains "CARBOPROST" (injection) → "Price" ÷ units in "PackageDescription"; median of vendors as in note · Median of 2 vendors (A2A $116.56, Pfizer $138.19 per 1 mL vial)</t>
  </si>
  <si>
    <t xml:space="preserve">Spain</t>
  </si>
  <si>
    <t xml:space="preserve">User workbook, European Union tab: Exact maker price - Spain, BOE Orden SND/1118/2025, Annex 2 (hospital medicines); Ciclofosfamida Dr. Reddys 500 mg/mL concentrate for solution for injection and infusion, 1 vial of 1 mL (CN 732777). PVL reference price (ex-factory, no public price found) per order dated 13-Oct-2025. EUR 4.42 per pack of 1 / 1 = EUR 4.42/vial. No PVP IVA: hospital product absent from the Nomenclator de Facturacion; Italian, Danish and Polish lists carry only powder or 100 mg/mL solution, which cannot be scaled.</t>
  </si>
  <si>
    <t xml:space="preserve">User workbook (Shortlist 6) price – source not found in country tabs or the SA / UAE databases</t>
  </si>
  <si>
    <t xml:space="preserve">User workbook, Canada tab: Exact Dr. Reddy's product (DIN 02490463); Ontario</t>
  </si>
  <si>
    <t xml:space="preserve">User workbook, USA (Filled) tab: Calibrated generic retail proxy. 4 mcg/mL desmopressin injectable solution. Drugs.com cash price USD 133.80 for 10 (10 x 1 milliliters). 133.8 ÷ 10 × 10/1 = USD 133.80/10 mL vial. Manufacturer not identified by source. Checked 27-Sep-2026.</t>
  </si>
  <si>
    <t xml:space="preserve">User workbook, USA (Filled) tab: Generic retail proxy. 1 mg/2 mL eribulin intravenous solution. Drugs.com cash price USD 301.80 for 2 milliliters. 301.8 ÷ 1 = USD 301.80/2 mL vial. Manufacturer not identified by source. Checked 27-Sep-2026.</t>
  </si>
  <si>
    <t xml:space="preserve">User workbook, UK tab: Exact maker dm+d price – GBP 324.90 for the priced/target pack of 1; GBP 324.90 ÷ 1 = GBP 324.90 per vial; × 1.322 (ECB, 24-Sep-2026) = USD 429.52 per vial.</t>
  </si>
  <si>
    <t xml:space="preserve">User workbook, European Union tab: Competitor proxy - Italy, AIFA Classe H list; ERIBULINA*1 flaconcino EV 2 ml 0,44 mg/ml, holder Advanz Pharma Limited; same molecule, concentration and 2 mL vial. Prezzo al pubblico dated 30-Apr-2026. EUR 417.05 per pack of 1 / 1 = EUR 417.05/vial.</t>
  </si>
  <si>
    <t xml:space="preserve">User workbook, Canada tab: Brand proxy - Eisai Halaven; Alberta 14-Sep-2026; 270.0000/mL × 2 mL; proxy DIN 02377438</t>
  </si>
  <si>
    <t xml:space="preserve">User workbook, Australia tab: Maker's PBS AEMP – same sponsor, same strength/presentation, listed under a different PBS brand; PBS item 10140Q (Solution for I.V. injection containing eribulin mesilate 1 mg in 2 mL); AEMP AUD 162.45 per unit; PBS ex-manufacturer price file Sep-2026.</t>
  </si>
  <si>
    <t xml:space="preserve">User workbook, South Africa (Updated) tab: Exact SA SEP (NDoH Database of Medicine Prices, 10-Sep-2026) – NAPPI 3010891001, Pack Size 2, Quantity 1; R5,075.16 ÷ 1 = R5,075.16 per unit. FX: R5,075.16 × 0.06083945 (ECB, 24-Sep-2026) = USD 308.77.</t>
  </si>
  <si>
    <t xml:space="preserve">User workbook, Canada tab: Exact product - Alberta 14-Sep-2026; DIN 02511150; per vial</t>
  </si>
  <si>
    <t xml:space="preserve">User workbook, Australia tab: Maker's PBS AEMP – exact product; PBS item 10104T (Injection 500 mg (iron) in 10 mL); AEMP AUD 40.97 per unit; PBS ex-manufacturer price file Sep-2026.</t>
  </si>
  <si>
    <t xml:space="preserve">User workbook, Australia tab: Maker's PBS AEMP – exact product; PBS item 11702X (Injection 1000 mg (iron) in 20 mL); AEMP AUD 81.94 per unit; PBS ex-manufacturer price file Sep-2026.</t>
  </si>
  <si>
    <t xml:space="preserve">User workbook, Australia tab: Linear same-brand estimate – FERRICARBO 500 mg/10 mL exact Dr Reddy's PBS AEMP AUD 40.97 (item 10104T); target 100 mg/2 mL is 20% of the dose/volume at the same 50 mg/mL concentration: 40.97 × 0.20 = AUD 8.19; Oct-2026 PBS API.</t>
  </si>
  <si>
    <t xml:space="preserve">User workbook, UK tab: Exact maker dm+d price – GBP 522.41 for the priced/target pack of 2; GBP 522.41 ÷ 2 = GBP 261.20 per pre-filled syringe; × 1.322 (ECB, 24-Sep-2026) = USD 345.31 per pre-filled syringe.</t>
  </si>
  <si>
    <t xml:space="preserve">User workbook, European Union tab: Same-group proxy - Italy, AIFA Class H list; Fulvestrant Dr. Reddy's Srl (Dr. Reddy's group, parent of betapharm) 250 mg/5 mL pre-filled syringes IM, pack of 2. Prezzo al pubblico dated 30-Apr-2026. EUR 941.36 per pack of 2 / 2 = EUR 470.68/syringe.</t>
  </si>
  <si>
    <t xml:space="preserve">Search shows "Eranfu" Single Exit Price (ZAR) by pack; per-unit price × 0.0608. Site is a public viewer of the SA Single Exit Price registry</t>
  </si>
  <si>
    <t xml:space="preserve">User workbook, European Union tab: Exact maker price - Germany, DocMorris; Ibandronsaure beta 3 mg pre-filled syringe, pack of 1, PZN 08881520. UVP/AVP (retail price incl. VAT) reviewed 25-Sep-2026. EUR 41.02 per pack of 1 / 1 = EUR 41.02/syringe.</t>
  </si>
  <si>
    <t xml:space="preserve">Filter "NDCWithDashes" = 43598-0750-58 → "Price" ÷ units in "PackageDescription" · Exact maker: Dr. Reddy's NDC 43598-0750-58, 1 mg/mL 10×2 mL syringes $138.69</t>
  </si>
  <si>
    <t xml:space="preserve">User workbook, USA (Filled) tab: Generic retail proxy. 1 mg/mL neostigmine intravenous solution. Drugs.com cash price USD 133.80 for 30 (10 x 3 milliliters). 133.8 ÷ 10 = USD 13.38/3 mL syringe. Manufacturer not identified by source. Checked 27-Sep-2026.</t>
  </si>
  <si>
    <t xml:space="preserve">User workbook, USA (Filled) tab: Generic retail proxy. 0.5 mg/mL neostigmine intravenous solution. Drugs.com cash price USD 19.55 for 10 milliliters. 19.55 ÷ 1 = USD 19.55/10 mL vial. Manufacturer not identified by source. Checked 27-Sep-2026.</t>
  </si>
  <si>
    <t xml:space="preserve">User workbook, USA (Filled) tab: Generic retail proxy. 1 mg/mL neostigmine intravenous solution. Drugs.com cash price USD 20.45 for 10 milliliters. 20.45 ÷ 1 = USD 20.45/10 mL vial. Manufacturer not identified by source. Checked 27-Sep-2026.</t>
  </si>
  <si>
    <t xml:space="preserve">User workbook, European Union tab: Same-group proxy - Italy, AIFA Classe H list; Dr. Reddy's Srl (Dr. Reddy's group) PALONOSETRON 250 mcg/5 mL, 1 vial EV, AIC 044110017. Public price (prezzo al pubblico) dated 30-04-2026. EUR 85.79 per pack of 1 / 1 = EUR 85.79/vial.</t>
  </si>
  <si>
    <t xml:space="preserve">User workbook, Australia tab: Maker's PBS AEMP – same sponsor, same strength/presentation, listed under a different PBS brand; PBS item 5295Q (Injection 250 micrograms (as hydrochloride) in 5 mL); AEMP AUD 9.91 per unit; PBS ex-manufacturer price file Sep-2026.</t>
  </si>
  <si>
    <t xml:space="preserve">User workbook, USA (Filled) tab: Generic retail proxy. 10 mg/mL phytonadione injectable solution. Drugs.com lowest quoted cash price for selected source pack: USD 424.03 / 25 (25 x 1 milliliters). 424.03 ÷ 25 = USD 16.96 per 1 mL ampoule. Not an exact sponsor price.  Checked 27-Sep-2026.</t>
  </si>
  <si>
    <t xml:space="preserve">User workbook, Canada tab: Generic proxy - ALV; Alberta 14-Sep-2026; 3.2515/mL × 10 mL; proxy DIN 02422336</t>
  </si>
  <si>
    <t xml:space="preserve">User workbook, USA (Filled) tab: Generic retail proxy. 100 mg/mL sugammadex intravenous solution. Drugs.com cash price USD 217.80 for 20 (10 x 2 milliliters). 217.8 ÷ 10 = USD 21.78/2 mL vial. Manufacturer not identified by source. Checked 27-Sep-2026.</t>
  </si>
  <si>
    <t xml:space="preserve">User workbook, USA (Filled) tab: Generic retail proxy. 100 mg/mL sugammadex intravenous solution. Drugs.com cash price USD 482.76 for 50 (10 x 5 milliliters). 482.76 ÷ 10 = USD 48.28/5 mL pen. Manufacturer not identified by source. Checked 27-Sep-2026.</t>
  </si>
  <si>
    <t xml:space="preserve">User workbook, UK tab: Exact maker dm+d price – GBP 596.40 for the priced/target pack of 10; GBP 596.40 ÷ 10 = GBP 59.64 per vial; × 1.322 (ECB, 24-Sep-2026) = USD 78.84 per vial.</t>
  </si>
  <si>
    <t xml:space="preserve">User workbook, European Union tab: Exact maker price (group company) - Italy, AIFA Classe H list; Dr. Reddy's Srl SUGAMMADEX 100 mg/mL, 10 vials EV of 2 mL, AIC 049608021. Public price (prezzo al pubblico) dated 30-04-2026. EUR 814.62 per pack of 10 / 10 = EUR 81.46/vial.</t>
  </si>
  <si>
    <t xml:space="preserve">Search shows "Neuvysi" Single Exit Price (ZAR) by pack; per-unit price × 0.0608. Site is a public viewer of the SA Single Exit Price registry</t>
  </si>
  <si>
    <t xml:space="preserve">User workbook, USA (Filled) tab: Generic retail proxy. 15 mg thiotepa injectable powder for injection. Drugs.com lowest quoted cash price for selected source pack: USD 154.80 / 1. 154.8 ÷ 1 = USD 154.80 per vial. Not an exact sponsor price.  Checked 27-Sep-2026.</t>
  </si>
  <si>
    <t xml:space="preserve">Open zip → "October 2026 Medicare Part B Payment Limit File" → find HCPCS J3301 → "Payment Limit" (USD per billing unit); × units per vial as in note · J3301 $0.787/10 mg × 5 (10 mg/mL, 5 mL vial)</t>
  </si>
  <si>
    <t xml:space="preserve">User workbook, UK tab: Competitor dm+d proxy – GBP 14.76 for the priced/target pack of 1; GBP 14.76 ÷ 1 = GBP 14.76 per vial; × 1.322 (ECB, 24-Sep-2026) = USD 19.51 per vial. Exact maker price not available; competitor pack used as proxy.</t>
  </si>
  <si>
    <t xml:space="preserve">Netherlands</t>
  </si>
  <si>
    <t xml:space="preserve">User workbook, European Union tab: Competitor proxy - Netherlands, medicijnkosten.nl (Zorginstituut Nederland); Diamox 500 mg powder for injection vial (Mercury Pharma). Average pharmacy price per package, the amount charged to the patient deductible (excluding delivery costs), updated to 1-Sep-2026; the page's per-piece view shows the same EUR 14.25, so the pack is 1 vial. EUR 14.25 per pack of 1 / 1 = EUR 14.25/vial. Kept because no public retail price for an acetazolamide injection was found in Italy (AIFA lists tablets only), Denmark (tablets only) or Germany. No EU leaflet found for the Tillomed product; packaging URL is the comparator's Dutch SmPC.</t>
  </si>
  <si>
    <t xml:space="preserve">User workbook, UK tab: Exact maker dm+d price – GBP 60.00 for the priced/target pack of 5; GBP 60.00 ÷ 5 = GBP 12.00 per vial; × 1.322 (ECB, 24-Sep-2026) = USD 15.86 per vial.</t>
  </si>
  <si>
    <t xml:space="preserve">User workbook, European Union tab: Competitor proxy - Italy, AIFA Class A list 30-04-2026; Likacin (Lisapharma) amikacin 500 mg/2 mL IM/IV, 1 vial. Public price (prezzo al pubblico) dated 30-Apr-2026. EUR 5.03 per pack of 1 / 1 = EUR 5.03/vial. Packaging: UK fallback (no EU source found) - Tillomed UK SmPC shows 500 mg/2 mL in a 2 mL glass vial, packs of 1 and 5 vials, IM or IV use.</t>
  </si>
  <si>
    <t xml:space="preserve">User workbook, Canada tab: Exact Marcan product (DIN 02481073); Alberta Apr-2026; CAD 44.5720/mL × 2 mL; exact DIN absent from Sep-2026 Alberta list</t>
  </si>
  <si>
    <t xml:space="preserve">User workbook, European Union tab: Exact maker price – Italy; Ampicillina Tillomed 1 g powder for solution for injection/infusion. EUR 400 per pack of 50 ÷ 50 = EUR 8.00/vial. Official Italian authorization confirms 1 g strength and 50 glass-vial pack. Injection and infusion are both permitted, therefore HCW rather than Infusion.</t>
  </si>
  <si>
    <t xml:space="preserve">User workbook, UK tab: Exact maker dm+d price – GBP 321.00 for the priced/target pack of 1; GBP 321.00 ÷ 1 = GBP 321.00 per vial; × 1.322 (ECB, 24-Sep-2026) = USD 424.36 per vial.</t>
  </si>
  <si>
    <t xml:space="preserve">User workbook, European Union tab: Exact maker price – Italy; Azacitidine Tillomed 100 mg powder vial. EUR 351.70 per vial.</t>
  </si>
  <si>
    <t xml:space="preserve">User workbook, European Union tab: Competitor proxy - Italy, AIFA Class H list; Sandoz bortezomib 3.5 mg powder for solution for injection, 1 vial, IV/SC. Public price (prezzo al pubblico) dated 30-Apr-2026. EUR 1,277.98 per pack of 1 / 1 = EUR 1,277.98/vial. Replaces the Spanish BOE PVL reference price (ex-factory EUR 504.78 for Bortezomib Tillomed CN 721363): Spain publishes no PVP IVA for this hospital-only product. Packaging Url (BOE) shows the exact Tillomed 1-vial pack.</t>
  </si>
  <si>
    <t xml:space="preserve">User workbook, Canada tab: Generic proxy - Taro DIN 02499061; Alberta 14-Sep-2026; per 3.5 mg powder vial</t>
  </si>
  <si>
    <t xml:space="preserve">User workbook, Canada tab: Generic proxy - Fresenius Kabi colistimethate 150 mg/vial DIN 02403544; Alberta 14-Sep-2026. Marcan DIN 02546639 not on Sep-2026 Alberta list (last exact price CAD 32.93, Alberta Dec-2024)</t>
  </si>
  <si>
    <t xml:space="preserve">User workbook, Canada tab: Generic proxy - Andone; Alberta 14-Sep-2026; proxy DIN 02546736; per vial</t>
  </si>
  <si>
    <t xml:space="preserve">User workbook, Canada tab: Generic proxy - Andone; Alberta 14-Sep-2026; proxy DIN 02546744; per vial</t>
  </si>
  <si>
    <t xml:space="preserve">User workbook, European Union tab: Exact maker price - Italy, AIFA Classe H list; DAPTOMICINA*1 flaconcino polv soluz iniett infus 350 mg, holder Tillomed Italia Srl. Prezzo al pubblico dated 30-Apr-2026. EUR 82.95 per pack of 1 / 1 = EUR 82.95/vial.</t>
  </si>
  <si>
    <t xml:space="preserve">User workbook, European Union tab: Competitor proxy - Denmark, medicinpriser.dk; Eribulin "Glenmark" 0.44 mg/mL solution for injection, 1 x 2 mL vial (varenr 111158). Pharmacy retail price (AUP) for price period 14.09.2026 - 27.09.2026. DKK 2,676.55 per pack of 1 / 1 = DKK 2,676.55/vial; / 7.4755 DKK/EUR (ECB 25-Sep-2026) = EUR 358.04/vial.</t>
  </si>
  <si>
    <t xml:space="preserve">User workbook, European Union tab: Exact maker price - Italy, AIFA Class H list (Tillomed Italia Srl, Tillomed group, AIC 047977020); Esomeprazolo 40 mg powder vial EV. Prezzo al pubblico dated 30-Apr-2026. EUR 64.35 per pack of 10 / 10 = EUR 6.44/vial.</t>
  </si>
  <si>
    <t xml:space="preserve">User workbook, UK tab: Exact maker dm+d price – GBP 105.00 for the priced/target pack of 1; GBP 105.00 ÷ 1 = GBP 105.00 per vial; × 1.322 (ECB, 24-Sep-2026) = USD 138.81 per vial.</t>
  </si>
  <si>
    <t xml:space="preserve">User workbook, European Union tab: Exact maker price - Italy, AIFA Class H list (30-04-2026, linked from aifa.gov.it/liste-farmaci-a-h); Tillomed Italia Srl (Tillomed group) MELFALAN 50 mg vial + 1 solvent vial. Italy public price (prezzo al pubblico) dated 30-Apr-2026. EUR 167.42 per pack of 1 / 1 = EUR 167.42/vial. Previous Spanish vademecum.es pricing page hides prices behind a professional login, so the old amount could not be verified; replaced.</t>
  </si>
  <si>
    <t xml:space="preserve">User workbook, Canada tab: Generic proxy: Taro-Melphalan, DIN 02480026 / 50 mg vial; Alberta, September 2026</t>
  </si>
  <si>
    <t xml:space="preserve">User workbook, UK tab: Exact maker dm+d price – GBP 179.06 for the priced/target pack of 10; GBP 179.06 ÷ 10 = GBP 17.91 per vial; × 1.322 (ECB, 24-Sep-2026) = USD 23.67 per vial.</t>
  </si>
  <si>
    <t xml:space="preserve">User workbook, European Union tab: Competitor proxy - Germany, Mediately (BfArM/Rote Liste data); Carinopharm MILRINON 1 mg/mL, 10 x 10 mL ampoules. German pharmacy price, checked 28-Sep-2026. EUR 186.70 per pack of 10 / 10 = EUR 18.67/vial. Comparator is an ampoule vs the Tillomed vial, same 1 mg/mL solution.</t>
  </si>
  <si>
    <t xml:space="preserve">User workbook, Canada tab: Generic proxy: Neostigmine Omega, DIN 02230593 / 10 mL vial; $1.08/mL × 10; Alberta, September 2026</t>
  </si>
  <si>
    <t xml:space="preserve">User workbook, Canada tab: Generic proxy: Neostigmine Omega, DIN 02230592 / 10 mL vial; $1.199/mL × 10; Alberta, September 2026</t>
  </si>
  <si>
    <t xml:space="preserve">User workbook, European Union tab: Competitor proxy - Italy, AIFA Class H list (30-04-2026, linked from aifa.gov.it/liste-farmaci-a-h); B.Braun Melsungen AG ONDANSETRON 2 mg/mL 2 mL, 5 ampoules. Italy public price (prezzo al pubblico) dated 30-Apr-2026. EUR 23.54 per pack of 5 / 5 = EUR 4.71/ampoule.</t>
  </si>
  <si>
    <t xml:space="preserve">User workbook, UK tab: Exact maker dm+d price – GBP 5.00 for the priced/target pack of 1; GBP 5.00 ÷ 1 = GBP 5.00 per vial; × 1.322 (ECB, 24-Sep-2026) = USD 6.61 per vial.</t>
  </si>
  <si>
    <t xml:space="preserve">User workbook, UK tab: Exact maker dm+d price; official current list-price step-up retained – GBP 1,710.00 for the priced/target pack of 5; GBP 1,710.00 ÷ 5 = GBP 342.00 per vial; × 1.322 (ECB, 24-Sep-2026) = USD 452.12 per vial. Current dm+d pack price is ~10.8× the previous GBP 158.86 list price; retained as published, not interpreted as a market transaction price.</t>
  </si>
  <si>
    <t xml:space="preserve">User workbook, European Union tab: Exact maker price - France, BDPM (base-donnees-publique.medicaments.gouv.fr); Pentamidine Tillomed 300 mg powder, 1 x 20 mL glass vial, CIP 34009 302 553 4 6, holder Tillomed Pharma GmbH. Public price incl. dispensing fee (prix honoraire compris), BDPM updated 31/08/2026. EUR 13.28 per pack of 1 / 1 = EUR 13.28/vial.</t>
  </si>
  <si>
    <t xml:space="preserve">User workbook, Canada tab: Exact product - Alberta 14-Sep-2026; DIN 02517663; per vial</t>
  </si>
  <si>
    <t xml:space="preserve">User workbook, UK tab: Exact maker dm+d price – GBP 3,800.00 for the priced/target pack of 1; GBP 3,800.00 ÷ 1 = GBP 3,800.00 per vial; × 1.322 (ECB, 24-Sep-2026) = USD 5,023.60 per vial.</t>
  </si>
  <si>
    <t xml:space="preserve">User workbook, European Union tab: Exact maker price (group company) - Italy, AIFA Classe H list; Tillomed Italia Srl PLERIXAFOR 24 mg (20 mg/mL), 1 vial SC, AIC 050593019. Public price (prezzo al pubblico) dated 30-04-2026. EUR 6480.02 per pack of 1 / 1 = EUR 6480.02/vial.</t>
  </si>
  <si>
    <t xml:space="preserve">User workbook, Canada tab: Generic proxy - Fresenius Kabi; Alberta 14-Sep-2026; 0.4600/mL × 20 mL; proxy DIN 02437643</t>
  </si>
  <si>
    <t xml:space="preserve">User workbook, UK tab: Exact maker dm+d price – GBP 429.40 for the priced/target pack of 10; GBP 429.40 ÷ 10 = GBP 42.94 per vial; × 1.322 (ECB, 24-Sep-2026) = USD 56.77 per vial.</t>
  </si>
  <si>
    <t xml:space="preserve">User workbook, European Union tab: Exact maker price - Italy, AIFA Classe H list dated 30-Apr-2026; SUGAMMADEX*10 flaconcini EV 2 ml 100 mg/ml, Tillomed Italia Srl. Prezzo al pubblico EUR 814.62 per pack of 10 / 10 = EUR 81.46/vial.</t>
  </si>
  <si>
    <t xml:space="preserve">User workbook, European Union tab: Competitor proxy – Italy; same molecule, 100 mg powder vial presentation. EUR 351.70 per vial. AIFA line used is not Glenmark, therefore not labelled exact maker.</t>
  </si>
  <si>
    <t xml:space="preserve">User workbook, European Union tab: Competitor proxy, ex-factory, no public price found - Spain, BOE Orden SND/1118/2025 (13-Oct-2025), hospital annex PVL reference price; Bortezomib Accord 1 mg powder for solution for injection, 1 vial (CN 722393; Hospira and Fresenius Kabi 1 mg carry the same figure). EUR 144.22 per pack of 1 / 1 = EUR 144.22/vial. No public price for a 1 mg bortezomib vial found in Italy (AIFA lists 2.5 and 3.5 mg only), Denmark (no 1 mg) or Germany (medipreis lists no 1 mg); UK dm+d/BNF not reachable. Prior Polish source does not open.</t>
  </si>
  <si>
    <t xml:space="preserve">User workbook, Australia tab: Maker's PBS AEMP – exact product; PBS item 12219D (Solution for injection 2.5 mg in 1 mL); AEMP AUD 24.92 per unit; PBS ex-manufacturer price file Sep-2026.</t>
  </si>
  <si>
    <t xml:space="preserve">User workbook, Australia tab: Maker's PBS AEMP – exact product; PBS item 12219D (Solution for injection 3.5 mg in 1.4 mL); AEMP AUD 20.47 per unit; PBS ex-manufacturer price file Sep-2026.</t>
  </si>
  <si>
    <t xml:space="preserve">User workbook, UK tab: Competitor dm+d proxy – GBP 324.90 for the priced/target pack of 1; GBP 324.90 ÷ 1 = GBP 324.90 per vial; × 1.322 (ECB, 24-Sep-2026) = USD 429.52 per vial. Exact maker price not available; competitor pack used as proxy.</t>
  </si>
  <si>
    <t xml:space="preserve">User workbook, European Union tab: Exact maker price (Glenmark group) - Italy, AIFA Classe H list; ERIBULINA*1 flaconcino EV 2 ml 0,44 mg/ml, holder Glenmark Pharmaceuticals s.r.o. Prezzo al pubblico dated 30-Apr-2026. EUR 417.05 per pack of 1 / 1 = EUR 417.05/vial.</t>
  </si>
  <si>
    <t xml:space="preserve">User workbook, UK tab: Calibrated NHS Drug Tariff proxy – GBP 261.20 for the priced/target pack of 1; GBP 261.20 ÷ 1 = GBP 261.20 per pre-filled syringe; × 1.322 (ECB, 24-Sep-2026) = USD 345.31 per pre-filled syringe. Calibration evidence: Drug Tariff Part VIIIA Sep 2026: Fulvestrant 250mg/5ml solution for injection pre-filled syringes, pack of 2, 522.41 GBP. 522.41 / (2 x 250 mg) = 1.044820 GBP per mg; x our 1 x 250 mg = 261.20 GBP. Your pack size is not stated, so this is the price for one item. Target marketed pack size is not confirmed; value is normalized to one syringe.</t>
  </si>
  <si>
    <t xml:space="preserve">User workbook, European Union tab: Competitor proxy - Italy, AIFA Class H list; Fulvestrant Accord Healthcare SLU 250 mg/5 mL pre-filled syringes IM, pack of 2, same strength and device (Glenmark product not listed in Italy). Prezzo al pubblico dated 30-Apr-2026. EUR 941.36 per pack of 2 / 2 = EUR 470.68/syringe.</t>
  </si>
  <si>
    <t xml:space="preserve">User workbook, European Union tab: Competitor proxy - Italy, AIFA Classe H list; generic PLERIXAFOR 24 mg (20 mg/mL), 1 vial SC (Accord Healthcare SLU, AIC 050483015). Public price (prezzo al pubblico) dated 30-04-2026. EUR 6480.02 per pack of 1 / 1 = EUR 6480.02/vial. The Glenmark Spanish price on vademecum.es is hidden behind a professional login.</t>
  </si>
  <si>
    <t xml:space="preserve">User workbook, UK tab: Competitor dm+d proxy – GBP 506.94 for the priced/target pack of 10; GBP 506.94 ÷ 10 = GBP 50.69 per vial; × 1.322 (ECB, 24-Sep-2026) = USD 67.02 per vial. Exact maker price not available; competitor pack used as proxy.</t>
  </si>
  <si>
    <t xml:space="preserve">User workbook, European Union tab: Competitor proxy - Italy, AIFA Classe H list dated 30-Apr-2026; SUGAMMADEX*10 flaconcini EV 2 ml 100 mg/ml, Sandoz SpA (generic tier, not Glenmark). Prezzo al pubblico EUR 814.62 per pack of 10 / 10 = EUR 81.46/vial.</t>
  </si>
  <si>
    <t xml:space="preserve">User workbook, USA (Filled) tab: Generic retail proxy. 3.5 mg bortezomib injectable powder for injection. Drugs.com cash price USD 22.25 for 1. 22.25 ÷ 1 = USD 22.25/vial. Manufacturer not identified by source. Checked 27-Sep-2026.</t>
  </si>
  <si>
    <t xml:space="preserve">User workbook, UK tab: Calibrated competitor dm+d proxy – GBP 141.59 for the priced/target pack of 1; GBP 141.59 ÷ 1 = GBP 141.59 per vial; × 1.322 (ECB, 24-Sep-2026) = USD 187.18 per vial. Calibration evidence: Competitor NHS dm+d list price read 25 Sep 2026 (since 2019-07-08): Bortezomib 3.5mg/1.4ml solution for injection vials (Thornton &amp; Ross Ltd) 1 vial, pack of 1, 495.55 GBP. 495.55 / (1 x 3.5 mg) = 141.585714 GBP per mg; x our 1 x 1 mg = 141.59 GBP.</t>
  </si>
  <si>
    <t xml:space="preserve">User workbook, European Union tab: Competitor proxy – Italy; Bortezomib EG 2.5 mg/mL ready solution, same concentration and administration presentation. EUR 1,277.98 per vial. Not a powder-to-solution substitution.</t>
  </si>
  <si>
    <t xml:space="preserve">Search shows "Bortiv" Single Exit Price (ZAR) by pack; per-unit price × 0.0608. Site is a public viewer of the SA Single Exit Price registry</t>
  </si>
  <si>
    <t xml:space="preserve">User workbook, South Africa (Updated) tab: Exact SA SEP (NDoH Database of Medicine Prices, 10-Sep-2026) – NAPPI 3004803001, Pack Size 10, Quantity 1; R1,691.00 ÷ 1 = R1,691.00 per unit. FX: R1,691.00 × 0.06083945 (ECB, 24-Sep-2026) = USD 102.88.</t>
  </si>
  <si>
    <t xml:space="preserve">User workbook, UK tab: Competitor dm+d proxy – GBP 222.75 for the priced/target pack of 10; GBP 222.75 ÷ 10 = GBP 22.27 per vial; × 1.322 (ECB, 24-Sep-2026) = USD 29.45 per vial. Exact maker price not available; competitor pack used as proxy.</t>
  </si>
  <si>
    <t xml:space="preserve">User workbook, European Union tab: Competitor proxy – Netherlands; Briviact 10 mg/mL, 5 mL vial. Medicijnkosten average price EUR 42.82 per vial. Amarox exact packaging is 10 x 5 mL; comparator price normalized per vial. IV injection and infusion are permitted, therefore HCW.</t>
  </si>
  <si>
    <t xml:space="preserve">User workbook, USA (Filled) tab: Generic retail proxy. 25 mg/mL chlorpromazine injectable solution. Drugs.com lowest quoted cash price for selected source pack: USD 374.04 / 25 (25 x 1 milliliters). 374.04 ÷ 25 = USD 14.96 per 1 mL vial. Not an exact sponsor price. Price applies only to the 1 mL vial stated here.  Checked 27-Sep-2026.</t>
  </si>
  <si>
    <t xml:space="preserve">Open zip → "October 2026 Medicare Part B Payment Limit File" → find HCPCS J3420 → "Payment Limit" (USD per billing unit); × units per vial as in note · J3420 $0.648 per 1,000 mcg</t>
  </si>
  <si>
    <t xml:space="preserve">User workbook, UK tab: Competitor dm+d proxy – GBP 55.80 for the priced/target pack of 1; GBP 55.80 ÷ 1 = GBP 55.80 per vial; × 1.322 (ECB, 24-Sep-2026) = USD 73.77 per vial. Exact maker price not available; competitor pack used as proxy.</t>
  </si>
  <si>
    <t xml:space="preserve">User workbook, European Union tab: Competitor proxy - Italy, AIFA Classe H list; DAPTOMICINA ACCORDPHARMA*1 flaconcino 350 mg powder vial, holder Accord Healthcare SLU (no Tarbis line listed); same molecule, strength and powder vial. Prezzo al pubblico dated 30-Apr-2026. EUR 82.95 per pack of 1 / 1 = EUR 82.95/vial.</t>
  </si>
  <si>
    <t xml:space="preserve">Find "Glyopy" in the SA SEP price database (not shown on the public viewer)Search shows "Glyopy" Single Exit Price (ZAR) by pack; per-unit price × 0.0608. Site is a public viewer of the SA Single Exit Price registry</t>
  </si>
  <si>
    <t xml:space="preserve">Filter "Generic" contains "ISOPRENALINE" (injection) → "Price" ÷ units in "PackageDescription"; median of vendors as in note · Median of 2 vendors, 0.2 mg/mL 1 mL (Nexus $39.76, Amphastar $98.59)</t>
  </si>
  <si>
    <t xml:space="preserve">Filter "Generic" contains "LIDOCAINE" (injection) → "Price" ÷ units in "PackageDescription"; median of vendors as in note · Median of 1% 20 mL ($1.12) and 50 mL ($2.69) multi-dose vials</t>
  </si>
  <si>
    <t xml:space="preserve">User workbook, USA (Filled) tab: Generic retail proxy. 50% magnesium sulfate injectable solution. Drugs.com cash price USD 227.95 for 1250 (25 x 50 milliliters). 227.95 ÷ 25 = USD 9.12/50 mL vial. Manufacturer not identified by source. Checked 27-Sep-2026.</t>
  </si>
  <si>
    <t xml:space="preserve">User workbook, UK tab: Competitor dm+d proxy – GBP 26.64 for the priced/target pack of 1; GBP 26.64 ÷ 1 = GBP 26.64 per vial; × 1.322 (ECB, 24-Sep-2026) = USD 35.22 per vial. Exact maker price not available; competitor pack used as proxy.</t>
  </si>
  <si>
    <t xml:space="preserve">User workbook, European Union tab: Exact maker price - Netherlands, medicijnkosten.nl (Zorginstituut); MELFALAN AMAROX INJ/INFUSIEPOEDER FL50MG+SV 10ML, RVG 126308, supplier All-gen pharmaceuticals and generics. Average pharmacy price per package excluding delivery costs (medicijnkosten.nl price concept, not a shelf retail price), updated until 1-Sep-2026. EUR 130.80 per pack of 1 / 1 = EUR 130.80/vial (with solvent vial). No public retail price for Melfalan Amarox was found in another EU source (AIFA, medicinpriser.dk).</t>
  </si>
  <si>
    <t xml:space="preserve">User workbook, USA (Filled) tab: Generic retail proxy. 25 mg/mL preservative-free methotrexate injectable solution. Drugs.com cash price USD 7.15 for 2 milliliters. 7.15 ÷ 1 = USD 7.15/2 mL vial. Manufacturer not identified by source. Maker packaging unverified. Checked 27-Sep-2026.</t>
  </si>
  <si>
    <t xml:space="preserve">User workbook, South Africa (Updated) tab: Exact SA SEP (NDoH Database of Medicine Prices, 10-Sep-2026) – NAPPI 3008490001, Pack Size 5, Quantity 1; R230.00 ÷ 1 = R230.00 per unit. FX: R230.00 × 0.06083945 (ECB, 24-Sep-2026) = USD 13.99.</t>
  </si>
  <si>
    <t xml:space="preserve">User workbook, European Union tab: Competitor proxy - Italy, AIFA Classe H list; Sun Pharma Italia Srl PANTOPRAZOLO 40 mg powder for solution for injection, 1 vial EV, AIC 044465019. Public price (prezzo al pubblico) dated 30-04-2026. EUR 4.92 per pack of 1 / 1 = EUR 4.92/vial.</t>
  </si>
  <si>
    <t xml:space="preserve">User workbook, European Union tab: Competitor proxy - Italy, AIFA Classe H list; generic PLERIXAFOR 24 mg (20 mg/mL), 1 vial SC (Accord Healthcare SLU, AIC 050483015; same price for Eugia, Tillomed, Teva, Seacross, Mylan). Public price (prezzo al pubblico) dated 30-04-2026. EUR 6480.02 per pack of 1 / 1 = EUR 6480.02/vial.</t>
  </si>
  <si>
    <t xml:space="preserve">Search shows "Heterix" Single Exit Price (ZAR) by pack; per-unit price × 0.0608. Site is a public viewer of the SA Single Exit Price registry</t>
  </si>
  <si>
    <t xml:space="preserve">Open zip → "October 2026 Medicare Part B Payment Limit File" → find HCPCS J2704 → "Payment Limit" (USD per billing unit); × units per vial as in note · J2704 $0.093/10 mg × 20 (assumed 20 mL vial; pack not stated)</t>
  </si>
  <si>
    <t xml:space="preserve">User workbook, European Union tab: Competitor proxy - Italy, AIFA Classe H list; Hikma Farmaceutica S.A. generic ROCURONIO 50 mg/5 mL, 10 vials EV. Public price (prezzo al pubblico) dated 30-04-2026. EUR 54.58 per pack of 10 / 10 = EUR 5.46/vial. Generic vial pack chosen as the closest match for a generic 10 x 5 mL vial presentation.</t>
  </si>
  <si>
    <t xml:space="preserve">User workbook, USA (Filled) tab: Generic retail proxy. 4.2% sodium bicarbonate intravenous solution. Drugs.com cash price USD 163.20 for 250 (25 x 10 milliliters). 163.2 ÷ 25 = USD 6.53/10 mL vial. Manufacturer not identified by source. Checked 27-Sep-2026.</t>
  </si>
  <si>
    <t xml:space="preserve">Filter "Generic" contains "SUCCINYLCHOLINE" (injection) → "Price" ÷ units in "PackageDescription"; median of vendors as in note · Median of 4 vendor packs, 20 mg/mL 10 mL multi-dose vial</t>
  </si>
  <si>
    <t xml:space="preserve">User workbook, USA (Filled) tab: Generic retail proxy. 100 mg/mL sugammadex intravenous solution. Drugs.com cash price USD 217.80 for 20 (10 x 2 milliliters). 217.8 ÷ 10 = USD 21.78/2 mL pen. Manufacturer not identified by source. Checked 27-Sep-2026.</t>
  </si>
  <si>
    <t xml:space="preserve">User workbook, European Union tab: Exact maker price - Germany, aponeo.de online pharmacy; Sugammadex Amarox 100 mg/mL solution for injection, 10 x 2 mL, PZN 18660518. Private-prescription retail price (incl. VAT) viewed 28-Sep-2026. EUR 575.32 per pack of 10 / 10 = EUR 57.53/unit. Container type (vial/ampoule) not stated on the page.</t>
  </si>
  <si>
    <t xml:space="preserve">Search shows "Sugmasol" Single Exit Price (ZAR) by pack; per-unit price × 0.0608. Site is a public viewer of the SA Single Exit Price registry</t>
  </si>
  <si>
    <t xml:space="preserve">User workbook, UK tab: NHS Drug Tariff generic proxy – GBP 8.21 for the priced/target pack of 1; GBP 8.21 ÷ 1 = GBP 8.21 per ampoule; × 1.322 (ECB, 24-Sep-2026) = USD 10.85 per ampoule. Exact maker price not available; national generic tariff used as proxy.</t>
  </si>
  <si>
    <t xml:space="preserve">User workbook, European Union tab: Competitor proxy - Italy, AIFA Classe H list dated 30-Apr-2026; TEICOPLANINA*1 flaconcino polv 400 mg + 1 fiala solv 3 ml, Altan Pharma Limited. Prezzo al pubblico EUR 55.05 per pack of 1 = EUR 55.05/drug vial. Packaging reflects the priced Altan kit; no EU/EEA Amarox leaflet found (UK eMC source removed).</t>
  </si>
  <si>
    <t xml:space="preserve">Filter "Generic" contains "VERAPAMIL" (injection) → "Price" ÷ units in "PackageDescription"; median of vendors as in note · Median of 4 vendor packs, 2.5 mg/mL 2 mL vial</t>
  </si>
  <si>
    <t xml:space="preserve">User workbook, South Africa (Updated) tab: Exact SA SEP (NDoH Medicine Price Registry, 10-Sep-2026) – R241.50 per pack of 1; 241.50 ÷ 1 = R241.50 per syringe. Basis: SEP Pack Size = fill volume per container (mL); Quantity = number of containers. FX: R241.50/unit × 0.06083945 (ECB, 24-Sep-2026) = USD 14.69/unit.</t>
  </si>
  <si>
    <t xml:space="preserve">Product unconfirmed – EU tab notes the Accord amoxicillin 500 mg found publicly is an oral capsule</t>
  </si>
  <si>
    <t xml:space="preserve">User workbook, European Union tab: Competitor proxy – Germany; Atracurium Hikma 25 mg/2.5 mL ampoules. EUR 48.50 per pack of 10 ÷ 10 = EUR 4.85/ampoule. Target Accord commercial pack was not independently validated, therefore packaging and pre-filled type left blank.</t>
  </si>
  <si>
    <t xml:space="preserve">User workbook, USA (Filled) tab: Generic retail proxy. 0.05 mg/mL atropine intravenous solution. Drugs.com cash price USD 311.00 for 50 (10 x 5 milliliters). 311 ÷ 10 = USD 31.10/5 mL syringe. Manufacturer not identified by source. Checked 27-Sep-2026.</t>
  </si>
  <si>
    <t xml:space="preserve">User workbook, USA (Filled) tab: Generic retail proxy. 0.4 mg/mL atropine intravenous solution. Drugs.com cash price USD 231.24 for 25 (25 x 1 milliliters). 231.24 ÷ 25 = USD 9.25/1 mL vial. Manufacturer not identified by source. Checked 27-Sep-2026.</t>
  </si>
  <si>
    <t xml:space="preserve">User workbook, USA (Filled) tab: Generic retail proxy. 0.1 mg/mL atropine intravenous solution. Drugs.com cash price USD 88.02 for 50 (10 x 5 milliliters). 88.02 ÷ 10 = USD 8.80/5 mL syringe. Manufacturer not identified by source. Checked 27-Sep-2026.</t>
  </si>
  <si>
    <t xml:space="preserve">User workbook, USA (Filled) tab: Generic retail proxy. 0.1 mg/mL atropine intravenous solution. Drugs.com cash price USD 91.80 for 100 (10 x 10 milliliters). 91.8 ÷ 10 = USD 9.18/10 mL syringe. Manufacturer not identified by source. Checked 27-Sep-2026.</t>
  </si>
  <si>
    <t xml:space="preserve">User workbook, USA (Filled) tab: Generic retail proxy. 1 mg/mL atropine intravenous solution. Drugs.com cash price USD 318.60 for 25 (25 x 1 milliliters). 318.6 ÷ 25 = USD 12.74/1 mL vial. Manufacturer not identified by source. Checked 27-Sep-2026.</t>
  </si>
  <si>
    <t xml:space="preserve">User workbook, UK tab: Exact maker dm+d price – GBP 12.35 for the priced/target pack of 1; GBP 12.35 ÷ 1 = GBP 12.35 per pre-filled syringe; × 1.322 (ECB, 24-Sep-2026) = USD 16.33 per pre-filled syringe.</t>
  </si>
  <si>
    <t xml:space="preserve">User workbook, European Union tab: Exact product price – Germany; Atropin Accord 100 mcg/mL, 1 x 5 mL pre-filled syringe containing 500 mcg. EUR 19.68 per syringe.</t>
  </si>
  <si>
    <t xml:space="preserve">User workbook, European Union tab: Exact same EU product price – Germany; Atropin Accord 0.1 mg/mL, 5 mL pre-filled syringe. EUR 19.68 per syringe. Strength, device and packaging corrected from the prior 1 mL ampoule presentation.</t>
  </si>
  <si>
    <t xml:space="preserve">User workbook, European Union tab: Exact maker price – Italy; Azacitidine Accord 100 mg powder vial. EUR 351.70 per vial.</t>
  </si>
  <si>
    <t xml:space="preserve">User workbook, UK tab: Exact maker dm+d price – GBP 875.00 for the priced/target pack of 5; GBP 875.00 ÷ 5 = GBP 175.00 per vial; × 1.322 (ECB, 24-Sep-2026) = USD 231.35 per vial.</t>
  </si>
  <si>
    <t xml:space="preserve">User workbook, European Union tab: Exact maker price – Italy; Bivalirudin Accord 250 mg. EUR 4,456.08 per pack of 10 ÷ 10 = EUR 445.61/vial. IV bolus injection and infusion are permitted, therefore HCW.</t>
  </si>
  <si>
    <t xml:space="preserve">User workbook, UK tab: Exact maker dm+d price – GBP 19.06 for the priced/target pack of 1; GBP 19.06 ÷ 1 = GBP 19.06 per vial; × 1.322 (ECB, 24-Sep-2026) = USD 25.20 per vial.</t>
  </si>
  <si>
    <t xml:space="preserve">User workbook, European Union tab: Exact product price – Germany; Bleomycin Accord 15,000 IU powder vial. EUR 84.09 per vial. German private-pharmacy retail price. Product availability issues do not by themselves establish discontinuation.</t>
  </si>
  <si>
    <t xml:space="preserve">User workbook, Australia tab: Generic proxy – same molecule, strength and presentation; competitor PBS AEMP; PBS item 7244G (Powder for injection containing bleomycin sulfate 15,000 I.U.); AEMP AUD 43.69 per unit; PBS ex-manufacturer price file Sep-2026.</t>
  </si>
  <si>
    <t xml:space="preserve">User workbook, European Union tab: Exact maker price – Italy; Bortezomib Accord ready solution 2.5 mg/mL, 3.5 mg/1.4 mL. EUR 1,277.98 per vial.</t>
  </si>
  <si>
    <t xml:space="preserve">Search shows "Valtib" Single Exit Price (ZAR) by pack; per-unit price × 0.0608. Site is a public viewer of the SA Single Exit Price registry</t>
  </si>
  <si>
    <t xml:space="preserve">User workbook, South Africa (Updated) tab: Exact SA SEP (NDoH Medicine Price Registry, 10-Sep-2026) – R2,730.10 per pack of 1; 2,730.10 ÷ 1 = R2,730.10 per vial. Current South African sources confirm Valtib 3.5 mg vial presentations but show both solution and powder variants; exact MPR variant not resolved, therefore packaging is conservatively stated as 1 vial only. FX: R2,730.10/unit × 0.06083945 (ECB, 24-Sep-2026) = USD 166.10/unit.</t>
  </si>
  <si>
    <t xml:space="preserve">User workbook, European Union tab: Competitor proxy - Italy, AIFA Class H list; Qilu cefepime 1 g powder, 10 vials (holder Qilu Pharma Spain). Public price (prezzo al pubblico) dated 30-Apr-2026. EUR 85.38 per pack of 10 / 10 = EUR 8.54/vial. Accord French SmPC authorises packs of 1, 5, 10 or 50 vials and IM/IV use; BDPM shows no marketed French presentation and states the product is or will soon no longer be available (not treated as confirmed discontinuation).</t>
  </si>
  <si>
    <t xml:space="preserve">Open zip → "October 2026 Medicare Part B Payment Limit File" → find HCPCS J0696 → "Payment Limit" (USD per billing unit); × units per vial as in note · J0696 $0.390/250 mg × 4 (1 g); cross-market proxy for EU</t>
  </si>
  <si>
    <t xml:space="preserve">User workbook, UK tab: Exact maker dm+d price – GBP 29.54 for the priced/target pack of 1; GBP 29.54 ÷ 1 = GBP 29.54 per vial; × 1.322 (ECB, 24-Sep-2026) = USD 39.05 per vial.</t>
  </si>
  <si>
    <t xml:space="preserve">User workbook, UK tab: NHS Drug Tariff generic proxy – GBP 54.96 for the priced/target pack of 10; GBP 54.96 ÷ 10 = GBP 5.50 per vial; × 1.322 (ECB, 24-Sep-2026) = USD 7.27 per vial. Exact maker price not available; national generic tariff used as proxy.</t>
  </si>
  <si>
    <t xml:space="preserve">User workbook, European Union tab: Exact maker price (Accord group) - Denmark, medicinpriser.dk; Kolistimetatnatrium "Accord" 1,000,000 IU powder for solution for injection/infusion, 10 vials, Accord Healthcare B.V. (varenr 423956). Pharmacy retail price (AUP) for price period 14.09.2026 - 27.09.2026. DKK 809.15 per pack of 10 / 10 = DKK 80.92/vial; / 7.4755 DKK/EUR (ECB 25-Sep-2026) = EUR 10.82/vial.</t>
  </si>
  <si>
    <t xml:space="preserve">User workbook, UK tab: Calibrated competitor dm+d proxy – GBP 42.52 for the priced/target pack of 1; GBP 42.52 ÷ 1 = GBP 42.52 per vial; × 1.322 (ECB, 24-Sep-2026) = USD 56.21 per vial. Calibration evidence: Competitor NHS dm+d list price read 25 Sep 2026 (since 2025-07-01): Cyclophosphamide 500mg powder for solution for injection vials (Seacross Pharmaceuticals Ltd) 1 vial, pack of 1, 10.63 GBP. 10.63 / (1 x 500 mg) = 0.021260 GBP per mg; x our 1 x 2,000 mg = 42.52 GBP.</t>
  </si>
  <si>
    <t xml:space="preserve">User workbook, UK tab: Exact maker dm+d price – GBP 20.48 for the priced/target pack of 5; GBP 20.48 ÷ 5 = GBP 4.10 per vial; × 1.322 (ECB, 24-Sep-2026) = USD 5.41 per vial.</t>
  </si>
  <si>
    <t xml:space="preserve">User workbook, Australia tab: Generic proxy – same molecule, strength and presentation; competitor PBS AEMP; PBS item 7227J (Injection 100 mg in 5 mL vial); AEMP AUD 56.99 per pricing quantity of 5 ÷ 5 = AUD 11.40 per unit; PBS ex-manufacturer price file Sep-2026.</t>
  </si>
  <si>
    <t xml:space="preserve">User workbook, UK tab: Exact maker dm+d price – GBP 60.00 for the priced/target pack of 1; GBP 60.00 ÷ 1 = GBP 60.00 per vial; × 1.322 (ECB, 24-Sep-2026) = USD 79.32 per vial.</t>
  </si>
  <si>
    <t xml:space="preserve">User workbook, European Union tab: Exact maker price (Accord group) - Italy, AIFA Classe H list; DAPTOMICINA ACCORDPHARMA*1 flaconcino polv soluz iniett infus 350 mg, holder Accord Healthcare SLU. Prezzo al pubblico dated 30-Apr-2026. EUR 82.95 per pack of 1 / 1 = EUR 82.95/vial.</t>
  </si>
  <si>
    <t xml:space="preserve">Search shows "Dabucor" Single Exit Price (ZAR) by pack; per-unit price × 0.0608. Site is a public viewer of the SA Single Exit Price registry</t>
  </si>
  <si>
    <t xml:space="preserve">User workbook, UK tab: Exact maker dm+d price – GBP 100.00 for the priced/target pack of 1; GBP 100.00 ÷ 1 = GBP 100.00 per vial; × 1.322 (ECB, 24-Sep-2026) = USD 132.20 per vial.</t>
  </si>
  <si>
    <t xml:space="preserve">User workbook, European Union tab: Exact maker price - France, BDPM; Degarelix Accord 80 mg powder and solvent, CIP 3400930280324 (1 drug vial + 1 solvent pre-filled syringe + accessories). Public price incl. dispensing fee (EUR 45.92 + EUR 1.02), checked 25-Sep-2026. EUR 46.94 per pack of 1 / 1 = EUR 46.94/vial kit.</t>
  </si>
  <si>
    <t xml:space="preserve">Search product "Jubereq" in the UAE price database; price in AED converted to USD</t>
  </si>
  <si>
    <t xml:space="preserve">User workbook, Australia tab: Generic proxy – same molecule, strength and presentation; competitor PBS AEMP; PBS item 10061M (Injection 120 mg in 1.7 mL); Oct-2026 AEMP AUD 256.89 per unit (Sep-2026 AEMP was AUD 296.93); PBS price-disclosure determination, Oct-2026 AEMP (effective 1-Oct-2026); pricing quantity from Sep-2026 AEMP file.</t>
  </si>
  <si>
    <t xml:space="preserve">User workbook, European Union tab: Exact maker price (Accord group) - Italy, AIFA Classe H list; DOXORUBICINA*1 flaconcino EV 10 mg 5 ml 2 mg/ml, holder Accord Healthcare SLU. Prezzo al pubblico dated 30-Apr-2026. EUR 14.90 per pack of 1 / 1 = EUR 14.90/vial.</t>
  </si>
  <si>
    <t xml:space="preserve">User workbook, Canada tab: Generic proxy – 5 mL vial</t>
  </si>
  <si>
    <t xml:space="preserve">User workbook, Australia tab: Exact maker PBS AEMP – Doxorubicin ACC 200 mg/100 mL, Accord Healthcare; pricing quantity 1; AEMP AUD 77.96 per vial; PBS ex-manufacturer price file Sep-2026.</t>
  </si>
  <si>
    <t xml:space="preserve">Search shows "Rubexet" Single Exit Price (ZAR) by pack; per-unit price × 0.0608. Site is a public viewer of the SA Single Exit Price registry</t>
  </si>
  <si>
    <t xml:space="preserve">User workbook, South Africa (Updated) tab: Exact SA SEP (NDoH Medicine Price Registry, 10-Sep-2026) – R310.44 per pack of 1; 310.44 ÷ 1 = R310.44 per vial. Same-sponsor Doxorubicin Accord evidence establishes the vial device class; official MPR supplies the South African 25 mL pack size. FX: R310.44/unit × 0.06083945 (ECB, 24-Sep-2026) = USD 18.89/unit.</t>
  </si>
  <si>
    <t xml:space="preserve">User workbook, European Union tab: Competitor proxy - Germany; Adrenalin Aguettant 1 mg/10 mL pre-filled syringe. EUR 25.37 per syringe. German pharmacy retail price.</t>
  </si>
  <si>
    <t xml:space="preserve">User workbook, UK tab: Exact maker dm+d price – GBP 20.18 for the priced/target pack of 1; GBP 20.18 ÷ 1 = GBP 20.18 per vial; × 1.322 (ECB, 24-Sep-2026) = USD 26.68 per vial.</t>
  </si>
  <si>
    <t xml:space="preserve">User workbook, European Union tab: Same-group proxy (Accord Healthcare SLU, Accord/Intas group) - Italy, AIFA Classe H list; EPIRUBICINA*1 flaconcino 10 mg 5 ml 2 mg/ml. Prezzo al pubblico dated 30-Apr-2026. EUR 19.66 per pack of 1 / 1 = EUR 19.66/vial.</t>
  </si>
  <si>
    <t xml:space="preserve">User workbook, Australia tab: Calibrated same-brand estimate – Epirubicin Accord 200 mg/100 mL exact PBS AEMP AUD 88.95; target 20 mg/10 mL has the same 2 mg/mL concentration and vial formulation: 88.95 × 20/200 = AUD 8.90 per vial; Sep-2026 PBS EFC file.</t>
  </si>
  <si>
    <t xml:space="preserve">User workbook, Australia tab: Calibrated same-brand estimate – Epirubicin Accord 200 mg/100 mL exact PBS AEMP AUD 88.95; target 50 mg/25 mL has the same 2 mg/mL concentration and vial formulation: 88.95 × 50/200 = AUD 22.24 per vial; Sep-2026 PBS EFC file.</t>
  </si>
  <si>
    <t xml:space="preserve">User workbook, Australia tab: Exact maker PBS AEMP – Epirubicin Accord 200 mg/100 mL; PBS items 7231N/4375G; pricing quantity 1; AEMP AUD 88.95 = AUD 88.95 per vial; Sep-2026 PBS EFC file.</t>
  </si>
  <si>
    <t xml:space="preserve">User workbook, South Africa (Updated) tab: Exact SA SEP (NDoH Medicine Price Registry, 10-Sep-2026) – R128.00 per pack of 1; 128.00 ÷ 1 = R128.00 per vial. Local South African formulary identifies Accord Epirubicin 10 as a 5 mL vial. FX: R128.00/unit × 0.06083945 (ECB, 24-Sep-2026) = USD 7.79/unit.</t>
  </si>
  <si>
    <t xml:space="preserve">User workbook, South Africa (Updated) tab: Exact SA SEP (NDoH Medicine Price Registry, 10-Sep-2026) – R640.00 per pack of 1; 640.00 ÷ 1 = R640.00 per vial. Local South African formulary identifies Accord Epirubicin 50 as a 25 mL vial. FX: R640.00/unit × 0.06083945 (ECB, 24-Sep-2026) = USD 38.94/unit.</t>
  </si>
  <si>
    <t xml:space="preserve">User workbook, European Union tab: Exact maker price - Denmark, medicinpriser.dk; Eptifibatide "Accord" 2 mg/mL solution for injection, 1 x 10 mL vial (varenr 189483). Pharmacy retail price (AUP) for price period 14.09.2026 - 27.09.2026. DKK 410.30 per pack of 1 / 1 = DKK 410.30/vial; / 7.4755 DKK/EUR (ECB 25-Sep-2026) = EUR 54.89/vial.</t>
  </si>
  <si>
    <t xml:space="preserve">User workbook, UK tab: Competitor dm+d proxy – GBP 4.25 for the priced/target pack of 1; GBP 4.25 ÷ 1 = GBP 4.25 per vial; × 1.322 (ECB, 24-Sep-2026) = USD 5.62 per vial. Exact maker price not available; competitor pack used as proxy.</t>
  </si>
  <si>
    <t xml:space="preserve">User workbook, European Union tab: Competitor proxy - Italy, AIFA Class H list; Esomeprazolo Sun Pharmaceutical Ind. Eu B.V. 40 mg powder vial EV, same strength and form. Prezzo al pubblico dated 30-Apr-2026. EUR 6.43 per pack of 1 / 1 = EUR 6.43/vial.</t>
  </si>
  <si>
    <t xml:space="preserve">User workbook, European Union tab: Competitor proxy - Germany, aponeo.de online pharmacy; Staphylex (PUREN Pharma) flucloxacillin 500 mg powder for injection/infusion, 10 vials, PZN 08630485. Private prescription price (Privatrezept, incl. VAT) checked 27-Sep-2026. EUR 53.68 per pack of 10 / 10 = EUR 5.37/vial. Caveat: retail price incl. VAT and pharmacy margin.</t>
  </si>
  <si>
    <t xml:space="preserve">User workbook, UK tab: Exact maker dm+d price – GBP 155.00 for the priced/target pack of 1; GBP 155.00 ÷ 1 = GBP 155.00 per vial; × 1.322 (ECB, 24-Sep-2026) = USD 204.91 per vial.</t>
  </si>
  <si>
    <t xml:space="preserve">User workbook, European Union tab: Exact maker price - Italy, AIFA Class H list (Accord Healthcare SLU, AIC 043104013); Fludarabina 25 mg/mL 2 mL vial EV. Prezzo al pubblico dated 30-Apr-2026. EUR 114.30 per pack of 1 / 1 = EUR 114.30/vial.</t>
  </si>
  <si>
    <t xml:space="preserve">User workbook, UK tab: Exact maker dm+d price – GBP 6.40 for the priced/target pack of 1; GBP 6.40 ÷ 1 = GBP 6.40 per vial; × 1.322 (ECB, 24-Sep-2026) = USD 8.46 per vial.</t>
  </si>
  <si>
    <t xml:space="preserve">User workbook, Canada tab: Generic proxy – 5,000 mg/100 mL vial</t>
  </si>
  <si>
    <t xml:space="preserve">User workbook, European Union tab: Exact maker price - Italy, AIFA Class H list (Accord Healthcare SLU, AIC 047437013); Fulvestrant 250 mg/5 mL pre-filled syringes IM, pack of 2. Prezzo al pubblico dated 30-Apr-2026. EUR 941.36 per pack of 2 / 2 = EUR 470.68/syringe.</t>
  </si>
  <si>
    <t xml:space="preserve">User workbook, South Africa (Updated) tab: Exact SA SEP (NDoH Medicine Price Registry, 10-Sep-2026) – R2,587.50 per pack of 2; 2,587.50 ÷ 2 = R1,293.75 per syringe. Basis: Pack Size 5 mL; Quantity 2. FX: R1,293.75/unit × 0.06083945 (ECB, 24-Sep-2026) = USD 78.71/unit.</t>
  </si>
  <si>
    <t xml:space="preserve">Open file → find the "Medicine" row named in the note → "Basic Price" (pence per pack of 10) ÷ 10 ÷ 100 × 1.322 · Glycopyrronium bromide 600micrograms/3ml solution for injection ampoules, Basic Price 2270p per 10 = GBP 2.27 per ampoule; generic UK price (same-market)</t>
  </si>
  <si>
    <t xml:space="preserve">User workbook, European Union tab: Competitor proxy - Denmark, apoteket.dk (Danish medicine price register); Hydroxocobalamin 'Alternova' 1 mg/mL, 3 x 1 mL. Public list price dated 14-Sep-2026. DKK 195.00 per pack of 3 / 3 = DKK 65.00; / 7.4755 DKK/EUR (ECB 25-Sep-2026) = EUR 8.70/unit. Accord's own pack is documented only on UK sources, so no EU packaging source exists for the maker.</t>
  </si>
  <si>
    <t xml:space="preserve">User workbook, UK tab: Exact maker dm+d price – GBP 65.40 for the priced/target pack of 1; GBP 65.40 ÷ 1 = GBP 65.40 per pre-filled syringe; × 1.322 (ECB, 24-Sep-2026) = USD 86.46 per pre-filled syringe.</t>
  </si>
  <si>
    <t xml:space="preserve">User workbook, European Union tab: Exact maker price - Italy, AIFA Class H list (Accord Healthcare SLU, AIC 042505053); Acido ibandronico 3 mg/3 mL pre-filled syringe + 1 needle. Prezzo al pubblico dated 30-Apr-2026. EUR 83.02 per pack of 1 / 1 = EUR 83.02/syringe.</t>
  </si>
  <si>
    <t xml:space="preserve">User workbook, European Union tab: Calibrated competitor estimate - Italy, AIFA Class H list 30-04-2026; ZAVEDOS*1 fiala EV 10 mg 10 ml (Pfizer Italia, idarubicin 1 mg/mL ready solution, same concentration and form as the 5 mg/5 mL target). Prezzo al pubblico dated 30-04-2026. EUR 263.77 per pack of 1 / 1 x (5 mg / 10 mg) = EUR 131.89/vial. Caveat: Italian reference pack is 10 mL; no public EU price for the Accord 5 mL vial was found (French pack is prix libre; Danish Accord 5 mg pack shown as Udgaaet).</t>
  </si>
  <si>
    <t xml:space="preserve">User workbook, European Union tab: Exact product price – Germany; Camcevi 21 mg prolonged-release injection, 1 pre-filled syringe plus safety needle. EUR 384.02 per syringe.</t>
  </si>
  <si>
    <t xml:space="preserve">Open file → find the "Medicine" row named in the note → "Basic Price" (pence per pack of 10) ÷ 10 ÷ 100 × 1.322 · Lidocaine 100mg/5ml (2%) solution for injection ampoules, Basic Price 819p per 10 = GBP 0.819 per ampoule; generic UK price (same-market)</t>
  </si>
  <si>
    <t xml:space="preserve">Open file → find the "Medicine" row named in the note → "Basic Price" (pence per pack of 10) ÷ 10 ÷ 100 × 1.322 · Lidocaine 400mg/20ml (2%) solution for injection ampoules, Basic Price 1500p per 10 = GBP 1.50 per unit; generic UK price (same-market)</t>
  </si>
  <si>
    <t xml:space="preserve">Open file → find the "Medicine" row named in the note → "Basic Price" (pence per pack of 10) ÷ 10 ÷ 100 × 1.322 · Lidocaine 40mg/2ml (2%) solution for injection ampoules, Basic Price 570p per 10 = GBP 0.57 per ampoule; generic UK price (same-market)</t>
  </si>
  <si>
    <t xml:space="preserve">Open file → find the "Medicine" row named in the note → "Basic Price" (pence per pack of 10) ÷ 10 ÷ 100 × 1.322 · Lidocaine 200mg/20ml (1%) solution for injection ampoules, Basic Price 1400p per 10 = GBP 1.40 per unit; generic UK price (same-market)</t>
  </si>
  <si>
    <t xml:space="preserve">User workbook, European Union tab: Competitor proxy - Netherlands, medicijnkosten.nl (Zorginstituut); Melfalan Amarox 50 mg powder vial + 10 mL solvent (supplier All-gen pharmaceuticals and generics). Average pharmacy price per package excluding delivery costs (medicijnkosten.nl price concept), updated until 1-Sep-2026. EUR 130.80 per pack of 1 / 1 = EUR 130.80/vial. No Accord melphalan public price found in AIFA, medicinpriser.dk or dm+d; Accord's own EU pack was not confirmed and packaging describes the priced comparator.</t>
  </si>
  <si>
    <t xml:space="preserve">User workbook, UK tab: Exact maker dm+d price – GBP 72.63 for the priced/target pack of 1; GBP 72.63 ÷ 1 = GBP 72.63 per vial; × 1.322 (ECB, 24-Sep-2026) = USD 96.02 per vial.</t>
  </si>
  <si>
    <t xml:space="preserve">User workbook, Canada tab: Exact product – calculated (8.0000/mL × 2 mL)</t>
  </si>
  <si>
    <t xml:space="preserve">User workbook, Canada tab: Exact Accord product (DIN 02464365); Ontario ODB Sep-2026</t>
  </si>
  <si>
    <t xml:space="preserve">User workbook, Canada tab: Exact DIN 02474735¹ / 20 mL vial; $6.25/mL × 20; Alberta, September 2026</t>
  </si>
  <si>
    <t xml:space="preserve">User workbook, Canada tab: Exact DIN 02474891 / 40 mL vial; $5.625/mL × 40; Alberta, September 2026</t>
  </si>
  <si>
    <t xml:space="preserve">User workbook, Canada tab: Exact Accord product (DIN 02491281); Ontario Sep-2026</t>
  </si>
  <si>
    <t xml:space="preserve">User workbook, Canada tab: Exact Accord product (DIN 02491303); Ontario Sep-2026</t>
  </si>
  <si>
    <t xml:space="preserve">User workbook, Australia tab: Same-sponsor proxy – Methotrexate Accord 1000 mg/10 mL has the same sponsor, strength, concentration and vial presentation; PBS item 7250N; pricing quantity 1; AEMP AUD 37.67 = AUD 37.67 per vial; Sep-2026 PBS EFC file.</t>
  </si>
  <si>
    <t xml:space="preserve">User workbook, Australia tab: Calibrated generic proxy – PBS midazolam injection 5 mg/mL; item 10178Q has AEMP AUD 24.54 per pricing quantity of 10 × 1 mL ampoules: 24.54 ÷ 10 = AUD 2.454 per 1 mL ampoule. Target 15 mg/3 mL has the same 5 mg/mL concentration: 2.454 × 3 = AUD 7.36 per 3 mL ampoule; Sep-2026 PBS non-EFC file.</t>
  </si>
  <si>
    <t xml:space="preserve">User workbook, UK tab: Exact maker dm+d price – GBP 75.89 for the priced/target pack of 1; GBP 75.89 ÷ 1 = GBP 75.89 per vial; × 1.322 (ECB, 24-Sep-2026) = USD 100.33 per vial.</t>
  </si>
  <si>
    <t xml:space="preserve">User workbook, European Union tab: Competitor proxy - Italy, AIFA Class H list 30-04-2026; MITOMICINA 10 mg powder, 1 vial, holder Medac GmbH. Prezzo al pubblico dated 30-04-2026. EUR 24.73 per pack of 1 / 1 = EUR 24.73/vial.</t>
  </si>
  <si>
    <t xml:space="preserve">User workbook, Canada tab: Generic proxy – Teva / Hikma; Alberta Apr-2026</t>
  </si>
  <si>
    <t xml:space="preserve">User workbook, European Union tab: Competitor proxy - Italy, AIFA Class H list (30-04-2026, linked from aifa.gov.it/liste-farmaci-a-h); Baxter SpA ONKOTRONE 10 mg/5 mL, 1 vial. Italy public price (prezzo al pubblico) dated 30-Apr-2026. EUR 108.15 per pack of 1 / 1 = EUR 108.15/vial.</t>
  </si>
  <si>
    <t xml:space="preserve">User workbook, UK tab: Competitor dm+d proxy – GBP 41.00 for the priced/target pack of 10; GBP 41.00 ÷ 10 = GBP 4.10 per pre-filled syringe; × 1.322 (ECB, 24-Sep-2026) = USD 5.42 per pre-filled syringe. Exact maker price not available; competitor pack used as proxy.</t>
  </si>
  <si>
    <t xml:space="preserve">User workbook, USA (Filled) tab: Generic retail proxy. 2 mg/mL ondansetron injectable solution. Drugs.com lowest quoted cash price for selected source pack: USD 6.32 / 20 milliliters. 6.32 ÷ 1 = USD 6.32 per 20 mL vial. Not an exact sponsor price.  Checked 27-Sep-2026.</t>
  </si>
  <si>
    <t xml:space="preserve">User workbook, UK tab: Exact maker dm+d price – GBP 59.95 for the priced/target pack of 1; GBP 59.95 ÷ 1 = GBP 59.95 per pre-filled syringe; × 1.322 (ECB, 24-Sep-2026) = USD 79.25 per pre-filled syringe.</t>
  </si>
  <si>
    <t xml:space="preserve">User workbook, European Union tab: Exact maker price - Italy, AIFA Class H list (30-04-2026, linked from aifa.gov.it/liste-farmaci-a-h); Accord Healthcare SLU (Intas group company) ONDANSETRONE 2 mg/mL 2 mL, 10 ampoules. Italy public price (prezzo al pubblico) dated 30-Apr-2026. EUR 47.06 per pack of 10 / 10 = EUR 4.71/ampoule.</t>
  </si>
  <si>
    <t xml:space="preserve">User workbook, Canada tab: Generic proxy – Sandoz; Alberta Apr-2026; 74.8000/mL × 5 mL</t>
  </si>
  <si>
    <t xml:space="preserve">User workbook, UK tab: Exact maker dm+d price – GBP 53.10 for the priced/target pack of 1; GBP 53.10 ÷ 1 = GBP 53.10 per vial; × 1.322 (ECB, 24-Sep-2026) = USD 70.20 per vial.</t>
  </si>
  <si>
    <t xml:space="preserve">User workbook, European Union tab: Exact maker price - Italy, AIFA Classe H list; Accord Healthcare SLU PALONOSETRON 250 mcg/5 mL, 1 vial EV, AIC 044886012. Public price (prezzo al pubblico) dated 30-04-2026. EUR 85.79 per pack of 1 / 1 = EUR 85.79/vial.</t>
  </si>
  <si>
    <t xml:space="preserve">User workbook, South Africa (Updated) tab: Exact SA SEP (NDoH Medicine Price Registry, 10-Sep-2026) – R253.00 per pack of 1; 253.00 ÷ 1 = R253.00 per vial. Local South African formulary identifies PALCITA solution for injection as a 5 mL vial. FX: R253.00/unit × 0.06083945 (ECB, 24-Sep-2026) = USD 15.39/unit.</t>
  </si>
  <si>
    <t xml:space="preserve">User workbook, USA (Filled) tab: Generic retail proxy. 5 mcg/mL paricalcitol intravenous solution. Drugs.com cash price USD 228.30 for 25 (25 x 1 milliliters). 228.3 ÷ 25 = USD 9.13/1 mL vial. Manufacturer not identified by source. Checked 27-Sep-2026.</t>
  </si>
  <si>
    <t xml:space="preserve">User workbook, USA (Filled) tab: Generic retail proxy. 5 mcg/mL paricalcitol intravenous solution. Drugs.com cash price USD 448.80 for 50 (25 x 2 milliliters). 448.8 ÷ 25 = USD 17.95/2 mL vial. Manufacturer not identified by source. Checked 27-Sep-2026.</t>
  </si>
  <si>
    <t xml:space="preserve">Search product "Pelgraz" in the UAE price database; price in AED converted to USD</t>
  </si>
  <si>
    <t xml:space="preserve">Search shows "Phenylcord" Single Exit Price (ZAR) by pack; per-unit price × 0.0608. Site is a public viewer of the SA Single Exit Price registry</t>
  </si>
  <si>
    <t xml:space="preserve">dm+d record (OpenPrescribing viewer) shows "NHS indicative price" for the pack of 10; ÷ 10 × 1.322. Also visible on dmd-browser.nhsbsa.nhs.uk · Phenytoin sodium 250mg/5ml solution for injection ampoules (Advanz), NHS indicative price GBP 34.00 per 10 = GBP 3.40 per ampoule; Accord pack not priced in dm+d (same-market proxy). 2 mL Accord ampoule pro-rata would be lower</t>
  </si>
  <si>
    <t xml:space="preserve">User workbook, UK tab: Exact maker dm+d price – GBP 4,882.77 for the priced/target pack of 1; GBP 4,882.77 ÷ 1 = GBP 4,882.77 per vial; × 1.322 (ECB, 24-Sep-2026) = USD 6,455.02 per vial.</t>
  </si>
  <si>
    <t xml:space="preserve">User workbook, European Union tab: Exact maker price - Italy, AIFA Classe H list; Accord Healthcare SLU PLERIXAFOR 24 mg (20 mg/mL), 1 vial SC, AIC 050483015. Public price (prezzo al pubblico) dated 30-04-2026. EUR 6480.02 per pack of 1 / 1 = EUR 6480.02/vial.</t>
  </si>
  <si>
    <t xml:space="preserve">User workbook, Australia tab: Generic proxy – same molecule, strength and presentation; competitor PBS AEMP; PBS item 10083Q (Injection 24 mg in 1.2 mL); Oct-2026 AEMP AUD 799.38 per unit (Sep-2026 AEMP was AUD 1,129.54); PBS price-disclosure determination, Oct-2026 AEMP (effective 1-Oct-2026); pricing quantity from Sep-2026 AEMP file.</t>
  </si>
  <si>
    <t xml:space="preserve">Open zip → "October 2026 Medicare Part B Payment Limit File" → find HCPCS J2675 → "Payment Limit" (USD per billing unit); × units per vial as in note · J2675 $0.623/50 mg × 10 (500 mg/10 mL multi-dose vial)</t>
  </si>
  <si>
    <t xml:space="preserve">User workbook, European Union tab: Competitor proxy - Italy, AIFA Classe H list; Salf SpA ROCURONIO BROMURO 10 mg/mL, 10 ampoules EV of 5 mL, AIC 041852068 (not this maker). Public price (prezzo al pubblico) dated 30-04-2026. EUR 45.13 per pack of 10 / 10 = EUR 4.51/ampoule.</t>
  </si>
  <si>
    <t xml:space="preserve">Filter "Generic" contains "SUCCINYLCHOLINE" (injection) → "Price" ÷ units in "PackageDescription"; median of vendors as in note · Median of 2 vendors, 100 mg prefilled syringe; cross-market proxy</t>
  </si>
  <si>
    <t xml:space="preserve">User workbook, European Union tab: Exact maker price (Accord group) - Italy, AIFA Classe H list dated 30-Apr-2026; SUGAMMADEX*10 flaconcini EV 2 ml 100 mg/ml, Accord Healthcare SLU. Prezzo al pubblico EUR 814.62 per pack of 10 / 10 = EUR 81.46/vial.</t>
  </si>
  <si>
    <t xml:space="preserve">User workbook, European Union tab: Competitor proxy - Italy, AIFA Classe A list dated 30-Apr-2026; TEICOPLANINA*1 flaconcino polv EV IM orale 200 mg, Hikma Farmaceutica S.A.. Prezzo al pubblico EUR 31.21 per pack of 1 = EUR 31.21/vial.</t>
  </si>
  <si>
    <t xml:space="preserve">Open zip → "October 2026 Medicare Part B Payment Limit File" → find HCPCS J3243 → "Payment Limit" (USD per billing unit); × units per vial as in note · J3243 $0.479/mg × 50; cross-market proxy</t>
  </si>
  <si>
    <t xml:space="preserve">Search product "Imuldosa" in the UAE price database; price in AED converted to USD</t>
  </si>
  <si>
    <t xml:space="preserve">User workbook, South Africa (Updated) tab: Exact SA SEP (NDoH Medicine Price Registry, 10-Sep-2026) – R163.28 per pack of 1; 163.28 ÷ 1 = R163.28 per vial. SAHPRA product recall record identifies ACCORD-VINCRISTINE 1 mg/mL, 2 mL as one glass vial in a monocarton. FX: R163.28/unit × 0.06083945 (ECB, 24-Sep-2026) = USD 9.93/unit.</t>
  </si>
  <si>
    <t xml:space="preserve">User workbook, European Union tab: Exact maker price - Italy, AIFA Classe H list dated 30-Apr-2026; VINORELBINA*1 flaconcino EV 5 ml 10 mg/ml, Accord Healthcare SLU. Prezzo al pubblico EUR 100.65 per pack of 1 = EUR 100.65/vial.</t>
  </si>
  <si>
    <t xml:space="preserve">User workbook, Australia tab: Calibrated retail proxy – Rapifen alfentanil 1 mg/2 mL is displayed at AUD 35.30 per pack of 5; 35.30 ÷ 5 = AUD 7.06 per 2 mL ampoule. Target Alfentanil GH 5 mg/10 mL has the same 0.5 mg/mL concentration and is 5× the source dose/volume: 7.06 × 5 = AUD 35.30 per 10 mL ampoule. Exact Rapifen pack and displayed price confirmed from the supplied screenshot of the public Michael's Chemist product page.</t>
  </si>
  <si>
    <t xml:space="preserve">Filter "Item Code" = 14698N (Cefazolin-AFT 1 g) → "AEMP" AUD 4.04 per pack of 5 ÷ 5 × 0.70 · Cefazolin-AFT 1 g, AUD 4.04 per pack of 5 vials</t>
  </si>
  <si>
    <t xml:space="preserve">Filter "Generic" contains "CISATRACURIUM" (injection) → "Price" ÷ units in "PackageDescription"; median of vendors as in note · Fresenius Kabi 2 mg/mL 10×5 mL $74.66; cross-market proxy</t>
  </si>
  <si>
    <t xml:space="preserve">Search shows Cistrax 150 mg/30 mL vial at R958.02 (SEP); × 0.0608. Site is a public viewer of the SA Single Exit Price registry · Accord (Intas) Cistrax 150 mg/30 mL, R958.02; cross-market proxy</t>
  </si>
  <si>
    <t xml:space="preserve">Open zip → "October 2026 Medicare Part B Payment Limit File" → find HCPCS J0878 → "Payment Limit" (USD per billing unit); × units per vial as in note · J0878 $0.027/mg × 350 mg; cross-market proxy</t>
  </si>
  <si>
    <t xml:space="preserve">Open zip → "October 2026 Medicare Part B Payment Limit File" → find HCPCS J0878 → "Payment Limit" (USD per billing unit); × units per vial as in note · J0878 $0.027/mg × 500 mg; cross-market proxy</t>
  </si>
  <si>
    <t xml:space="preserve">Open zip → "October 2026 Medicare Part B Payment Limit File" → find HCPCS J1790 → "Payment Limit" (USD per billing unit); × units per vial as in note · J1790 $5.348 per up-to-5 mg dose; cross-market proxy</t>
  </si>
  <si>
    <t xml:space="preserve">User workbook, South Africa (Updated) tab: Exact SA SEP (NDoH Database of Medicine Prices, 10-Sep-2026) – NAPPI 720333001, Pack Size 5, Quantity 5; R620.12 ÷ 5 = R124.024, rounded to R124.02 per unit. FX: R124.02 × 0.06083945 (ECB, 24-Sep-2026) = USD 7.55.</t>
  </si>
  <si>
    <t xml:space="preserve">Filter "Generic" contains "EPHEDRINE" (injection) → "Price" ÷ units in "PackageDescription"; median of vendors as in note · Median of 4 vendors, ephedrine sulfate 50 mg/mL 1 mL (closest US strength to 30 mg/mL); cross-market proxy</t>
  </si>
  <si>
    <t xml:space="preserve">User workbook, South Africa (Updated) tab: Exact SA SEP (NDoH Database of Medicine Prices, 10-Sep-2026) – NAPPI 3003527001, Pack Size 10, Quantity 10; R3,500.71 ÷ 10 = R350.071, rounded to R350.07 per unit. FX: R350.07 × 0.06083945 (ECB, 24-Sep-2026) = USD 21.30.</t>
  </si>
  <si>
    <t xml:space="preserve">Open zip → "October 2026 Medicare Part B Payment Limit File" → find HCPCS J1308 → "Payment Limit" (USD per billing unit); × units per vial as in note · J1308 $0.009/0.25 mg × 80 (20 mg/2 mL vial)</t>
  </si>
  <si>
    <t xml:space="preserve">Open zip → "October 2026 Medicare Part B Payment Limit File" → find HCPCS J3010 → "Payment Limit" (USD per billing unit); × units per vial as in note · J3010 $1.362/0.1 mg × 5; cross-market proxy</t>
  </si>
  <si>
    <t xml:space="preserve">Open zip → "October 2026 Medicare Part B Payment Limit File" → find HCPCS J3010 → "Payment Limit" (USD per billing unit); × units per vial as in note · J3010 $1.362/0.1 mg; cross-market proxy</t>
  </si>
  <si>
    <t xml:space="preserve">User workbook, Australia tab: Competitor retail proxy – Meropenem Ranbaxy 500 mg powder-for-injection vial; Michael's Chemist AUD 65.06 per pack of 5 ÷ 5 = AUD 13.01 per vial; checked 27-Sep-2026.</t>
  </si>
  <si>
    <t xml:space="preserve">User workbook, Australia tab: Competitor retail proxy – Meropenem Ranbaxy 1 g powder-for-injection vial; Medshop Australia AUD 167.28 per pack of 5 ÷ 5 = AUD 33.46 per vial; displayed price excludes GST; checked 27-Sep-2026.</t>
  </si>
  <si>
    <t xml:space="preserve">Search shows "Meroject" Single Exit Price (ZAR) by pack; per-unit price × 0.0608. Site is a public viewer of the SA Single Exit Price registry</t>
  </si>
  <si>
    <t xml:space="preserve">Open zip → "October 2026 Medicare Part B Payment Limit File" → find HCPCS J2260 → "Payment Limit" (USD per billing unit); × units per vial as in note · J2260 $1.143/5 mg × 2 (10 mg/10 mL); cross-market proxy</t>
  </si>
  <si>
    <t xml:space="preserve">User workbook, Australia tab: Competitor retail proxy – Zyprexa IM olanzapine 10 mg vial x1; Australian online pharmacy (Michael's Chemist) retail price AUD 26.11 per vial (incl. GST, retail margin).</t>
  </si>
  <si>
    <t xml:space="preserve">User workbook, Australia tab: Same-dose/form retail proxy – generic oxytocin 10 IU/1 mL ampoules; Healthylife listed price AUD 57.95 per pack of 5 ÷ 5 = AUD 11.59 per ampoule. Listing is currently marked unavailable; price retained as a transparent retail proxy; checked 27-Sep-2026.</t>
  </si>
  <si>
    <t xml:space="preserve">Search shows "Altirem IV" Single Exit Price (ZAR) by pack; per-unit price × 0.0608. Site is a public viewer of the SA Single Exit Price registry</t>
  </si>
  <si>
    <t xml:space="preserve">User workbook, USA (Filled) tab: Generic retail proxy. 100 mg/mL sugammadex intravenous solution. Drugs.com cash price USD 482.76 for 50 (10 x 5 milliliters). 482.76 ÷ 10 = USD 48.28/5 mL vial. Manufacturer not identified by source. Checked 27-Sep-2026.</t>
  </si>
  <si>
    <t xml:space="preserve">User workbook, Australia tab: Competitor retail proxy – teicoplanin 400 mg powder for injection x1; Australian online pharmacy (Michael's Chemist) retail AUD 108.56 per vial.</t>
  </si>
  <si>
    <t xml:space="preserve">User workbook, South Africa (Updated) tab: Exact SA SEP (NDoH Database of Medicine Prices, 10-Sep-2026) – NAPPI 719992001, Pack Size 3.2, Quantity 1; R140.00 ÷ 1 = R140.00 per unit. FX: R140.00 × 0.06083945 (ECB, 24-Sep-2026) = USD 8.52.</t>
  </si>
  <si>
    <t xml:space="preserve">User workbook, South Africa (Updated) tab: Exact SA SEP (NDoH Database of Medicine Prices, 10-Sep-2026) – NAPPI 719993001, Pack Size 3.2, Quantity 1; R210.00 ÷ 1 = R210.00 per unit. FX: R210.00 × 0.06083945 (ECB, 24-Sep-2026) = USD 12.78.</t>
  </si>
  <si>
    <t xml:space="preserve">User workbook, South Africa (Updated) tab: Exact SA SEP (NDoH Database of Medicine Prices, 10-Sep-2026) – NAPPI 3009694001, Pack Size 4, Quantity 1; R2,060.80 ÷ 1 = R2,060.80 per unit. FX: R2,060.80 × 0.06083945 (ECB, 24-Sep-2026) = USD 125.38.</t>
  </si>
  <si>
    <t xml:space="preserve">User workbook, UK tab: Exact maker dm+d price – GBP 528.00 for the priced/target pack of 1; GBP 528.00 ÷ 1 = GBP 528.00 per vial; × 1.322 (ECB, 24-Sep-2026) = USD 698.02 per vial.</t>
  </si>
  <si>
    <t xml:space="preserve">User workbook, European Union tab: Exact product price - Netherlands; Bortezomib MSN 3.5 mg powder vial. Current maximum price effective 1-Apr-2026 is EUR 624.312199/vial, rounded to EUR 624.31. Future 1-Oct-2026 price not used.</t>
  </si>
  <si>
    <t xml:space="preserve">User workbook, Australia tab: Generic proxy – same molecule, strength and presentation; competitor PBS AEMP; PBS item 12219D (Powder for injection 3.5 mg); AEMP AUD 20.47 per unit; PBS ex-manufacturer price file Sep-2026.</t>
  </si>
  <si>
    <t xml:space="preserve">User workbook, USA (Filled) tab: Generic retail proxy. 10 mg/mL brivaracetam intravenous solution. Drugs.com cash price USD 517.86 for 50 (10 x 5 milliliters). 517.86 ÷ 10 = USD 51.79/5 mL vial. Manufacturer not identified by source. Checked 27-Sep-2026.</t>
  </si>
  <si>
    <t xml:space="preserve">User workbook, USA (Filled) tab: Generic retail proxy. decanoate 25 mg/mL fluphenazine injectable solution. Drugs.com lowest quoted cash price for selected source pack: USD 54.55 / 5 milliliters. 54.55 ÷ 1 = USD 54.55 per 5 mL vial. Not an exact sponsor price.  Checked 27-Sep-2026.</t>
  </si>
  <si>
    <t xml:space="preserve">User workbook, UK tab: Competitor dm+d proxy – GBP 50.63 for the priced/target pack of 1; GBP 50.63 ÷ 1 = GBP 50.63 per vial; × 1.322 (ECB, 24-Sep-2026) = USD 66.93 per vial. Exact maker price not available; competitor pack used as proxy.</t>
  </si>
  <si>
    <t xml:space="preserve">User workbook, UK tab: Exact maker dm+d price – GBP 418.00 for the priced/target pack of 10; GBP 418.00 ÷ 10 = GBP 41.80 per vial; × 1.322 (ECB, 24-Sep-2026) = USD 55.26 per vial.</t>
  </si>
  <si>
    <t xml:space="preserve">User workbook, European Union tab: Competitor proxy - Denmark, medicinpriser.dk (Laegemiddelstyrelsen), English view; Peyona caffeine citrate 20 mg/mL (Chiesi), pack 10 x 3 mL (varenr 057676). Pharmacy Retail Price (AUP) per pack as labelled on the page, price period 14-Sep-2026 to 27-Sep-2026. EUR 613.94 per pack of 10 / 10 = EUR 61.39/vial (same as DKK 4,589.50 / 7.4755 DKK/EUR, ECB 25-Sep-2026). Packaging: UK fallback (no EU source found) - Brown &amp; Burk UK leaflet shows a 3 mL fill in a 5 mL vial, multipack of 10 vials.</t>
  </si>
  <si>
    <t xml:space="preserve">User workbook, Australia tab: Competitor retail proxy – Valoid cyclizine 50 mg/1 mL ampoules; Australian online pharmacy retail AUD 61.58 per pack of 5 ÷ 1.42 = USD 43.36</t>
  </si>
  <si>
    <t xml:space="preserve">User workbook, USA (Filled) tab: Calibrated retail proxy. Mountainside Medical USD 45.00 / 25 × 1 mL vials. 45 ÷ 25 × 10/1 = USD 18.00 per 10 mL vial. Same concentration. Sponsor price not confirmed. Checked 27-Sep-2026.</t>
  </si>
  <si>
    <t xml:space="preserve">User workbook, USA (Filled) tab: Generic retail proxy. 0.2 mg/mL isoproterenol injectable solution. Drugs.com lowest quoted cash price for selected source pack: USD 511.80 / 10 (10 x 1 milliliters). 511.8 ÷ 10 = USD 51.18 per 1 mL ampoule. Not an exact sponsor price.  Checked 27-Sep-2026.</t>
  </si>
  <si>
    <t xml:space="preserve">User workbook, Australia tab: Competitor retail proxy – levetiracetam 500 mg/5 mL vial; Medshop Australia AUD 183.00 per pack ÷ 1.42 = USD 128.87.</t>
  </si>
  <si>
    <t xml:space="preserve">User workbook, USA (Filled) tab: Generic retail proxy. 300 mg/mL lincomycin injectable solution. Drugs.com cash price USD 22.55 for 2 milliliters. 22.55 ÷ 1 = USD 22.55/2 mL vial. Manufacturer not identified by source. Checked 27-Sep-2026.</t>
  </si>
  <si>
    <t xml:space="preserve">User workbook, USA (Filled) tab: Generic retail proxy. 2.5 mg/mL verapamil intravenous solution. Drugs.com cash price USD 13.63 for 2 milliliters. 13.63 ÷ 1 = USD 13.63/2 mL vial. Manufacturer not identified by source. Checked 27-Sep-2026.</t>
  </si>
  <si>
    <t xml:space="preserve">User workbook, USA (Filled) tab: Generic retail proxy. 2.5 mg/mL verapamil intravenous solution. Drugs.com cash price USD 33.10 for 20 (5 x 4 milliliters). 33.1 ÷ 5 = USD 6.62/4 mL vial. Manufacturer not identified by source. Checked 27-Sep-2026.</t>
  </si>
  <si>
    <t xml:space="preserve">User workbook, USA (Filled) tab: Generic retail proxy. 0.25% preservative-free bupivacaine injectable solution. Drugs.com cash price USD 6.47 for 30 milliliters. 6.47 ÷ 1 = USD 6.47/30 mL vial. Manufacturer not identified by source. Checked 27-Sep-2026.</t>
  </si>
  <si>
    <t xml:space="preserve">User workbook, USA (Filled) tab: Generic retail proxy. 0.5% preservative-free bupivacaine injectable solution. Drugs.com cash price USD 6.28 for 30 milliliters. 6.28 ÷ 1 = USD 6.28/30 mL vial. Manufacturer not identified by source. Checked 27-Sep-2026.</t>
  </si>
  <si>
    <t xml:space="preserve">User workbook, European Union tab: Competitor proxy - Germany, aponeo.de online pharmacy; Hexal AG Meropenem Hexal 500 mg powder, 10 vials. Private-prescription pharmacy retail price incl. VAT, checked 28-Sep-2026. EUR 137.30 per pack of 10 / 10 = EUR 13.73/vial. Retail price incl. VAT and pharmacy margin, higher than list/ex-factory prices.</t>
  </si>
  <si>
    <t xml:space="preserve">User workbook, European Union tab: Calibrated estimate - Italy, AIFA Class H list (30-04-2026, linked from aifa.gov.it/liste-farmaci-a-h); Fresenius Kabi Italia Srl MEROPENEM 10 x 1 g powder vials (same molecule, powder for injection/infusion, vial). Italy public price (prezzo al pubblico) dated 30-Apr-2026. EUR 197.87 per pack of 10 / 10 = EUR 19.79/vial; x 2 g/1 g = EUR 39.57/vial. Target 2 g vial vs source 1 g vial, linear dose scaling.</t>
  </si>
  <si>
    <t xml:space="preserve">Filter "Generic" contains "METHOHEXITAL" (injection) → "Price" ÷ units in "PackageDescription"; median of vendors as in note · Endo (Brevital) 500 mg vial – only US vendor listed</t>
  </si>
  <si>
    <t xml:space="preserve">Search shows "Rapifen" Single Exit Price (ZAR) by pack; per-unit price × 0.0608. Site is a public viewer of the SA Single Exit Price registry</t>
  </si>
  <si>
    <t xml:space="preserve">User workbook, European Union tab: Exact maker price – Italy. EUR 32.17 per pack of 5 ampoules ÷ 5 = EUR 6.43/ampoule. Presentation corrected from vial to ampoule.</t>
  </si>
  <si>
    <t xml:space="preserve">User workbook, Australia tab: Exact-product retail price – RAPIFEN alfentanil 1 mg/2 mL; Michael's Chemist AUD 39.86 per pack of 5 ÷ 5 = AUD 7.97 per ampoule; checked 25-Sep-2026.</t>
  </si>
  <si>
    <t xml:space="preserve">Filter "NDCWithDashes" = 66794-0151-01 → "Price" ÷ units in "PackageDescription" · Exact maker: Piramal Critical Care NDC 66794-0151-01 Gablofen 50 mcg/mL 1 mL</t>
  </si>
  <si>
    <t xml:space="preserve">User workbook, USA (Filled) tab: Generic retail proxy. 2 mg/mL cisatracurium intravenous solution. Drugs.com cash price USD 66.60 for 50 (10 x 5 milliliters). 66.6 ÷ 10 = USD 6.66/5 mL vial. Manufacturer not identified by source. Checked 27-Sep-2026.</t>
  </si>
  <si>
    <t xml:space="preserve">User workbook, USA (Filled) tab: Generic retail proxy. 10 mg/mL cisatracurium intravenous solution. Drugs.com cash price USD 381.13 for 200 (10 x 20 milliliters). 381.13 ÷ 10 = USD 38.11/20 mL vial. Manufacturer not identified by source. Checked 27-Sep-2026.</t>
  </si>
  <si>
    <t xml:space="preserve">User workbook, European Union tab: Exact maker price - Germany, shop-apotheke.com; Hypnomidate 2 mg/mL (Piramal Critical Care Deutschland GmbH), pack 5 x 10 mL. AVP (pharmacy retail price incl. VAT) checked 28-Sep-2026. EUR 26.68 per pack of 5 / 5 = EUR 5.34/ampoule. Caveat: German retail price incl. VAT and pharmacy margin.</t>
  </si>
  <si>
    <t xml:space="preserve">User workbook, South Africa (Updated) tab: Exact SA SEP (NDoH Database of Medicine Prices, 10-Sep-2026) – NAPPI 732036003, Pack Size 10, Quantity 5; R935.99 ÷ 5 = R187.198, rounded to R187.20 per unit. FX: R187.20 × 0.06083945 (ECB, 24-Sep-2026) = USD 11.39.</t>
  </si>
  <si>
    <t xml:space="preserve">Search shows "Sublimaze" Single Exit Price (ZAR) by pack; per-unit price × 0.0608. Site is a public viewer of the SA Single Exit Price registry</t>
  </si>
  <si>
    <t xml:space="preserve">Filter "Generic" contains "REMIFENTANIL" (injection) → "Price" ÷ units in "PackageDescription"; median of vendors as in note · Median of 3 vendors, 1 mg vial; cross-market proxy for EU</t>
  </si>
  <si>
    <t xml:space="preserve">User workbook, European Union tab: Competitor proxy - Italy, AIFA Classe H list dated 30-Apr-2026; SUGAMMADEX*10 flaconcini 2 ml 100 mg/ml, Mylan Pharmaceuticals Limited. Prezzo al pubblico EUR 814.62 per pack of 10 / 10 = EUR 81.46/vial.</t>
  </si>
  <si>
    <t xml:space="preserve">User workbook, Australia tab: Australian retail proxy – cefepime 1 g powder for injection, 1 vial; Michael's Chemist online price AUD 11.89 per vial; checked 25-Sep-2026.</t>
  </si>
  <si>
    <t xml:space="preserve">User workbook, Australia tab: Australian retail proxy – cefepime 2 g powder for injection, 1 vial; Michael's Chemist online price AUD 25.34 per vial; checked 25-Sep-2026.</t>
  </si>
  <si>
    <t xml:space="preserve">User workbook, Australia tab: Calibrated retail proxy – Healthylife displays ceftazidime 1 g powder-for-injection, 1 vial, at AUD 21.95; target 2 g is twice the dose in the same powder-vial presentation: 21.95 × 2 = AUD 43.90 per vial. The source 1 g product is currently marked unavailable; therefore AUD 43.90 is a calibrated estimate, not an observed 2 g transaction price.</t>
  </si>
  <si>
    <t xml:space="preserve">User workbook, Australia tab: Same-dose/form retail proxy – Healthylife displays ceftazidime 1 g powder-for-injection, 1 vial, at AUD 21.95. Product is currently marked unavailable; price retained only as the displayed retail proxy, not as evidence of current availability.</t>
  </si>
  <si>
    <t xml:space="preserve">Search shows "Cortaject" Single Exit Price (ZAR) by pack; per-unit price × 0.0608. Site is a public viewer of the SA Single Exit Price registry</t>
  </si>
  <si>
    <t xml:space="preserve">User workbook, UK tab: Calibrated competitor dm+d proxy – GBP 8.30 for the priced/target pack of 1; GBP 8.30 ÷ 1 = GBP 8.30 per vial; × 1.322 (ECB, 24-Sep-2026) = USD 10.97 per vial. Calibration evidence: Competitor NHS dm+d list price read 25 Sep 2026 (since 2022-08-26): Meropenem 500mg powder for solution for injection vials (Synchrony Pharma Ltd) 10 vial, pack of 10, 83.00 GBP. 83.00 / (10 x 500 mg) = 0.016600 GBP per mg; x our 1 x 500 mg = 8.30 GBP. Your pack size is not stated, so this is the price for one item. Target marketed pack size is not confirmed; value is normalized to one vial.</t>
  </si>
  <si>
    <t xml:space="preserve">User workbook, European Union tab: Same-group proxy - Italy, AIFA Class H list (30-04-2026, linked from aifa.gov.it/liste-farmaci-a-h); Sun Pharmaceutical Ind. Europe B.V. (Sun group, different local MAH/brand) MEROPENEM 10 x 500 mg vials. Italy public price (prezzo al pubblico) dated 30-Apr-2026. EUR 106.90 per pack of 10 / 10 = EUR 10.69/vial.</t>
  </si>
  <si>
    <t xml:space="preserve">User workbook, Australia tab: Calibrated retail proxy – piperacillin 4 g/tazobactam 0.5 g vial is AUD 38.53 per vial; target 2 g/0.25 g has 50% of both active doses in the same powder-for-injection presentation: 38.53 × 0.50 = AUD 19.27 per vial; Michael's Chemist; checked 25-Sep-2026.</t>
  </si>
  <si>
    <t xml:space="preserve">User workbook, Australia tab: Competitor retail proxy – piperacillin 4 g/tazobactam 0.5 g powder-for-injection vial; Michael's Chemist online price AUD 38.53 per vial; checked 25-Sep-2026.</t>
  </si>
  <si>
    <t xml:space="preserve">User workbook, Australia tab: Generic proxy – same molecule, strength and presentation; competitor PBS AEMP; PBS item 10224D (Powder for injection 300 mg (as monohydrate) with diluent); AEMP AUD 252.36 per unit; PBS ex-manufacturer price file Sep-2026.</t>
  </si>
  <si>
    <t xml:space="preserve">User workbook, Australia tab: Maker's PBS AEMP – exact product; PBS item 10219W (Powder for injection 400 mg (as monohydrate) with diluent); AEMP AUD 315.46 per unit; PBS ex-manufacturer price file Sep-2026.</t>
  </si>
  <si>
    <t xml:space="preserve">User workbook, UK tab: Exact maker dm+d price – GBP 762.00 for the priced/target pack of 1; GBP 762.00 ÷ 1 = GBP 762.00 per vial; × 1.322 (ECB, 24-Sep-2026) = USD 1,007.36 per vial.</t>
  </si>
  <si>
    <t xml:space="preserve">User workbook, European Union tab: Exact maker price – Italy; Bortezomib Sun 3.5 mg powder vial. EUR 1,277.98 per vial.</t>
  </si>
  <si>
    <t xml:space="preserve">User workbook, Canada tab: Exact product - Alberta 14-Sep-2026; DIN 02499061; per vial</t>
  </si>
  <si>
    <t xml:space="preserve">Search shows "Botigen" Single Exit Price (ZAR) by pack; per-unit price × 0.0608. Site is a public viewer of the SA Single Exit Price registry</t>
  </si>
  <si>
    <t xml:space="preserve">User workbook, USA (Filled) tab: Generic retail proxy. 0.5 g chlorothiazide intravenous powder for injection. Drugs.com lowest quoted cash price for selected source pack: USD 29.39 / 1. 29.39 ÷ 1 = USD 29.39 per vial. Not an exact sponsor price.  Checked 27-Sep-2026.</t>
  </si>
  <si>
    <t xml:space="preserve">User workbook, USA (Filled) tab: Generic retail proxy. 2 mg/mL doxorubicin intravenous solution. Drugs.com cash price USD 15.95 for 25 milliliters. 15.95 ÷ 1 = USD 15.95/25 mL vial. Manufacturer not identified by source. Checked 27-Sep-2026.</t>
  </si>
  <si>
    <t xml:space="preserve">User workbook, European Union tab: Exact maker price (group company) - Italy, AIFA Class H list (Sun Pharmaceutical Ind. Eu B.V., Sun Pharma group; German MAH is Sun Pharmaceuticals Germany GmbH); Esomeprazolo 40 mg powder vial EV. Prezzo al pubblico dated 30-Apr-2026. EUR 6.43 per pack of 1 / 1 = EUR 6.43/vial.</t>
  </si>
  <si>
    <t xml:space="preserve">User workbook, European Union tab: Competitor proxy - Italy, AIFA Class H list; Fulvestrant Accord Healthcare SLU 250 mg/5 mL pre-filled syringes IM, pack of 2, same strength and device. Prezzo al pubblico dated 30-Apr-2026. EUR 941.36 per pack of 2 / 2 = EUR 470.68/syringe. Caveat: AEMPS lists the Spanish Fulvestrant SUN authorisation as suspended (not revoked).</t>
  </si>
  <si>
    <t xml:space="preserve">User workbook, European Union tab: Exact maker price - Italy, AIFA Class H list (30-04-2026, linked from aifa.gov.it/liste-farmaci-a-h); Sun Pharmaceutical Ind. Europe B.V. MELFALAN 50 mg powder vial + 10 mL solvent vial. Italy public price (prezzo al pubblico) dated 30-Apr-2026. EUR 84.25 per pack of 1 / 1 = EUR 84.25/vial.</t>
  </si>
  <si>
    <t xml:space="preserve">User workbook, Canada tab: Exact Taro product (DIN 02480026); Alberta Sep-2026</t>
  </si>
  <si>
    <t xml:space="preserve">User workbook, Canada tab: Exact product / vial</t>
  </si>
  <si>
    <t xml:space="preserve">User workbook, Australia tab: Maker retail price – Sun Pharma meropenem 1 g powder-for-injection vial; Medshop Australia AUD 167.28 per pack of 5 ÷ 5 = AUD 33.46 per vial; price displayed excluding GST; checked 25-Sep-2026.</t>
  </si>
  <si>
    <t xml:space="preserve">User workbook, Australia tab: Retail proxy – meropenem 500 mg powder-for-injection vial, pack of 5; Michael's Chemist AUD 65.06 per pack of 5 ÷ 5 = AUD 13.01 per vial; checked 25-Sep-2026.</t>
  </si>
  <si>
    <t xml:space="preserve">Search shows "Mercide" Single Exit Price (ZAR) by pack; per-unit price × 0.0608. Site is a public viewer of the SA Single Exit Price registry</t>
  </si>
  <si>
    <t xml:space="preserve">User workbook, Australia tab: Maker's PBS AEMP – exact product; PBS item 6229W (Injection 500 micrograms (as acetate) in 1 mL); AEMP AUD 103.91 per pricing quantity of 5 ÷ 5 = AUD 20.78 per unit; PBS ex-manufacturer price file Sep-2026.</t>
  </si>
  <si>
    <t xml:space="preserve">User workbook, European Union tab: Exact maker price - Italy, AIFA Classe H list; Sun Pharma Italia Srl PANTOPRAZOLO 40 mg powder for solution for injection, 1 vial EV, AIC 044465019. Public price (prezzo al pubblico) dated 30-04-2026. EUR 4.92 per pack of 1 / 1 = EUR 4.92/vial.</t>
  </si>
  <si>
    <t xml:space="preserve">User workbook, European Union tab: Calibrated estimate (competitor) - Germany, APONEO online pharmacy; Paricalcitol Hexal 2 micrograms/mL solution for injection, 5 x 2 mL, PZN 10735547. Pharmacy retail price incl. VAT, checked Sep-2026. EUR 155.99 per pack of 5 / 5 = EUR 31.20 per 2 mL vial; scaled to the 1 mL vial at the same 2 micrograms/mL concentration: x 1/2 = EUR 15.60/vial.</t>
  </si>
  <si>
    <t xml:space="preserve">User workbook, UK tab: Exact maker dm+d price – GBP 596.00 for the priced/target pack of 10; GBP 596.00 ÷ 10 = GBP 59.60 per vial; × 1.322 (ECB, 24-Sep-2026) = USD 78.79 per vial.</t>
  </si>
  <si>
    <t xml:space="preserve">Search shows "Sumabid IV" Single Exit Price (ZAR) by pack; per-unit price × 0.0608. Site is a public viewer of the SA Single Exit Price registry</t>
  </si>
  <si>
    <t xml:space="preserve">User workbook, UK tab: Competitor dm+d proxy – GBP 8.21 for the priced/target pack of 1; GBP 8.21 ÷ 1 = GBP 8.21 per vial; × 1.322 (ECB, 24-Sep-2026) = USD 10.85 per vial. Exact maker price not available; competitor pack used as proxy.</t>
  </si>
  <si>
    <t xml:space="preserve">User workbook, European Union tab: Competitor proxy - Italy, AIFA Classe H list dated 30-Apr-2026; TEICOPLANINA*1 flaconcino polv 400 mg + 1 fiala solv 3 ml, Altan Pharma Limited. Public price (Prezzo al pubblico) EUR 55.05 per pack of 1 / 1 = EUR 55.05/vial. Same 400 mg powder vial with 3 mL solvent ampoule. Packaging from UK fallback (no EU source found): MHRA SmPC PL 14894/0763, Ranbaxy (UK) Limited.</t>
  </si>
  <si>
    <t xml:space="preserve">User workbook, UK tab: Competitor dm+d proxy (same drug/strength/solution; vial-to-ampoule container difference) – GBP 95.00 for the priced/target pack of 5; GBP 95.00 ÷ 5 = GBP 19.00 per ampoule; × 1.322 (ECB, 24-Sep-2026) = USD 25.12 per ampoule. Exact maker price not available; competitor pack used as proxy. Container differs (vial comparator vs ampoule target); no device functionality difference is assumed.</t>
  </si>
  <si>
    <t xml:space="preserve">User workbook, European Union tab: Exact maker price - Italy, AIFA Classe H list dated 30-Apr-2026; TERLIPRESSINA*5 fiale 8,5 ml 0,1 mg/ml, Sun Pharmaceutical Ind. Europe B.V.. Prezzo al pubblico EUR 160.18 per pack of 5 / 5 = EUR 32.04/ampoule.</t>
  </si>
  <si>
    <t xml:space="preserve">User workbook, Canada tab: Exact product – Ontario formulary Sep-2026 (Limited Use), per 10 mL vial</t>
  </si>
  <si>
    <t xml:space="preserve">User workbook, UK tab: NHS Drug Tariff generic proxy – GBP 86.37 for the priced/target pack of 1; GBP 86.37 ÷ 1 = GBP 86.37 per vial; × 1.322 (ECB, 24-Sep-2026) = USD 114.18 per vial. Exact maker price not available; national generic tariff used as proxy.</t>
  </si>
  <si>
    <t xml:space="preserve">User workbook, European Union tab: Competitor proxy - France, BDPM; Testosterone Besins 1000 mg/4 mL solution for injection, 1 x 4 mL vial (Besins Healthcare). Public price incl. dispensing fee (prix honoraire compris), BDPM updated 31-Aug-2026. EUR 22.90 per pack of 1 = EUR 22.90/vial.</t>
  </si>
  <si>
    <t xml:space="preserve">User workbook, Australia tab: Maker's PBS AEMP – same sponsor, same strength/presentation, listed under a different PBS brand; PBS item 10205D (I.M. injection containing testosterone undecanoate 1,000 mg in 4 mL); AEMP AUD 75.31 per unit; PBS ex-manufacturer price file Sep-2026.</t>
  </si>
  <si>
    <t xml:space="preserve">User workbook, UK tab: Calibrated competitor dm+d proxy – GBP 7.50 for the priced/target pack of 1; GBP 7.50 ÷ 1 = GBP 7.50 per vial; × 1.322 (ECB, 24-Sep-2026) = USD 9.92 per vial. Calibration evidence: Competitor NHS dm+d list price read 25 Sep 2026 (since 2025-10-27): Vecuronium bromide 10mg powder for solution for injection vials (Neon Healthcare Ltd) 10 vial, pack of 10, 75.00 GBP. 75.00 / (10 x 10 mg) = 0.750000 GBP per mg; x our 1 x 10 mg = 7.50 GBP. Your packaging lists several pack sizes, so this is the price for one item.</t>
  </si>
  <si>
    <t xml:space="preserve">User workbook, European Union tab: Competitor proxy - Germany, aliva.de online pharmacy; Vecuronium Inresa 10 mg powder, 10 vials, PZN 03379371. Retail price incl. VAT viewed 28-Sep-2026. EUR 166.17 per pack of 10 / 10 = EUR 16.62/vial.</t>
  </si>
  <si>
    <t xml:space="preserve">User workbook, South Africa (Updated) tab: Exact SA SEP (NDoH Database of Medicine Prices, 10-Sep-2026) – NAPPI 705378002, Pack Size 2, Quantity 5; R422.97 ÷ 5 = R84.594, rounded to R84.59 per unit. FX: R84.59 × 0.06083945 (ECB, 24-Sep-2026) = USD 5.15.</t>
  </si>
  <si>
    <t xml:space="preserve">User workbook, South Africa (Updated) tab: Exact SA SEP (NDoH Database of Medicine Prices, 10-Sep-2026) – NAPPI 705378001, Pack Size 2, Quantity 10; R845.90 ÷ 10 = R84.59 per unit. FX: R84.59 × 0.06083945 (ECB, 24-Sep-2026) = USD 5.15.</t>
  </si>
  <si>
    <t xml:space="preserve">User workbook, UK tab: Calibrated competitor dm+d proxy – GBP 36.00 for the priced/target pack of 5; GBP 36.00 ÷ 5 = GBP 7.20 per ampoule; × 1.322 (ECB, 24-Sep-2026) = USD 9.52 per ampoule. Calibration evidence: Competitor NHS dm+d list price read 25 Sep 2026 (since 2021-06-01): Granisetron 3mg/3ml concentrate for solution for injection ampoules (hameln pharma Ltd) 10 ampoule 2 x 5 x 3ml ampoules, pack of 10, 72.00 GBP. 72.00 / (10 x 3 mg) = 2.400000 GBP per mg; x our 5 x 3 mg = 36.00 GBP.</t>
  </si>
  <si>
    <t xml:space="preserve">User workbook, European Union tab: Competitor proxy - Italy, AIFA Class H list; Fresenius Kabi Italia GRANISETRON 1 mg/mL 3 mL ampoules, pack of 5, same strength and container. Prezzo al pubblico (public price) dated 30-Apr-2026. EUR 65.91 per pack of 5 / 5 = EUR 13.18/ampoule. No Torrent granisetron injection was found in EU or UK sources (dm+d lists only Torrent 1 mg tablets); packaging describes the priced comparator pack.</t>
  </si>
  <si>
    <t xml:space="preserve">Page shows the pack price (EUR, 10 vials) and PZN; ÷ 10 × 1.13 · Levetiracetam Tillomed 100 mg/ml infusion concentrate 10 × 5 mL (500 mg), PZN 15576734, EUR 182.77 per 10 = EUR 18.28 per vial; German same-market proxy (Heumann pack not found)</t>
  </si>
  <si>
    <t xml:space="preserve">User workbook, European Union tab: Competitor proxy - Italy, AIFA Class H list (30-04-2026, linked from aifa.gov.it/liste-farmaci-a-h); Fresenius Kabi Italia Srl MEROPENEM 10 x 500 mg powder vials (20 mL). Italy public price (prezzo al pubblico) dated 30-Apr-2026. EUR 106.90 per pack of 10 / 10 = EUR 10.69/vial. Previous Spanish vademecum.es pricing page hides prices behind a professional login, so the old amount could not be verified; replaced. Heumann's own EU pack was not confirmed; packaging describes the priced comparator.</t>
  </si>
  <si>
    <t xml:space="preserve">User workbook, European Union tab: Competitor proxy - Spain, Ministerio de Sanidad Nomenclator de Facturacion (Sep-2026); XEPLION 50 mg prolonged-release suspension for injection, 1 pre-filled syringe of 0.5 mL (Janssen-Cilag, reference product for this paliperidone palmitate generic), CN 700659. Public retail price incl. VAT (PVP IVA). EUR 104.73 per pack of 1 / 1 = EUR 104.73/syringe.</t>
  </si>
  <si>
    <t xml:space="preserve">User workbook, South Africa (Updated) tab: SA SEP (NDoH Database of Medicine Prices, 10-Sep-2026) – NAPPI 3000615001, Pack Size 10, Quantity 1, SEP R1,268.76. Tier B (SA PI/PIL opened): the SA leaflet shows 10 x 5 mL vials per carton, so 10 is the container count. Unit price = R1,268.76 ÷ 10 = R126.876, rounded to R126.88 per container. [Literal SEP ÷ Quantity = R1,268.76; not used – see Validation_Log.] FX: R126.88 × 0.06083945 (ECB, 24-Sep-2026) = USD 7.72.</t>
  </si>
  <si>
    <t xml:space="preserve">Open zip → "October 2026 Medicare Part B Payment Limit File" → find HCPCS J3465 → "Payment Limit" (USD per billing unit); × units per vial as in note · J3465 $0.548/10 mg × 20 (assumed 200 mg vial); cross-market proxy for EU</t>
  </si>
  <si>
    <t xml:space="preserve">User workbook, UK tab: Competitor dm+d proxy – GBP 62.00 for the priced/target pack of 1; GBP 62.00 ÷ 1 = GBP 62.00 per vial; × 1.322 (ECB, 24-Sep-2026) = USD 81.96 per vial. Exact maker price not available; competitor pack used as proxy.</t>
  </si>
  <si>
    <t xml:space="preserve">User workbook, UK tab: Competitor dm+d proxy – GBP 26.16 for the priced/target pack of 1; GBP 26.16 ÷ 1 = GBP 26.16 per vial; × 1.322 (ECB, 24-Sep-2026) = USD 34.58 per vial. Exact maker price not available; competitor pack used as proxy.</t>
  </si>
  <si>
    <t xml:space="preserve">User workbook, UK tab: Competitor dm+d proxy – GBP 191.80 for the priced/target pack of 10; GBP 191.80 ÷ 10 = GBP 19.18 per vial; × 1.322 (ECB, 24-Sep-2026) = USD 25.36 per vial. Exact maker price not available; competitor pack used as proxy.</t>
  </si>
  <si>
    <t xml:space="preserve">User workbook, UK tab: Competitor dm+d proxy – GBP 83.00 for the priced/target pack of 10; GBP 83.00 ÷ 10 = GBP 8.30 per vial; × 1.322 (ECB, 24-Sep-2026) = USD 10.97 per vial. Exact maker price not available; competitor pack used as proxy.</t>
  </si>
  <si>
    <t xml:space="preserve">User workbook, European Union tab: Exact maker price - Italy, AIFA Class H list (30-04-2026, linked from aifa.gov.it/liste-farmaci-a-h); Venus Pharma GmbH MEROPENEM 10 x 500 mg powder vials. Italy public price (prezzo al pubblico) dated 30-Apr-2026. EUR 106.90 per pack of 10 / 10 = EUR 10.69/vial.</t>
  </si>
  <si>
    <t xml:space="preserve">User workbook, UK tab: Exact maker dm+d price – GBP 26.70 for the priced/target pack of 6; GBP 26.70 ÷ 6 = GBP 4.45 per vial; × 1.322 (ECB, 24-Sep-2026) = USD 5.88 per vial.</t>
  </si>
  <si>
    <t xml:space="preserve">User workbook, European Union tab: Competitor proxy – Germany; Adenosin Baxter 6 mg/2 mL injection. EUR 68.06 per pack of 10 ÷ 10 = EUR 6.81/vial. German private-prescription retail price.</t>
  </si>
  <si>
    <t xml:space="preserve">Open zip → "October 2026 Medicare Part B Payment Limit File" → find HCPCS J0278 → "Payment Limit" (USD per billing unit); × units per vial as in note · J0278 $0.612/100 mg × 5 (500 mg/2 mL); cross-market proxy for Australia</t>
  </si>
  <si>
    <t xml:space="preserve">User workbook, UK tab: Competitor dm+d proxy – GBP 48.82 for the priced/target pack of 10; GBP 48.82 ÷ 10 = GBP 4.88 per ampoule; × 1.322 (ECB, 24-Sep-2026) = USD 6.45 per ampoule. Exact maker price not available; competitor pack used as proxy.</t>
  </si>
  <si>
    <t xml:space="preserve">User workbook, UK tab: Exact maker dm+d price – GBP 218.80 for the priced/target pack of 10; GBP 218.80 ÷ 10 = GBP 21.88 per vial; × 1.322 (ECB, 24-Sep-2026) = USD 28.93 per vial.</t>
  </si>
  <si>
    <t xml:space="preserve">User workbook, European Union tab: Competitor proxy - Italy, AIFA Class H list; Astro-Pharma ceftazidime 2 g powder, 10 vials. Public price (prezzo al pubblico) dated 30-Apr-2026. EUR 102.78 per pack of 10 / 10 = EUR 10.28/vial. Packaging: UK fallback (no EU source found) - Wockhardt UK March-2026 product list shows CeftAZIDime Injection vials 2g, pack 10 (PL 29831/0032).</t>
  </si>
  <si>
    <t xml:space="preserve">User workbook, USA (Filled) tab: Generic retail proxy. 250 mg ceftriaxone injectable powder for injection. Drugs.com lowest quoted cash price for selected source pack: USD 5.24 / 1. 5.24 ÷ 1 = USD 5.24 per vial. Not an exact sponsor price.  Checked 27-Sep-2026.</t>
  </si>
  <si>
    <t xml:space="preserve">User workbook, USA (Filled) tab: Generic retail proxy. 500 mg ceftriaxone injectable powder for injection. Drugs.com lowest quoted cash price for selected source pack: USD 6.30 / 1. 6.3 ÷ 1 = USD 6.30 per vial. Not an exact sponsor price.  Checked 27-Sep-2026.</t>
  </si>
  <si>
    <t xml:space="preserve">User workbook, UK tab: Exact maker dm+d price – GBP 191.80 for the priced/target pack of 10; GBP 191.80 ÷ 10 = GBP 19.18 per vial; × 1.322 (ECB, 24-Sep-2026) = USD 25.36 per vial.</t>
  </si>
  <si>
    <t xml:space="preserve">User workbook, UK tab: NHS Drug Tariff generic proxy – GBP 25.49 for the priced/target pack of 5; GBP 25.49 ÷ 5 = GBP 5.10 per ampoule; × 1.322 (ECB, 24-Sep-2026) = USD 6.74 per ampoule. Exact maker price not available; national generic tariff used as proxy.</t>
  </si>
  <si>
    <t xml:space="preserve">User workbook, European Union tab: Competitor proxy - Italy, AIFA Classe H list; DAPTOMICINA ACCORDPHARMA*1 flaconcino 350 mg powder vial, holder Accord Healthcare SLU (no Wockhardt line listed); same molecule, strength and powder vial. Prezzo al pubblico (public price) dated 30-Apr-2026. EUR 82.95 per pack of 1 / 1 = EUR 82.95/vial. Packaging: UK fallback (no EU source found) - Wockhardt UK March-2026 list, Daptomycin Powder for injection vial 350mg, pack 1 (PL 29831/0723).</t>
  </si>
  <si>
    <t xml:space="preserve">User workbook, UK tab: Exact maker dm+d price – GBP 67.89 for the priced/target pack of 10; GBP 67.89 ÷ 10 = GBP 6.79 per ampoule; × 1.322 (ECB, 24-Sep-2026) = USD 8.98 per ampoule.</t>
  </si>
  <si>
    <t xml:space="preserve">User workbook, European Union tab: Competitor proxy - Netherlands, medicijnkosten.nl (Zorginstituut); HYALURONIDASE INJ/INFUSIEPOEDER AMPUL 1500IE, supplier Bmodesto b.v., same strength and powder ampoule. Average pharmacy price excluding delivery costs, updated until 1-Sep-2026: EUR 523.20 per package and EUR 52.32 per piece (select 'Average price per piece'). EUR 523.20 per pack of 10 / 10 = EUR 52.32/ampoule. No public retail price for 1500 IU hyaluronidase found in another EU source (AIFA, medicinpriser.dk).</t>
  </si>
  <si>
    <t xml:space="preserve">User workbook, UK tab: NHS Drug Tariff generic proxy – GBP 224.13 for the priced/target pack of 10; GBP 224.13 ÷ 10 = GBP 22.41 per ampoule; × 1.322 (ECB, 24-Sep-2026) = USD 29.63 per ampoule. Exact maker price not available; national generic tariff used as proxy.</t>
  </si>
  <si>
    <t xml:space="preserve">Greece</t>
  </si>
  <si>
    <t xml:space="preserve">User workbook, European Union tab: Competitor proxy - Greece, Mediately drug database; Torbay Pharmaceuticals metaraminol 10 mg/mL, 10 x 1 mL ampoules. Greek listed price (not on the insurance list), checked 28-Sep-2026. EUR 123.03 per pack of 10 / 10 = EUR 12.30/ampoule. Wockhardt's own EU pack was not confirmed; packaging describes the priced comparator.</t>
  </si>
  <si>
    <t xml:space="preserve">User workbook, UK tab: Exact maker dm+d price – GBP 199.06 for the priced/target pack of 10; GBP 199.06 ÷ 10 = GBP 19.91 per ampoule; × 1.322 (ECB, 24-Sep-2026) = USD 26.32 per ampoule.</t>
  </si>
  <si>
    <t xml:space="preserve">User workbook, European Union tab: Competitor proxy - Germany, Mediately (BfArM/Rote Liste data); Carinopharm MILRINON 1 mg/mL, 10 x 10 mL ampoules. German pharmacy price, checked 28-Sep-2026. EUR 186.70 per pack of 10 / 10 = EUR 18.67/ampoule. Packaging URL is the Irish licence held by Pinewood Laboratories Ltd; the link to Wockhardt is not stated on that page.</t>
  </si>
  <si>
    <t xml:space="preserve">User workbook, UK tab: NHS Drug Tariff generic proxy – GBP 48.44 for the priced/target pack of 10; GBP 48.44 ÷ 10 = GBP 4.84 per ampoule; × 1.322 (ECB, 24-Sep-2026) = USD 6.40 per ampoule. Exact maker price not available; national generic tariff used as proxy.</t>
  </si>
  <si>
    <t xml:space="preserve">User workbook, European Union tab: Competitor proxy - Italy, AIFA Class H list (30-04-2026, linked from aifa.gov.it/liste-farmaci-a-h); Baxter Holding BV EMISTOP 2 mg/mL 2 mL, 5 ampoules. Italy public price (prezzo al pubblico) dated 30-Apr-2026. EUR 23.54 per pack of 5 / 5 = EUR 4.71/ampoule. Wockhardt's own EU pack was not confirmed; packaging describes the priced comparator.</t>
  </si>
  <si>
    <t xml:space="preserve">User workbook, UK tab: Exact maker dm+d price – GBP 66.89 for the priced/target pack of 10; GBP 66.89 ÷ 10 = GBP 6.69 per ampoule; × 1.322 (ECB, 24-Sep-2026) = USD 8.84 per ampoule.</t>
  </si>
  <si>
    <t xml:space="preserve">User workbook, European Union tab: Competitor proxy - Denmark, Laegemiddelstyrelsen medicinpriser.dk (price period 14.09.2026-27.09.2026); Protaminsulfat "LEO Pharma" 10 mg/mL solution for injection/infusion, 5 x 5 mL, varenummer 035024. AUP (pharmacy retail price; column "Pris pr. pakning", labelled "Pharmacy Retail Price" in the site English view). DKK 861.35 per pack of 5 / 5 = DKK 172.27; / 7.4755 DKK/EUR (ECB 25-Sep-2026) = EUR 23.04/unit. Same LEO product as the Packaging URL; the Spanish vademecum.es price is hidden behind a professional login.</t>
  </si>
  <si>
    <t xml:space="preserve">User workbook, UK tab: Exact maker dm+d price – GBP 145.00 for the priced/target pack of 5; GBP 145.00 ÷ 5 = GBP 29.00 per vial; × 1.322 (ECB, 24-Sep-2026) = USD 38.34 per vial.</t>
  </si>
  <si>
    <t xml:space="preserve">User workbook, European Union tab: Competitor proxy - Denmark, Laegemiddelstyrelsen medicinpriser.dk (price period 14.09.2026-27.09.2026); Remifentanil "hameln" 5 mg powder for concentrate for solution for injection/infusion, 5 vials, varenummer 557228. AUP (pharmacy retail price; column "Pris pr. pakning", labelled "Pharmacy Retail Price" in the site English view). DKK 927.10 per pack of 5 / 5 = DKK 185.42; / 7.4755 DKK/EUR (ECB 25-Sep-2026) = EUR 24.80/vial. Packaging from UK fallback (no EU source found): emc SmPC for Wockhardt UK Remifentanil 5 mg, pack size of 5 x 10 ml vials, matching the priced hameln 5 x 5 mg pack count.</t>
  </si>
  <si>
    <t xml:space="preserve">User workbook, UK tab: Exact maker dm+d price – GBP 69.25 for the priced/target pack of 5; GBP 69.25 ÷ 5 = GBP 13.85 per ampoule; × 1.322 (ECB, 24-Sep-2026) = USD 18.31 per ampoule.</t>
  </si>
  <si>
    <t xml:space="preserve">User workbook, European Union tab: Competitor proxy - Italy, AIFA Classe H list; Seacross Pharma Europe Ltd SODIO VALPROATO 100 mg/mL solution for injection/infusion, 5 vials of 4 mL, AIC 050621022. Public price (prezzo al pubblico) dated 30-04-2026. EUR 37.82 per pack of 5 / 5 = EUR 7.56/vial.</t>
  </si>
  <si>
    <t xml:space="preserve">User workbook, Australia tab: Same-dose/form competitor proxy – Sodium Valproate Juno 400 mg/4 mL ampoule; Medshop Australia AUD 1,061.17 excl. GST per pack of 10 ÷ 10 = AUD 106.12 per ampoule; checked 25-Sep-2026.</t>
  </si>
  <si>
    <t xml:space="preserve">User workbook, UK tab: Exact maker dm+d price – GBP 1,491.00 for the priced/target pack of 10; GBP 1,491.00 ÷ 10 = GBP 149.10 per vial; × 1.322 (ECB, 24-Sep-2026) = USD 197.11 per vial.</t>
  </si>
  <si>
    <t xml:space="preserve">User workbook, European Union tab: Competitor proxy - Italy, AIFA Classe H list dated 30-Apr-2026; SUGAMMADEX*5 fiale EV 2 ml 100 mg/ml, SALF SpA (not Wockhardt). Prezzo al pubblico EUR 367.59 per pack of 5 / 5 = EUR 73.52/ampoule.</t>
  </si>
  <si>
    <t xml:space="preserve">User workbook, European Union tab: Competitor proxy - Italy, AIFA Classe H list dated 30-Apr-2026; VANCOMICINA*10 flaconcini EV orale 500 mg, Hikma Italia SpA. Prezzo al pubblico EUR 59.57 per pack of 10 / 10 = EUR 5.96/vial. No EU/EEA Wockhardt leaflet found (UK product).</t>
  </si>
  <si>
    <t xml:space="preserve">User workbook, USA (Filled) tab: Generic retail proxy. 500 mg acetazolamide intravenous powder for injection. Drugs.com cash price USD 24.95 for 1. 24.95 ÷ 1 = USD 24.95/vial. Manufacturer not identified by source. Maker packaging unverified. Checked 27-Sep-2026.</t>
  </si>
  <si>
    <t xml:space="preserve">User workbook, European Union tab: Competitor proxy - Italy, AIFA Class H list; Sandoz bortezomib 3.5 mg powder for solution for injection, 1 vial, IV/SC. Public price (prezzo al pubblico) dated 30-Apr-2026. EUR 1,277.98 per pack of 1 / 1 = EUR 1,277.98/vial. Replaces the Spanish BOE PVL reference price (ex-factory EUR 504.78 for the exact product): Spain publishes no PVP IVA for this hospital-only product.</t>
  </si>
  <si>
    <t xml:space="preserve">User workbook, South Africa (Updated) tab: Exact SA SEP (NDoH Database of Medicine Prices, 10-Sep-2026) – NAPPI 3010178001, Pack Size 1, Quantity 1; R2,508.85 ÷ 1 = R2,508.85 per unit. FX: R2,508.85 × 0.06083945 (ECB, 24-Sep-2026) = USD 152.64.</t>
  </si>
  <si>
    <t xml:space="preserve">User workbook, European Union tab: Exact maker price - France, BDPM; Ceftriaxone Zydus 1 g/3.5 mL powder and solvent for injection (IM), 1 vial + 1 x 3.5 mL solvent ampoule (CIP 34009 377 483 1 5). Public price incl. dispensing fee, checked 28-Sep-2026. EUR 6.92 per pack of 1 / 1 = EUR 6.92/kit.</t>
  </si>
  <si>
    <t xml:space="preserve">User workbook, USA (Filled) tab: Generic retail proxy. 2 mg/mL cisatracurium intravenous solution. Drugs.com lowest quoted cash price for selected source pack: USD 66.60 / 50 (10 x 5 milliliters). 66.6 ÷ 10 = USD 6.66 per 5 mL vial. Not an exact sponsor price.  Checked 27-Sep-2026.</t>
  </si>
  <si>
    <t xml:space="preserve">User workbook, USA (Filled) tab: Generic retail proxy. 10 mg/mL cisatracurium intravenous solution. Drugs.com lowest quoted cash price for selected source pack: USD 381.13 / 200 (10 x 20 milliliters). 381.13 ÷ 10 = USD 38.11 per 20 mL vial. Not an exact sponsor price.  Checked 27-Sep-2026.</t>
  </si>
  <si>
    <t xml:space="preserve">User workbook, USA (Filled) tab: Generic retail proxy. 1000 mcg/mL cyanocobalamin injectable solution. Drugs.com cash price USD 31.25 for 30 milliliters. 31.25 ÷ 1 = USD 31.25/30 mL vial. Manufacturer not identified by source. Checked 27-Sep-2026.</t>
  </si>
  <si>
    <t xml:space="preserve">User workbook, USA (Filled) tab: Generic retail proxy. 50 mg Sodium Edecrin intravenous powder for injection. Drugs.com cash price USD 5,289.94 for 1. 5289.94 ÷ 1 = USD 5289.94/vial. Manufacturer not identified by source. Maker packaging unverified. Checked 27-Sep-2026.</t>
  </si>
  <si>
    <t xml:space="preserve">Filter "Generic" contains "ETOMIDATE" (injection) → "Price" ÷ units in "PackageDescription"; median of vendors as in note · Median of 6 vendor packs, 2 mg/mL 10–20 mL vials (Zydus pack size not stated)</t>
  </si>
  <si>
    <t xml:space="preserve">User workbook, USA (Filled) tab: Generic retail proxy. 10% fluorescein intravenous solution. Drugs.com lowest quoted cash price for selected source pack: USD 733.56 / 60 (12 x 5 milliliters). 733.56 ÷ 12 = USD 61.13 per 5 mL vial. Not an exact sponsor price.  Checked 27-Sep-2026.</t>
  </si>
  <si>
    <t xml:space="preserve">User workbook, USA (Filled) tab: Generic retail proxy. decanoate 50 mg/mL haloperidol intramuscular solution. Drugs.com lowest quoted cash price for selected source pack: USD 18.90 / 1 milliliter. 18.9 ÷ 1 = USD 18.90 per 1 mL vial. Not an exact sponsor price. Price applies only to the 1 mL vial stated here.  Checked 27-Sep-2026.</t>
  </si>
  <si>
    <t xml:space="preserve">User workbook, USA (Filled) tab: Generic retail proxy. decanoate 100 mg/mL haloperidol intramuscular solution. Drugs.com lowest quoted cash price for selected source pack: USD 11.08 / 1 milliliter. 11.08 ÷ 1 = USD 11.08 per 1 mL vial. Not an exact sponsor price. Price applies only to the 1 mL vial stated here.  Checked 27-Sep-2026.</t>
  </si>
  <si>
    <t xml:space="preserve">User workbook, USA (Filled) tab: Generic retail proxy. 25 mg indocyanine green injectable powder for injection. Drugs.com lowest quoted cash price for selected source pack: USD 1,077.48 / 6. 1077.48 ÷ 6 = USD 179.58 per vial. Not an exact sponsor price. Generic powder-vial proxy only. Target sponsor presentation remains unverified. Checked 27-Sep-2026.</t>
  </si>
  <si>
    <t xml:space="preserve">User workbook, South Africa (Updated) tab: Exact SA SEP (NDoH Database of Medicine Prices, 10-Sep-2026) – NAPPI 720231001, Pack Size 5, Quantity 5; R623.01 ÷ 5 = R124.602, rounded to R124.60 per unit. FX: R124.60 × 0.06083945 (ECB, 24-Sep-2026) = USD 7.58.</t>
  </si>
  <si>
    <t xml:space="preserve">User workbook, South Africa (Updated) tab: SA SEP (NDoH Database of Medicine Prices, 10-Sep-2026) – NAPPI 711907001, Pack Size 5, Quantity 1, SEP R516.69. Interpretation – PI pending: the per-container reading (÷ 5) sits in the peer range for this molecule and strength; for client sign-off. Unit price = R516.69 ÷ 5 = R103.338, rounded to R103.34 per container. [Literal SEP ÷ Quantity = R516.69; not used – see Validation_Log.] FX: R103.34 × 0.06083945 (ECB, 24-Sep-2026) = USD 6.29.</t>
  </si>
  <si>
    <t xml:space="preserve">Methodology, sources and caveats</t>
  </si>
  <si>
    <t xml:space="preserve">Objective</t>
  </si>
  <si>
    <t xml:space="preserve">Identify, for each of 19 target Indian injectable makers, the drugs SurTrac should propose for co-packaging with its 1–10 mL retractable safety syringe: high-value, high-volume injectables sold in developed markets with strict health-care-worker safety rules.</t>
  </si>
  <si>
    <t xml:space="preserve">Universe</t>
  </si>
  <si>
    <t xml:space="preserve">333 drug (API) × company pairs and 696 presentations from the user workbook tab "Shortlisted Drugs X Company (6)" (151 molecules). Prefilled syringes kept per client instruction. The tab "Shortlisted Drugs X Company (7)" repeats the 696 rows of (6) with the added columns (updated price, pricing URL, drug utility, injectable value, markets tapped, priority).</t>
  </si>
  <si>
    <t xml:space="preserve">Step 1 – Company-level markets</t>
  </si>
  <si>
    <t xml:space="preserve">Non-EU markets (US, UK, Canada, Australia, South Africa) from the user's country tabs, which are company-specific. EU/EEA and UK-NI re-checked in the EMA Article 57 database (05-Aug-2026): a country counts only if the company's own group entity (e.g. Accord for Intas, Tillomed for Emcure, Eugia for Aurobindo) holds an injectable authorisation there; a central EU authorisation counts for all EU/EEA countries. UK (GB) and UK-NI are kept separate.</t>
  </si>
  <si>
    <t xml:space="preserve">Step 2 – Exclusion filter</t>
  </si>
  <si>
    <t xml:space="preserve">(a) Markets: no exclusion. Per client steer, the manufacturer decides where to sell; company-level markets and Tier 1 markets (US, UK, UK-NI, Germany, France, Netherlands, Belgium, Canada – strictest sharps-safety regimes) are shown for information only. (b) Price: every priced presentation ≤ USD 5 per unit AND the price is confirmed – the company's own price (Exact) or another maker's price in a market where the company holds the licence (Same-market proxy). If the only low price comes from another market (Cross-market proxy), the pair is kept, scored on that low price and noted "Low price (cross-market proxy) – confirm with company". Pairs with no price found are kept.</t>
  </si>
  <si>
    <t xml:space="preserve">Step 3 – Scoring</t>
  </si>
  <si>
    <t xml:space="preserve">Value score = percentile rank (share of other pairs with a lower value, 0–1) of average price per unit (presentations &gt; USD 5). Volume score = percentile rank of injectable value = India FY24 export of the API (HS 3002 + 3004) × average injectable share of registered products across 7 regulators (calculation in the Injectable Value tab). Composite = 50% value + 50% volume; if one input is missing the other carries 100%. Volume is molecule-level (same for every company making the API).</t>
  </si>
  <si>
    <t xml:space="preserve">Shown for every pair (Scoring, Company Priority, Shortlist (7)) and every presentation (Price Evidence): Exact (company's own product) › Same-market proxy (another maker, in a market where the company holds the licence) › Cross-market proxy (another market) › Not priced. A pair takes its best level. Proxies can over- or under-state the company's real price, so Lead drugs priced only by proxy should be price-checked in the company meeting.</t>
  </si>
  <si>
    <t xml:space="preserve">Step 4 – Prioritisation</t>
  </si>
  <si>
    <t xml:space="preserve">Eligible pairs ranked by composite within each company: Lead = top 5, Next wave = 6–10, Long list = rest. Company score = sum of Lead composites (max 5.0).</t>
  </si>
  <si>
    <t xml:space="preserve">Note column (not exclusions)</t>
  </si>
  <si>
    <t xml:space="preserve">Cancer drug (cytotoxic) – less relevant: usually prepared in hospital pharmacies with closed-system transfer devices rather than standard syringes; kept in the ranking but flagged; Reconstitution (powder – may need a transfer device or second syringe); Prefilled only (pitch as safety upgrade). "Fits 1–10 mL syringe" reads fill volume from strength/packaging text; powders are judged by reconstitution volume, not vial size.</t>
  </si>
  <si>
    <t xml:space="preserve">Company group entities matched</t>
  </si>
  <si>
    <t xml:space="preserve">Intas: Accord · Aurobindo: Eugia, Milpharm, Arrow, Aurovitas · Cipla: Cipla Europe, InvaGen · Dr. Reddy's: Betapharm, Reddy Pharma/Holding · Emcure: Tillomed, Marcan · Glenmark · Hetero: Amarox, Tarbis, Aspiro · Lupin: Hormosan · MSN: MSN Labs Europe · Micro Labs: Brown &amp; Burk · OneSource: Steriscience · Piramal Critical Care · Strides · Sun Pharma: Basics, Ranbaxy, Terapia · Torrent: Heumann · Venus Pharma · Wockhardt: Pinewood · Zydus: Zydus France, Combix · Alembic. Built from the sponsor names in the user workbook.</t>
  </si>
  <si>
    <t xml:space="preserve">Price sources</t>
  </si>
  <si>
    <t xml:space="preserve">User workbook country tabs (exact maker prices: UK dm+d, France BDPM, Italy AIFA, US, etc.). Gaps: US CMS ASP payment limits Oct-2026 – https://www.cms.gov/medicare/payment/part-b-drugs/asp-pricing-files ; VA Federal Supply Schedule 1-Oct-2026 – https://www.va.gov/opal/nac/fss/pharmPrices.asp ; Australia PBS ex-manufacturer prices Oct-2026 – https://www.pbs.gov.au/info/industry/pricing/ex-manufacturer-price ; South Africa SEP registry (user database). Native-market replacements for 4 US proxies (Oct-2026): NHS Drug Tariff Part VIIIA – https://www.nhsbsa.nhs.uk/pharmacies-gp-practices-and-appliance-contractors/drug-tariff/drug-tariff-part-viii ; NHS dm+d indicative price; German pharmacy price (mycare.de, PZN-level). FX: GBP 1.322, EUR 1.13, AUD 0.70, ZAR 0.0608 USD.</t>
  </si>
  <si>
    <t xml:space="preserve">Regulatory sources</t>
  </si>
  <si>
    <t xml:space="preserve">EMA Article 57 database – https://www.ema.europa.eu/en/human-regulatory-overview/post-authorisation/data-medicines-iso-idmp-standards-post-authorisation/public-data-article-57-database ; MHRA – https://products.mhra.gov.uk/ ; Health Canada DPD – https://www.canada.ca/en/health-canada/services/drugs-health-products/drug-products/drug-product-database.html ; TGA ARTG – https://www.tga.gov.au/resources/artg ; FDA NDC Directory – https://www.fda.gov/drugs/drug-approvals-and-databases/national-drug-code-directory</t>
  </si>
  <si>
    <t xml:space="preserve">How to verify (URLs)</t>
  </si>
  <si>
    <t xml:space="preserve">Every data point added in this analysis has a clickable source URL and a "How to check" step: Price Evidence (cols J–K) for every price, Drug Use &amp; Market Evidence for every company-level market (one row per drug × company × market, with the product and holder to look for) and for drug utility, Injectable Value for the method and the registration databases behind the injectable share. Web pages (EMA authorisation pages, French register BDPM, DailyMed, medicineprices.org.za) show the information directly; links ending in .xlsx/.zip/.csv download the official file, where the filter in "How to check" finds the row. EMA and French register links were opened in a browser on 7-Oct-2026 and showed the product. Prices taken from the user workbook carry the workbook's own source URL (520 of 558); a further 34 come from the South Africa SEP (31) and UAE (3) price databases, with a public viewer link (medicineprices.org.za) for 30 of the South African prices; 4 have no source found. Some sites (drugs.com, NHS dm+d) block automated checks but open normally in a browser.</t>
  </si>
  <si>
    <t xml:space="preserve">Caveats</t>
  </si>
  <si>
    <t xml:space="preserve">1) An EU authorisation is not proof of launch: confirm commercial presence in priority countries in the company meeting. 2) Some prices are cross-market proxies (US benchmark used for EU/Australia-only pairs) – see Price Evidence notes. 3) US isoprenaline prices reflect shortage pricing. 4) India export is a molecule-level volume proxy, not company sales.</t>
  </si>
  <si>
    <t xml:space="preserve">Companion files</t>
  </si>
  <si>
    <t xml:space="preserve">API_Injectable_Share.xlsx (injectable share by molecule, 7 regulators) · API_Drug_Utility_Lookup.xlsx (therapeutic area by molecule).</t>
  </si>
</sst>
</file>

<file path=xl/styles.xml><?xml version="1.0" encoding="utf-8"?>
<styleSheet xmlns="http://schemas.openxmlformats.org/spreadsheetml/2006/main">
  <numFmts count="5">
    <numFmt numFmtId="164" formatCode="General"/>
    <numFmt numFmtId="165" formatCode="0.00"/>
    <numFmt numFmtId="166" formatCode="#,##0"/>
    <numFmt numFmtId="167" formatCode="#,##0.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u val="single"/>
      <sz val="10"/>
      <color rgb="FF0563C1"/>
      <name val="Arial"/>
      <family val="0"/>
      <charset val="1"/>
    </font>
    <font>
      <b val="true"/>
      <sz val="10"/>
      <color rgb="FF1F3864"/>
      <name val="Arial"/>
      <family val="0"/>
      <charset val="1"/>
    </font>
    <font>
      <b val="true"/>
      <sz val="10"/>
      <color rgb="FF2E75B6"/>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2E75B6"/>
        <bgColor rgb="FF0563C1"/>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7" fillId="3" borderId="2" xfId="0" applyFont="true" applyBorder="true" applyAlignment="true" applyProtection="false">
      <alignment horizontal="general" vertical="top" textRotation="0" wrapText="false" indent="0" shrinkToFit="false"/>
      <protection locked="true" hidden="false"/>
    </xf>
    <xf numFmtId="164" fontId="7" fillId="3" borderId="2" xfId="0" applyFont="true" applyBorder="true" applyAlignment="true" applyProtection="false">
      <alignment horizontal="center" vertical="top" textRotation="0" wrapText="fals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5" fontId="7" fillId="3" borderId="2" xfId="0" applyFont="true" applyBorder="true" applyAlignment="true" applyProtection="false">
      <alignment horizontal="general" vertical="top" textRotation="0" wrapText="false" indent="0" shrinkToFit="false"/>
      <protection locked="true" hidden="false"/>
    </xf>
    <xf numFmtId="167" fontId="7" fillId="3" borderId="2" xfId="0" applyFont="true" applyBorder="true" applyAlignment="true" applyProtection="false">
      <alignment horizontal="general" vertical="top" textRotation="0" wrapText="false" indent="0" shrinkToFit="false"/>
      <protection locked="true" hidden="false"/>
    </xf>
    <xf numFmtId="166" fontId="7" fillId="3" borderId="2"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7" fontId="13"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A6A6A6"/>
          <bgColor rgb="FF000000"/>
        </patternFill>
      </fill>
    </dxf>
    <dxf>
      <fill>
        <patternFill patternType="solid">
          <fgColor rgb="FF0563C1"/>
          <bgColor rgb="FF000000"/>
        </patternFill>
      </fill>
    </dxf>
    <dxf>
      <fill>
        <patternFill>
          <bgColor rgb="FFF2F2F2"/>
        </patternFill>
      </fill>
    </dxf>
    <dxf>
      <font>
        <name val="Arial"/>
        <charset val="1"/>
        <family val="0"/>
        <color rgb="FFA6A6A6"/>
        <sz val="10"/>
      </font>
    </dxf>
    <dxf>
      <fill>
        <patternFill patternType="solid">
          <fgColor rgb="FF2E75B6"/>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ailymed.nlm.nih.gov/dailymed/search.cfm?labeltype=all&amp;query=fulvestrant" TargetMode="External"/><Relationship Id="rId2" Type="http://schemas.openxmlformats.org/officeDocument/2006/relationships/hyperlink" Target="https://dailymed.nlm.nih.gov/dailymed/search.cfm?labeltype=all&amp;query=carboprost" TargetMode="External"/><Relationship Id="rId3" Type="http://schemas.openxmlformats.org/officeDocument/2006/relationships/hyperlink" Target="https://dailymed.nlm.nih.gov/dailymed/search.cfm?labeltype=all&amp;query=methotrexate+injection" TargetMode="External"/><Relationship Id="rId4" Type="http://schemas.openxmlformats.org/officeDocument/2006/relationships/hyperlink" Target="https://dailymed.nlm.nih.gov/dailymed/search.cfm?labeltype=all&amp;query=diazepam+injection" TargetMode="External"/><Relationship Id="rId5" Type="http://schemas.openxmlformats.org/officeDocument/2006/relationships/hyperlink" Target="https://dailymed.nlm.nih.gov/dailymed/search.cfm?labeltype=all&amp;query=triamcinolone+acetonide+injectable+suspension" TargetMode="External"/><Relationship Id="rId6" Type="http://schemas.openxmlformats.org/officeDocument/2006/relationships/hyperlink" Target="https://dailymed.nlm.nih.gov/dailymed/search.cfm?labeltype=all&amp;query=phytonadione" TargetMode="External"/><Relationship Id="rId7" Type="http://schemas.openxmlformats.org/officeDocument/2006/relationships/hyperlink" Target="https://dailymed.nlm.nih.gov/dailymed/search.cfm?labeltype=all&amp;query=azacitidine" TargetMode="External"/><Relationship Id="rId8" Type="http://schemas.openxmlformats.org/officeDocument/2006/relationships/hyperlink" Target="https://dailymed.nlm.nih.gov/dailymed/search.cfm?labeltype=all&amp;query=bortezomib" TargetMode="External"/><Relationship Id="rId9" Type="http://schemas.openxmlformats.org/officeDocument/2006/relationships/hyperlink" Target="https://dailymed.nlm.nih.gov/dailymed/search.cfm?labeltype=all&amp;query=daptomycin" TargetMode="External"/><Relationship Id="rId10" Type="http://schemas.openxmlformats.org/officeDocument/2006/relationships/hyperlink" Target="https://dailymed.nlm.nih.gov/dailymed/search.cfm?labeltype=all&amp;query=plerixafor" TargetMode="External"/><Relationship Id="rId11" Type="http://schemas.openxmlformats.org/officeDocument/2006/relationships/hyperlink" Target="https://dailymed.nlm.nih.gov/dailymed/search.cfm?labeltype=all&amp;query=fulvestrant" TargetMode="External"/><Relationship Id="rId12" Type="http://schemas.openxmlformats.org/officeDocument/2006/relationships/hyperlink" Target="https://dailymed.nlm.nih.gov/dailymed/search.cfm?labeltype=all&amp;query=eptifibatide" TargetMode="External"/><Relationship Id="rId13" Type="http://schemas.openxmlformats.org/officeDocument/2006/relationships/hyperlink" Target="https://dailymed.nlm.nih.gov/dailymed/search.cfm?labeltype=all&amp;query=ertapenem" TargetMode="External"/><Relationship Id="rId14" Type="http://schemas.openxmlformats.org/officeDocument/2006/relationships/hyperlink" Target="https://dailymed.nlm.nih.gov/dailymed/search.cfm?labeltype=all&amp;query=cyclophosphamide" TargetMode="External"/><Relationship Id="rId15" Type="http://schemas.openxmlformats.org/officeDocument/2006/relationships/hyperlink" Target="https://dailymed.nlm.nih.gov/dailymed/search.cfm?labeltype=all&amp;query=meropenem" TargetMode="External"/><Relationship Id="rId16" Type="http://schemas.openxmlformats.org/officeDocument/2006/relationships/hyperlink" Target="https://dailymed.nlm.nih.gov/dailymed/search.cfm?labeltype=all&amp;query=mitomycin" TargetMode="External"/><Relationship Id="rId17" Type="http://schemas.openxmlformats.org/officeDocument/2006/relationships/hyperlink" Target="https://dailymed.nlm.nih.gov/dailymed/search.cfm?labeltype=all&amp;query=doxorubicin" TargetMode="External"/><Relationship Id="rId18" Type="http://schemas.openxmlformats.org/officeDocument/2006/relationships/hyperlink" Target="https://dailymed.nlm.nih.gov/dailymed/search.cfm?labeltype=all&amp;query=esmolol" TargetMode="External"/><Relationship Id="rId19" Type="http://schemas.openxmlformats.org/officeDocument/2006/relationships/hyperlink" Target="https://dailymed.nlm.nih.gov/dailymed/search.cfm?labeltype=all&amp;query=dactinomycin" TargetMode="External"/><Relationship Id="rId20" Type="http://schemas.openxmlformats.org/officeDocument/2006/relationships/hyperlink" Target="https://dailymed.nlm.nih.gov/dailymed/search.cfm?labeltype=all&amp;query=tirofiban" TargetMode="External"/><Relationship Id="rId21" Type="http://schemas.openxmlformats.org/officeDocument/2006/relationships/hyperlink" Target="https://dailymed.nlm.nih.gov/dailymed/search.cfm?labeltype=all&amp;query=leucovorin+calcium+injection" TargetMode="External"/><Relationship Id="rId22" Type="http://schemas.openxmlformats.org/officeDocument/2006/relationships/hyperlink" Target="https://dailymed.nlm.nih.gov/dailymed/search.cfm?labeltype=all&amp;query=melphalan+hydrochloride" TargetMode="External"/><Relationship Id="rId23" Type="http://schemas.openxmlformats.org/officeDocument/2006/relationships/hyperlink" Target="https://dailymed.nlm.nih.gov/dailymed/search.cfm?labeltype=all&amp;query=epirubicin" TargetMode="External"/><Relationship Id="rId24" Type="http://schemas.openxmlformats.org/officeDocument/2006/relationships/hyperlink" Target="https://dailymed.nlm.nih.gov/dailymed/search.cfm?labeltype=all&amp;query=tranexamic+acid+injection" TargetMode="External"/><Relationship Id="rId25" Type="http://schemas.openxmlformats.org/officeDocument/2006/relationships/hyperlink" Target="https://dailymed.nlm.nih.gov/dailymed/search.cfm?labeltype=all&amp;query=fluphenazine+decanoate" TargetMode="External"/><Relationship Id="rId26" Type="http://schemas.openxmlformats.org/officeDocument/2006/relationships/hyperlink" Target="https://dailymed.nlm.nih.gov/dailymed/search.cfm?labeltype=all&amp;query=ceftriaxone" TargetMode="External"/><Relationship Id="rId27" Type="http://schemas.openxmlformats.org/officeDocument/2006/relationships/hyperlink" Target="https://dailymed.nlm.nih.gov/dailymed/search.cfm?labeltype=all&amp;query=testosterone+cypionate" TargetMode="External"/><Relationship Id="rId28" Type="http://schemas.openxmlformats.org/officeDocument/2006/relationships/hyperlink" Target="https://dailymed.nlm.nih.gov/dailymed/search.cfm?labeltype=all&amp;query=ampicillin" TargetMode="External"/><Relationship Id="rId29" Type="http://schemas.openxmlformats.org/officeDocument/2006/relationships/hyperlink" Target="https://dailymed.nlm.nih.gov/dailymed/search.cfm?labeltype=all&amp;query=pantoprazole+sodium+for+injection" TargetMode="External"/><Relationship Id="rId30" Type="http://schemas.openxmlformats.org/officeDocument/2006/relationships/hyperlink" Target="https://dailymed.nlm.nih.gov/dailymed/search.cfm?labeltype=all&amp;query=argatroban" TargetMode="External"/><Relationship Id="rId31" Type="http://schemas.openxmlformats.org/officeDocument/2006/relationships/hyperlink" Target="https://dailymed.nlm.nih.gov/dailymed/search.cfm?labeltype=all&amp;query=ondansetron+injection" TargetMode="External"/><Relationship Id="rId32" Type="http://schemas.openxmlformats.org/officeDocument/2006/relationships/hyperlink" Target="https://dailymed.nlm.nih.gov/dailymed/search.cfm?labeltype=all&amp;query=carboprost" TargetMode="External"/><Relationship Id="rId33" Type="http://schemas.openxmlformats.org/officeDocument/2006/relationships/hyperlink" Target="https://dailymed.nlm.nih.gov/dailymed/search.cfm?labeltype=all&amp;query=sildenafil+injection" TargetMode="External"/><Relationship Id="rId34" Type="http://schemas.openxmlformats.org/officeDocument/2006/relationships/hyperlink" Target="https://dailymed.nlm.nih.gov/dailymed/search.cfm?labeltype=all&amp;query=methotrexate+injection" TargetMode="External"/><Relationship Id="rId35" Type="http://schemas.openxmlformats.org/officeDocument/2006/relationships/hyperlink" Target="https://dailymed.nlm.nih.gov/dailymed/search.cfm?labeltype=all&amp;query=medroxyprogesterone+acetate+injectable" TargetMode="External"/><Relationship Id="rId36" Type="http://schemas.openxmlformats.org/officeDocument/2006/relationships/hyperlink" Target="https://dailymed.nlm.nih.gov/dailymed/search.cfm?labeltype=all&amp;query=ibandronate+injection" TargetMode="External"/><Relationship Id="rId37" Type="http://schemas.openxmlformats.org/officeDocument/2006/relationships/hyperlink" Target="https://dailymed.nlm.nih.gov/dailymed/search.cfm?labeltype=all&amp;query=ropivacaine" TargetMode="External"/><Relationship Id="rId38" Type="http://schemas.openxmlformats.org/officeDocument/2006/relationships/hyperlink" Target="https://dailymed.nlm.nih.gov/dailymed/search.cfm?labeltype=all&amp;query=naloxone+hydrochloride+injection" TargetMode="External"/><Relationship Id="rId39" Type="http://schemas.openxmlformats.org/officeDocument/2006/relationships/hyperlink" Target="https://dailymed.nlm.nih.gov/dailymed/search.cfm?labeltype=all&amp;query=cefepime" TargetMode="External"/><Relationship Id="rId40" Type="http://schemas.openxmlformats.org/officeDocument/2006/relationships/hyperlink" Target="https://dailymed.nlm.nih.gov/dailymed/search.cfm?labeltype=all&amp;query=bupivacaine" TargetMode="External"/><Relationship Id="rId41" Type="http://schemas.openxmlformats.org/officeDocument/2006/relationships/hyperlink" Target="https://dailymed.nlm.nih.gov/dailymed/search.cfm?labeltype=all&amp;query=methylprednisolone+acetate" TargetMode="External"/><Relationship Id="rId42" Type="http://schemas.openxmlformats.org/officeDocument/2006/relationships/hyperlink" Target="https://dailymed.nlm.nih.gov/dailymed/search.cfm?labeltype=all&amp;query=ceftazidime" TargetMode="External"/><Relationship Id="rId43" Type="http://schemas.openxmlformats.org/officeDocument/2006/relationships/hyperlink" Target="https://dailymed.nlm.nih.gov/dailymed/search.cfm?labeltype=all&amp;query=testosterone+enanthate" TargetMode="External"/><Relationship Id="rId44" Type="http://schemas.openxmlformats.org/officeDocument/2006/relationships/hyperlink" Target="https://dailymed.nlm.nih.gov/dailymed/search.cfm?labeltype=all&amp;query=progesterone+injection" TargetMode="External"/><Relationship Id="rId45" Type="http://schemas.openxmlformats.org/officeDocument/2006/relationships/hyperlink" Target="https://dailymed.nlm.nih.gov/dailymed/search.cfm?labeltype=all&amp;query=vecuronium" TargetMode="External"/><Relationship Id="rId46" Type="http://schemas.openxmlformats.org/officeDocument/2006/relationships/hyperlink" Target="https://dailymed.nlm.nih.gov/dailymed/search.cfm?labeltype=all&amp;query=verapamil+hydrochloride+injection" TargetMode="External"/><Relationship Id="rId47" Type="http://schemas.openxmlformats.org/officeDocument/2006/relationships/hyperlink" Target="https://dailymed.nlm.nih.gov/dailymed/search.cfm?labeltype=all&amp;query=fluorouracil+injection" TargetMode="External"/><Relationship Id="rId48" Type="http://schemas.openxmlformats.org/officeDocument/2006/relationships/hyperlink" Target="https://dailymed.nlm.nih.gov/dailymed/search.cfm?labeltype=all&amp;query=hydralazine+injection" TargetMode="External"/><Relationship Id="rId49" Type="http://schemas.openxmlformats.org/officeDocument/2006/relationships/hyperlink" Target="https://dailymed.nlm.nih.gov/dailymed/search.cfm?labeltype=all&amp;query=palonosetron" TargetMode="External"/><Relationship Id="rId50" Type="http://schemas.openxmlformats.org/officeDocument/2006/relationships/hyperlink" Target="https://dailymed.nlm.nih.gov/dailymed/search.cfm?labeltype=all&amp;query=vinorelbine" TargetMode="External"/><Relationship Id="rId51" Type="http://schemas.openxmlformats.org/officeDocument/2006/relationships/hyperlink" Target="https://dailymed.nlm.nih.gov/dailymed/search.cfm?labeltype=all&amp;query=chlorpromazine" TargetMode="External"/><Relationship Id="rId52" Type="http://schemas.openxmlformats.org/officeDocument/2006/relationships/hyperlink" Target="https://dailymed.nlm.nih.gov/dailymed/search.cfm?labeltype=all&amp;query=mesna" TargetMode="External"/><Relationship Id="rId53" Type="http://schemas.openxmlformats.org/officeDocument/2006/relationships/hyperlink" Target="https://dailymed.nlm.nih.gov/dailymed/search.cfm?labeltype=all&amp;query=ephedrine+sulfate+injection" TargetMode="External"/><Relationship Id="rId54" Type="http://schemas.openxmlformats.org/officeDocument/2006/relationships/hyperlink" Target="https://dailymed.nlm.nih.gov/dailymed/search.cfm?labeltype=all&amp;query=regadenoson" TargetMode="External"/><Relationship Id="rId55" Type="http://schemas.openxmlformats.org/officeDocument/2006/relationships/hyperlink" Target="https://dailymed.nlm.nih.gov/dailymed/search.cfm?labeltype=all&amp;query=oxacillin" TargetMode="External"/><Relationship Id="rId56" Type="http://schemas.openxmlformats.org/officeDocument/2006/relationships/hyperlink" Target="https://dailymed.nlm.nih.gov/dailymed/search.cfm?labeltype=all&amp;query=nafcillin" TargetMode="External"/><Relationship Id="rId57" Type="http://schemas.openxmlformats.org/officeDocument/2006/relationships/hyperlink" Target="https://dailymed.nlm.nih.gov/dailymed/search.cfm?labeltype=all&amp;query=remifentanil" TargetMode="External"/><Relationship Id="rId58" Type="http://schemas.openxmlformats.org/officeDocument/2006/relationships/hyperlink" Target="https://www.medicines.org.uk/emc/search?q=flucloxacillin" TargetMode="External"/><Relationship Id="rId59" Type="http://schemas.openxmlformats.org/officeDocument/2006/relationships/hyperlink" Target="https://dailymed.nlm.nih.gov/dailymed/search.cfm?labeltype=all&amp;query=triamcinolone+acetonide+injectable+suspension" TargetMode="External"/><Relationship Id="rId60" Type="http://schemas.openxmlformats.org/officeDocument/2006/relationships/hyperlink" Target="https://dailymed.nlm.nih.gov/dailymed/search.cfm?labeltype=all&amp;query=trastuzumab" TargetMode="External"/><Relationship Id="rId61" Type="http://schemas.openxmlformats.org/officeDocument/2006/relationships/hyperlink" Target="https://dailymed.nlm.nih.gov/dailymed/search.cfm?labeltype=all&amp;query=daptomycin" TargetMode="External"/><Relationship Id="rId62" Type="http://schemas.openxmlformats.org/officeDocument/2006/relationships/hyperlink" Target="https://www.who.int/news-room/fact-sheets/detail/measles" TargetMode="External"/><Relationship Id="rId63" Type="http://schemas.openxmlformats.org/officeDocument/2006/relationships/hyperlink" Target="https://dailymed.nlm.nih.gov/dailymed/search.cfm?labeltype=all&amp;query=fulvestrant" TargetMode="External"/><Relationship Id="rId64" Type="http://schemas.openxmlformats.org/officeDocument/2006/relationships/hyperlink" Target="https://dailymed.nlm.nih.gov/dailymed/search.cfm?labeltype=all&amp;query=bortezomib" TargetMode="External"/><Relationship Id="rId65" Type="http://schemas.openxmlformats.org/officeDocument/2006/relationships/hyperlink" Target="https://dailymed.nlm.nih.gov/dailymed/search.cfm?labeltype=all&amp;query=sugammadex" TargetMode="External"/><Relationship Id="rId66" Type="http://schemas.openxmlformats.org/officeDocument/2006/relationships/hyperlink" Target="https://dailymed.nlm.nih.gov/dailymed/search.cfm?labeltype=all&amp;query=doxorubicin" TargetMode="External"/><Relationship Id="rId67" Type="http://schemas.openxmlformats.org/officeDocument/2006/relationships/hyperlink" Target="https://dailymed.nlm.nih.gov/dailymed/search.cfm?labeltype=all&amp;query=azacitidine" TargetMode="External"/><Relationship Id="rId68" Type="http://schemas.openxmlformats.org/officeDocument/2006/relationships/hyperlink" Target="https://dailymed.nlm.nih.gov/dailymed/search.cfm?labeltype=all&amp;query=isoproterenol" TargetMode="External"/><Relationship Id="rId69" Type="http://schemas.openxmlformats.org/officeDocument/2006/relationships/hyperlink" Target="https://dailymed.nlm.nih.gov/dailymed/search.cfm?labeltype=all&amp;query=bleomycin" TargetMode="External"/><Relationship Id="rId70" Type="http://schemas.openxmlformats.org/officeDocument/2006/relationships/hyperlink" Target="https://dailymed.nlm.nih.gov/dailymed/search.cfm?labeltype=all&amp;query=cefepime" TargetMode="External"/><Relationship Id="rId71" Type="http://schemas.openxmlformats.org/officeDocument/2006/relationships/hyperlink" Target="https://dailymed.nlm.nih.gov/dailymed/search.cfm?labeltype=all&amp;query=testosterone+cypionate" TargetMode="External"/><Relationship Id="rId72" Type="http://schemas.openxmlformats.org/officeDocument/2006/relationships/hyperlink" Target="https://dailymed.nlm.nih.gov/dailymed/search.cfm?labeltype=all&amp;query=lanreotide" TargetMode="External"/><Relationship Id="rId73" Type="http://schemas.openxmlformats.org/officeDocument/2006/relationships/hyperlink" Target="https://dailymed.nlm.nih.gov/dailymed/search.cfm?labeltype=all&amp;query=hydrocortisone+sodium+succinate" TargetMode="External"/><Relationship Id="rId74" Type="http://schemas.openxmlformats.org/officeDocument/2006/relationships/hyperlink" Target="https://list.essentialmeds.org/?query=streptokinase" TargetMode="External"/><Relationship Id="rId75" Type="http://schemas.openxmlformats.org/officeDocument/2006/relationships/hyperlink" Target="https://www.medicines.org.uk/emc/search?q=teicoplanin" TargetMode="External"/><Relationship Id="rId76" Type="http://schemas.openxmlformats.org/officeDocument/2006/relationships/hyperlink" Target="https://dailymed.nlm.nih.gov/dailymed/search.cfm?labeltype=all&amp;query=phytonadione" TargetMode="External"/><Relationship Id="rId77" Type="http://schemas.openxmlformats.org/officeDocument/2006/relationships/hyperlink" Target="https://dailymed.nlm.nih.gov/dailymed/search.cfm?labeltype=all&amp;query=testosterone+undecanoate" TargetMode="External"/><Relationship Id="rId78" Type="http://schemas.openxmlformats.org/officeDocument/2006/relationships/hyperlink" Target="https://dailymed.nlm.nih.gov/dailymed/search.cfm?labeltype=all&amp;query=vinorelbine" TargetMode="External"/><Relationship Id="rId79" Type="http://schemas.openxmlformats.org/officeDocument/2006/relationships/hyperlink" Target="https://dailymed.nlm.nih.gov/dailymed/search.cfm?labeltype=all&amp;query=medroxyprogesterone+acetate+injectable" TargetMode="External"/><Relationship Id="rId80" Type="http://schemas.openxmlformats.org/officeDocument/2006/relationships/hyperlink" Target="https://dailymed.nlm.nih.gov/dailymed/search.cfm?labeltype=all&amp;query=phenylephrine+hydrochloride+injection" TargetMode="External"/><Relationship Id="rId81" Type="http://schemas.openxmlformats.org/officeDocument/2006/relationships/hyperlink" Target="https://dailymed.nlm.nih.gov/dailymed/search.cfm?labeltype=all&amp;query=vinblastine" TargetMode="External"/><Relationship Id="rId82" Type="http://schemas.openxmlformats.org/officeDocument/2006/relationships/hyperlink" Target="https://dailymed.nlm.nih.gov/dailymed/search.cfm?labeltype=all&amp;query=palonosetron" TargetMode="External"/><Relationship Id="rId83" Type="http://schemas.openxmlformats.org/officeDocument/2006/relationships/hyperlink" Target="https://dailymed.nlm.nih.gov/dailymed/search.cfm?labeltype=all&amp;query=azacitidine" TargetMode="External"/><Relationship Id="rId84" Type="http://schemas.openxmlformats.org/officeDocument/2006/relationships/hyperlink" Target="https://dailymed.nlm.nih.gov/dailymed/search.cfm?labeltype=all&amp;query=bortezomib" TargetMode="External"/><Relationship Id="rId85" Type="http://schemas.openxmlformats.org/officeDocument/2006/relationships/hyperlink" Target="https://dailymed.nlm.nih.gov/dailymed/search.cfm?labeltype=all&amp;query=daptomycin" TargetMode="External"/><Relationship Id="rId86" Type="http://schemas.openxmlformats.org/officeDocument/2006/relationships/hyperlink" Target="https://dailymed.nlm.nih.gov/dailymed/search.cfm?labeltype=all&amp;query=fulvestrant" TargetMode="External"/><Relationship Id="rId87" Type="http://schemas.openxmlformats.org/officeDocument/2006/relationships/hyperlink" Target="https://dailymed.nlm.nih.gov/dailymed/search.cfm?labeltype=all&amp;query=plerixafor" TargetMode="External"/><Relationship Id="rId88" Type="http://schemas.openxmlformats.org/officeDocument/2006/relationships/hyperlink" Target="https://dailymed.nlm.nih.gov/dailymed/search.cfm?labeltype=all&amp;query=thiotepa" TargetMode="External"/><Relationship Id="rId89" Type="http://schemas.openxmlformats.org/officeDocument/2006/relationships/hyperlink" Target="https://dailymed.nlm.nih.gov/dailymed/search.cfm?labeltype=all&amp;query=ertapenem" TargetMode="External"/><Relationship Id="rId90" Type="http://schemas.openxmlformats.org/officeDocument/2006/relationships/hyperlink" Target="https://dailymed.nlm.nih.gov/dailymed/search.cfm?labeltype=all&amp;query=sugammadex" TargetMode="External"/><Relationship Id="rId91" Type="http://schemas.openxmlformats.org/officeDocument/2006/relationships/hyperlink" Target="https://dailymed.nlm.nih.gov/dailymed/search.cfm?labeltype=all&amp;query=cyclophosphamide" TargetMode="External"/><Relationship Id="rId92" Type="http://schemas.openxmlformats.org/officeDocument/2006/relationships/hyperlink" Target="https://dailymed.nlm.nih.gov/dailymed/search.cfm?labeltype=all&amp;query=carboprost" TargetMode="External"/><Relationship Id="rId93" Type="http://schemas.openxmlformats.org/officeDocument/2006/relationships/hyperlink" Target="https://dailymed.nlm.nih.gov/dailymed/search.cfm?labeltype=all&amp;query=eribulin" TargetMode="External"/><Relationship Id="rId94" Type="http://schemas.openxmlformats.org/officeDocument/2006/relationships/hyperlink" Target="https://dailymed.nlm.nih.gov/dailymed/search.cfm?labeltype=all&amp;query=palonosetron" TargetMode="External"/><Relationship Id="rId95" Type="http://schemas.openxmlformats.org/officeDocument/2006/relationships/hyperlink" Target="https://dailymed.nlm.nih.gov/dailymed/search.cfm?labeltype=all&amp;query=desmopressin" TargetMode="External"/><Relationship Id="rId96" Type="http://schemas.openxmlformats.org/officeDocument/2006/relationships/hyperlink" Target="https://dailymed.nlm.nih.gov/dailymed/search.cfm?labeltype=all&amp;query=succinylcholine" TargetMode="External"/><Relationship Id="rId97" Type="http://schemas.openxmlformats.org/officeDocument/2006/relationships/hyperlink" Target="https://dailymed.nlm.nih.gov/dailymed/search.cfm?labeltype=all&amp;query=ibandronate+injection" TargetMode="External"/><Relationship Id="rId98" Type="http://schemas.openxmlformats.org/officeDocument/2006/relationships/hyperlink" Target="https://dailymed.nlm.nih.gov/dailymed/search.cfm?labeltype=all&amp;query=phytonadione" TargetMode="External"/><Relationship Id="rId99" Type="http://schemas.openxmlformats.org/officeDocument/2006/relationships/hyperlink" Target="https://dailymed.nlm.nih.gov/dailymed/search.cfm?labeltype=all&amp;query=bivalirudin" TargetMode="External"/><Relationship Id="rId100" Type="http://schemas.openxmlformats.org/officeDocument/2006/relationships/hyperlink" Target="https://dailymed.nlm.nih.gov/dailymed/search.cfm?labeltype=all&amp;query=ferric+carboxymaltose" TargetMode="External"/><Relationship Id="rId101" Type="http://schemas.openxmlformats.org/officeDocument/2006/relationships/hyperlink" Target="https://dailymed.nlm.nih.gov/dailymed/search.cfm?labeltype=all&amp;query=neostigmine" TargetMode="External"/><Relationship Id="rId102" Type="http://schemas.openxmlformats.org/officeDocument/2006/relationships/hyperlink" Target="https://dailymed.nlm.nih.gov/dailymed/search.cfm?labeltype=all&amp;query=naloxone+hydrochloride+injection" TargetMode="External"/><Relationship Id="rId103" Type="http://schemas.openxmlformats.org/officeDocument/2006/relationships/hyperlink" Target="https://dailymed.nlm.nih.gov/dailymed/search.cfm?labeltype=all&amp;query=ephedrine+sulfate+injection" TargetMode="External"/><Relationship Id="rId104" Type="http://schemas.openxmlformats.org/officeDocument/2006/relationships/hyperlink" Target="https://dailymed.nlm.nih.gov/dailymed/search.cfm?labeltype=all&amp;query=diazepam+injection" TargetMode="External"/><Relationship Id="rId105" Type="http://schemas.openxmlformats.org/officeDocument/2006/relationships/hyperlink" Target="https://dailymed.nlm.nih.gov/dailymed/search.cfm?labeltype=all&amp;query=regadenoson" TargetMode="External"/><Relationship Id="rId106" Type="http://schemas.openxmlformats.org/officeDocument/2006/relationships/hyperlink" Target="https://dailymed.nlm.nih.gov/dailymed/search.cfm?labeltype=all&amp;query=triamcinolone+acetonide+injectable+suspension" TargetMode="External"/><Relationship Id="rId107" Type="http://schemas.openxmlformats.org/officeDocument/2006/relationships/hyperlink" Target="https://dailymed.nlm.nih.gov/dailymed/search.cfm?labeltype=all&amp;query=azacitidine" TargetMode="External"/><Relationship Id="rId108" Type="http://schemas.openxmlformats.org/officeDocument/2006/relationships/hyperlink" Target="https://dailymed.nlm.nih.gov/dailymed/search.cfm?labeltype=all&amp;query=bortezomib" TargetMode="External"/><Relationship Id="rId109" Type="http://schemas.openxmlformats.org/officeDocument/2006/relationships/hyperlink" Target="https://dailymed.nlm.nih.gov/dailymed/search.cfm?labeltype=all&amp;query=daptomycin" TargetMode="External"/><Relationship Id="rId110" Type="http://schemas.openxmlformats.org/officeDocument/2006/relationships/hyperlink" Target="https://dailymed.nlm.nih.gov/dailymed/search.cfm?labeltype=all&amp;query=plerixafor" TargetMode="External"/><Relationship Id="rId111" Type="http://schemas.openxmlformats.org/officeDocument/2006/relationships/hyperlink" Target="https://dailymed.nlm.nih.gov/dailymed/search.cfm?labeltype=all&amp;query=sugammadex" TargetMode="External"/><Relationship Id="rId112" Type="http://schemas.openxmlformats.org/officeDocument/2006/relationships/hyperlink" Target="https://dailymed.nlm.nih.gov/dailymed/search.cfm?labeltype=all&amp;query=cyclophosphamide" TargetMode="External"/><Relationship Id="rId113" Type="http://schemas.openxmlformats.org/officeDocument/2006/relationships/hyperlink" Target="https://dailymed.nlm.nih.gov/dailymed/search.cfm?labeltype=all&amp;query=melphalan+hydrochloride" TargetMode="External"/><Relationship Id="rId114" Type="http://schemas.openxmlformats.org/officeDocument/2006/relationships/hyperlink" Target="https://dailymed.nlm.nih.gov/dailymed/search.cfm?labeltype=all&amp;query=eribulin" TargetMode="External"/><Relationship Id="rId115" Type="http://schemas.openxmlformats.org/officeDocument/2006/relationships/hyperlink" Target="https://dailymed.nlm.nih.gov/dailymed/search.cfm?labeltype=all&amp;query=amikacin" TargetMode="External"/><Relationship Id="rId116" Type="http://schemas.openxmlformats.org/officeDocument/2006/relationships/hyperlink" Target="https://dailymed.nlm.nih.gov/dailymed/search.cfm?labeltype=all&amp;query=pentamidine" TargetMode="External"/><Relationship Id="rId117" Type="http://schemas.openxmlformats.org/officeDocument/2006/relationships/hyperlink" Target="https://dailymed.nlm.nih.gov/dailymed/search.cfm?labeltype=all&amp;query=ampicillin" TargetMode="External"/><Relationship Id="rId118" Type="http://schemas.openxmlformats.org/officeDocument/2006/relationships/hyperlink" Target="https://dailymed.nlm.nih.gov/dailymed/search.cfm?labeltype=all&amp;query=propofol" TargetMode="External"/><Relationship Id="rId119" Type="http://schemas.openxmlformats.org/officeDocument/2006/relationships/hyperlink" Target="https://dailymed.nlm.nih.gov/dailymed/search.cfm?labeltype=all&amp;query=pantoprazole+sodium+for+injection" TargetMode="External"/><Relationship Id="rId120" Type="http://schemas.openxmlformats.org/officeDocument/2006/relationships/hyperlink" Target="https://dailymed.nlm.nih.gov/dailymed/search.cfm?labeltype=all&amp;query=milrinone" TargetMode="External"/><Relationship Id="rId121" Type="http://schemas.openxmlformats.org/officeDocument/2006/relationships/hyperlink" Target="https://dailymed.nlm.nih.gov/dailymed/search.cfm?labeltype=all&amp;query=isoproterenol" TargetMode="External"/><Relationship Id="rId122" Type="http://schemas.openxmlformats.org/officeDocument/2006/relationships/hyperlink" Target="https://dailymed.nlm.nih.gov/dailymed/search.cfm?labeltype=all&amp;query=esomeprazole+sodium" TargetMode="External"/><Relationship Id="rId123" Type="http://schemas.openxmlformats.org/officeDocument/2006/relationships/hyperlink" Target="https://dailymed.nlm.nih.gov/dailymed/search.cfm?labeltype=all&amp;query=ondansetron+injection" TargetMode="External"/><Relationship Id="rId124" Type="http://schemas.openxmlformats.org/officeDocument/2006/relationships/hyperlink" Target="https://dailymed.nlm.nih.gov/dailymed/search.cfm?labeltype=all&amp;query=colistimethate" TargetMode="External"/><Relationship Id="rId125" Type="http://schemas.openxmlformats.org/officeDocument/2006/relationships/hyperlink" Target="https://dailymed.nlm.nih.gov/dailymed/search.cfm?labeltype=all&amp;query=acetazolamide" TargetMode="External"/><Relationship Id="rId126" Type="http://schemas.openxmlformats.org/officeDocument/2006/relationships/hyperlink" Target="https://dailymed.nlm.nih.gov/dailymed/search.cfm?labeltype=all&amp;query=neostigmine" TargetMode="External"/><Relationship Id="rId127" Type="http://schemas.openxmlformats.org/officeDocument/2006/relationships/hyperlink" Target="https://dailymed.nlm.nih.gov/dailymed/search.cfm?labeltype=all&amp;query=azacitidine" TargetMode="External"/><Relationship Id="rId128" Type="http://schemas.openxmlformats.org/officeDocument/2006/relationships/hyperlink" Target="https://dailymed.nlm.nih.gov/dailymed/search.cfm?labeltype=all&amp;query=plerixafor" TargetMode="External"/><Relationship Id="rId129" Type="http://schemas.openxmlformats.org/officeDocument/2006/relationships/hyperlink" Target="https://dailymed.nlm.nih.gov/dailymed/search.cfm?labeltype=all&amp;query=fulvestrant" TargetMode="External"/><Relationship Id="rId130" Type="http://schemas.openxmlformats.org/officeDocument/2006/relationships/hyperlink" Target="https://dailymed.nlm.nih.gov/dailymed/search.cfm?labeltype=all&amp;query=sugammadex" TargetMode="External"/><Relationship Id="rId131" Type="http://schemas.openxmlformats.org/officeDocument/2006/relationships/hyperlink" Target="https://dailymed.nlm.nih.gov/dailymed/search.cfm?labeltype=all&amp;query=bortezomib" TargetMode="External"/><Relationship Id="rId132" Type="http://schemas.openxmlformats.org/officeDocument/2006/relationships/hyperlink" Target="https://dailymed.nlm.nih.gov/dailymed/search.cfm?labeltype=all&amp;query=eribulin" TargetMode="External"/><Relationship Id="rId133" Type="http://schemas.openxmlformats.org/officeDocument/2006/relationships/hyperlink" Target="https://dailymed.nlm.nih.gov/dailymed/search.cfm?labeltype=all&amp;query=azacitidine" TargetMode="External"/><Relationship Id="rId134" Type="http://schemas.openxmlformats.org/officeDocument/2006/relationships/hyperlink" Target="https://dailymed.nlm.nih.gov/dailymed/search.cfm?labeltype=all&amp;query=daptomycin" TargetMode="External"/><Relationship Id="rId135" Type="http://schemas.openxmlformats.org/officeDocument/2006/relationships/hyperlink" Target="https://dailymed.nlm.nih.gov/dailymed/search.cfm?labeltype=all&amp;query=bortezomib" TargetMode="External"/><Relationship Id="rId136" Type="http://schemas.openxmlformats.org/officeDocument/2006/relationships/hyperlink" Target="https://dailymed.nlm.nih.gov/dailymed/search.cfm?labeltype=all&amp;query=plerixafor" TargetMode="External"/><Relationship Id="rId137" Type="http://schemas.openxmlformats.org/officeDocument/2006/relationships/hyperlink" Target="https://dailymed.nlm.nih.gov/dailymed/search.cfm?labeltype=all&amp;query=sugammadex" TargetMode="External"/><Relationship Id="rId138" Type="http://schemas.openxmlformats.org/officeDocument/2006/relationships/hyperlink" Target="https://www.medicines.org.uk/emc/search?q=teicoplanin" TargetMode="External"/><Relationship Id="rId139" Type="http://schemas.openxmlformats.org/officeDocument/2006/relationships/hyperlink" Target="https://dailymed.nlm.nih.gov/dailymed/search.cfm?labeltype=all&amp;query=melphalan+hydrochloride" TargetMode="External"/><Relationship Id="rId140" Type="http://schemas.openxmlformats.org/officeDocument/2006/relationships/hyperlink" Target="https://dailymed.nlm.nih.gov/dailymed/search.cfm?labeltype=all&amp;query=isoproterenol" TargetMode="External"/><Relationship Id="rId141" Type="http://schemas.openxmlformats.org/officeDocument/2006/relationships/hyperlink" Target="https://dailymed.nlm.nih.gov/dailymed/search.cfm?labeltype=all&amp;query=pantoprazole+sodium+for+injection" TargetMode="External"/><Relationship Id="rId142" Type="http://schemas.openxmlformats.org/officeDocument/2006/relationships/hyperlink" Target="https://dailymed.nlm.nih.gov/dailymed/search.cfm?labeltype=all&amp;query=magnesium+sulfate+injection" TargetMode="External"/><Relationship Id="rId143" Type="http://schemas.openxmlformats.org/officeDocument/2006/relationships/hyperlink" Target="https://dailymed.nlm.nih.gov/dailymed/search.cfm?labeltype=all&amp;query=methotrexate+injection" TargetMode="External"/><Relationship Id="rId144" Type="http://schemas.openxmlformats.org/officeDocument/2006/relationships/hyperlink" Target="https://dailymed.nlm.nih.gov/dailymed/search.cfm?labeltype=all&amp;query=rocuronium" TargetMode="External"/><Relationship Id="rId145" Type="http://schemas.openxmlformats.org/officeDocument/2006/relationships/hyperlink" Target="https://dailymed.nlm.nih.gov/dailymed/search.cfm?labeltype=all&amp;query=glycopyrrolate+injection" TargetMode="External"/><Relationship Id="rId146" Type="http://schemas.openxmlformats.org/officeDocument/2006/relationships/hyperlink" Target="https://dailymed.nlm.nih.gov/dailymed/search.cfm?labeltype=all&amp;query=palonosetron" TargetMode="External"/><Relationship Id="rId147" Type="http://schemas.openxmlformats.org/officeDocument/2006/relationships/hyperlink" Target="https://dailymed.nlm.nih.gov/dailymed/search.cfm?labeltype=all&amp;query=brivaracetam" TargetMode="External"/><Relationship Id="rId148" Type="http://schemas.openxmlformats.org/officeDocument/2006/relationships/hyperlink" Target="https://dailymed.nlm.nih.gov/dailymed/search.cfm?labeltype=all&amp;query=sodium+bicarbonate+injection" TargetMode="External"/><Relationship Id="rId149" Type="http://schemas.openxmlformats.org/officeDocument/2006/relationships/hyperlink" Target="https://dailymed.nlm.nih.gov/dailymed/search.cfm?labeltype=all&amp;query=chlorpromazine" TargetMode="External"/><Relationship Id="rId150" Type="http://schemas.openxmlformats.org/officeDocument/2006/relationships/hyperlink" Target="https://dailymed.nlm.nih.gov/dailymed/search.cfm?labeltype=all&amp;query=succinylcholine" TargetMode="External"/><Relationship Id="rId151" Type="http://schemas.openxmlformats.org/officeDocument/2006/relationships/hyperlink" Target="https://dailymed.nlm.nih.gov/dailymed/search.cfm?labeltype=all&amp;query=propofol" TargetMode="External"/><Relationship Id="rId152" Type="http://schemas.openxmlformats.org/officeDocument/2006/relationships/hyperlink" Target="https://dailymed.nlm.nih.gov/dailymed/search.cfm?labeltype=all&amp;query=lidocaine+hydrochloride+injection" TargetMode="External"/><Relationship Id="rId153" Type="http://schemas.openxmlformats.org/officeDocument/2006/relationships/hyperlink" Target="https://dailymed.nlm.nih.gov/dailymed/search.cfm?labeltype=all&amp;query=verapamil+hydrochloride+injection" TargetMode="External"/><Relationship Id="rId154" Type="http://schemas.openxmlformats.org/officeDocument/2006/relationships/hyperlink" Target="https://dailymed.nlm.nih.gov/dailymed/search.cfm?labeltype=all&amp;query=cyanocobalamin+injection" TargetMode="External"/><Relationship Id="rId155" Type="http://schemas.openxmlformats.org/officeDocument/2006/relationships/hyperlink" Target="https://dailymed.nlm.nih.gov/dailymed/search.cfm?labeltype=all&amp;query=azacitidine" TargetMode="External"/><Relationship Id="rId156" Type="http://schemas.openxmlformats.org/officeDocument/2006/relationships/hyperlink" Target="https://dailymed.nlm.nih.gov/dailymed/search.cfm?labeltype=all&amp;query=pegfilgrastim" TargetMode="External"/><Relationship Id="rId157" Type="http://schemas.openxmlformats.org/officeDocument/2006/relationships/hyperlink" Target="https://dailymed.nlm.nih.gov/dailymed/search.cfm?labeltype=all&amp;query=bortezomib" TargetMode="External"/><Relationship Id="rId158" Type="http://schemas.openxmlformats.org/officeDocument/2006/relationships/hyperlink" Target="https://www.medicines.org.uk/emc/search?q=amoxicillin+injection" TargetMode="External"/><Relationship Id="rId159" Type="http://schemas.openxmlformats.org/officeDocument/2006/relationships/hyperlink" Target="https://dailymed.nlm.nih.gov/dailymed/search.cfm?labeltype=all&amp;query=paclitaxel" TargetMode="External"/><Relationship Id="rId160" Type="http://schemas.openxmlformats.org/officeDocument/2006/relationships/hyperlink" Target="https://dailymed.nlm.nih.gov/dailymed/search.cfm?labeltype=all&amp;query=daptomycin" TargetMode="External"/><Relationship Id="rId161" Type="http://schemas.openxmlformats.org/officeDocument/2006/relationships/hyperlink" Target="https://dailymed.nlm.nih.gov/dailymed/search.cfm?labeltype=all&amp;query=plerixafor" TargetMode="External"/><Relationship Id="rId162" Type="http://schemas.openxmlformats.org/officeDocument/2006/relationships/hyperlink" Target="https://dailymed.nlm.nih.gov/dailymed/search.cfm?labeltype=all&amp;query=fulvestrant" TargetMode="External"/><Relationship Id="rId163" Type="http://schemas.openxmlformats.org/officeDocument/2006/relationships/hyperlink" Target="https://dailymed.nlm.nih.gov/dailymed/search.cfm?labeltype=all&amp;query=sugammadex" TargetMode="External"/><Relationship Id="rId164" Type="http://schemas.openxmlformats.org/officeDocument/2006/relationships/hyperlink" Target="https://dailymed.nlm.nih.gov/dailymed/search.cfm?labeltype=all&amp;query=doxorubicin" TargetMode="External"/><Relationship Id="rId165" Type="http://schemas.openxmlformats.org/officeDocument/2006/relationships/hyperlink" Target="https://dailymed.nlm.nih.gov/dailymed/search.cfm?labeltype=all&amp;query=mitomycin" TargetMode="External"/><Relationship Id="rId166" Type="http://schemas.openxmlformats.org/officeDocument/2006/relationships/hyperlink" Target="https://dailymed.nlm.nih.gov/dailymed/search.cfm?labeltype=all&amp;query=fludarabine" TargetMode="External"/><Relationship Id="rId167" Type="http://schemas.openxmlformats.org/officeDocument/2006/relationships/hyperlink" Target="https://dailymed.nlm.nih.gov/dailymed/search.cfm?labeltype=all&amp;query=methotrexate+injection" TargetMode="External"/><Relationship Id="rId168" Type="http://schemas.openxmlformats.org/officeDocument/2006/relationships/hyperlink" Target="https://dailymed.nlm.nih.gov/dailymed/search.cfm?labeltype=all&amp;query=ustekinumab" TargetMode="External"/><Relationship Id="rId169" Type="http://schemas.openxmlformats.org/officeDocument/2006/relationships/hyperlink" Target="https://dailymed.nlm.nih.gov/dailymed/search.cfm?labeltype=all&amp;query=denosumab" TargetMode="External"/><Relationship Id="rId170" Type="http://schemas.openxmlformats.org/officeDocument/2006/relationships/hyperlink" Target="https://dailymed.nlm.nih.gov/dailymed/search.cfm?labeltype=all&amp;query=leuprolide" TargetMode="External"/><Relationship Id="rId171" Type="http://schemas.openxmlformats.org/officeDocument/2006/relationships/hyperlink" Target="https://dailymed.nlm.nih.gov/dailymed/search.cfm?labeltype=all&amp;query=eptifibatide" TargetMode="External"/><Relationship Id="rId172" Type="http://schemas.openxmlformats.org/officeDocument/2006/relationships/hyperlink" Target="https://dailymed.nlm.nih.gov/dailymed/search.cfm?labeltype=all&amp;query=fluorouracil+injection" TargetMode="External"/><Relationship Id="rId173" Type="http://schemas.openxmlformats.org/officeDocument/2006/relationships/hyperlink" Target="https://dailymed.nlm.nih.gov/dailymed/search.cfm?labeltype=all&amp;query=ondansetron+injection" TargetMode="External"/><Relationship Id="rId174" Type="http://schemas.openxmlformats.org/officeDocument/2006/relationships/hyperlink" Target="https://dailymed.nlm.nih.gov/dailymed/search.cfm?labeltype=all&amp;query=melphalan+hydrochloride" TargetMode="External"/><Relationship Id="rId175" Type="http://schemas.openxmlformats.org/officeDocument/2006/relationships/hyperlink" Target="https://dailymed.nlm.nih.gov/dailymed/search.cfm?labeltype=all&amp;query=eribulin" TargetMode="External"/><Relationship Id="rId176" Type="http://schemas.openxmlformats.org/officeDocument/2006/relationships/hyperlink" Target="https://www.medicines.org.uk/emc/search?q=teicoplanin" TargetMode="External"/><Relationship Id="rId177" Type="http://schemas.openxmlformats.org/officeDocument/2006/relationships/hyperlink" Target="https://dailymed.nlm.nih.gov/dailymed/search.cfm?labeltype=all&amp;query=cyclophosphamide" TargetMode="External"/><Relationship Id="rId178" Type="http://schemas.openxmlformats.org/officeDocument/2006/relationships/hyperlink" Target="https://dailymed.nlm.nih.gov/dailymed/search.cfm?labeltype=all&amp;query=bleomycin" TargetMode="External"/><Relationship Id="rId179" Type="http://schemas.openxmlformats.org/officeDocument/2006/relationships/hyperlink" Target="https://dailymed.nlm.nih.gov/dailymed/search.cfm?labeltype=all&amp;query=ranibizumab" TargetMode="External"/><Relationship Id="rId180" Type="http://schemas.openxmlformats.org/officeDocument/2006/relationships/hyperlink" Target="https://dailymed.nlm.nih.gov/dailymed/search.cfm?labeltype=all&amp;query=phenylephrine+hydrochloride+injection" TargetMode="External"/><Relationship Id="rId181" Type="http://schemas.openxmlformats.org/officeDocument/2006/relationships/hyperlink" Target="https://dailymed.nlm.nih.gov/dailymed/search.cfm?labeltype=all&amp;query=idarubicin" TargetMode="External"/><Relationship Id="rId182" Type="http://schemas.openxmlformats.org/officeDocument/2006/relationships/hyperlink" Target="https://dailymed.nlm.nih.gov/dailymed/search.cfm?labeltype=all&amp;query=tigecycline" TargetMode="External"/><Relationship Id="rId183" Type="http://schemas.openxmlformats.org/officeDocument/2006/relationships/hyperlink" Target="https://dailymed.nlm.nih.gov/dailymed/search.cfm?labeltype=all&amp;query=palonosetron" TargetMode="External"/><Relationship Id="rId184" Type="http://schemas.openxmlformats.org/officeDocument/2006/relationships/hyperlink" Target="https://dailymed.nlm.nih.gov/dailymed/search.cfm?labeltype=all&amp;query=argatroban" TargetMode="External"/><Relationship Id="rId185" Type="http://schemas.openxmlformats.org/officeDocument/2006/relationships/hyperlink" Target="https://dailymed.nlm.nih.gov/dailymed/search.cfm?labeltype=all&amp;query=bivalirudin" TargetMode="External"/><Relationship Id="rId186" Type="http://schemas.openxmlformats.org/officeDocument/2006/relationships/hyperlink" Target="https://dailymed.nlm.nih.gov/dailymed/search.cfm?labeltype=all&amp;query=ceftriaxone" TargetMode="External"/><Relationship Id="rId187" Type="http://schemas.openxmlformats.org/officeDocument/2006/relationships/hyperlink" Target="https://dailymed.nlm.nih.gov/dailymed/search.cfm?labeltype=all&amp;query=epinephrine+injection" TargetMode="External"/><Relationship Id="rId188" Type="http://schemas.openxmlformats.org/officeDocument/2006/relationships/hyperlink" Target="https://dailymed.nlm.nih.gov/dailymed/search.cfm?labeltype=all&amp;query=atropine" TargetMode="External"/><Relationship Id="rId189" Type="http://schemas.openxmlformats.org/officeDocument/2006/relationships/hyperlink" Target="https://dailymed.nlm.nih.gov/dailymed/search.cfm?labeltype=all&amp;query=pantoprazole+sodium+for+injection" TargetMode="External"/><Relationship Id="rId190" Type="http://schemas.openxmlformats.org/officeDocument/2006/relationships/hyperlink" Target="https://dailymed.nlm.nih.gov/dailymed/search.cfm?labeltype=all&amp;query=mitoxantrone" TargetMode="External"/><Relationship Id="rId191" Type="http://schemas.openxmlformats.org/officeDocument/2006/relationships/hyperlink" Target="https://dailymed.nlm.nih.gov/dailymed/search.cfm?labeltype=all&amp;query=cisatracurium" TargetMode="External"/><Relationship Id="rId192" Type="http://schemas.openxmlformats.org/officeDocument/2006/relationships/hyperlink" Target="https://dailymed.nlm.nih.gov/dailymed/search.cfm?labeltype=all&amp;query=amiodarone" TargetMode="External"/><Relationship Id="rId193" Type="http://schemas.openxmlformats.org/officeDocument/2006/relationships/hyperlink" Target="https://dailymed.nlm.nih.gov/dailymed/search.cfm?labeltype=all&amp;query=ibandronate+injection" TargetMode="External"/><Relationship Id="rId194" Type="http://schemas.openxmlformats.org/officeDocument/2006/relationships/hyperlink" Target="https://dailymed.nlm.nih.gov/dailymed/search.cfm?labeltype=all&amp;query=vinorelbine" TargetMode="External"/><Relationship Id="rId195" Type="http://schemas.openxmlformats.org/officeDocument/2006/relationships/hyperlink" Target="https://dailymed.nlm.nih.gov/dailymed/search.cfm?labeltype=all&amp;query=epirubicin" TargetMode="External"/><Relationship Id="rId196" Type="http://schemas.openxmlformats.org/officeDocument/2006/relationships/hyperlink" Target="https://dailymed.nlm.nih.gov/dailymed/search.cfm?labeltype=all&amp;query=esomeprazole+sodium" TargetMode="External"/><Relationship Id="rId197" Type="http://schemas.openxmlformats.org/officeDocument/2006/relationships/hyperlink" Target="https://dailymed.nlm.nih.gov/dailymed/search.cfm?labeltype=all&amp;query=degarelix" TargetMode="External"/><Relationship Id="rId198" Type="http://schemas.openxmlformats.org/officeDocument/2006/relationships/hyperlink" Target="https://dailymed.nlm.nih.gov/dailymed/search.cfm?labeltype=all&amp;query=midazolam+injection" TargetMode="External"/><Relationship Id="rId199" Type="http://schemas.openxmlformats.org/officeDocument/2006/relationships/hyperlink" Target="https://dailymed.nlm.nih.gov/dailymed/search.cfm?labeltype=all&amp;query=cefepime" TargetMode="External"/><Relationship Id="rId200" Type="http://schemas.openxmlformats.org/officeDocument/2006/relationships/hyperlink" Target="https://dailymed.nlm.nih.gov/dailymed/search.cfm?labeltype=all&amp;query=rocuronium" TargetMode="External"/><Relationship Id="rId201" Type="http://schemas.openxmlformats.org/officeDocument/2006/relationships/hyperlink" Target="https://dailymed.nlm.nih.gov/dailymed/search.cfm?labeltype=all&amp;query=cytarabine" TargetMode="External"/><Relationship Id="rId202" Type="http://schemas.openxmlformats.org/officeDocument/2006/relationships/hyperlink" Target="https://dailymed.nlm.nih.gov/dailymed/search.cfm?labeltype=all&amp;query=paricalcitol+injection" TargetMode="External"/><Relationship Id="rId203" Type="http://schemas.openxmlformats.org/officeDocument/2006/relationships/hyperlink" Target="https://www.medicines.org.uk/emc/search?q=flucloxacillin" TargetMode="External"/><Relationship Id="rId204" Type="http://schemas.openxmlformats.org/officeDocument/2006/relationships/hyperlink" Target="https://www.medicines.org.uk/emc/search?q=atracurium" TargetMode="External"/><Relationship Id="rId205" Type="http://schemas.openxmlformats.org/officeDocument/2006/relationships/hyperlink" Target="https://dailymed.nlm.nih.gov/dailymed/search.cfm?labeltype=all&amp;query=colistimethate" TargetMode="External"/><Relationship Id="rId206" Type="http://schemas.openxmlformats.org/officeDocument/2006/relationships/hyperlink" Target="https://dailymed.nlm.nih.gov/dailymed/search.cfm?labeltype=all&amp;query=succinylcholine" TargetMode="External"/><Relationship Id="rId207" Type="http://schemas.openxmlformats.org/officeDocument/2006/relationships/hyperlink" Target="https://dailymed.nlm.nih.gov/dailymed/search.cfm?labeltype=all&amp;query=vincristine" TargetMode="External"/><Relationship Id="rId208" Type="http://schemas.openxmlformats.org/officeDocument/2006/relationships/hyperlink" Target="https://dailymed.nlm.nih.gov/dailymed/search.cfm?labeltype=all&amp;query=regadenoson" TargetMode="External"/><Relationship Id="rId209" Type="http://schemas.openxmlformats.org/officeDocument/2006/relationships/hyperlink" Target="https://dailymed.nlm.nih.gov/dailymed/search.cfm?labeltype=all&amp;query=progesterone+injection" TargetMode="External"/><Relationship Id="rId210" Type="http://schemas.openxmlformats.org/officeDocument/2006/relationships/hyperlink" Target="https://www.medicines.org.uk/emc/search?q=hydroxocobalamin" TargetMode="External"/><Relationship Id="rId211" Type="http://schemas.openxmlformats.org/officeDocument/2006/relationships/hyperlink" Target="https://dailymed.nlm.nih.gov/dailymed/search.cfm?labeltype=all&amp;query=naloxone+hydrochloride+injection" TargetMode="External"/><Relationship Id="rId212" Type="http://schemas.openxmlformats.org/officeDocument/2006/relationships/hyperlink" Target="https://dailymed.nlm.nih.gov/dailymed/search.cfm?labeltype=all&amp;query=lidocaine+hydrochloride+injection" TargetMode="External"/><Relationship Id="rId213" Type="http://schemas.openxmlformats.org/officeDocument/2006/relationships/hyperlink" Target="https://dailymed.nlm.nih.gov/dailymed/search.cfm?labeltype=all&amp;query=phenytoin+sodium+injection" TargetMode="External"/><Relationship Id="rId214" Type="http://schemas.openxmlformats.org/officeDocument/2006/relationships/hyperlink" Target="https://dailymed.nlm.nih.gov/dailymed/search.cfm?labeltype=all&amp;query=glycopyrrolate+injection" TargetMode="External"/><Relationship Id="rId215" Type="http://schemas.openxmlformats.org/officeDocument/2006/relationships/hyperlink" Target="https://dailymed.nlm.nih.gov/dailymed/search.cfm?labeltype=all&amp;query=sugammadex" TargetMode="External"/><Relationship Id="rId216" Type="http://schemas.openxmlformats.org/officeDocument/2006/relationships/hyperlink" Target="https://dailymed.nlm.nih.gov/dailymed/search.cfm?labeltype=all&amp;query=ertapenem" TargetMode="External"/><Relationship Id="rId217" Type="http://schemas.openxmlformats.org/officeDocument/2006/relationships/hyperlink" Target="https://dailymed.nlm.nih.gov/dailymed/search.cfm?labeltype=all&amp;query=daptomycin" TargetMode="External"/><Relationship Id="rId218" Type="http://schemas.openxmlformats.org/officeDocument/2006/relationships/hyperlink" Target="https://dailymed.nlm.nih.gov/dailymed/search.cfm?labeltype=all&amp;query=meropenem" TargetMode="External"/><Relationship Id="rId219" Type="http://schemas.openxmlformats.org/officeDocument/2006/relationships/hyperlink" Target="https://www.medicines.org.uk/emc/search?q=teicoplanin" TargetMode="External"/><Relationship Id="rId220" Type="http://schemas.openxmlformats.org/officeDocument/2006/relationships/hyperlink" Target="https://dailymed.nlm.nih.gov/dailymed/search.cfm?labeltype=all&amp;query=cisatracurium" TargetMode="External"/><Relationship Id="rId221" Type="http://schemas.openxmlformats.org/officeDocument/2006/relationships/hyperlink" Target="https://dailymed.nlm.nih.gov/dailymed/search.cfm?labeltype=all&amp;query=testosterone+undecanoate" TargetMode="External"/><Relationship Id="rId222" Type="http://schemas.openxmlformats.org/officeDocument/2006/relationships/hyperlink" Target="https://dailymed.nlm.nih.gov/dailymed/search.cfm?labeltype=all&amp;query=oxytocin" TargetMode="External"/><Relationship Id="rId223" Type="http://schemas.openxmlformats.org/officeDocument/2006/relationships/hyperlink" Target="https://dailymed.nlm.nih.gov/dailymed/search.cfm?labeltype=all&amp;query=iron+sucrose" TargetMode="External"/><Relationship Id="rId224" Type="http://schemas.openxmlformats.org/officeDocument/2006/relationships/hyperlink" Target="https://dailymed.nlm.nih.gov/dailymed/search.cfm?labeltype=all&amp;query=olanzapine+for+injection" TargetMode="External"/><Relationship Id="rId225" Type="http://schemas.openxmlformats.org/officeDocument/2006/relationships/hyperlink" Target="https://dailymed.nlm.nih.gov/dailymed/search.cfm?labeltype=all&amp;query=milrinone" TargetMode="External"/><Relationship Id="rId226" Type="http://schemas.openxmlformats.org/officeDocument/2006/relationships/hyperlink" Target="https://dailymed.nlm.nih.gov/dailymed/search.cfm?labeltype=all&amp;query=alfentanil" TargetMode="External"/><Relationship Id="rId227" Type="http://schemas.openxmlformats.org/officeDocument/2006/relationships/hyperlink" Target="https://dailymed.nlm.nih.gov/dailymed/search.cfm?labeltype=all&amp;query=ephedrine+sulfate+injection" TargetMode="External"/><Relationship Id="rId228" Type="http://schemas.openxmlformats.org/officeDocument/2006/relationships/hyperlink" Target="https://dailymed.nlm.nih.gov/dailymed/search.cfm?labeltype=all&amp;query=diazepam+injection" TargetMode="External"/><Relationship Id="rId229" Type="http://schemas.openxmlformats.org/officeDocument/2006/relationships/hyperlink" Target="https://dailymed.nlm.nih.gov/dailymed/search.cfm?labeltype=all&amp;query=remifentanil" TargetMode="External"/><Relationship Id="rId230" Type="http://schemas.openxmlformats.org/officeDocument/2006/relationships/hyperlink" Target="https://dailymed.nlm.nih.gov/dailymed/search.cfm?labeltype=all&amp;query=fentanyl+citrate+injection" TargetMode="External"/><Relationship Id="rId231" Type="http://schemas.openxmlformats.org/officeDocument/2006/relationships/hyperlink" Target="https://dailymed.nlm.nih.gov/dailymed/search.cfm?labeltype=all&amp;query=droperidol" TargetMode="External"/><Relationship Id="rId232" Type="http://schemas.openxmlformats.org/officeDocument/2006/relationships/hyperlink" Target="https://dailymed.nlm.nih.gov/dailymed/search.cfm?labeltype=all&amp;query=cefazolin" TargetMode="External"/><Relationship Id="rId233" Type="http://schemas.openxmlformats.org/officeDocument/2006/relationships/hyperlink" Target="https://dailymed.nlm.nih.gov/dailymed/search.cfm?labeltype=all&amp;query=famotidine+injection" TargetMode="External"/><Relationship Id="rId234" Type="http://schemas.openxmlformats.org/officeDocument/2006/relationships/hyperlink" Target="https://dailymed.nlm.nih.gov/dailymed/search.cfm?labeltype=all&amp;query=bortezomib" TargetMode="External"/><Relationship Id="rId235" Type="http://schemas.openxmlformats.org/officeDocument/2006/relationships/hyperlink" Target="https://dailymed.nlm.nih.gov/dailymed/search.cfm?labeltype=all&amp;query=plerixafor" TargetMode="External"/><Relationship Id="rId236" Type="http://schemas.openxmlformats.org/officeDocument/2006/relationships/hyperlink" Target="https://dailymed.nlm.nih.gov/dailymed/search.cfm?labeltype=all&amp;query=sugammadex" TargetMode="External"/><Relationship Id="rId237" Type="http://schemas.openxmlformats.org/officeDocument/2006/relationships/hyperlink" Target="https://dailymed.nlm.nih.gov/dailymed/search.cfm?labeltype=all&amp;query=fluphenazine+decanoate" TargetMode="External"/><Relationship Id="rId238" Type="http://schemas.openxmlformats.org/officeDocument/2006/relationships/hyperlink" Target="https://dailymed.nlm.nih.gov/dailymed/search.cfm?labeltype=all&amp;query=gadobutrol" TargetMode="External"/><Relationship Id="rId239" Type="http://schemas.openxmlformats.org/officeDocument/2006/relationships/hyperlink" Target="https://dailymed.nlm.nih.gov/dailymed/search.cfm?labeltype=all&amp;query=brivaracetam" TargetMode="External"/><Relationship Id="rId240" Type="http://schemas.openxmlformats.org/officeDocument/2006/relationships/hyperlink" Target="https://dailymed.nlm.nih.gov/dailymed/search.cfm?labeltype=all&amp;query=chlorpromazine" TargetMode="External"/><Relationship Id="rId241" Type="http://schemas.openxmlformats.org/officeDocument/2006/relationships/hyperlink" Target="https://dailymed.nlm.nih.gov/dailymed/search.cfm?labeltype=all&amp;query=levetiracetam+injection" TargetMode="External"/><Relationship Id="rId242" Type="http://schemas.openxmlformats.org/officeDocument/2006/relationships/hyperlink" Target="https://dailymed.nlm.nih.gov/dailymed/search.cfm?labeltype=all&amp;query=caffeine+citrate" TargetMode="External"/><Relationship Id="rId243" Type="http://schemas.openxmlformats.org/officeDocument/2006/relationships/hyperlink" Target="https://dailymed.nlm.nih.gov/dailymed/search.cfm?labeltype=all&amp;query=isoproterenol" TargetMode="External"/><Relationship Id="rId244" Type="http://schemas.openxmlformats.org/officeDocument/2006/relationships/hyperlink" Target="https://dailymed.nlm.nih.gov/dailymed/search.cfm?labeltype=all&amp;query=carboprost" TargetMode="External"/><Relationship Id="rId245" Type="http://schemas.openxmlformats.org/officeDocument/2006/relationships/hyperlink" Target="https://www.medicines.org.uk/emc/search?q=cyclizine" TargetMode="External"/><Relationship Id="rId246" Type="http://schemas.openxmlformats.org/officeDocument/2006/relationships/hyperlink" Target="https://dailymed.nlm.nih.gov/dailymed/search.cfm?labeltype=all&amp;query=brivaracetam" TargetMode="External"/><Relationship Id="rId247" Type="http://schemas.openxmlformats.org/officeDocument/2006/relationships/hyperlink" Target="https://dailymed.nlm.nih.gov/dailymed/search.cfm?labeltype=all&amp;query=lincomycin" TargetMode="External"/><Relationship Id="rId248" Type="http://schemas.openxmlformats.org/officeDocument/2006/relationships/hyperlink" Target="https://dailymed.nlm.nih.gov/dailymed/search.cfm?labeltype=all&amp;query=verapamil+hydrochloride+injection" TargetMode="External"/><Relationship Id="rId249" Type="http://schemas.openxmlformats.org/officeDocument/2006/relationships/hyperlink" Target="https://dailymed.nlm.nih.gov/dailymed/search.cfm?labeltype=all&amp;query=diphenhydramine+injection" TargetMode="External"/><Relationship Id="rId250" Type="http://schemas.openxmlformats.org/officeDocument/2006/relationships/hyperlink" Target="https://dailymed.nlm.nih.gov/dailymed/search.cfm?labeltype=all&amp;query=succinylcholine" TargetMode="External"/><Relationship Id="rId251" Type="http://schemas.openxmlformats.org/officeDocument/2006/relationships/hyperlink" Target="https://dailymed.nlm.nih.gov/dailymed/search.cfm?labeltype=all&amp;query=meropenem" TargetMode="External"/><Relationship Id="rId252" Type="http://schemas.openxmlformats.org/officeDocument/2006/relationships/hyperlink" Target="https://dailymed.nlm.nih.gov/dailymed/search.cfm?labeltype=all&amp;query=carboprost" TargetMode="External"/><Relationship Id="rId253" Type="http://schemas.openxmlformats.org/officeDocument/2006/relationships/hyperlink" Target="https://dailymed.nlm.nih.gov/dailymed/search.cfm?labeltype=all&amp;query=bupivacaine" TargetMode="External"/><Relationship Id="rId254" Type="http://schemas.openxmlformats.org/officeDocument/2006/relationships/hyperlink" Target="https://dailymed.nlm.nih.gov/dailymed/search.cfm?labeltype=all&amp;query=methohexital" TargetMode="External"/><Relationship Id="rId255" Type="http://schemas.openxmlformats.org/officeDocument/2006/relationships/hyperlink" Target="https://dailymed.nlm.nih.gov/dailymed/search.cfm?labeltype=all&amp;query=nafcillin" TargetMode="External"/><Relationship Id="rId256" Type="http://schemas.openxmlformats.org/officeDocument/2006/relationships/hyperlink" Target="https://dailymed.nlm.nih.gov/dailymed/search.cfm?labeltype=all&amp;query=sugammadex" TargetMode="External"/><Relationship Id="rId257" Type="http://schemas.openxmlformats.org/officeDocument/2006/relationships/hyperlink" Target="https://dailymed.nlm.nih.gov/dailymed/search.cfm?labeltype=all&amp;query=baclofen" TargetMode="External"/><Relationship Id="rId258" Type="http://schemas.openxmlformats.org/officeDocument/2006/relationships/hyperlink" Target="https://dailymed.nlm.nih.gov/dailymed/search.cfm?labeltype=all&amp;query=alfentanil" TargetMode="External"/><Relationship Id="rId259" Type="http://schemas.openxmlformats.org/officeDocument/2006/relationships/hyperlink" Target="https://dailymed.nlm.nih.gov/dailymed/search.cfm?labeltype=all&amp;query=cisatracurium" TargetMode="External"/><Relationship Id="rId260" Type="http://schemas.openxmlformats.org/officeDocument/2006/relationships/hyperlink" Target="https://dailymed.nlm.nih.gov/dailymed/search.cfm?labeltype=all&amp;query=remifentanil" TargetMode="External"/><Relationship Id="rId261" Type="http://schemas.openxmlformats.org/officeDocument/2006/relationships/hyperlink" Target="https://dailymed.nlm.nih.gov/dailymed/search.cfm?labeltype=all&amp;query=fentanyl+citrate+injection" TargetMode="External"/><Relationship Id="rId262" Type="http://schemas.openxmlformats.org/officeDocument/2006/relationships/hyperlink" Target="https://dailymed.nlm.nih.gov/dailymed/search.cfm?labeltype=all&amp;query=etomidate" TargetMode="External"/><Relationship Id="rId263" Type="http://schemas.openxmlformats.org/officeDocument/2006/relationships/hyperlink" Target="https://dailymed.nlm.nih.gov/dailymed/search.cfm?labeltype=all&amp;query=meropenem" TargetMode="External"/><Relationship Id="rId264" Type="http://schemas.openxmlformats.org/officeDocument/2006/relationships/hyperlink" Target="https://dailymed.nlm.nih.gov/dailymed/search.cfm?labeltype=all&amp;query=piperacillin+and+tazobactam" TargetMode="External"/><Relationship Id="rId265" Type="http://schemas.openxmlformats.org/officeDocument/2006/relationships/hyperlink" Target="https://dailymed.nlm.nih.gov/dailymed/search.cfm?labeltype=all&amp;query=ceftazidime" TargetMode="External"/><Relationship Id="rId266" Type="http://schemas.openxmlformats.org/officeDocument/2006/relationships/hyperlink" Target="https://dailymed.nlm.nih.gov/dailymed/search.cfm?labeltype=all&amp;query=cefepime" TargetMode="External"/><Relationship Id="rId267" Type="http://schemas.openxmlformats.org/officeDocument/2006/relationships/hyperlink" Target="https://dailymed.nlm.nih.gov/dailymed/search.cfm?labeltype=all&amp;query=hydrocortisone+sodium+succinate" TargetMode="External"/><Relationship Id="rId268" Type="http://schemas.openxmlformats.org/officeDocument/2006/relationships/hyperlink" Target="https://dailymed.nlm.nih.gov/dailymed/search.cfm?labeltype=all&amp;query=bortezomib" TargetMode="External"/><Relationship Id="rId269" Type="http://schemas.openxmlformats.org/officeDocument/2006/relationships/hyperlink" Target="https://dailymed.nlm.nih.gov/dailymed/search.cfm?labeltype=all&amp;query=fulvestrant" TargetMode="External"/><Relationship Id="rId270" Type="http://schemas.openxmlformats.org/officeDocument/2006/relationships/hyperlink" Target="https://dailymed.nlm.nih.gov/dailymed/search.cfm?labeltype=all&amp;query=sugammadex" TargetMode="External"/><Relationship Id="rId271" Type="http://schemas.openxmlformats.org/officeDocument/2006/relationships/hyperlink" Target="https://dailymed.nlm.nih.gov/dailymed/search.cfm?labeltype=all&amp;query=doxorubicin" TargetMode="External"/><Relationship Id="rId272" Type="http://schemas.openxmlformats.org/officeDocument/2006/relationships/hyperlink" Target="https://dailymed.nlm.nih.gov/dailymed/search.cfm?labeltype=all&amp;query=meropenem" TargetMode="External"/><Relationship Id="rId273" Type="http://schemas.openxmlformats.org/officeDocument/2006/relationships/hyperlink" Target="https://dailymed.nlm.nih.gov/dailymed/search.cfm?labeltype=all&amp;query=melphalan+hydrochloride" TargetMode="External"/><Relationship Id="rId274" Type="http://schemas.openxmlformats.org/officeDocument/2006/relationships/hyperlink" Target="https://www.medicines.org.uk/emc/search?q=teicoplanin" TargetMode="External"/><Relationship Id="rId275" Type="http://schemas.openxmlformats.org/officeDocument/2006/relationships/hyperlink" Target="https://dailymed.nlm.nih.gov/dailymed/search.cfm?labeltype=all&amp;query=aripiprazole" TargetMode="External"/><Relationship Id="rId276" Type="http://schemas.openxmlformats.org/officeDocument/2006/relationships/hyperlink" Target="https://dailymed.nlm.nih.gov/dailymed/search.cfm?labeltype=all&amp;query=testosterone+cypionate" TargetMode="External"/><Relationship Id="rId277" Type="http://schemas.openxmlformats.org/officeDocument/2006/relationships/hyperlink" Target="https://dailymed.nlm.nih.gov/dailymed/search.cfm?labeltype=all&amp;query=octreotide" TargetMode="External"/><Relationship Id="rId278" Type="http://schemas.openxmlformats.org/officeDocument/2006/relationships/hyperlink" Target="https://dailymed.nlm.nih.gov/dailymed/search.cfm?labeltype=all&amp;query=pantoprazole+sodium+for+injection" TargetMode="External"/><Relationship Id="rId279" Type="http://schemas.openxmlformats.org/officeDocument/2006/relationships/hyperlink" Target="https://dailymed.nlm.nih.gov/dailymed/search.cfm?labeltype=all&amp;query=chlorothiazide" TargetMode="External"/><Relationship Id="rId280" Type="http://schemas.openxmlformats.org/officeDocument/2006/relationships/hyperlink" Target="https://dailymed.nlm.nih.gov/dailymed/search.cfm?labeltype=all&amp;query=esomeprazole+sodium" TargetMode="External"/><Relationship Id="rId281" Type="http://schemas.openxmlformats.org/officeDocument/2006/relationships/hyperlink" Target="https://dailymed.nlm.nih.gov/dailymed/search.cfm?labeltype=all&amp;query=paricalcitol+injection" TargetMode="External"/><Relationship Id="rId282" Type="http://schemas.openxmlformats.org/officeDocument/2006/relationships/hyperlink" Target="https://dailymed.nlm.nih.gov/dailymed/search.cfm?labeltype=all&amp;query=testosterone+undecanoate" TargetMode="External"/><Relationship Id="rId283" Type="http://schemas.openxmlformats.org/officeDocument/2006/relationships/hyperlink" Target="https://dailymed.nlm.nih.gov/dailymed/search.cfm?labeltype=all&amp;query=vecuronium" TargetMode="External"/><Relationship Id="rId284" Type="http://schemas.openxmlformats.org/officeDocument/2006/relationships/hyperlink" Target="https://dailymed.nlm.nih.gov/dailymed/search.cfm?labeltype=all&amp;query=terlipressin" TargetMode="External"/><Relationship Id="rId285" Type="http://schemas.openxmlformats.org/officeDocument/2006/relationships/hyperlink" Target="https://dailymed.nlm.nih.gov/dailymed/search.cfm?labeltype=all&amp;query=fulvestrant" TargetMode="External"/><Relationship Id="rId286" Type="http://schemas.openxmlformats.org/officeDocument/2006/relationships/hyperlink" Target="https://dailymed.nlm.nih.gov/dailymed/search.cfm?labeltype=all&amp;query=paliperidone+palmitate" TargetMode="External"/><Relationship Id="rId287" Type="http://schemas.openxmlformats.org/officeDocument/2006/relationships/hyperlink" Target="https://dailymed.nlm.nih.gov/dailymed/search.cfm?labeltype=all&amp;query=meropenem" TargetMode="External"/><Relationship Id="rId288" Type="http://schemas.openxmlformats.org/officeDocument/2006/relationships/hyperlink" Target="https://dailymed.nlm.nih.gov/dailymed/search.cfm?labeltype=all&amp;query=levetiracetam+injection" TargetMode="External"/><Relationship Id="rId289" Type="http://schemas.openxmlformats.org/officeDocument/2006/relationships/hyperlink" Target="https://dailymed.nlm.nih.gov/dailymed/search.cfm?labeltype=all&amp;query=rocuronium" TargetMode="External"/><Relationship Id="rId290" Type="http://schemas.openxmlformats.org/officeDocument/2006/relationships/hyperlink" Target="https://dailymed.nlm.nih.gov/dailymed/search.cfm?labeltype=all&amp;query=voriconazole" TargetMode="External"/><Relationship Id="rId291" Type="http://schemas.openxmlformats.org/officeDocument/2006/relationships/hyperlink" Target="https://dailymed.nlm.nih.gov/dailymed/search.cfm?labeltype=all&amp;query=granisetron" TargetMode="External"/><Relationship Id="rId292" Type="http://schemas.openxmlformats.org/officeDocument/2006/relationships/hyperlink" Target="https://dailymed.nlm.nih.gov/dailymed/search.cfm?labeltype=all&amp;query=ceftriaxone" TargetMode="External"/><Relationship Id="rId293" Type="http://schemas.openxmlformats.org/officeDocument/2006/relationships/hyperlink" Target="https://dailymed.nlm.nih.gov/dailymed/search.cfm?labeltype=all&amp;query=bleomycin" TargetMode="External"/><Relationship Id="rId294" Type="http://schemas.openxmlformats.org/officeDocument/2006/relationships/hyperlink" Target="https://dailymed.nlm.nih.gov/dailymed/search.cfm?labeltype=all&amp;query=meropenem" TargetMode="External"/><Relationship Id="rId295" Type="http://schemas.openxmlformats.org/officeDocument/2006/relationships/hyperlink" Target="https://dailymed.nlm.nih.gov/dailymed/search.cfm?labeltype=all&amp;query=ceftazidime" TargetMode="External"/><Relationship Id="rId296" Type="http://schemas.openxmlformats.org/officeDocument/2006/relationships/hyperlink" Target="https://dailymed.nlm.nih.gov/dailymed/search.cfm?labeltype=all&amp;query=daptomycin" TargetMode="External"/><Relationship Id="rId297" Type="http://schemas.openxmlformats.org/officeDocument/2006/relationships/hyperlink" Target="https://dailymed.nlm.nih.gov/dailymed/search.cfm?labeltype=all&amp;query=sugammadex" TargetMode="External"/><Relationship Id="rId298" Type="http://schemas.openxmlformats.org/officeDocument/2006/relationships/hyperlink" Target="https://dailymed.nlm.nih.gov/dailymed/search.cfm?labeltype=all&amp;query=ceftriaxone" TargetMode="External"/><Relationship Id="rId299" Type="http://schemas.openxmlformats.org/officeDocument/2006/relationships/hyperlink" Target="https://dailymed.nlm.nih.gov/dailymed/search.cfm?labeltype=all&amp;query=vancomycin+injection" TargetMode="External"/><Relationship Id="rId300" Type="http://schemas.openxmlformats.org/officeDocument/2006/relationships/hyperlink" Target="https://dailymed.nlm.nih.gov/dailymed/search.cfm?labeltype=all&amp;query=valproate+sodium+injection" TargetMode="External"/><Relationship Id="rId301" Type="http://schemas.openxmlformats.org/officeDocument/2006/relationships/hyperlink" Target="https://dailymed.nlm.nih.gov/dailymed/search.cfm?labeltype=all&amp;query=ceftazidime" TargetMode="External"/><Relationship Id="rId302" Type="http://schemas.openxmlformats.org/officeDocument/2006/relationships/hyperlink" Target="https://dailymed.nlm.nih.gov/dailymed/search.cfm?labeltype=all&amp;query=milrinone" TargetMode="External"/><Relationship Id="rId303" Type="http://schemas.openxmlformats.org/officeDocument/2006/relationships/hyperlink" Target="https://dailymed.nlm.nih.gov/dailymed/search.cfm?labeltype=all&amp;query=ondansetron+injection" TargetMode="External"/><Relationship Id="rId304" Type="http://schemas.openxmlformats.org/officeDocument/2006/relationships/hyperlink" Target="https://www.medicines.org.uk/emc/search?q=hyalase" TargetMode="External"/><Relationship Id="rId305" Type="http://schemas.openxmlformats.org/officeDocument/2006/relationships/hyperlink" Target="https://dailymed.nlm.nih.gov/dailymed/search.cfm?labeltype=all&amp;query=haloperidol+lactate" TargetMode="External"/><Relationship Id="rId306" Type="http://schemas.openxmlformats.org/officeDocument/2006/relationships/hyperlink" Target="https://dailymed.nlm.nih.gov/dailymed/search.cfm?labeltype=all&amp;query=amikacin" TargetMode="External"/><Relationship Id="rId307" Type="http://schemas.openxmlformats.org/officeDocument/2006/relationships/hyperlink" Target="https://www.medicines.org.uk/emc/search?q=metaraminol" TargetMode="External"/><Relationship Id="rId308" Type="http://schemas.openxmlformats.org/officeDocument/2006/relationships/hyperlink" Target="https://dailymed.nlm.nih.gov/dailymed/search.cfm?labeltype=all&amp;query=remifentanil" TargetMode="External"/><Relationship Id="rId309" Type="http://schemas.openxmlformats.org/officeDocument/2006/relationships/hyperlink" Target="https://dailymed.nlm.nih.gov/dailymed/search.cfm?labeltype=all&amp;query=protamine" TargetMode="External"/><Relationship Id="rId310" Type="http://schemas.openxmlformats.org/officeDocument/2006/relationships/hyperlink" Target="https://www.medicines.org.uk/emc/search?q=hyoscine+hydrobromide+injection" TargetMode="External"/><Relationship Id="rId311" Type="http://schemas.openxmlformats.org/officeDocument/2006/relationships/hyperlink" Target="https://dailymed.nlm.nih.gov/dailymed/search.cfm?labeltype=all&amp;query=adenosine" TargetMode="External"/><Relationship Id="rId312" Type="http://schemas.openxmlformats.org/officeDocument/2006/relationships/hyperlink" Target="https://dailymed.nlm.nih.gov/dailymed/search.cfm?labeltype=all&amp;query=caffeine+citrate" TargetMode="External"/><Relationship Id="rId313" Type="http://schemas.openxmlformats.org/officeDocument/2006/relationships/hyperlink" Target="https://dailymed.nlm.nih.gov/dailymed/search.cfm?labeltype=all&amp;query=oxacillin" TargetMode="External"/><Relationship Id="rId314" Type="http://schemas.openxmlformats.org/officeDocument/2006/relationships/hyperlink" Target="https://dailymed.nlm.nih.gov/dailymed/search.cfm?labeltype=all&amp;query=morphine+sulfate+injection" TargetMode="External"/><Relationship Id="rId315" Type="http://schemas.openxmlformats.org/officeDocument/2006/relationships/hyperlink" Target="https://www.medicines.org.uk/emc/search?q=chlorphenamine+injection" TargetMode="External"/><Relationship Id="rId316" Type="http://schemas.openxmlformats.org/officeDocument/2006/relationships/hyperlink" Target="https://dailymed.nlm.nih.gov/dailymed/search.cfm?labeltype=all&amp;query=bortezomib" TargetMode="External"/><Relationship Id="rId317" Type="http://schemas.openxmlformats.org/officeDocument/2006/relationships/hyperlink" Target="https://dailymed.nlm.nih.gov/dailymed/search.cfm?labeltype=all&amp;query=sugammadex" TargetMode="External"/><Relationship Id="rId318" Type="http://schemas.openxmlformats.org/officeDocument/2006/relationships/hyperlink" Target="https://dailymed.nlm.nih.gov/dailymed/search.cfm?labeltype=all&amp;query=fulvestrant" TargetMode="External"/><Relationship Id="rId319" Type="http://schemas.openxmlformats.org/officeDocument/2006/relationships/hyperlink" Target="https://dailymed.nlm.nih.gov/dailymed/search.cfm?labeltype=all&amp;query=ceftriaxone" TargetMode="External"/><Relationship Id="rId320" Type="http://schemas.openxmlformats.org/officeDocument/2006/relationships/hyperlink" Target="https://dailymed.nlm.nih.gov/dailymed/search.cfm?labeltype=all&amp;query=ethacrynate+sodium" TargetMode="External"/><Relationship Id="rId321" Type="http://schemas.openxmlformats.org/officeDocument/2006/relationships/hyperlink" Target="https://dailymed.nlm.nih.gov/dailymed/search.cfm?labeltype=all&amp;query=hydrocortisone+sodium+succinate" TargetMode="External"/><Relationship Id="rId322" Type="http://schemas.openxmlformats.org/officeDocument/2006/relationships/hyperlink" Target="https://dailymed.nlm.nih.gov/dailymed/search.cfm?labeltype=all&amp;query=indocyanine+green" TargetMode="External"/><Relationship Id="rId323" Type="http://schemas.openxmlformats.org/officeDocument/2006/relationships/hyperlink" Target="https://dailymed.nlm.nih.gov/dailymed/search.cfm?labeltype=all&amp;query=iron+sucrose" TargetMode="External"/><Relationship Id="rId324" Type="http://schemas.openxmlformats.org/officeDocument/2006/relationships/hyperlink" Target="https://dailymed.nlm.nih.gov/dailymed/search.cfm?labeltype=all&amp;query=ondansetron+injection" TargetMode="External"/><Relationship Id="rId325" Type="http://schemas.openxmlformats.org/officeDocument/2006/relationships/hyperlink" Target="https://dailymed.nlm.nih.gov/dailymed/search.cfm?labeltype=all&amp;query=cyanocobalamin+injection" TargetMode="External"/><Relationship Id="rId326" Type="http://schemas.openxmlformats.org/officeDocument/2006/relationships/hyperlink" Target="https://dailymed.nlm.nih.gov/dailymed/search.cfm?labeltype=all&amp;query=fluorescein" TargetMode="External"/><Relationship Id="rId327" Type="http://schemas.openxmlformats.org/officeDocument/2006/relationships/hyperlink" Target="https://dailymed.nlm.nih.gov/dailymed/search.cfm?labeltype=all&amp;query=cisatracurium" TargetMode="External"/><Relationship Id="rId328" Type="http://schemas.openxmlformats.org/officeDocument/2006/relationships/hyperlink" Target="https://dailymed.nlm.nih.gov/dailymed/search.cfm?labeltype=all&amp;query=acetazolamide" TargetMode="External"/><Relationship Id="rId329" Type="http://schemas.openxmlformats.org/officeDocument/2006/relationships/hyperlink" Target="https://dailymed.nlm.nih.gov/dailymed/search.cfm?labeltype=all&amp;query=haloperidol+decanoate" TargetMode="External"/><Relationship Id="rId330" Type="http://schemas.openxmlformats.org/officeDocument/2006/relationships/hyperlink" Target="https://dailymed.nlm.nih.gov/dailymed/search.cfm?labeltype=all&amp;query=chlorpromazine" TargetMode="External"/><Relationship Id="rId331" Type="http://schemas.openxmlformats.org/officeDocument/2006/relationships/hyperlink" Target="https://dailymed.nlm.nih.gov/dailymed/search.cfm?labeltype=all&amp;query=succinylcholine" TargetMode="External"/><Relationship Id="rId332" Type="http://schemas.openxmlformats.org/officeDocument/2006/relationships/hyperlink" Target="https://dailymed.nlm.nih.gov/dailymed/search.cfm?labeltype=all&amp;query=verapamil+hydrochloride+injection" TargetMode="External"/><Relationship Id="rId333" Type="http://schemas.openxmlformats.org/officeDocument/2006/relationships/hyperlink" Target="https://dailymed.nlm.nih.gov/dailymed/search.cfm?labeltype=all&amp;query=etomidate" TargetMode="External"/><Relationship Id="rId33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drugs.com/price-guide/carboprost" TargetMode="External"/><Relationship Id="rId2" Type="http://schemas.openxmlformats.org/officeDocument/2006/relationships/hyperlink" Target="https://www.cms.gov/files/zip/october-2026-medicare-part-b-payment-limit-files-final.zip" TargetMode="External"/><Relationship Id="rId3" Type="http://schemas.openxmlformats.org/officeDocument/2006/relationships/hyperlink" Target="https://www.drugs.com/price-guide/methotrexate" TargetMode="External"/><Relationship Id="rId4" Type="http://schemas.openxmlformats.org/officeDocument/2006/relationships/hyperlink" Target="https://www.drugs.com/price-guide/methotrexate" TargetMode="External"/><Relationship Id="rId5" Type="http://schemas.openxmlformats.org/officeDocument/2006/relationships/hyperlink" Target="https://www.cms.gov/files/zip/october-2026-medicare-part-b-payment-limit-files-final.zip" TargetMode="External"/><Relationship Id="rId6" Type="http://schemas.openxmlformats.org/officeDocument/2006/relationships/hyperlink" Target="https://www.cms.gov/files/zip/october-2026-medicare-part-b-payment-limit-files-final.zip" TargetMode="External"/><Relationship Id="rId7" Type="http://schemas.openxmlformats.org/officeDocument/2006/relationships/hyperlink" Target="https://www.drugs.com/price-guide/fulvestrant" TargetMode="External"/><Relationship Id="rId8" Type="http://schemas.openxmlformats.org/officeDocument/2006/relationships/hyperlink" Target="https://www.medicinpriser.dk/Default.aspx?VirksomtStof=Carboprost&amp;lng=2" TargetMode="External"/><Relationship Id="rId9" Type="http://schemas.openxmlformats.org/officeDocument/2006/relationships/hyperlink" Target="https://www.drugs.com/price-guide/carboprost" TargetMode="External"/><Relationship Id="rId10" Type="http://schemas.openxmlformats.org/officeDocument/2006/relationships/hyperlink" Target="https://www.drugs.com/price-guide/chlorpromazine" TargetMode="External"/><Relationship Id="rId11" Type="http://schemas.openxmlformats.org/officeDocument/2006/relationships/hyperlink" Target="https://www.drugs.com/price-guide/dactinomycin" TargetMode="External"/><Relationship Id="rId12" Type="http://schemas.openxmlformats.org/officeDocument/2006/relationships/hyperlink" Target="https://www.drugs.com/price-guide/eptifibatide" TargetMode="External"/><Relationship Id="rId13" Type="http://schemas.openxmlformats.org/officeDocument/2006/relationships/hyperlink" Target="https://www.drugs.com/price-guide/esmolol" TargetMode="External"/><Relationship Id="rId14" Type="http://schemas.openxmlformats.org/officeDocument/2006/relationships/hyperlink" Target="https://www.drugs.com/price-guide/fluorouracil" TargetMode="External"/><Relationship Id="rId15" Type="http://schemas.openxmlformats.org/officeDocument/2006/relationships/hyperlink" Target="https://www.drugs.com/price-guide/fluphenazine" TargetMode="External"/><Relationship Id="rId16" Type="http://schemas.openxmlformats.org/officeDocument/2006/relationships/hyperlink" Target="https://www.drugs.com/price-guide/medroxyprogesterone" TargetMode="External"/><Relationship Id="rId17" Type="http://schemas.openxmlformats.org/officeDocument/2006/relationships/hyperlink" Target="https://www.mountainside-medical.com/products/medroxyprogesterone-acetate-injection-prefilled-syringe-150-mg-ml" TargetMode="External"/><Relationship Id="rId18" Type="http://schemas.openxmlformats.org/officeDocument/2006/relationships/hyperlink" Target="https://www.drugs.com/price-guide/methotrexate" TargetMode="External"/><Relationship Id="rId19" Type="http://schemas.openxmlformats.org/officeDocument/2006/relationships/hyperlink" Target="https://www.drugs.com/price-guide/methotrexate" TargetMode="External"/><Relationship Id="rId20" Type="http://schemas.openxmlformats.org/officeDocument/2006/relationships/hyperlink" Target="https://www.drugs.com/price-guide/methotrexate" TargetMode="External"/><Relationship Id="rId21" Type="http://schemas.openxmlformats.org/officeDocument/2006/relationships/hyperlink" Target="https://www.cms.gov/files/zip/october-2026-medicare-part-b-payment-limit-files-final.zip" TargetMode="External"/><Relationship Id="rId22" Type="http://schemas.openxmlformats.org/officeDocument/2006/relationships/hyperlink" Target="https://www.cms.gov/files/zip/october-2026-medicare-part-b-payment-limit-files-final.zip" TargetMode="External"/><Relationship Id="rId23" Type="http://schemas.openxmlformats.org/officeDocument/2006/relationships/hyperlink" Target="https://www.drugs.com/price-guide/nafcillin" TargetMode="External"/><Relationship Id="rId24" Type="http://schemas.openxmlformats.org/officeDocument/2006/relationships/hyperlink" Target="https://www.drugs.com/price-guide/nafcillin" TargetMode="External"/><Relationship Id="rId25" Type="http://schemas.openxmlformats.org/officeDocument/2006/relationships/hyperlink" Target="https://www.drugs.com/price-guide/naloxone" TargetMode="External"/><Relationship Id="rId26" Type="http://schemas.openxmlformats.org/officeDocument/2006/relationships/hyperlink" Target="https://www.drugs.com/price-guide/oxacillin" TargetMode="External"/><Relationship Id="rId27" Type="http://schemas.openxmlformats.org/officeDocument/2006/relationships/hyperlink" Target="https://www.drugs.com/price-guide/progesterone" TargetMode="External"/><Relationship Id="rId28" Type="http://schemas.openxmlformats.org/officeDocument/2006/relationships/hyperlink" Target="https://www.drugs.com/price-guide/testosterone" TargetMode="External"/><Relationship Id="rId29" Type="http://schemas.openxmlformats.org/officeDocument/2006/relationships/hyperlink" Target="https://www.drugs.com/price-guide/testosterone" TargetMode="External"/><Relationship Id="rId30" Type="http://schemas.openxmlformats.org/officeDocument/2006/relationships/hyperlink" Target="https://www.drugs.com/price-guide/testosterone" TargetMode="External"/><Relationship Id="rId31" Type="http://schemas.openxmlformats.org/officeDocument/2006/relationships/hyperlink" Target="https://www.cms.gov/files/zip/october-2026-medicare-part-b-payment-limit-files-final.zip" TargetMode="External"/><Relationship Id="rId32" Type="http://schemas.openxmlformats.org/officeDocument/2006/relationships/hyperlink" Target="https://medicineprices.org.za/" TargetMode="External"/><Relationship Id="rId33" Type="http://schemas.openxmlformats.org/officeDocument/2006/relationships/hyperlink" Target="https://www.drugs.com/price-guide/verapamil" TargetMode="External"/><Relationship Id="rId34" Type="http://schemas.openxmlformats.org/officeDocument/2006/relationships/hyperlink" Target="https://www.drugs.com/price-guide/ertapenem" TargetMode="External"/><Relationship Id="rId35" Type="http://schemas.openxmlformats.org/officeDocument/2006/relationships/hyperlink" Target="https://www.drugs.com/price-guide/ibandronate" TargetMode="External"/><Relationship Id="rId36" Type="http://schemas.openxmlformats.org/officeDocument/2006/relationships/hyperlink" Target="https://www.drugs.com/price-guide/mesna" TargetMode="External"/><Relationship Id="rId37" Type="http://schemas.openxmlformats.org/officeDocument/2006/relationships/hyperlink" Target="https://www.drugs.com/price-guide/palonosetron" TargetMode="External"/><Relationship Id="rId38" Type="http://schemas.openxmlformats.org/officeDocument/2006/relationships/hyperlink" Target="https://www.drugs.com/price-guide/bortezomib" TargetMode="External"/><Relationship Id="rId39" Type="http://schemas.openxmlformats.org/officeDocument/2006/relationships/hyperlink" Target="https://www.drugs.com/price-guide/ropivacaine" TargetMode="External"/><Relationship Id="rId40" Type="http://schemas.openxmlformats.org/officeDocument/2006/relationships/hyperlink" Target="https://www.drugs.com/price-guide/ropivacaine" TargetMode="External"/><Relationship Id="rId41" Type="http://schemas.openxmlformats.org/officeDocument/2006/relationships/hyperlink" Target="https://www.drugs.com/price-guide/ropivacaine" TargetMode="External"/><Relationship Id="rId42" Type="http://schemas.openxmlformats.org/officeDocument/2006/relationships/hyperlink" Target="https://www.drugs.com/price-guide/ropivacaine" TargetMode="External"/><Relationship Id="rId43" Type="http://schemas.openxmlformats.org/officeDocument/2006/relationships/hyperlink" Target="https://www.drugs.com/price-guide/ropivacaine" TargetMode="External"/><Relationship Id="rId44" Type="http://schemas.openxmlformats.org/officeDocument/2006/relationships/hyperlink" Target="https://www.drugs.com/price-guide/ropivacaine" TargetMode="External"/><Relationship Id="rId45" Type="http://schemas.openxmlformats.org/officeDocument/2006/relationships/hyperlink" Target="https://www.drugs.com/price-guide/argatroban" TargetMode="External"/><Relationship Id="rId46" Type="http://schemas.openxmlformats.org/officeDocument/2006/relationships/hyperlink" Target="https://www.drugs.com/price-guide/cyclophosphamide" TargetMode="External"/><Relationship Id="rId47" Type="http://schemas.openxmlformats.org/officeDocument/2006/relationships/hyperlink" Target="https://www.drugs.com/price-guide/cyclophosphamide" TargetMode="External"/><Relationship Id="rId48" Type="http://schemas.openxmlformats.org/officeDocument/2006/relationships/hyperlink" Target="https://www.drugs.com/price-guide/cyclophosphamide" TargetMode="External"/><Relationship Id="rId49" Type="http://schemas.openxmlformats.org/officeDocument/2006/relationships/hyperlink" Target="https://www.drugs.com/price-guide/ephedrine" TargetMode="External"/><Relationship Id="rId50" Type="http://schemas.openxmlformats.org/officeDocument/2006/relationships/hyperlink" Target="https://www.cms.gov/files/zip/october-2026-medicare-part-b-payment-limit-files-final.zip" TargetMode="External"/><Relationship Id="rId51" Type="http://schemas.openxmlformats.org/officeDocument/2006/relationships/hyperlink" Target="https://www.drugs.com/price-guide/sildenafil" TargetMode="External"/><Relationship Id="rId52" Type="http://schemas.openxmlformats.org/officeDocument/2006/relationships/hyperlink" Target="https://www.drugs.com/price-guide/tirofiban" TargetMode="External"/><Relationship Id="rId53" Type="http://schemas.openxmlformats.org/officeDocument/2006/relationships/hyperlink" Target="https://www.drugs.com/price-guide/tirofiban" TargetMode="External"/><Relationship Id="rId54" Type="http://schemas.openxmlformats.org/officeDocument/2006/relationships/hyperlink" Target="https://www.drugs.com/price-guide/plerixafor" TargetMode="External"/><Relationship Id="rId55" Type="http://schemas.openxmlformats.org/officeDocument/2006/relationships/hyperlink" Target="https://dmd-browser.nhsbsa.nhs.uk/ampp/view/187562" TargetMode="External"/><Relationship Id="rId56" Type="http://schemas.openxmlformats.org/officeDocument/2006/relationships/hyperlink" Target="https://www.nhsbsa.nhs.uk/sites/default/files/2026-08/Part%20VIIIA%20Sep%2026.xls.xlsx" TargetMode="External"/><Relationship Id="rId57" Type="http://schemas.openxmlformats.org/officeDocument/2006/relationships/hyperlink" Target="https://dmd-browser.nhsbsa.nhs.uk/ampp/view/190293" TargetMode="External"/><Relationship Id="rId58" Type="http://schemas.openxmlformats.org/officeDocument/2006/relationships/hyperlink" Target="https://dmd-browser.nhsbsa.nhs.uk/ampp/view/185061" TargetMode="External"/><Relationship Id="rId59" Type="http://schemas.openxmlformats.org/officeDocument/2006/relationships/hyperlink" Target="https://dmd-browser.nhsbsa.nhs.uk/ampp/view/194984" TargetMode="External"/><Relationship Id="rId60" Type="http://schemas.openxmlformats.org/officeDocument/2006/relationships/hyperlink" Target="https://dmd-browser.nhsbsa.nhs.uk/ampp/view/47382" TargetMode="External"/><Relationship Id="rId61" Type="http://schemas.openxmlformats.org/officeDocument/2006/relationships/hyperlink" Target="https://www.aifa.gov.it/documents/20142/3815901/Classe_H_per_principio_attivo_30-04-2026.csv" TargetMode="External"/><Relationship Id="rId62" Type="http://schemas.openxmlformats.org/officeDocument/2006/relationships/hyperlink" Target="https://www.aifa.gov.it/documents/20142/3815901/Classe_H_per_principio_attivo_30-04-2026.csv" TargetMode="External"/><Relationship Id="rId63" Type="http://schemas.openxmlformats.org/officeDocument/2006/relationships/hyperlink" Target="https://www.aponeo.de/rx/12675950-bupivan-0-5-5-mg-ml-inj-l-25mg-5ml-glasamp.html" TargetMode="External"/><Relationship Id="rId64" Type="http://schemas.openxmlformats.org/officeDocument/2006/relationships/hyperlink" Target="https://base-donnees-publique.medicaments.gouv.fr/medicament/64318859/extrait" TargetMode="External"/><Relationship Id="rId65" Type="http://schemas.openxmlformats.org/officeDocument/2006/relationships/hyperlink" Target="https://www.dovesalute.it/it/farmaci/med/36138/ceftriaxone-aurobindo" TargetMode="External"/><Relationship Id="rId66" Type="http://schemas.openxmlformats.org/officeDocument/2006/relationships/hyperlink" Target="https://www.aifa.gov.it/documents/20142/3815901/Classe_A_per_principio_attivo_30-04-2026.csv" TargetMode="External"/><Relationship Id="rId67" Type="http://schemas.openxmlformats.org/officeDocument/2006/relationships/hyperlink" Target="https://www.aifa.gov.it/documents/20142/3815901/Classe_H_per_principio_attivo_30-04-2026.csv" TargetMode="External"/><Relationship Id="rId68" Type="http://schemas.openxmlformats.org/officeDocument/2006/relationships/hyperlink" Target="https://www.aifa.gov.it/documents/20142/3815901/Classe_H_per_principio_attivo_30-04-2026.csv" TargetMode="External"/><Relationship Id="rId69" Type="http://schemas.openxmlformats.org/officeDocument/2006/relationships/hyperlink" Target="https://www.aifa.gov.it/documents/20142/3815901/Classe_H_per_principio_attivo_30-04-2026.csv" TargetMode="External"/><Relationship Id="rId70" Type="http://schemas.openxmlformats.org/officeDocument/2006/relationships/hyperlink" Target="https://www.medicinpriser.dk/Default.aspx?id=15&amp;vnr=540548" TargetMode="External"/><Relationship Id="rId71" Type="http://schemas.openxmlformats.org/officeDocument/2006/relationships/hyperlink" Target="https://www.aifa.gov.it/documents/20142/3815901/Classe_H_per_principio_attivo_30-04-2026.csv" TargetMode="External"/><Relationship Id="rId72" Type="http://schemas.openxmlformats.org/officeDocument/2006/relationships/hyperlink" Target="https://www.aifa.gov.it/documents/20142/3815901/Classe_H_per_principio_attivo_30-04-2026.csv" TargetMode="External"/><Relationship Id="rId73" Type="http://schemas.openxmlformats.org/officeDocument/2006/relationships/hyperlink" Target="https://www.aifa.gov.it/documents/20142/3815901/Classe_H_per_principio_attivo_30-04-2026.csv" TargetMode="External"/><Relationship Id="rId74" Type="http://schemas.openxmlformats.org/officeDocument/2006/relationships/hyperlink" Target="https://www.aifa.gov.it/documents/20142/3815901/Classe_H_per_principio_attivo_30-04-2026.csv" TargetMode="External"/><Relationship Id="rId75" Type="http://schemas.openxmlformats.org/officeDocument/2006/relationships/hyperlink" Target="https://www.aifa.gov.it/documents/20142/3815901/Classe_H_per_principio_attivo_30-04-2026.csv" TargetMode="External"/><Relationship Id="rId76" Type="http://schemas.openxmlformats.org/officeDocument/2006/relationships/hyperlink" Target="https://www.aifa.gov.it/documents/20142/3815901/Classe_H_per_principio_attivo_30-04-2026.csv" TargetMode="External"/><Relationship Id="rId77" Type="http://schemas.openxmlformats.org/officeDocument/2006/relationships/hyperlink" Target="https://www.aifa.gov.it/documents/20142/3815901/Classe_H_per_principio_attivo_30-04-2026.csv" TargetMode="External"/><Relationship Id="rId78" Type="http://schemas.openxmlformats.org/officeDocument/2006/relationships/hyperlink" Target="https://www.aifa.gov.it/documents/20142/3815901/Classe_H_per_principio_attivo_30-04-2026.csv" TargetMode="External"/><Relationship Id="rId79" Type="http://schemas.openxmlformats.org/officeDocument/2006/relationships/hyperlink" Target="https://www.medicinpriser.dk/Default.aspx?VirksomtStof=Remifentanil" TargetMode="External"/><Relationship Id="rId80" Type="http://schemas.openxmlformats.org/officeDocument/2006/relationships/hyperlink" Target="https://www.aifa.gov.it/documents/20142/3815901/Classe_H_per_principio_attivo_30-04-2026.csv" TargetMode="External"/><Relationship Id="rId81" Type="http://schemas.openxmlformats.org/officeDocument/2006/relationships/hyperlink" Target="https://www.aifa.gov.it/documents/20142/3815901/Classe_H_per_principio_attivo_30-04-2026.csv" TargetMode="External"/><Relationship Id="rId82" Type="http://schemas.openxmlformats.org/officeDocument/2006/relationships/hyperlink" Target="https://www.ab.bluecross.ca/dbl/pdfs/ABCDPL_2026_03_03.pdf" TargetMode="External"/><Relationship Id="rId83" Type="http://schemas.openxmlformats.org/officeDocument/2006/relationships/hyperlink" Target="https://www.ab.bluecross.ca/dbl/pdfs/ABCDPL_2026_01_07.pdf" TargetMode="External"/><Relationship Id="rId84" Type="http://schemas.openxmlformats.org/officeDocument/2006/relationships/hyperlink" Target="https://www.ab.bluecross.ca/dbl/pdfs/ABCDPL_2024_12_05.pdf" TargetMode="External"/><Relationship Id="rId85" Type="http://schemas.openxmlformats.org/officeDocument/2006/relationships/hyperlink" Target="https://www.ab.bluecross.ca/dbl/pdfs/ABCDPL_2024_12_05.pdf" TargetMode="External"/><Relationship Id="rId86" Type="http://schemas.openxmlformats.org/officeDocument/2006/relationships/hyperlink" Target="https://www.ab.bluecross.ca/dbl/pdfs/ABCDPL_2026_04_07.pdf" TargetMode="External"/><Relationship Id="rId87" Type="http://schemas.openxmlformats.org/officeDocument/2006/relationships/hyperlink" Target="https://www.formulary.health.gov.on.ca/formulary/detail.xhtml?drugId=02491524" TargetMode="External"/><Relationship Id="rId88" Type="http://schemas.openxmlformats.org/officeDocument/2006/relationships/hyperlink" Target="https://www.formulary.health.gov.on.ca/formulary/detail.xhtml?drugId=02491532" TargetMode="External"/><Relationship Id="rId89" Type="http://schemas.openxmlformats.org/officeDocument/2006/relationships/hyperlink" Target="https://www.ab.bluecross.ca/dbl/pdfs/ABCDPL_2026_09_04.pdf" TargetMode="External"/><Relationship Id="rId90" Type="http://schemas.openxmlformats.org/officeDocument/2006/relationships/hyperlink" Target="https://www.formulary.health.gov.on.ca/formulary/detail.xhtml?drugId=02516160" TargetMode="External"/><Relationship Id="rId91" Type="http://schemas.openxmlformats.org/officeDocument/2006/relationships/hyperlink" Target="https://www.ab.bluecross.ca/dbl/pdfs/ABCDPL_2024_12_05.pdf" TargetMode="External"/><Relationship Id="rId92" Type="http://schemas.openxmlformats.org/officeDocument/2006/relationships/hyperlink" Target="https://www.ab.bluecross.ca/dbl/pdfs/ABCDPL_2024_12_05.pdf" TargetMode="External"/><Relationship Id="rId93" Type="http://schemas.openxmlformats.org/officeDocument/2006/relationships/hyperlink" Target="https://www.ab.bluecross.ca/dbl/pdfs/ABCDPL_2026_03_03.pdf" TargetMode="External"/><Relationship Id="rId94" Type="http://schemas.openxmlformats.org/officeDocument/2006/relationships/hyperlink" Target="https://www.ab.bluecross.ca/dbl/pdfs/ABCDPL_2026_01_07.pdf" TargetMode="External"/><Relationship Id="rId95" Type="http://schemas.openxmlformats.org/officeDocument/2006/relationships/hyperlink" Target="https://www.ab.bluecross.ca/dbl/pdfs/ABCDPL_2026_04_07.pdf" TargetMode="External"/><Relationship Id="rId96" Type="http://schemas.openxmlformats.org/officeDocument/2006/relationships/hyperlink" Target="https://www.ab.bluecross.ca/dbl/pdfs/ABCDPL_2026_09_04.pdf" TargetMode="External"/><Relationship Id="rId97" Type="http://schemas.openxmlformats.org/officeDocument/2006/relationships/hyperlink" Target="https://www.ab.bluecross.ca/dbl/pdfs/ABCDPL_2026_09_04.pdf" TargetMode="External"/><Relationship Id="rId98" Type="http://schemas.openxmlformats.org/officeDocument/2006/relationships/hyperlink" Target="https://www.ab.bluecross.ca/dbl/pdfs/ABCDPL_2026_09_04.pdf" TargetMode="External"/><Relationship Id="rId99" Type="http://schemas.openxmlformats.org/officeDocument/2006/relationships/hyperlink" Target="https://www.ab.bluecross.ca/dbl/pdfs/ABCDPL_2026_09_04.pdf" TargetMode="External"/><Relationship Id="rId100" Type="http://schemas.openxmlformats.org/officeDocument/2006/relationships/hyperlink" Target="https://www.ab.bluecross.ca/dbl/pdfs/ABCDPL_2026_09_04.pdf" TargetMode="External"/><Relationship Id="rId101" Type="http://schemas.openxmlformats.org/officeDocument/2006/relationships/hyperlink" Target="https://www.ab.bluecross.ca/dbl/pdfs/ABCDPL_2026_09_04.pdf" TargetMode="External"/><Relationship Id="rId102" Type="http://schemas.openxmlformats.org/officeDocument/2006/relationships/hyperlink" Target="https://dmd-browser.nhsbsa.nhs.uk/ampp/view/171701" TargetMode="External"/><Relationship Id="rId103" Type="http://schemas.openxmlformats.org/officeDocument/2006/relationships/hyperlink" Target="https://www.aifa.gov.it/documents/20142/3815901/Classe_H_per_principio_attivo_30-04-2026.csv" TargetMode="External"/><Relationship Id="rId104" Type="http://schemas.openxmlformats.org/officeDocument/2006/relationships/hyperlink" Target="https://www.pbs.gov.au/industry/pricing/ex-manufacturer-price/2026/09/ex-manufacturer-prices-non-efc-2026-09-01.XLSX" TargetMode="External"/><Relationship Id="rId105" Type="http://schemas.openxmlformats.org/officeDocument/2006/relationships/hyperlink" Target="https://www.pbs.gov.au/industry/pricing/ex-manufacturer-price/2026/09/ex-manufacturer-prices-non-efc-2026-09-01.XLSX" TargetMode="External"/><Relationship Id="rId106" Type="http://schemas.openxmlformats.org/officeDocument/2006/relationships/hyperlink" Target="https://www.pbs.gov.au/industry/pricing/ex-manufacturer-price/2026/09/ex-manufacturer-prices-efc-2026-09-01.XLSX" TargetMode="External"/><Relationship Id="rId107" Type="http://schemas.openxmlformats.org/officeDocument/2006/relationships/hyperlink" Target="https://www.pbs.gov.au/industry/pricing/price-disclosure-spd/current-price-disclosure-cycle" TargetMode="External"/><Relationship Id="rId108" Type="http://schemas.openxmlformats.org/officeDocument/2006/relationships/hyperlink" Target="https://www.health.gov.za/nhi-pee/" TargetMode="External"/><Relationship Id="rId109" Type="http://schemas.openxmlformats.org/officeDocument/2006/relationships/hyperlink" Target="https://www.health.gov.za/nhi-pee/" TargetMode="External"/><Relationship Id="rId110" Type="http://schemas.openxmlformats.org/officeDocument/2006/relationships/hyperlink" Target="https://www.health.gov.za/nhi-pee/" TargetMode="External"/><Relationship Id="rId111" Type="http://schemas.openxmlformats.org/officeDocument/2006/relationships/hyperlink" Target="https://www.health.gov.za/nhi-pee/" TargetMode="External"/><Relationship Id="rId112" Type="http://schemas.openxmlformats.org/officeDocument/2006/relationships/hyperlink" Target="https://www.health.gov.za/nhi-pee/" TargetMode="External"/><Relationship Id="rId113" Type="http://schemas.openxmlformats.org/officeDocument/2006/relationships/hyperlink" Target="https://www.health.gov.za/nhi-pee/" TargetMode="External"/><Relationship Id="rId114" Type="http://schemas.openxmlformats.org/officeDocument/2006/relationships/hyperlink" Target="https://www.health.gov.za/nhi-pee/" TargetMode="External"/><Relationship Id="rId115" Type="http://schemas.openxmlformats.org/officeDocument/2006/relationships/hyperlink" Target="https://www.health.gov.za/nhi-pee/" TargetMode="External"/><Relationship Id="rId116" Type="http://schemas.openxmlformats.org/officeDocument/2006/relationships/hyperlink" Target="https://www.cms.gov/files/zip/october-2026-medicare-part-b-payment-limit-files-final.zip" TargetMode="External"/><Relationship Id="rId117" Type="http://schemas.openxmlformats.org/officeDocument/2006/relationships/hyperlink" Target="https://www.cms.gov/files/zip/october-2026-medicare-part-b-payment-limit-files-final.zip" TargetMode="External"/><Relationship Id="rId118" Type="http://schemas.openxmlformats.org/officeDocument/2006/relationships/hyperlink" Target="https://www.cms.gov/files/zip/october-2026-medicare-part-b-payment-limit-files-final.zip" TargetMode="External"/><Relationship Id="rId119" Type="http://schemas.openxmlformats.org/officeDocument/2006/relationships/hyperlink" Target="https://www.drugs.com/price-guide/testosterone" TargetMode="External"/><Relationship Id="rId120" Type="http://schemas.openxmlformats.org/officeDocument/2006/relationships/hyperlink" Target="https://www.drugs.com/price-guide/testosterone" TargetMode="External"/><Relationship Id="rId121" Type="http://schemas.openxmlformats.org/officeDocument/2006/relationships/hyperlink" Target="https://www.drugs.com/price-guide/somatuline-depot" TargetMode="External"/><Relationship Id="rId122" Type="http://schemas.openxmlformats.org/officeDocument/2006/relationships/hyperlink" Target="https://www.drugs.com/price-guide/somatuline-depot" TargetMode="External"/><Relationship Id="rId123" Type="http://schemas.openxmlformats.org/officeDocument/2006/relationships/hyperlink" Target="https://www.drugs.com/price-guide/lanreotide" TargetMode="External"/><Relationship Id="rId124" Type="http://schemas.openxmlformats.org/officeDocument/2006/relationships/hyperlink" Target="https://dmd-browser.nhsbsa.nhs.uk/ampp/view/193506" TargetMode="External"/><Relationship Id="rId125" Type="http://schemas.openxmlformats.org/officeDocument/2006/relationships/hyperlink" Target="https://www.aifa.gov.it/documents/20142/3815901/Classe_H_per_principio_attivo_30-04-2026.csv" TargetMode="External"/><Relationship Id="rId126" Type="http://schemas.openxmlformats.org/officeDocument/2006/relationships/hyperlink" Target="https://www.aifa.gov.it/documents/20142/3815901/Classe_H_per_principio_attivo_30-04-2026.csv" TargetMode="External"/><Relationship Id="rId127" Type="http://schemas.openxmlformats.org/officeDocument/2006/relationships/hyperlink" Target="https://www.aponeo.de/rx/18660518-sugammadex-amarox-100-mg-ml-injektionsloesung.html" TargetMode="External"/><Relationship Id="rId128" Type="http://schemas.openxmlformats.org/officeDocument/2006/relationships/hyperlink" Target="https://www.pbs.gov.au/industry/pricing/ex-manufacturer-price/2026/10/ex-manufacturer-prices-efc-2026-10-01.XLSX" TargetMode="External"/><Relationship Id="rId129" Type="http://schemas.openxmlformats.org/officeDocument/2006/relationships/hyperlink" Target="https://www.cms.gov/files/zip/october-2026-medicare-part-b-payment-limit-files-final.zip" TargetMode="External"/><Relationship Id="rId130" Type="http://schemas.openxmlformats.org/officeDocument/2006/relationships/hyperlink" Target="https://department.va.gov/procurement-acquisition-and-logistics/wp-content/uploads/sites/56/2026/10/TPharmPrices2026-10-01.xlsx" TargetMode="External"/><Relationship Id="rId131" Type="http://schemas.openxmlformats.org/officeDocument/2006/relationships/hyperlink" Target="https://department.va.gov/procurement-acquisition-and-logistics/wp-content/uploads/sites/56/2026/10/TPharmPrices2026-10-01.xlsx" TargetMode="External"/><Relationship Id="rId132" Type="http://schemas.openxmlformats.org/officeDocument/2006/relationships/hyperlink" Target="https://department.va.gov/procurement-acquisition-and-logistics/wp-content/uploads/sites/56/2026/10/TPharmPrices2026-10-01.xlsx" TargetMode="External"/><Relationship Id="rId133" Type="http://schemas.openxmlformats.org/officeDocument/2006/relationships/hyperlink" Target="https://www.pbs.gov.au/medicine/item/14160G" TargetMode="External"/><Relationship Id="rId134" Type="http://schemas.openxmlformats.org/officeDocument/2006/relationships/hyperlink" Target="https://www.cms.gov/files/zip/october-2026-medicare-part-b-payment-limit-files-final.zip" TargetMode="External"/><Relationship Id="rId135" Type="http://schemas.openxmlformats.org/officeDocument/2006/relationships/hyperlink" Target="https://www.pbs.gov.au/industry/pricing/ex-manufacturer-price/2026/09/ex-manufacturer-prices-non-efc-2026-09-01.XLSX" TargetMode="External"/><Relationship Id="rId136" Type="http://schemas.openxmlformats.org/officeDocument/2006/relationships/hyperlink" Target="https://www.pbs.gov.au/industry/pricing/ex-manufacturer-price/2026/09/ex-manufacturer-prices-non-efc-2026-09-01.XLSX" TargetMode="External"/><Relationship Id="rId137" Type="http://schemas.openxmlformats.org/officeDocument/2006/relationships/hyperlink" Target="https://www.pbs.gov.au/industry/pricing/ex-manufacturer-price/2026/09/ex-manufacturer-prices-efc-2026-09-01.XLSX" TargetMode="External"/><Relationship Id="rId138" Type="http://schemas.openxmlformats.org/officeDocument/2006/relationships/hyperlink" Target="https://medicineprices.org.za/" TargetMode="External"/><Relationship Id="rId139" Type="http://schemas.openxmlformats.org/officeDocument/2006/relationships/hyperlink" Target="https://medicineprices.org.za/" TargetMode="External"/><Relationship Id="rId140" Type="http://schemas.openxmlformats.org/officeDocument/2006/relationships/hyperlink" Target="https://medicineprices.org.za/" TargetMode="External"/><Relationship Id="rId141" Type="http://schemas.openxmlformats.org/officeDocument/2006/relationships/hyperlink" Target="https://medicineprices.org.za/" TargetMode="External"/><Relationship Id="rId142" Type="http://schemas.openxmlformats.org/officeDocument/2006/relationships/hyperlink" Target="https://www.health.gov.za/nhi-pee/" TargetMode="External"/><Relationship Id="rId143" Type="http://schemas.openxmlformats.org/officeDocument/2006/relationships/hyperlink" Target="https://medicineprices.org.za/" TargetMode="External"/><Relationship Id="rId144" Type="http://schemas.openxmlformats.org/officeDocument/2006/relationships/hyperlink" Target="https://www.health.gov.za/nhi-pee/" TargetMode="External"/><Relationship Id="rId145" Type="http://schemas.openxmlformats.org/officeDocument/2006/relationships/hyperlink" Target="https://www.health.gov.za/nhi-pee/" TargetMode="External"/><Relationship Id="rId146" Type="http://schemas.openxmlformats.org/officeDocument/2006/relationships/hyperlink" Target="https://www.health.gov.za/nhi-pee/" TargetMode="External"/><Relationship Id="rId147" Type="http://schemas.openxmlformats.org/officeDocument/2006/relationships/hyperlink" Target="https://www.health.gov.za/nhi-pee/" TargetMode="External"/><Relationship Id="rId148" Type="http://schemas.openxmlformats.org/officeDocument/2006/relationships/hyperlink" Target="https://www.health.gov.za/nhi-pee/" TargetMode="External"/><Relationship Id="rId149" Type="http://schemas.openxmlformats.org/officeDocument/2006/relationships/hyperlink" Target="https://www.health.gov.za/nhi-pee/" TargetMode="External"/><Relationship Id="rId150" Type="http://schemas.openxmlformats.org/officeDocument/2006/relationships/hyperlink" Target="https://www.health.gov.za/nhi-pee/" TargetMode="External"/><Relationship Id="rId151" Type="http://schemas.openxmlformats.org/officeDocument/2006/relationships/hyperlink" Target="https://www.health.gov.za/nhi-pee/" TargetMode="External"/><Relationship Id="rId152" Type="http://schemas.openxmlformats.org/officeDocument/2006/relationships/hyperlink" Target="https://www.health.gov.za/nhi-pee/" TargetMode="External"/><Relationship Id="rId153" Type="http://schemas.openxmlformats.org/officeDocument/2006/relationships/hyperlink" Target="https://www.health.gov.za/nhi-pee/" TargetMode="External"/><Relationship Id="rId154" Type="http://schemas.openxmlformats.org/officeDocument/2006/relationships/hyperlink" Target="https://department.va.gov/procurement-acquisition-and-logistics/wp-content/uploads/sites/56/2026/10/TPharmPrices2026-10-01.xlsx" TargetMode="External"/><Relationship Id="rId155" Type="http://schemas.openxmlformats.org/officeDocument/2006/relationships/hyperlink" Target="https://www.drugs.com/price-guide/desmopressin" TargetMode="External"/><Relationship Id="rId156" Type="http://schemas.openxmlformats.org/officeDocument/2006/relationships/hyperlink" Target="https://www.cms.gov/files/zip/october-2026-medicare-part-b-payment-limit-files-final.zip" TargetMode="External"/><Relationship Id="rId157" Type="http://schemas.openxmlformats.org/officeDocument/2006/relationships/hyperlink" Target="https://department.va.gov/procurement-acquisition-and-logistics/wp-content/uploads/sites/56/2026/10/TPharmPrices2026-10-01.xlsx" TargetMode="External"/><Relationship Id="rId158" Type="http://schemas.openxmlformats.org/officeDocument/2006/relationships/hyperlink" Target="https://www.drugs.com/price-guide/phytonadione" TargetMode="External"/><Relationship Id="rId159" Type="http://schemas.openxmlformats.org/officeDocument/2006/relationships/hyperlink" Target="https://www.drugs.com/price-guide/thiotepa" TargetMode="External"/><Relationship Id="rId160" Type="http://schemas.openxmlformats.org/officeDocument/2006/relationships/hyperlink" Target="https://www.cms.gov/files/zip/october-2026-medicare-part-b-payment-limit-files-final.zip" TargetMode="External"/><Relationship Id="rId161" Type="http://schemas.openxmlformats.org/officeDocument/2006/relationships/hyperlink" Target="https://www.cms.gov/files/zip/october-2026-medicare-part-b-payment-limit-files-final.zip" TargetMode="External"/><Relationship Id="rId162" Type="http://schemas.openxmlformats.org/officeDocument/2006/relationships/hyperlink" Target="https://www.drugs.com/price-guide/bivalirudin" TargetMode="External"/><Relationship Id="rId163" Type="http://schemas.openxmlformats.org/officeDocument/2006/relationships/hyperlink" Target="https://www.drugs.com/price-guide/palonosetron" TargetMode="External"/><Relationship Id="rId164" Type="http://schemas.openxmlformats.org/officeDocument/2006/relationships/hyperlink" Target="https://www.drugs.com/price-guide/bortezomib" TargetMode="External"/><Relationship Id="rId165" Type="http://schemas.openxmlformats.org/officeDocument/2006/relationships/hyperlink" Target="https://www.drugs.com/price-guide/fulvestrant" TargetMode="External"/><Relationship Id="rId166" Type="http://schemas.openxmlformats.org/officeDocument/2006/relationships/hyperlink" Target="https://www.drugs.com/price-guide/cyclophosphamide" TargetMode="External"/><Relationship Id="rId167" Type="http://schemas.openxmlformats.org/officeDocument/2006/relationships/hyperlink" Target="https://www.drugs.com/price-guide/cyclophosphamide" TargetMode="External"/><Relationship Id="rId168" Type="http://schemas.openxmlformats.org/officeDocument/2006/relationships/hyperlink" Target="https://www.drugs.com/price-guide/cyclophosphamide" TargetMode="External"/><Relationship Id="rId169" Type="http://schemas.openxmlformats.org/officeDocument/2006/relationships/hyperlink" Target="https://www.drugs.com/price-guide/ephedrine" TargetMode="External"/><Relationship Id="rId170" Type="http://schemas.openxmlformats.org/officeDocument/2006/relationships/hyperlink" Target="https://www.drugs.com/price-guide/eribulin" TargetMode="External"/><Relationship Id="rId171" Type="http://schemas.openxmlformats.org/officeDocument/2006/relationships/hyperlink" Target="https://www.drugs.com/price-guide/neostigmine" TargetMode="External"/><Relationship Id="rId172" Type="http://schemas.openxmlformats.org/officeDocument/2006/relationships/hyperlink" Target="https://www.drugs.com/price-guide/neostigmine" TargetMode="External"/><Relationship Id="rId173" Type="http://schemas.openxmlformats.org/officeDocument/2006/relationships/hyperlink" Target="https://www.drugs.com/price-guide/neostigmine" TargetMode="External"/><Relationship Id="rId174" Type="http://schemas.openxmlformats.org/officeDocument/2006/relationships/hyperlink" Target="https://www.cms.gov/files/zip/october-2026-medicare-part-b-payment-limit-files-final.zip" TargetMode="External"/><Relationship Id="rId175" Type="http://schemas.openxmlformats.org/officeDocument/2006/relationships/hyperlink" Target="https://www.drugs.com/price-guide/sugammadex" TargetMode="External"/><Relationship Id="rId176" Type="http://schemas.openxmlformats.org/officeDocument/2006/relationships/hyperlink" Target="https://www.drugs.com/price-guide/sugammadex" TargetMode="External"/><Relationship Id="rId177" Type="http://schemas.openxmlformats.org/officeDocument/2006/relationships/hyperlink" Target="https://www.drugs.com/price-guide/plerixafor" TargetMode="External"/><Relationship Id="rId178" Type="http://schemas.openxmlformats.org/officeDocument/2006/relationships/hyperlink" Target="https://dmd-browser.nhsbsa.nhs.uk/ampp/view/175945" TargetMode="External"/><Relationship Id="rId179" Type="http://schemas.openxmlformats.org/officeDocument/2006/relationships/hyperlink" Target="https://dmd-browser.nhsbsa.nhs.uk/ampp/view/169812" TargetMode="External"/><Relationship Id="rId180" Type="http://schemas.openxmlformats.org/officeDocument/2006/relationships/hyperlink" Target="https://dmd-browser.nhsbsa.nhs.uk/ampp/view/183157" TargetMode="External"/><Relationship Id="rId181" Type="http://schemas.openxmlformats.org/officeDocument/2006/relationships/hyperlink" Target="https://dmd-browser.nhsbsa.nhs.uk/ampp/view/195075" TargetMode="External"/><Relationship Id="rId182" Type="http://schemas.openxmlformats.org/officeDocument/2006/relationships/hyperlink" Target="https://dmd-browser.nhsbsa.nhs.uk/ampp/view/211180" TargetMode="External"/><Relationship Id="rId183" Type="http://schemas.openxmlformats.org/officeDocument/2006/relationships/hyperlink" Target="https://dmd-browser.nhsbsa.nhs.uk/ampp/view/185061" TargetMode="External"/><Relationship Id="rId184" Type="http://schemas.openxmlformats.org/officeDocument/2006/relationships/hyperlink" Target="https://www.aifa.gov.it/documents/20142/3815901/Classe_H_per_principio_attivo_30-04-2026.csv" TargetMode="External"/><Relationship Id="rId185" Type="http://schemas.openxmlformats.org/officeDocument/2006/relationships/hyperlink" Target="https://www.aifa.gov.it/documents/20142/3815901/Classe_H_per_principio_attivo_30-04-2026.csv" TargetMode="External"/><Relationship Id="rId186" Type="http://schemas.openxmlformats.org/officeDocument/2006/relationships/hyperlink" Target="https://www.boe.es/boe/dias/2025/10/13/pdfs/BOE-A-2025-20356.pdf" TargetMode="External"/><Relationship Id="rId187" Type="http://schemas.openxmlformats.org/officeDocument/2006/relationships/hyperlink" Target="https://www.aifa.gov.it/documents/20142/3815901/Classe_H_per_principio_attivo_30-04-2026.csv" TargetMode="External"/><Relationship Id="rId188" Type="http://schemas.openxmlformats.org/officeDocument/2006/relationships/hyperlink" Target="https://www.aifa.gov.it/documents/20142/3815901/Classe_H_per_principio_attivo_30-04-2026.csv" TargetMode="External"/><Relationship Id="rId189" Type="http://schemas.openxmlformats.org/officeDocument/2006/relationships/hyperlink" Target="https://www.docmorris.de/ibandronsaeure-beta-3-mg-injektionslsgfertigspr/08881520" TargetMode="External"/><Relationship Id="rId190" Type="http://schemas.openxmlformats.org/officeDocument/2006/relationships/hyperlink" Target="https://www.aifa.gov.it/documents/20142/3815901/Classe_H_per_principio_attivo_30-04-2026.csv" TargetMode="External"/><Relationship Id="rId191" Type="http://schemas.openxmlformats.org/officeDocument/2006/relationships/hyperlink" Target="https://www.aifa.gov.it/documents/20142/3815901/Classe_H_per_principio_attivo_30-04-2026.csv" TargetMode="External"/><Relationship Id="rId192" Type="http://schemas.openxmlformats.org/officeDocument/2006/relationships/hyperlink" Target="https://www.aifa.gov.it/documents/20142/3815901/Classe_H_per_principio_attivo_30-04-2026.csv" TargetMode="External"/><Relationship Id="rId193" Type="http://schemas.openxmlformats.org/officeDocument/2006/relationships/hyperlink" Target="https://www.ab.bluecross.ca/dbl/pdfs/ABCDPL_2026_01_07.pdf" TargetMode="External"/><Relationship Id="rId194" Type="http://schemas.openxmlformats.org/officeDocument/2006/relationships/hyperlink" Target="https://www.ab.bluecross.ca/dbl/pdfs/ABCDPL_2026_01_07.pdf" TargetMode="External"/><Relationship Id="rId195" Type="http://schemas.openxmlformats.org/officeDocument/2006/relationships/hyperlink" Target="https://www.formulary.health.gov.on.ca/formulary/detail.xhtml?drugId=02490463" TargetMode="External"/><Relationship Id="rId196" Type="http://schemas.openxmlformats.org/officeDocument/2006/relationships/hyperlink" Target="https://www.ab.bluecross.ca/dbl/pdfs/ABCDPL_2026_09_04.pdf" TargetMode="External"/><Relationship Id="rId197" Type="http://schemas.openxmlformats.org/officeDocument/2006/relationships/hyperlink" Target="https://www.ab.bluecross.ca/dbl/pdfs/ABCDPL_2026_09_04.pdf" TargetMode="External"/><Relationship Id="rId198" Type="http://schemas.openxmlformats.org/officeDocument/2006/relationships/hyperlink" Target="https://www.ab.bluecross.ca/dbl/pdfs/ABCDPL_2026_09_04.pdf" TargetMode="External"/><Relationship Id="rId199" Type="http://schemas.openxmlformats.org/officeDocument/2006/relationships/hyperlink" Target="https://www.pbs.gov.au/industry/pricing/ex-manufacturer-price/2026/09/ex-manufacturer-prices-non-efc-2026-09-01.XLSX" TargetMode="External"/><Relationship Id="rId200" Type="http://schemas.openxmlformats.org/officeDocument/2006/relationships/hyperlink" Target="https://www.pbs.gov.au/industry/pricing/ex-manufacturer-price/2026/09/ex-manufacturer-prices-non-efc-2026-09-01.XLSX" TargetMode="External"/><Relationship Id="rId201" Type="http://schemas.openxmlformats.org/officeDocument/2006/relationships/hyperlink" Target="https://www.pbs.gov.au/publication/schedule/2026/10/2026-10-01-PBS-API-CSV-files.zip?variant=3" TargetMode="External"/><Relationship Id="rId202" Type="http://schemas.openxmlformats.org/officeDocument/2006/relationships/hyperlink" Target="https://www.pbs.gov.au/industry/pricing/ex-manufacturer-price/2026/09/ex-manufacturer-prices-efc-2026-09-01.XLSX" TargetMode="External"/><Relationship Id="rId203" Type="http://schemas.openxmlformats.org/officeDocument/2006/relationships/hyperlink" Target="https://department.va.gov/procurement-acquisition-and-logistics/wp-content/uploads/sites/56/2026/10/TPharmPrices2026-10-01.xlsx" TargetMode="External"/><Relationship Id="rId204" Type="http://schemas.openxmlformats.org/officeDocument/2006/relationships/hyperlink" Target="https://www.pbs.gov.au/industry/pricing/ex-manufacturer-price/2026/09/ex-manufacturer-prices-non-efc-2026-09-01.XLSX" TargetMode="External"/><Relationship Id="rId205" Type="http://schemas.openxmlformats.org/officeDocument/2006/relationships/hyperlink" Target="https://www.pbs.gov.au/industry/pricing/ex-manufacturer-price/2026/09/ex-manufacturer-prices-non-efc-2026-09-01.XLSX" TargetMode="External"/><Relationship Id="rId206" Type="http://schemas.openxmlformats.org/officeDocument/2006/relationships/hyperlink" Target="https://www.health.gov.za/nhi-pee/" TargetMode="External"/><Relationship Id="rId207" Type="http://schemas.openxmlformats.org/officeDocument/2006/relationships/hyperlink" Target="https://medicineprices.org.za/" TargetMode="External"/><Relationship Id="rId208" Type="http://schemas.openxmlformats.org/officeDocument/2006/relationships/hyperlink" Target="https://medicineprices.org.za/" TargetMode="External"/><Relationship Id="rId209" Type="http://schemas.openxmlformats.org/officeDocument/2006/relationships/hyperlink" Target="https://medicineprices.org.za/" TargetMode="External"/><Relationship Id="rId210" Type="http://schemas.openxmlformats.org/officeDocument/2006/relationships/hyperlink" Target="https://www.health.gov.za/nhi-pee/" TargetMode="External"/><Relationship Id="rId211" Type="http://schemas.openxmlformats.org/officeDocument/2006/relationships/hyperlink" Target="https://dmd-browser.nhsbsa.nhs.uk/ampp/view/190490" TargetMode="External"/><Relationship Id="rId212" Type="http://schemas.openxmlformats.org/officeDocument/2006/relationships/hyperlink" Target="https://dmd-browser.nhsbsa.nhs.uk/ampp/view/195295" TargetMode="External"/><Relationship Id="rId213" Type="http://schemas.openxmlformats.org/officeDocument/2006/relationships/hyperlink" Target="https://dmd-browser.nhsbsa.nhs.uk/ampp/view/194983" TargetMode="External"/><Relationship Id="rId214" Type="http://schemas.openxmlformats.org/officeDocument/2006/relationships/hyperlink" Target="https://dmd-browser.nhsbsa.nhs.uk/ampp/view/198696" TargetMode="External"/><Relationship Id="rId215" Type="http://schemas.openxmlformats.org/officeDocument/2006/relationships/hyperlink" Target="https://dmd-browser.nhsbsa.nhs.uk/ampp/view/197400" TargetMode="External"/><Relationship Id="rId216" Type="http://schemas.openxmlformats.org/officeDocument/2006/relationships/hyperlink" Target="https://dmd-browser.nhsbsa.nhs.uk/ampp/view/194984" TargetMode="External"/><Relationship Id="rId217" Type="http://schemas.openxmlformats.org/officeDocument/2006/relationships/hyperlink" Target="https://dmd-browser.nhsbsa.nhs.uk/ampp/view/190885" TargetMode="External"/><Relationship Id="rId218" Type="http://schemas.openxmlformats.org/officeDocument/2006/relationships/hyperlink" Target="https://dmd-browser.nhsbsa.nhs.uk/ampp/view/169622" TargetMode="External"/><Relationship Id="rId219" Type="http://schemas.openxmlformats.org/officeDocument/2006/relationships/hyperlink" Target="https://dmd-browser.nhsbsa.nhs.uk/ampp/view/184215" TargetMode="External"/><Relationship Id="rId220" Type="http://schemas.openxmlformats.org/officeDocument/2006/relationships/hyperlink" Target="https://dmd-browser.nhsbsa.nhs.uk/ampp/view/210747" TargetMode="External"/><Relationship Id="rId221" Type="http://schemas.openxmlformats.org/officeDocument/2006/relationships/hyperlink" Target="https://www.medicijnkosten.nl/medicijn?artikel=DIAMOX+INJECTIEPOEDER+FLACON+500MG&amp;id=eccf17da767207477dcc6b1f5efd1f4a" TargetMode="External"/><Relationship Id="rId222" Type="http://schemas.openxmlformats.org/officeDocument/2006/relationships/hyperlink" Target="https://www.aifa.gov.it/documents/20142/3815901/Classe_A_per_principio_attivo_30-04-2026.csv" TargetMode="External"/><Relationship Id="rId223" Type="http://schemas.openxmlformats.org/officeDocument/2006/relationships/hyperlink" Target="https://mediately.co/it/drugs/EW7GuNfn2hkEMxRggSwwiF1PMll/ampicillina-tillomed-1-g-polvere-per-soluzione-iniettabile-per-infusione" TargetMode="External"/><Relationship Id="rId224" Type="http://schemas.openxmlformats.org/officeDocument/2006/relationships/hyperlink" Target="https://www.aifa.gov.it/documents/20142/3815901/Classe_H_per_principio_attivo_30-04-2026.csv" TargetMode="External"/><Relationship Id="rId225" Type="http://schemas.openxmlformats.org/officeDocument/2006/relationships/hyperlink" Target="https://www.aifa.gov.it/documents/20142/3815901/Classe_H_per_principio_attivo_30-04-2026.csv" TargetMode="External"/><Relationship Id="rId226" Type="http://schemas.openxmlformats.org/officeDocument/2006/relationships/hyperlink" Target="https://www.aifa.gov.it/documents/20142/3815901/Classe_H_per_principio_attivo_30-04-2026.csv" TargetMode="External"/><Relationship Id="rId227" Type="http://schemas.openxmlformats.org/officeDocument/2006/relationships/hyperlink" Target="https://www.medicinpriser.dk/Default.aspx?VirksomtStof=Eribulin" TargetMode="External"/><Relationship Id="rId228" Type="http://schemas.openxmlformats.org/officeDocument/2006/relationships/hyperlink" Target="https://www.aifa.gov.it/documents/20142/3815901/Classe_H_per_principio_attivo_30-04-2026.csv" TargetMode="External"/><Relationship Id="rId229" Type="http://schemas.openxmlformats.org/officeDocument/2006/relationships/hyperlink" Target="https://www.aifa.gov.it/documents/20142/3815901/Classe_H_per_principio_attivo_30-04-2026.csv" TargetMode="External"/><Relationship Id="rId230" Type="http://schemas.openxmlformats.org/officeDocument/2006/relationships/hyperlink" Target="https://www.aifa.gov.it/documents/20142/3815901/Classe_H_per_principio_attivo_30-04-2026.csv" TargetMode="External"/><Relationship Id="rId231" Type="http://schemas.openxmlformats.org/officeDocument/2006/relationships/hyperlink" Target="https://mediately.co/de/drugs/2JLSD2rNCbtip2an1uWLKQBCmLc/milrinon-carinopharm-1-mg-ml-injektions-infusionslosung" TargetMode="External"/><Relationship Id="rId232" Type="http://schemas.openxmlformats.org/officeDocument/2006/relationships/hyperlink" Target="https://www.aifa.gov.it/documents/20142/3815901/Classe_H_per_principio_attivo_30-04-2026.csv" TargetMode="External"/><Relationship Id="rId233" Type="http://schemas.openxmlformats.org/officeDocument/2006/relationships/hyperlink" Target="https://base-donnees-publique.medicaments.gouv.fr/medicament/61094142/extrait" TargetMode="External"/><Relationship Id="rId234" Type="http://schemas.openxmlformats.org/officeDocument/2006/relationships/hyperlink" Target="https://www.aifa.gov.it/documents/20142/3815901/Classe_H_per_principio_attivo_30-04-2026.csv" TargetMode="External"/><Relationship Id="rId235" Type="http://schemas.openxmlformats.org/officeDocument/2006/relationships/hyperlink" Target="https://www.aifa.gov.it/documents/20142/3815901/Classe_H_per_principio_attivo_30-04-2026.csv" TargetMode="External"/><Relationship Id="rId236" Type="http://schemas.openxmlformats.org/officeDocument/2006/relationships/hyperlink" Target="https://www.ab.bluecross.ca/dbl/pdfs/ABCDPL_2026_09_04.pdf" TargetMode="External"/><Relationship Id="rId237" Type="http://schemas.openxmlformats.org/officeDocument/2006/relationships/hyperlink" Target="https://www.ab.bluecross.ca/dbl/pdfs/ABCDPL_2026_09_04.pdf" TargetMode="External"/><Relationship Id="rId238" Type="http://schemas.openxmlformats.org/officeDocument/2006/relationships/hyperlink" Target="https://www.ab.bluecross.ca/dbl/pdfs/ABCDPL_2026_09_04.pdf" TargetMode="External"/><Relationship Id="rId239" Type="http://schemas.openxmlformats.org/officeDocument/2006/relationships/hyperlink" Target="https://www.ab.bluecross.ca/dbl/pdfs/ABCDPL_2026_04_07.pdf" TargetMode="External"/><Relationship Id="rId240" Type="http://schemas.openxmlformats.org/officeDocument/2006/relationships/hyperlink" Target="https://www.ab.bluecross.ca/dbl/pdfs/ABCDPL_2026_09_04.pdf" TargetMode="External"/><Relationship Id="rId241" Type="http://schemas.openxmlformats.org/officeDocument/2006/relationships/hyperlink" Target="https://www.ab.bluecross.ca/dbl/pdfs/ABCDPL_2026_09_04.pdf" TargetMode="External"/><Relationship Id="rId242" Type="http://schemas.openxmlformats.org/officeDocument/2006/relationships/hyperlink" Target="https://www.ab.bluecross.ca/dbl/pdfs/ABCDPL_2026_09_04.pdf" TargetMode="External"/><Relationship Id="rId243" Type="http://schemas.openxmlformats.org/officeDocument/2006/relationships/hyperlink" Target="https://www.ab.bluecross.ca/dbl/pdfs/ABCDPL_2026_09_04.pdf" TargetMode="External"/><Relationship Id="rId244" Type="http://schemas.openxmlformats.org/officeDocument/2006/relationships/hyperlink" Target="https://www.ab.bluecross.ca/dbl/pdfs/ABCDPL_2026_09_04.pdf" TargetMode="External"/><Relationship Id="rId245" Type="http://schemas.openxmlformats.org/officeDocument/2006/relationships/hyperlink" Target="https://www.ab.bluecross.ca/dbl/pdfs/ABCDPL_2026_09_04.pdf" TargetMode="External"/><Relationship Id="rId246" Type="http://schemas.openxmlformats.org/officeDocument/2006/relationships/hyperlink" Target="https://www.drugs.com/price-guide/fulvestrant" TargetMode="External"/><Relationship Id="rId247" Type="http://schemas.openxmlformats.org/officeDocument/2006/relationships/hyperlink" Target="https://www.drugs.com/price-guide/eribulin" TargetMode="External"/><Relationship Id="rId248" Type="http://schemas.openxmlformats.org/officeDocument/2006/relationships/hyperlink" Target="https://www.nhsbsa.nhs.uk/sites/default/files/2026-08/Part%20VIIIA%20Sep%2026.xls.xlsx" TargetMode="External"/><Relationship Id="rId249" Type="http://schemas.openxmlformats.org/officeDocument/2006/relationships/hyperlink" Target="https://dmd-browser.nhsbsa.nhs.uk/ampp/view/195045" TargetMode="External"/><Relationship Id="rId250" Type="http://schemas.openxmlformats.org/officeDocument/2006/relationships/hyperlink" Target="https://dmd-browser.nhsbsa.nhs.uk/ampp/view/204041" TargetMode="External"/><Relationship Id="rId251" Type="http://schemas.openxmlformats.org/officeDocument/2006/relationships/hyperlink" Target="https://www.aifa.gov.it/documents/20142/3815901/Classe_H_per_principio_attivo_30-04-2026.csv" TargetMode="External"/><Relationship Id="rId252" Type="http://schemas.openxmlformats.org/officeDocument/2006/relationships/hyperlink" Target="https://www.boe.es/boe/dias/2025/10/13/pdfs/BOE-A-2025-20356.pdf" TargetMode="External"/><Relationship Id="rId253" Type="http://schemas.openxmlformats.org/officeDocument/2006/relationships/hyperlink" Target="https://www.aifa.gov.it/documents/20142/3815901/Classe_H_per_principio_attivo_30-04-2026.csv" TargetMode="External"/><Relationship Id="rId254" Type="http://schemas.openxmlformats.org/officeDocument/2006/relationships/hyperlink" Target="https://www.aifa.gov.it/documents/20142/3815901/Classe_H_per_principio_attivo_30-04-2026.csv" TargetMode="External"/><Relationship Id="rId255" Type="http://schemas.openxmlformats.org/officeDocument/2006/relationships/hyperlink" Target="https://www.aifa.gov.it/documents/20142/3815901/Classe_H_per_principio_attivo_30-04-2026.csv" TargetMode="External"/><Relationship Id="rId256" Type="http://schemas.openxmlformats.org/officeDocument/2006/relationships/hyperlink" Target="https://www.aifa.gov.it/documents/20142/3815901/Classe_H_per_principio_attivo_30-04-2026.csv" TargetMode="External"/><Relationship Id="rId257" Type="http://schemas.openxmlformats.org/officeDocument/2006/relationships/hyperlink" Target="https://www.pbs.gov.au/industry/pricing/ex-manufacturer-price/2026/09/ex-manufacturer-prices-efc-2026-09-01.XLSX" TargetMode="External"/><Relationship Id="rId258" Type="http://schemas.openxmlformats.org/officeDocument/2006/relationships/hyperlink" Target="https://www.pbs.gov.au/industry/pricing/ex-manufacturer-price/2026/09/ex-manufacturer-prices-efc-2026-09-01.XLSX" TargetMode="External"/><Relationship Id="rId259" Type="http://schemas.openxmlformats.org/officeDocument/2006/relationships/hyperlink" Target="https://www.drugs.com/price-guide/chlorpromazine" TargetMode="External"/><Relationship Id="rId260" Type="http://schemas.openxmlformats.org/officeDocument/2006/relationships/hyperlink" Target="https://www.cms.gov/files/zip/october-2026-medicare-part-b-payment-limit-files-final.zip" TargetMode="External"/><Relationship Id="rId261" Type="http://schemas.openxmlformats.org/officeDocument/2006/relationships/hyperlink" Target="https://department.va.gov/procurement-acquisition-and-logistics/wp-content/uploads/sites/56/2026/10/TPharmPrices2026-10-01.xlsx" TargetMode="External"/><Relationship Id="rId262" Type="http://schemas.openxmlformats.org/officeDocument/2006/relationships/hyperlink" Target="https://department.va.gov/procurement-acquisition-and-logistics/wp-content/uploads/sites/56/2026/10/TPharmPrices2026-10-01.xlsx" TargetMode="External"/><Relationship Id="rId263" Type="http://schemas.openxmlformats.org/officeDocument/2006/relationships/hyperlink" Target="https://www.drugs.com/price-guide/methotrexate" TargetMode="External"/><Relationship Id="rId264" Type="http://schemas.openxmlformats.org/officeDocument/2006/relationships/hyperlink" Target="https://www.cms.gov/files/zip/october-2026-medicare-part-b-payment-limit-files-final.zip" TargetMode="External"/><Relationship Id="rId265" Type="http://schemas.openxmlformats.org/officeDocument/2006/relationships/hyperlink" Target="https://department.va.gov/procurement-acquisition-and-logistics/wp-content/uploads/sites/56/2026/10/TPharmPrices2026-10-01.xlsx" TargetMode="External"/><Relationship Id="rId266" Type="http://schemas.openxmlformats.org/officeDocument/2006/relationships/hyperlink" Target="https://department.va.gov/procurement-acquisition-and-logistics/wp-content/uploads/sites/56/2026/10/TPharmPrices2026-10-01.xlsx" TargetMode="External"/><Relationship Id="rId267" Type="http://schemas.openxmlformats.org/officeDocument/2006/relationships/hyperlink" Target="https://www.drugs.com/price-guide/bortezomib" TargetMode="External"/><Relationship Id="rId268" Type="http://schemas.openxmlformats.org/officeDocument/2006/relationships/hyperlink" Target="https://www.drugs.com/price-guide/magnesium-sulfate" TargetMode="External"/><Relationship Id="rId269" Type="http://schemas.openxmlformats.org/officeDocument/2006/relationships/hyperlink" Target="https://www.drugs.com/price-guide/sodium-bicarbonate" TargetMode="External"/><Relationship Id="rId270" Type="http://schemas.openxmlformats.org/officeDocument/2006/relationships/hyperlink" Target="https://www.drugs.com/price-guide/sugammadex" TargetMode="External"/><Relationship Id="rId271" Type="http://schemas.openxmlformats.org/officeDocument/2006/relationships/hyperlink" Target="https://www.drugs.com/price-guide/sugammadex" TargetMode="External"/><Relationship Id="rId272" Type="http://schemas.openxmlformats.org/officeDocument/2006/relationships/hyperlink" Target="https://www.drugs.com/price-guide/plerixafor" TargetMode="External"/><Relationship Id="rId273" Type="http://schemas.openxmlformats.org/officeDocument/2006/relationships/hyperlink" Target="https://dmd-browser.nhsbsa.nhs.uk/ampp/view/195045" TargetMode="External"/><Relationship Id="rId274" Type="http://schemas.openxmlformats.org/officeDocument/2006/relationships/hyperlink" Target="https://dmd-browser.nhsbsa.nhs.uk/ampp/view/185061" TargetMode="External"/><Relationship Id="rId275" Type="http://schemas.openxmlformats.org/officeDocument/2006/relationships/hyperlink" Target="https://dmd-browser.nhsbsa.nhs.uk/ampp/view/210375" TargetMode="External"/><Relationship Id="rId276" Type="http://schemas.openxmlformats.org/officeDocument/2006/relationships/hyperlink" Target="https://dmd-browser.nhsbsa.nhs.uk/ampp/view/190293" TargetMode="External"/><Relationship Id="rId277" Type="http://schemas.openxmlformats.org/officeDocument/2006/relationships/hyperlink" Target="https://dmd-browser.nhsbsa.nhs.uk/ampp/view/148217" TargetMode="External"/><Relationship Id="rId278" Type="http://schemas.openxmlformats.org/officeDocument/2006/relationships/hyperlink" Target="https://dmd-browser.nhsbsa.nhs.uk/ampp/view/174545" TargetMode="External"/><Relationship Id="rId279" Type="http://schemas.openxmlformats.org/officeDocument/2006/relationships/hyperlink" Target="https://www.nhsbsa.nhs.uk/sites/default/files/2026-08/Part%20VIIIA%20Sep%2026.xls.xlsx" TargetMode="External"/><Relationship Id="rId280" Type="http://schemas.openxmlformats.org/officeDocument/2006/relationships/hyperlink" Target="https://dmd-browser.nhsbsa.nhs.uk/ampp/view/194984" TargetMode="External"/><Relationship Id="rId281" Type="http://schemas.openxmlformats.org/officeDocument/2006/relationships/hyperlink" Target="https://dmd-browser.nhsbsa.nhs.uk/ampp/view/101360" TargetMode="External"/><Relationship Id="rId282" Type="http://schemas.openxmlformats.org/officeDocument/2006/relationships/hyperlink" Target="https://www.aifa.gov.it/documents/20142/3815901/Classe_H_per_principio_attivo_30-04-2026.csv" TargetMode="External"/><Relationship Id="rId283" Type="http://schemas.openxmlformats.org/officeDocument/2006/relationships/hyperlink" Target="https://www.medicijnkosten.nl/medicijn?artikel=BRIVIACT+INF%2FINJVLST+10MG%2FML+FLACON+5ML&amp;id=8aa63cad90cad7246d95c19b8f6d410d" TargetMode="External"/><Relationship Id="rId284" Type="http://schemas.openxmlformats.org/officeDocument/2006/relationships/hyperlink" Target="https://www.aifa.gov.it/documents/20142/3815901/Classe_H_per_principio_attivo_30-04-2026.csv" TargetMode="External"/><Relationship Id="rId285" Type="http://schemas.openxmlformats.org/officeDocument/2006/relationships/hyperlink" Target="https://www.medicijnkosten.nl/medicijn?artikel=MELFALAN+AMAROX+INJ%2FINFUSIEPOEDER+FL50MG%2BSV+10ML&amp;id=35352a89252a9fdd69fd915f3d070528" TargetMode="External"/><Relationship Id="rId286" Type="http://schemas.openxmlformats.org/officeDocument/2006/relationships/hyperlink" Target="https://www.aifa.gov.it/documents/20142/3815901/Classe_H_per_principio_attivo_30-04-2026.csv" TargetMode="External"/><Relationship Id="rId287" Type="http://schemas.openxmlformats.org/officeDocument/2006/relationships/hyperlink" Target="https://www.aifa.gov.it/documents/20142/3815901/Classe_H_per_principio_attivo_30-04-2026.csv" TargetMode="External"/><Relationship Id="rId288" Type="http://schemas.openxmlformats.org/officeDocument/2006/relationships/hyperlink" Target="https://www.aifa.gov.it/documents/20142/3815901/Classe_H_per_principio_attivo_30-04-2026.csv" TargetMode="External"/><Relationship Id="rId289" Type="http://schemas.openxmlformats.org/officeDocument/2006/relationships/hyperlink" Target="https://www.aifa.gov.it/documents/20142/3815901/Classe_H_per_principio_attivo_30-04-2026.csv" TargetMode="External"/><Relationship Id="rId290" Type="http://schemas.openxmlformats.org/officeDocument/2006/relationships/hyperlink" Target="https://www.aponeo.de/rx/18660518-sugammadex-amarox-100-mg-ml-injektionsloesung.html" TargetMode="External"/><Relationship Id="rId291" Type="http://schemas.openxmlformats.org/officeDocument/2006/relationships/hyperlink" Target="https://www.aifa.gov.it/documents/20142/3815901/Classe_H_per_principio_attivo_30-04-2026.csv" TargetMode="External"/><Relationship Id="rId292" Type="http://schemas.openxmlformats.org/officeDocument/2006/relationships/hyperlink" Target="https://medicineprices.org.za/" TargetMode="External"/><Relationship Id="rId293" Type="http://schemas.openxmlformats.org/officeDocument/2006/relationships/hyperlink" Target="https://medicineprices.org.za/" TargetMode="External"/><Relationship Id="rId294" Type="http://schemas.openxmlformats.org/officeDocument/2006/relationships/hyperlink" Target="https://medicineprices.org.za/" TargetMode="External"/><Relationship Id="rId295" Type="http://schemas.openxmlformats.org/officeDocument/2006/relationships/hyperlink" Target="https://www.health.gov.za/nhi-pee/" TargetMode="External"/><Relationship Id="rId296" Type="http://schemas.openxmlformats.org/officeDocument/2006/relationships/hyperlink" Target="https://medicineprices.org.za/" TargetMode="External"/><Relationship Id="rId297" Type="http://schemas.openxmlformats.org/officeDocument/2006/relationships/hyperlink" Target="https://medicineprices.org.za/" TargetMode="External"/><Relationship Id="rId298" Type="http://schemas.openxmlformats.org/officeDocument/2006/relationships/hyperlink" Target="https://www.health.gov.za/nhi-pee/" TargetMode="External"/><Relationship Id="rId299" Type="http://schemas.openxmlformats.org/officeDocument/2006/relationships/hyperlink" Target="https://www.drugs.com/price-guide/ondansetron" TargetMode="External"/><Relationship Id="rId300" Type="http://schemas.openxmlformats.org/officeDocument/2006/relationships/hyperlink" Target="https://www.cms.gov/files/zip/october-2026-medicare-part-b-payment-limit-files-final.zip" TargetMode="External"/><Relationship Id="rId301" Type="http://schemas.openxmlformats.org/officeDocument/2006/relationships/hyperlink" Target="https://www.drugs.com/price-guide/bivalirudin" TargetMode="External"/><Relationship Id="rId302" Type="http://schemas.openxmlformats.org/officeDocument/2006/relationships/hyperlink" Target="https://www.drugs.com/price-guide/ibandronate" TargetMode="External"/><Relationship Id="rId303" Type="http://schemas.openxmlformats.org/officeDocument/2006/relationships/hyperlink" Target="https://www.drugs.com/price-guide/fulvestrant" TargetMode="External"/><Relationship Id="rId304" Type="http://schemas.openxmlformats.org/officeDocument/2006/relationships/hyperlink" Target="https://www.drugs.com/price-guide/argatroban" TargetMode="External"/><Relationship Id="rId305" Type="http://schemas.openxmlformats.org/officeDocument/2006/relationships/hyperlink" Target="https://www.drugs.com/price-guide/atropine" TargetMode="External"/><Relationship Id="rId306" Type="http://schemas.openxmlformats.org/officeDocument/2006/relationships/hyperlink" Target="https://www.drugs.com/price-guide/atropine" TargetMode="External"/><Relationship Id="rId307" Type="http://schemas.openxmlformats.org/officeDocument/2006/relationships/hyperlink" Target="https://www.drugs.com/price-guide/atropine" TargetMode="External"/><Relationship Id="rId308" Type="http://schemas.openxmlformats.org/officeDocument/2006/relationships/hyperlink" Target="https://www.drugs.com/price-guide/atropine" TargetMode="External"/><Relationship Id="rId309" Type="http://schemas.openxmlformats.org/officeDocument/2006/relationships/hyperlink" Target="https://www.drugs.com/price-guide/atropine" TargetMode="External"/><Relationship Id="rId310" Type="http://schemas.openxmlformats.org/officeDocument/2006/relationships/hyperlink" Target="https://www.drugs.com/price-guide/paricalcitol" TargetMode="External"/><Relationship Id="rId311" Type="http://schemas.openxmlformats.org/officeDocument/2006/relationships/hyperlink" Target="https://www.drugs.com/price-guide/paricalcitol" TargetMode="External"/><Relationship Id="rId312" Type="http://schemas.openxmlformats.org/officeDocument/2006/relationships/hyperlink" Target="https://www.cms.gov/files/zip/october-2026-medicare-part-b-payment-limit-files-final.zip" TargetMode="External"/><Relationship Id="rId313" Type="http://schemas.openxmlformats.org/officeDocument/2006/relationships/hyperlink" Target="https://dmd-browser.nhsbsa.nhs.uk/ampp/view/163290" TargetMode="External"/><Relationship Id="rId314" Type="http://schemas.openxmlformats.org/officeDocument/2006/relationships/hyperlink" Target="https://dmd-browser.nhsbsa.nhs.uk/ampp/view/173756" TargetMode="External"/><Relationship Id="rId315" Type="http://schemas.openxmlformats.org/officeDocument/2006/relationships/hyperlink" Target="https://www.nhsbsa.nhs.uk/sites/default/files/2026-08/Part%20VIIIA%20Sep%2026.xls.xlsx" TargetMode="External"/><Relationship Id="rId316" Type="http://schemas.openxmlformats.org/officeDocument/2006/relationships/hyperlink" Target="https://dmd-browser.nhsbsa.nhs.uk/ampp/view/195045" TargetMode="External"/><Relationship Id="rId317" Type="http://schemas.openxmlformats.org/officeDocument/2006/relationships/hyperlink" Target="https://dmd-browser.nhsbsa.nhs.uk/amp/view/140839?ref=bmFtZT1sZXZvdGh5cm94aW5lK3NvZGl1bSZzaG93SW52YWxpZEl0ZW1zPWZhbHNlJnNvcnRPcmRlcj1hbHBoYSZwYWdlPTExOCZzaXplPTEwMA%3D%3D" TargetMode="External"/><Relationship Id="rId318" Type="http://schemas.openxmlformats.org/officeDocument/2006/relationships/hyperlink" Target="https://dmd-browser.nhsbsa.nhs.uk/ampp/view/161756" TargetMode="External"/><Relationship Id="rId319" Type="http://schemas.openxmlformats.org/officeDocument/2006/relationships/hyperlink" Target="https://dmd-browser.nhsbsa.nhs.uk/ampp/view/185061" TargetMode="External"/><Relationship Id="rId320" Type="http://schemas.openxmlformats.org/officeDocument/2006/relationships/hyperlink" Target="https://dmd-browser.nhsbsa.nhs.uk/ampp/view/198886" TargetMode="External"/><Relationship Id="rId321" Type="http://schemas.openxmlformats.org/officeDocument/2006/relationships/hyperlink" Target="https://dmd-browser.nhsbsa.nhs.uk/ampp/view/208291" TargetMode="External"/><Relationship Id="rId322" Type="http://schemas.openxmlformats.org/officeDocument/2006/relationships/hyperlink" Target="https://dmd-browser.nhsbsa.nhs.uk/ampp/view/194984" TargetMode="External"/><Relationship Id="rId323" Type="http://schemas.openxmlformats.org/officeDocument/2006/relationships/hyperlink" Target="https://dmd-browser.nhsbsa.nhs.uk/ampp/view/197033" TargetMode="External"/><Relationship Id="rId324" Type="http://schemas.openxmlformats.org/officeDocument/2006/relationships/hyperlink" Target="https://dmd-browser.nhsbsa.nhs.uk/ampp/view/47446" TargetMode="External"/><Relationship Id="rId325" Type="http://schemas.openxmlformats.org/officeDocument/2006/relationships/hyperlink" Target="https://dmd-browser.nhsbsa.nhs.uk/ampp/view/180360" TargetMode="External"/><Relationship Id="rId326" Type="http://schemas.openxmlformats.org/officeDocument/2006/relationships/hyperlink" Target="https://dmd-browser.nhsbsa.nhs.uk/ampp/view/133567" TargetMode="External"/><Relationship Id="rId327" Type="http://schemas.openxmlformats.org/officeDocument/2006/relationships/hyperlink" Target="https://dmd-browser.nhsbsa.nhs.uk/ampp/view/90576" TargetMode="External"/><Relationship Id="rId328" Type="http://schemas.openxmlformats.org/officeDocument/2006/relationships/hyperlink" Target="https://dmd-browser.nhsbsa.nhs.uk/ampp/view/105990" TargetMode="External"/><Relationship Id="rId329" Type="http://schemas.openxmlformats.org/officeDocument/2006/relationships/hyperlink" Target="https://dmd-browser.nhsbsa.nhs.uk/ampp/view/189948" TargetMode="External"/><Relationship Id="rId330" Type="http://schemas.openxmlformats.org/officeDocument/2006/relationships/hyperlink" Target="https://dmd-browser.nhsbsa.nhs.uk/ampp/view/90547" TargetMode="External"/><Relationship Id="rId331" Type="http://schemas.openxmlformats.org/officeDocument/2006/relationships/hyperlink" Target="https://dmd-browser.nhsbsa.nhs.uk/ampp/view/183004/" TargetMode="External"/><Relationship Id="rId332" Type="http://schemas.openxmlformats.org/officeDocument/2006/relationships/hyperlink" Target="https://dmd-browser.nhsbsa.nhs.uk/ampp/view/209804" TargetMode="External"/><Relationship Id="rId333" Type="http://schemas.openxmlformats.org/officeDocument/2006/relationships/hyperlink" Target="https://www.nhsbsa.nhs.uk/sites/default/files/2026-08/Part%20VIIIA%20Sep%2026.xls.xlsx" TargetMode="External"/><Relationship Id="rId334" Type="http://schemas.openxmlformats.org/officeDocument/2006/relationships/hyperlink" Target="https://dmd-browser.nhsbsa.nhs.uk/ampp/view/161747" TargetMode="External"/><Relationship Id="rId335" Type="http://schemas.openxmlformats.org/officeDocument/2006/relationships/hyperlink" Target="https://dmd-browser.nhsbsa.nhs.uk/ampp/view/197277" TargetMode="External"/><Relationship Id="rId336" Type="http://schemas.openxmlformats.org/officeDocument/2006/relationships/hyperlink" Target="https://dmd-browser.nhsbsa.nhs.uk/ampp/view/190887" TargetMode="External"/><Relationship Id="rId337" Type="http://schemas.openxmlformats.org/officeDocument/2006/relationships/hyperlink" Target="https://www.my-marien-apotheke.de/produkt/adrenalin-1-10-000-aguettant-inj-lsg-i-e-fert-s-11587497" TargetMode="External"/><Relationship Id="rId338" Type="http://schemas.openxmlformats.org/officeDocument/2006/relationships/hyperlink" Target="https://www.aponeo.de/rx/04262642-atracurium-hikma-25-mg-2-5-ml-ampullen.html" TargetMode="External"/><Relationship Id="rId339" Type="http://schemas.openxmlformats.org/officeDocument/2006/relationships/hyperlink" Target="https://www.aponeo.de/rx/17518273-atropin-accord-100-ug-ml-inj-lsg-i-e-fertigspr.html" TargetMode="External"/><Relationship Id="rId340" Type="http://schemas.openxmlformats.org/officeDocument/2006/relationships/hyperlink" Target="https://www.aponeo.de/rx/17518273-atropin-accord-100-ug-ml-inj-lsg-i-e-fertigspr.html" TargetMode="External"/><Relationship Id="rId341" Type="http://schemas.openxmlformats.org/officeDocument/2006/relationships/hyperlink" Target="https://www.aifa.gov.it/documents/20142/3815901/Classe_H_per_principio_attivo_30-04-2026.csv" TargetMode="External"/><Relationship Id="rId342" Type="http://schemas.openxmlformats.org/officeDocument/2006/relationships/hyperlink" Target="https://www.aifa.gov.it/documents/20142/3815901/Classe_H_per_principio_attivo_30-04-2026.csv" TargetMode="External"/><Relationship Id="rId343" Type="http://schemas.openxmlformats.org/officeDocument/2006/relationships/hyperlink" Target="https://www.kuchler-apotheken.de/bleomycin-accord-15.000-i.e.-p.z.h.e.inj.-inf.-l./15883146" TargetMode="External"/><Relationship Id="rId344" Type="http://schemas.openxmlformats.org/officeDocument/2006/relationships/hyperlink" Target="https://www.aifa.gov.it/documents/20142/3815901/Classe_H_per_principio_attivo_30-04-2026.csv" TargetMode="External"/><Relationship Id="rId345" Type="http://schemas.openxmlformats.org/officeDocument/2006/relationships/hyperlink" Target="https://www.aponeo.de/rx/17518209-camcevi-21-mg-3-monats-depot-inj-susp-fertigspr.html" TargetMode="External"/><Relationship Id="rId346" Type="http://schemas.openxmlformats.org/officeDocument/2006/relationships/hyperlink" Target="https://www.aifa.gov.it/documents/20142/3815901/Classe_H_per_principio_attivo_30-04-2026.csv" TargetMode="External"/><Relationship Id="rId347" Type="http://schemas.openxmlformats.org/officeDocument/2006/relationships/hyperlink" Target="https://www.aifa.gov.it/documents/20142/3815901/Classe_H_per_principio_attivo_30-04-2026.csv" TargetMode="External"/><Relationship Id="rId348" Type="http://schemas.openxmlformats.org/officeDocument/2006/relationships/hyperlink" Target="https://www.cms.gov/files/zip/october-2026-medicare-part-b-payment-limit-files-final.zip" TargetMode="External"/><Relationship Id="rId349" Type="http://schemas.openxmlformats.org/officeDocument/2006/relationships/hyperlink" Target="https://www.medicinpriser.dk/Default.aspx?VirksomtStof=Colistin" TargetMode="External"/><Relationship Id="rId350" Type="http://schemas.openxmlformats.org/officeDocument/2006/relationships/hyperlink" Target="https://www.aifa.gov.it/documents/20142/3815901/Classe_H_per_principio_attivo_30-04-2026.csv" TargetMode="External"/><Relationship Id="rId351" Type="http://schemas.openxmlformats.org/officeDocument/2006/relationships/hyperlink" Target="https://base-donnees-publique.medicaments.gouv.fr/medicament/65505947/extrait" TargetMode="External"/><Relationship Id="rId352" Type="http://schemas.openxmlformats.org/officeDocument/2006/relationships/hyperlink" Target="https://www.aifa.gov.it/documents/20142/3815901/Classe_H_per_principio_attivo_30-04-2026.csv" TargetMode="External"/><Relationship Id="rId353" Type="http://schemas.openxmlformats.org/officeDocument/2006/relationships/hyperlink" Target="https://www.aifa.gov.it/documents/20142/3815901/Classe_H_per_principio_attivo_30-04-2026.csv" TargetMode="External"/><Relationship Id="rId354" Type="http://schemas.openxmlformats.org/officeDocument/2006/relationships/hyperlink" Target="https://www.medicinpriser.dk/Default.aspx?VirksomtStof=Eptifibatid" TargetMode="External"/><Relationship Id="rId355" Type="http://schemas.openxmlformats.org/officeDocument/2006/relationships/hyperlink" Target="https://www.aifa.gov.it/documents/20142/3815901/Classe_H_per_principio_attivo_30-04-2026.csv" TargetMode="External"/><Relationship Id="rId356" Type="http://schemas.openxmlformats.org/officeDocument/2006/relationships/hyperlink" Target="https://www.aifa.gov.it/documents/20142/3815901/Classe_H_per_principio_attivo_30-04-2026.csv" TargetMode="External"/><Relationship Id="rId357" Type="http://schemas.openxmlformats.org/officeDocument/2006/relationships/hyperlink" Target="https://www.aponeo.de/rx/08630485-staphylex-injektion-500-mg-plv-z-h-e-inj-inf-l.html" TargetMode="External"/><Relationship Id="rId358" Type="http://schemas.openxmlformats.org/officeDocument/2006/relationships/hyperlink" Target="https://www.aifa.gov.it/documents/20142/3815901/Classe_H_per_principio_attivo_30-04-2026.csv" TargetMode="External"/><Relationship Id="rId359" Type="http://schemas.openxmlformats.org/officeDocument/2006/relationships/hyperlink" Target="https://www.aifa.gov.it/documents/20142/3815901/Classe_H_per_principio_attivo_30-04-2026.csv" TargetMode="External"/><Relationship Id="rId360" Type="http://schemas.openxmlformats.org/officeDocument/2006/relationships/hyperlink" Target="https://www.apoteket.dk/medicin/laegemidler/hydroxocobalamin-alternova" TargetMode="External"/><Relationship Id="rId361" Type="http://schemas.openxmlformats.org/officeDocument/2006/relationships/hyperlink" Target="https://www.aifa.gov.it/documents/20142/3815901/Classe_H_per_principio_attivo_30-04-2026.csv" TargetMode="External"/><Relationship Id="rId362" Type="http://schemas.openxmlformats.org/officeDocument/2006/relationships/hyperlink" Target="https://www.aifa.gov.it/documents/20142/3815901/Classe_H_per_principio_attivo_30-04-2026.csv" TargetMode="External"/><Relationship Id="rId363" Type="http://schemas.openxmlformats.org/officeDocument/2006/relationships/hyperlink" Target="https://www.medicijnkosten.nl/medicijn?artikel=MELFALAN+AMAROX+INJ%2FINFUSIEPOEDER+FL50MG%2BSV+10ML&amp;id=35352a89252a9fdd69fd915f3d070528" TargetMode="External"/><Relationship Id="rId364" Type="http://schemas.openxmlformats.org/officeDocument/2006/relationships/hyperlink" Target="https://www.aifa.gov.it/documents/20142/3815901/Classe_H_per_principio_attivo_30-04-2026.csv" TargetMode="External"/><Relationship Id="rId365" Type="http://schemas.openxmlformats.org/officeDocument/2006/relationships/hyperlink" Target="https://www.aifa.gov.it/documents/20142/3815901/Classe_H_per_principio_attivo_30-04-2026.csv" TargetMode="External"/><Relationship Id="rId366" Type="http://schemas.openxmlformats.org/officeDocument/2006/relationships/hyperlink" Target="https://www.aifa.gov.it/documents/20142/3815901/Classe_H_per_principio_attivo_30-04-2026.csv" TargetMode="External"/><Relationship Id="rId367" Type="http://schemas.openxmlformats.org/officeDocument/2006/relationships/hyperlink" Target="https://www.aifa.gov.it/documents/20142/3815901/Classe_H_per_principio_attivo_30-04-2026.csv" TargetMode="External"/><Relationship Id="rId368" Type="http://schemas.openxmlformats.org/officeDocument/2006/relationships/hyperlink" Target="https://www.aifa.gov.it/documents/20142/3815901/Classe_H_per_principio_attivo_30-04-2026.csv" TargetMode="External"/><Relationship Id="rId369" Type="http://schemas.openxmlformats.org/officeDocument/2006/relationships/hyperlink" Target="https://www.aifa.gov.it/documents/20142/3815901/Classe_H_per_principio_attivo_30-04-2026.csv" TargetMode="External"/><Relationship Id="rId370" Type="http://schemas.openxmlformats.org/officeDocument/2006/relationships/hyperlink" Target="https://openprescribing.net/dmd/ampp/23595411000001105" TargetMode="External"/><Relationship Id="rId371" Type="http://schemas.openxmlformats.org/officeDocument/2006/relationships/hyperlink" Target="https://www.aifa.gov.it/documents/20142/3815901/Classe_H_per_principio_attivo_30-04-2026.csv" TargetMode="External"/><Relationship Id="rId372" Type="http://schemas.openxmlformats.org/officeDocument/2006/relationships/hyperlink" Target="https://www.aifa.gov.it/documents/20142/3815901/Classe_H_per_principio_attivo_30-04-2026.csv" TargetMode="External"/><Relationship Id="rId373" Type="http://schemas.openxmlformats.org/officeDocument/2006/relationships/hyperlink" Target="https://www.aifa.gov.it/documents/20142/3815901/Classe_H_per_principio_attivo_30-04-2026.csv" TargetMode="External"/><Relationship Id="rId374" Type="http://schemas.openxmlformats.org/officeDocument/2006/relationships/hyperlink" Target="https://www.aifa.gov.it/documents/20142/3815901/Classe_A_per_principio_attivo_30-04-2026.csv" TargetMode="External"/><Relationship Id="rId375" Type="http://schemas.openxmlformats.org/officeDocument/2006/relationships/hyperlink" Target="https://www.aifa.gov.it/documents/20142/3815901/Classe_H_per_principio_attivo_30-04-2026.csv" TargetMode="External"/><Relationship Id="rId376" Type="http://schemas.openxmlformats.org/officeDocument/2006/relationships/hyperlink" Target="https://www.aifa.gov.it/documents/20142/3815901/Classe_H_per_principio_attivo_30-04-2026.csv" TargetMode="External"/><Relationship Id="rId377" Type="http://schemas.openxmlformats.org/officeDocument/2006/relationships/hyperlink" Target="https://www.ab.bluecross.ca/dbl/pdfs/ABCDPL_2026_01_07.pdf" TargetMode="External"/><Relationship Id="rId378" Type="http://schemas.openxmlformats.org/officeDocument/2006/relationships/hyperlink" Target="https://www.ncbi.nlm.nih.gov/books/NBK611313/table/tr8269868067037182_ch02_t09/" TargetMode="External"/><Relationship Id="rId379" Type="http://schemas.openxmlformats.org/officeDocument/2006/relationships/hyperlink" Target="https://www.ab.bluecross.ca/dbl/pdfs/ABCDPL_2026_04_07.pdf" TargetMode="External"/><Relationship Id="rId380" Type="http://schemas.openxmlformats.org/officeDocument/2006/relationships/hyperlink" Target="https://www.ncbi.nlm.nih.gov/books/NBK601789/table/tr826986112990278_ch02_t06/" TargetMode="External"/><Relationship Id="rId381" Type="http://schemas.openxmlformats.org/officeDocument/2006/relationships/hyperlink" Target="https://www.formulary.health.gov.on.ca/formulary/detail.xhtml?drugId=02464365" TargetMode="External"/><Relationship Id="rId382" Type="http://schemas.openxmlformats.org/officeDocument/2006/relationships/hyperlink" Target="https://www.ab.bluecross.ca/dbl/pdfs/ABCDPL_2026_04_07.pdf" TargetMode="External"/><Relationship Id="rId383" Type="http://schemas.openxmlformats.org/officeDocument/2006/relationships/hyperlink" Target="https://www.ab.bluecross.ca/dbl/pdfs/ABCDPL_2026_09_04.pdf" TargetMode="External"/><Relationship Id="rId384" Type="http://schemas.openxmlformats.org/officeDocument/2006/relationships/hyperlink" Target="https://www.ab.bluecross.ca/dbl/pdfs/ABCDPL_2026_09_04.pdf" TargetMode="External"/><Relationship Id="rId385" Type="http://schemas.openxmlformats.org/officeDocument/2006/relationships/hyperlink" Target="https://www.formulary.health.gov.on.ca/formulary/detail.xhtml?drugId=02491281" TargetMode="External"/><Relationship Id="rId386" Type="http://schemas.openxmlformats.org/officeDocument/2006/relationships/hyperlink" Target="https://www.formulary.health.gov.on.ca/formulary/detail.xhtml?drugId=02491303" TargetMode="External"/><Relationship Id="rId387" Type="http://schemas.openxmlformats.org/officeDocument/2006/relationships/hyperlink" Target="https://www.pbs.gov.au/industry/pricing/price-disclosure-spd/current-price-disclosure-cycle" TargetMode="External"/><Relationship Id="rId388" Type="http://schemas.openxmlformats.org/officeDocument/2006/relationships/hyperlink" Target="https://www.pbs.gov.au/industry/pricing/price-disclosure-spd/current-price-disclosure-cycle" TargetMode="External"/><Relationship Id="rId389" Type="http://schemas.openxmlformats.org/officeDocument/2006/relationships/hyperlink" Target="https://www.pbs.gov.au/industry/pricing/ex-manufacturer-price/2026/09/ex-manufacturer-prices-efc-2026-09-01.XLSX" TargetMode="External"/><Relationship Id="rId390" Type="http://schemas.openxmlformats.org/officeDocument/2006/relationships/hyperlink" Target="https://department.va.gov/procurement-acquisition-and-logistics/wp-content/uploads/sites/56/2026/10/TPharmPrices2026-10-01.xlsx" TargetMode="External"/><Relationship Id="rId391" Type="http://schemas.openxmlformats.org/officeDocument/2006/relationships/hyperlink" Target="https://www.cms.gov/files/zip/october-2026-medicare-part-b-payment-limit-files-final.zip" TargetMode="External"/><Relationship Id="rId392" Type="http://schemas.openxmlformats.org/officeDocument/2006/relationships/hyperlink" Target="https://www.chemistwarehouse.com.au/buy/90218/midazolam-5mg-ml-injection-10-midazolam" TargetMode="External"/><Relationship Id="rId393" Type="http://schemas.openxmlformats.org/officeDocument/2006/relationships/hyperlink" Target="https://www.nhsbsa.nhs.uk/sites/default/files/2026-09/Part%20VIIIA%20Oct%202026.xlsx" TargetMode="External"/><Relationship Id="rId394" Type="http://schemas.openxmlformats.org/officeDocument/2006/relationships/hyperlink" Target="https://www.nhsbsa.nhs.uk/sites/default/files/2026-09/Part%20VIIIA%20Oct%202026.xlsx" TargetMode="External"/><Relationship Id="rId395" Type="http://schemas.openxmlformats.org/officeDocument/2006/relationships/hyperlink" Target="https://www.nhsbsa.nhs.uk/sites/default/files/2026-09/Part%20VIIIA%20Oct%202026.xlsx" TargetMode="External"/><Relationship Id="rId396" Type="http://schemas.openxmlformats.org/officeDocument/2006/relationships/hyperlink" Target="https://www.nhsbsa.nhs.uk/sites/default/files/2026-09/Part%20VIIIA%20Oct%202026.xlsx" TargetMode="External"/><Relationship Id="rId397" Type="http://schemas.openxmlformats.org/officeDocument/2006/relationships/hyperlink" Target="https://www.pbs.gov.au/industry/pricing/ex-manufacturer-price/2026/09/ex-manufacturer-prices-efc-2026-09-01.XLSX" TargetMode="External"/><Relationship Id="rId398" Type="http://schemas.openxmlformats.org/officeDocument/2006/relationships/hyperlink" Target="https://www.pbs.gov.au/industry/pricing/ex-manufacturer-price/2026/09/ex-manufacturer-prices-non-efc-2026-09-01.XLSX" TargetMode="External"/><Relationship Id="rId399" Type="http://schemas.openxmlformats.org/officeDocument/2006/relationships/hyperlink" Target="https://www.nhsbsa.nhs.uk/sites/default/files/2026-09/Part%20VIIIA%20Oct%202026.xlsx" TargetMode="External"/><Relationship Id="rId400" Type="http://schemas.openxmlformats.org/officeDocument/2006/relationships/hyperlink" Target="https://www.pbs.gov.au/industry/pricing/ex-manufacturer-price/2026/09/ex-manufacturer-prices-efc-2026-09-01.XLSX" TargetMode="External"/><Relationship Id="rId401" Type="http://schemas.openxmlformats.org/officeDocument/2006/relationships/hyperlink" Target="https://www.pbs.gov.au/industry/pricing/ex-manufacturer-price/2026/09/ex-manufacturer-prices-efc-2026-09-01.XLSX" TargetMode="External"/><Relationship Id="rId402" Type="http://schemas.openxmlformats.org/officeDocument/2006/relationships/hyperlink" Target="https://www.pbs.gov.au/industry/pricing/ex-manufacturer-price/2026/09/ex-manufacturer-prices-efc-2026-09-01.XLSX" TargetMode="External"/><Relationship Id="rId403" Type="http://schemas.openxmlformats.org/officeDocument/2006/relationships/hyperlink" Target="https://www.pbs.gov.au/industry/pricing/ex-manufacturer-price/2026/09/ex-manufacturer-prices-efc-2026-09-01.XLSX" TargetMode="External"/><Relationship Id="rId404" Type="http://schemas.openxmlformats.org/officeDocument/2006/relationships/hyperlink" Target="https://www.pbs.gov.au/industry/pricing/ex-manufacturer-price/2026/09/ex-manufacturer-prices-non-efc-2026-09-01.XLSX" TargetMode="External"/><Relationship Id="rId405" Type="http://schemas.openxmlformats.org/officeDocument/2006/relationships/hyperlink" Target="https://www.pbs.gov.au/industry/pricing/ex-manufacturer-price/2026/09/ex-manufacturer-prices-efc-2026-09-01.XLSX" TargetMode="External"/><Relationship Id="rId406" Type="http://schemas.openxmlformats.org/officeDocument/2006/relationships/hyperlink" Target="https://www.health.gov.za/nhi-pee/" TargetMode="External"/><Relationship Id="rId407" Type="http://schemas.openxmlformats.org/officeDocument/2006/relationships/hyperlink" Target="https://medicineprices.org.za/" TargetMode="External"/><Relationship Id="rId408" Type="http://schemas.openxmlformats.org/officeDocument/2006/relationships/hyperlink" Target="https://medicineprices.org.za/" TargetMode="External"/><Relationship Id="rId409" Type="http://schemas.openxmlformats.org/officeDocument/2006/relationships/hyperlink" Target="https://www.health.gov.za/nhi-pee/" TargetMode="External"/><Relationship Id="rId410" Type="http://schemas.openxmlformats.org/officeDocument/2006/relationships/hyperlink" Target="https://www.health.gov.za/nhi-pee/" TargetMode="External"/><Relationship Id="rId411" Type="http://schemas.openxmlformats.org/officeDocument/2006/relationships/hyperlink" Target="https://medicineprices.org.za/" TargetMode="External"/><Relationship Id="rId412" Type="http://schemas.openxmlformats.org/officeDocument/2006/relationships/hyperlink" Target="https://www.health.gov.za/nhi-pee/" TargetMode="External"/><Relationship Id="rId413" Type="http://schemas.openxmlformats.org/officeDocument/2006/relationships/hyperlink" Target="https://www.health.gov.za/nhi-pee/" TargetMode="External"/><Relationship Id="rId414" Type="http://schemas.openxmlformats.org/officeDocument/2006/relationships/hyperlink" Target="https://www.health.gov.za/nhi-pee/" TargetMode="External"/><Relationship Id="rId415" Type="http://schemas.openxmlformats.org/officeDocument/2006/relationships/hyperlink" Target="https://www.health.gov.za/nhi-pee/" TargetMode="External"/><Relationship Id="rId416" Type="http://schemas.openxmlformats.org/officeDocument/2006/relationships/hyperlink" Target="https://www.health.gov.za/nhi-pee/" TargetMode="External"/><Relationship Id="rId417" Type="http://schemas.openxmlformats.org/officeDocument/2006/relationships/hyperlink" Target="https://medicineprices.org.za/" TargetMode="External"/><Relationship Id="rId418" Type="http://schemas.openxmlformats.org/officeDocument/2006/relationships/hyperlink" Target="https://medicineprices.org.za/" TargetMode="External"/><Relationship Id="rId419" Type="http://schemas.openxmlformats.org/officeDocument/2006/relationships/hyperlink" Target="https://www.health.gov.za/nhi-pee/" TargetMode="External"/><Relationship Id="rId420" Type="http://schemas.openxmlformats.org/officeDocument/2006/relationships/hyperlink" Target="https://www.health.gov.za/nhi-pee/" TargetMode="External"/><Relationship Id="rId421" Type="http://schemas.openxmlformats.org/officeDocument/2006/relationships/hyperlink" Target="https://www.cms.gov/files/zip/october-2026-medicare-part-b-payment-limit-files-final.zip" TargetMode="External"/><Relationship Id="rId422" Type="http://schemas.openxmlformats.org/officeDocument/2006/relationships/hyperlink" Target="https://www.cms.gov/files/zip/october-2026-medicare-part-b-payment-limit-files-final.zip" TargetMode="External"/><Relationship Id="rId423" Type="http://schemas.openxmlformats.org/officeDocument/2006/relationships/hyperlink" Target="https://www.drugs.com/price-guide/sugammadex" TargetMode="External"/><Relationship Id="rId424" Type="http://schemas.openxmlformats.org/officeDocument/2006/relationships/hyperlink" Target="https://www.drugs.com/price-guide/sugammadex" TargetMode="External"/><Relationship Id="rId425" Type="http://schemas.openxmlformats.org/officeDocument/2006/relationships/hyperlink" Target="https://michaelschemist.com.au/products/zyprexavl10mg1" TargetMode="External"/><Relationship Id="rId426" Type="http://schemas.openxmlformats.org/officeDocument/2006/relationships/hyperlink" Target="https://www.cms.gov/files/zip/october-2026-medicare-part-b-payment-limit-files-final.zip" TargetMode="External"/><Relationship Id="rId427" Type="http://schemas.openxmlformats.org/officeDocument/2006/relationships/hyperlink" Target="https://www.cms.gov/files/zip/october-2026-medicare-part-b-payment-limit-files-final.zip" TargetMode="External"/><Relationship Id="rId428" Type="http://schemas.openxmlformats.org/officeDocument/2006/relationships/hyperlink" Target="https://www.pbs.gov.au/industry/pricing/ex-manufacturer-price/2026/10/ex-manufacturer-prices-non-efc-2026-10-01.XLSX" TargetMode="External"/><Relationship Id="rId429" Type="http://schemas.openxmlformats.org/officeDocument/2006/relationships/hyperlink" Target="https://michaelschemist.com.au/products/teicoplaninpwdrforinj400mg1" TargetMode="External"/><Relationship Id="rId430" Type="http://schemas.openxmlformats.org/officeDocument/2006/relationships/hyperlink" Target="https://www.cms.gov/files/zip/october-2026-medicare-part-b-payment-limit-files-final.zip" TargetMode="External"/><Relationship Id="rId431" Type="http://schemas.openxmlformats.org/officeDocument/2006/relationships/hyperlink" Target="https://www.cms.gov/files/zip/october-2026-medicare-part-b-payment-limit-files-final.zip" TargetMode="External"/><Relationship Id="rId432" Type="http://schemas.openxmlformats.org/officeDocument/2006/relationships/hyperlink" Target="https://department.va.gov/procurement-acquisition-and-logistics/wp-content/uploads/sites/56/2026/10/TPharmPrices2026-10-01.xlsx" TargetMode="External"/><Relationship Id="rId433" Type="http://schemas.openxmlformats.org/officeDocument/2006/relationships/hyperlink" Target="https://michaelschemist.com.au/products/meropenemran500mginj5" TargetMode="External"/><Relationship Id="rId434" Type="http://schemas.openxmlformats.org/officeDocument/2006/relationships/hyperlink" Target="https://www.medshop.com.au/products/meropenem-ranbaxy-1g-vial-5-meropenem-1000mg-vial" TargetMode="External"/><Relationship Id="rId435" Type="http://schemas.openxmlformats.org/officeDocument/2006/relationships/hyperlink" Target="https://www.cms.gov/files/zip/october-2026-medicare-part-b-payment-limit-files-final.zip" TargetMode="External"/><Relationship Id="rId436" Type="http://schemas.openxmlformats.org/officeDocument/2006/relationships/hyperlink" Target="https://www.cms.gov/files/zip/october-2026-medicare-part-b-payment-limit-files-final.zip" TargetMode="External"/><Relationship Id="rId437" Type="http://schemas.openxmlformats.org/officeDocument/2006/relationships/hyperlink" Target="https://www.healthylife.com.au/products/oxytocin-generic-10iu1ml-x-5-ampoules" TargetMode="External"/><Relationship Id="rId438" Type="http://schemas.openxmlformats.org/officeDocument/2006/relationships/hyperlink" Target="https://www.cms.gov/files/zip/october-2026-medicare-part-b-payment-limit-files-final.zip" TargetMode="External"/><Relationship Id="rId439" Type="http://schemas.openxmlformats.org/officeDocument/2006/relationships/hyperlink" Target="https://michaelschemist.com.au/products/rapifenalfentanil1mg2f2mlampx5" TargetMode="External"/><Relationship Id="rId440" Type="http://schemas.openxmlformats.org/officeDocument/2006/relationships/hyperlink" Target="https://department.va.gov/procurement-acquisition-and-logistics/wp-content/uploads/sites/56/2026/10/TPharmPrices2026-10-01.xlsx" TargetMode="External"/><Relationship Id="rId441" Type="http://schemas.openxmlformats.org/officeDocument/2006/relationships/hyperlink" Target="https://medicineprices.org.za/" TargetMode="External"/><Relationship Id="rId442" Type="http://schemas.openxmlformats.org/officeDocument/2006/relationships/hyperlink" Target="https://www.health.gov.za/nhi-pee/" TargetMode="External"/><Relationship Id="rId443" Type="http://schemas.openxmlformats.org/officeDocument/2006/relationships/hyperlink" Target="https://www.health.gov.za/nhi-pee/" TargetMode="External"/><Relationship Id="rId444" Type="http://schemas.openxmlformats.org/officeDocument/2006/relationships/hyperlink" Target="https://medicineprices.org.za/" TargetMode="External"/><Relationship Id="rId445" Type="http://schemas.openxmlformats.org/officeDocument/2006/relationships/hyperlink" Target="https://medicineprices.org.za/" TargetMode="External"/><Relationship Id="rId446" Type="http://schemas.openxmlformats.org/officeDocument/2006/relationships/hyperlink" Target="https://medicineprices.org.za/" TargetMode="External"/><Relationship Id="rId447" Type="http://schemas.openxmlformats.org/officeDocument/2006/relationships/hyperlink" Target="https://medicineprices.org.za/" TargetMode="External"/><Relationship Id="rId448" Type="http://schemas.openxmlformats.org/officeDocument/2006/relationships/hyperlink" Target="https://www.health.gov.za/nhi-pee/" TargetMode="External"/><Relationship Id="rId449" Type="http://schemas.openxmlformats.org/officeDocument/2006/relationships/hyperlink" Target="https://www.health.gov.za/nhi-pee/" TargetMode="External"/><Relationship Id="rId450" Type="http://schemas.openxmlformats.org/officeDocument/2006/relationships/hyperlink" Target="https://www.health.gov.za/nhi-pee/" TargetMode="External"/><Relationship Id="rId451" Type="http://schemas.openxmlformats.org/officeDocument/2006/relationships/hyperlink" Target="https://www.drugs.com/price-guide/carboprost" TargetMode="External"/><Relationship Id="rId452" Type="http://schemas.openxmlformats.org/officeDocument/2006/relationships/hyperlink" Target="https://www.mountainside-medical.com/products/diphenhydramine-injection-50-mg-ml-single-dose-vials-1-ml-x-25-pack" TargetMode="External"/><Relationship Id="rId453" Type="http://schemas.openxmlformats.org/officeDocument/2006/relationships/hyperlink" Target="https://www.drugs.com/price-guide/isoproterenol" TargetMode="External"/><Relationship Id="rId454" Type="http://schemas.openxmlformats.org/officeDocument/2006/relationships/hyperlink" Target="https://www.drugs.com/price-guide/lincomycin" TargetMode="External"/><Relationship Id="rId455" Type="http://schemas.openxmlformats.org/officeDocument/2006/relationships/hyperlink" Target="https://department.va.gov/procurement-acquisition-and-logistics/wp-content/uploads/sites/56/2026/10/TPharmPrices2026-10-01.xlsx" TargetMode="External"/><Relationship Id="rId456" Type="http://schemas.openxmlformats.org/officeDocument/2006/relationships/hyperlink" Target="https://www.drugs.com/price-guide/brivaracetam" TargetMode="External"/><Relationship Id="rId457" Type="http://schemas.openxmlformats.org/officeDocument/2006/relationships/hyperlink" Target="https://www.drugs.com/price-guide/verapamil" TargetMode="External"/><Relationship Id="rId458" Type="http://schemas.openxmlformats.org/officeDocument/2006/relationships/hyperlink" Target="https://www.drugs.com/price-guide/verapamil" TargetMode="External"/><Relationship Id="rId459" Type="http://schemas.openxmlformats.org/officeDocument/2006/relationships/hyperlink" Target="https://www.medicinpriser.dk/Default.aspx?VirksomtStof=Caffein&amp;lng=2" TargetMode="External"/><Relationship Id="rId460" Type="http://schemas.openxmlformats.org/officeDocument/2006/relationships/hyperlink" Target="https://www.medicinpriser.dk/Default.aspx?VirksomtStof=Caffein&amp;lng=2" TargetMode="External"/><Relationship Id="rId461" Type="http://schemas.openxmlformats.org/officeDocument/2006/relationships/hyperlink" Target="https://michaelschemist.com.au/products/valoidinj50mg2f1ml5" TargetMode="External"/><Relationship Id="rId462" Type="http://schemas.openxmlformats.org/officeDocument/2006/relationships/hyperlink" Target="https://www.medshop.com.au/products/levetiracetam-500mg5ml-vial-10-levetiracetam-500mg5ml-vial" TargetMode="External"/><Relationship Id="rId463" Type="http://schemas.openxmlformats.org/officeDocument/2006/relationships/hyperlink" Target="https://www.drugs.com/price-guide/chlorpromazine" TargetMode="External"/><Relationship Id="rId464" Type="http://schemas.openxmlformats.org/officeDocument/2006/relationships/hyperlink" Target="https://www.drugs.com/price-guide/fluphenazine" TargetMode="External"/><Relationship Id="rId465" Type="http://schemas.openxmlformats.org/officeDocument/2006/relationships/hyperlink" Target="https://www.drugs.com/price-guide/bortezomib" TargetMode="External"/><Relationship Id="rId466" Type="http://schemas.openxmlformats.org/officeDocument/2006/relationships/hyperlink" Target="https://www.drugs.com/price-guide/brivaracetam" TargetMode="External"/><Relationship Id="rId467" Type="http://schemas.openxmlformats.org/officeDocument/2006/relationships/hyperlink" Target="https://www.drugs.com/price-guide/sugammadex" TargetMode="External"/><Relationship Id="rId468" Type="http://schemas.openxmlformats.org/officeDocument/2006/relationships/hyperlink" Target="https://www.drugs.com/price-guide/sugammadex" TargetMode="External"/><Relationship Id="rId469" Type="http://schemas.openxmlformats.org/officeDocument/2006/relationships/hyperlink" Target="https://www.drugs.com/price-guide/plerixafor" TargetMode="External"/><Relationship Id="rId470" Type="http://schemas.openxmlformats.org/officeDocument/2006/relationships/hyperlink" Target="https://dmd-browser.nhsbsa.nhs.uk/ampp/view/208635" TargetMode="External"/><Relationship Id="rId471" Type="http://schemas.openxmlformats.org/officeDocument/2006/relationships/hyperlink" Target="https://dmd-browser.nhsbsa.nhs.uk/ampp/view/203257" TargetMode="External"/><Relationship Id="rId472" Type="http://schemas.openxmlformats.org/officeDocument/2006/relationships/hyperlink" Target="https://dmd-browser.nhsbsa.nhs.uk/ampp/view/204692" TargetMode="External"/><Relationship Id="rId473" Type="http://schemas.openxmlformats.org/officeDocument/2006/relationships/hyperlink" Target="https://zoek.officielebekendmakingen.nl/stcrt-2026-7257.html" TargetMode="External"/><Relationship Id="rId474" Type="http://schemas.openxmlformats.org/officeDocument/2006/relationships/hyperlink" Target="https://www.pbs.gov.au/industry/pricing/ex-manufacturer-price/2026/09/ex-manufacturer-prices-efc-2026-09-01.XLSX" TargetMode="External"/><Relationship Id="rId475" Type="http://schemas.openxmlformats.org/officeDocument/2006/relationships/hyperlink" Target="https://www.drugs.com/price-guide/bupivacaine" TargetMode="External"/><Relationship Id="rId476" Type="http://schemas.openxmlformats.org/officeDocument/2006/relationships/hyperlink" Target="https://www.drugs.com/price-guide/bupivacaine" TargetMode="External"/><Relationship Id="rId477" Type="http://schemas.openxmlformats.org/officeDocument/2006/relationships/hyperlink" Target="https://www.drugs.com/price-guide/carboprost" TargetMode="External"/><Relationship Id="rId478" Type="http://schemas.openxmlformats.org/officeDocument/2006/relationships/hyperlink" Target="https://department.va.gov/procurement-acquisition-and-logistics/wp-content/uploads/sites/56/2026/10/TPharmPrices2026-10-01.xlsx" TargetMode="External"/><Relationship Id="rId479" Type="http://schemas.openxmlformats.org/officeDocument/2006/relationships/hyperlink" Target="https://www.drugs.com/price-guide/nafcillin" TargetMode="External"/><Relationship Id="rId480" Type="http://schemas.openxmlformats.org/officeDocument/2006/relationships/hyperlink" Target="https://www.drugs.com/price-guide/nafcillin" TargetMode="External"/><Relationship Id="rId481" Type="http://schemas.openxmlformats.org/officeDocument/2006/relationships/hyperlink" Target="https://www.aponeo.de/rx/19949801-meropenem-hexal-500-mg-plv-z-her-e-inj-o-inf-lsg.html" TargetMode="External"/><Relationship Id="rId482" Type="http://schemas.openxmlformats.org/officeDocument/2006/relationships/hyperlink" Target="https://www.aifa.gov.it/documents/20142/3815901/Classe_H_per_principio_attivo_30-04-2026.csv" TargetMode="External"/><Relationship Id="rId483" Type="http://schemas.openxmlformats.org/officeDocument/2006/relationships/hyperlink" Target="https://www.aponeo.de/rx/19949801-meropenem-hexal-500-mg-plv-z-her-e-inj-o-inf-lsg.html" TargetMode="External"/><Relationship Id="rId484" Type="http://schemas.openxmlformats.org/officeDocument/2006/relationships/hyperlink" Target="https://www.drugs.com/price-guide/cisatracurium" TargetMode="External"/><Relationship Id="rId485" Type="http://schemas.openxmlformats.org/officeDocument/2006/relationships/hyperlink" Target="https://www.drugs.com/price-guide/cisatracurium" TargetMode="External"/><Relationship Id="rId486" Type="http://schemas.openxmlformats.org/officeDocument/2006/relationships/hyperlink" Target="https://department.va.gov/procurement-acquisition-and-logistics/wp-content/uploads/sites/56/2026/10/TPharmPrices2026-10-01.xlsx" TargetMode="External"/><Relationship Id="rId487" Type="http://schemas.openxmlformats.org/officeDocument/2006/relationships/hyperlink" Target="https://dmd-browser.nhsbsa.nhs.uk/ampp/view/195045" TargetMode="External"/><Relationship Id="rId488" Type="http://schemas.openxmlformats.org/officeDocument/2006/relationships/hyperlink" Target="https://medicineprices.org.za/" TargetMode="External"/><Relationship Id="rId489" Type="http://schemas.openxmlformats.org/officeDocument/2006/relationships/hyperlink" Target="https://mediately.co/it/drugs/3ytjMRFtaIbVwcIRVFvxl1oiBXA/alfentanil-piramal-5-fiale-ev-10-ml-0-5-mg-ml" TargetMode="External"/><Relationship Id="rId490" Type="http://schemas.openxmlformats.org/officeDocument/2006/relationships/hyperlink" Target="https://www.shop-apotheke.com/arzneimittel/1854738/hypnomidate-2-mg-ml.htm" TargetMode="External"/><Relationship Id="rId491" Type="http://schemas.openxmlformats.org/officeDocument/2006/relationships/hyperlink" Target="https://department.va.gov/procurement-acquisition-and-logistics/wp-content/uploads/sites/56/2026/10/TPharmPrices2026-10-01.xlsx" TargetMode="External"/><Relationship Id="rId492" Type="http://schemas.openxmlformats.org/officeDocument/2006/relationships/hyperlink" Target="https://www.aifa.gov.it/documents/20142/3815901/Classe_H_per_principio_attivo_30-04-2026.csv" TargetMode="External"/><Relationship Id="rId493" Type="http://schemas.openxmlformats.org/officeDocument/2006/relationships/hyperlink" Target="https://michaelschemist.com.au/products/rapifenalfentanil1mg2f2mlampx5" TargetMode="External"/><Relationship Id="rId494" Type="http://schemas.openxmlformats.org/officeDocument/2006/relationships/hyperlink" Target="https://www.health.gov.za/nhi-pee/" TargetMode="External"/><Relationship Id="rId495" Type="http://schemas.openxmlformats.org/officeDocument/2006/relationships/hyperlink" Target="https://medicineprices.org.za/" TargetMode="External"/><Relationship Id="rId496" Type="http://schemas.openxmlformats.org/officeDocument/2006/relationships/hyperlink" Target="https://medicineprices.org.za/" TargetMode="External"/><Relationship Id="rId497" Type="http://schemas.openxmlformats.org/officeDocument/2006/relationships/hyperlink" Target="https://medicineprices.org.za/" TargetMode="External"/><Relationship Id="rId498" Type="http://schemas.openxmlformats.org/officeDocument/2006/relationships/hyperlink" Target="https://dmd-browser.nhsbsa.nhs.uk/ampp/view/175452" TargetMode="External"/><Relationship Id="rId499" Type="http://schemas.openxmlformats.org/officeDocument/2006/relationships/hyperlink" Target="https://www.aifa.gov.it/documents/20142/3815901/Classe_H_per_principio_attivo_30-04-2026.csv" TargetMode="External"/><Relationship Id="rId500" Type="http://schemas.openxmlformats.org/officeDocument/2006/relationships/hyperlink" Target="https://www.aifa.gov.it/documents/20142/3815901/Classe_H_per_principio_attivo_30-04-2026.csv" TargetMode="External"/><Relationship Id="rId501" Type="http://schemas.openxmlformats.org/officeDocument/2006/relationships/hyperlink" Target="https://www.healthylife.com.au/products/ceftazidime-1g-x-1-vial" TargetMode="External"/><Relationship Id="rId502" Type="http://schemas.openxmlformats.org/officeDocument/2006/relationships/hyperlink" Target="https://www.healthylife.com.au/products/ceftazidime-1g-x-1-vial" TargetMode="External"/><Relationship Id="rId503" Type="http://schemas.openxmlformats.org/officeDocument/2006/relationships/hyperlink" Target="https://michaelschemist.com.au/products/cefepimepwdrforinj1gvial1" TargetMode="External"/><Relationship Id="rId504" Type="http://schemas.openxmlformats.org/officeDocument/2006/relationships/hyperlink" Target="https://michaelschemist.com.au/collections/prescriptions/products/cefepimepwdrforinj2gvial1" TargetMode="External"/><Relationship Id="rId505" Type="http://schemas.openxmlformats.org/officeDocument/2006/relationships/hyperlink" Target="https://michaelschemist.com.au/products/piperacillinsodium4gtazobactamsodium05gvial" TargetMode="External"/><Relationship Id="rId506" Type="http://schemas.openxmlformats.org/officeDocument/2006/relationships/hyperlink" Target="https://michaelschemist.com.au/products/piperacillinsodium4gtazobactamsodium05gvial" TargetMode="External"/><Relationship Id="rId507" Type="http://schemas.openxmlformats.org/officeDocument/2006/relationships/hyperlink" Target="https://medicineprices.org.za/" TargetMode="External"/><Relationship Id="rId508" Type="http://schemas.openxmlformats.org/officeDocument/2006/relationships/hyperlink" Target="https://www.drugs.com/price-guide/chlorothiazide" TargetMode="External"/><Relationship Id="rId509" Type="http://schemas.openxmlformats.org/officeDocument/2006/relationships/hyperlink" Target="https://www.drugs.com/price-guide/doxorubicin" TargetMode="External"/><Relationship Id="rId510" Type="http://schemas.openxmlformats.org/officeDocument/2006/relationships/hyperlink" Target="https://www.drugs.com/price-guide/sugammadex" TargetMode="External"/><Relationship Id="rId511" Type="http://schemas.openxmlformats.org/officeDocument/2006/relationships/hyperlink" Target="https://www.drugs.com/price-guide/sugammadex" TargetMode="External"/><Relationship Id="rId512" Type="http://schemas.openxmlformats.org/officeDocument/2006/relationships/hyperlink" Target="https://dmd-browser.nhsbsa.nhs.uk/ampp/view/195579" TargetMode="External"/><Relationship Id="rId513" Type="http://schemas.openxmlformats.org/officeDocument/2006/relationships/hyperlink" Target="https://www.nhsbsa.nhs.uk/sites/default/files/2022-06/Drug%20Tariff%20Part%20VIIIA%20July%202022.pdf" TargetMode="External"/><Relationship Id="rId514" Type="http://schemas.openxmlformats.org/officeDocument/2006/relationships/hyperlink" Target="https://dmd-browser.nhsbsa.nhs.uk/ampp/view/193706" TargetMode="External"/><Relationship Id="rId515" Type="http://schemas.openxmlformats.org/officeDocument/2006/relationships/hyperlink" Target="https://dmd-browser.nhsbsa.nhs.uk/ampp/view/211689" TargetMode="External"/><Relationship Id="rId516" Type="http://schemas.openxmlformats.org/officeDocument/2006/relationships/hyperlink" Target="https://www.nhsbsa.nhs.uk/sites/default/files/2026-08/Part%20VIIIA%20Sep%2026.xls.xlsx" TargetMode="External"/><Relationship Id="rId517" Type="http://schemas.openxmlformats.org/officeDocument/2006/relationships/hyperlink" Target="https://dmd-browser.nhsbsa.nhs.uk/ampp/view/212956" TargetMode="External"/><Relationship Id="rId518" Type="http://schemas.openxmlformats.org/officeDocument/2006/relationships/hyperlink" Target="https://dmd-browser.nhsbsa.nhs.uk/ampp/view/198278" TargetMode="External"/><Relationship Id="rId519" Type="http://schemas.openxmlformats.org/officeDocument/2006/relationships/hyperlink" Target="https://dmd-browser.nhsbsa.nhs.uk/ampp/view/96481" TargetMode="External"/><Relationship Id="rId520" Type="http://schemas.openxmlformats.org/officeDocument/2006/relationships/hyperlink" Target="https://dmd-browser.nhsbsa.nhs.uk/ampp/view/175452" TargetMode="External"/><Relationship Id="rId521" Type="http://schemas.openxmlformats.org/officeDocument/2006/relationships/hyperlink" Target="https://www.aifa.gov.it/documents/20142/3815901/Classe_H_per_principio_attivo_30-04-2026.csv" TargetMode="External"/><Relationship Id="rId522" Type="http://schemas.openxmlformats.org/officeDocument/2006/relationships/hyperlink" Target="https://www.aifa.gov.it/documents/20142/3815901/Classe_H_per_principio_attivo_30-04-2026.csv" TargetMode="External"/><Relationship Id="rId523" Type="http://schemas.openxmlformats.org/officeDocument/2006/relationships/hyperlink" Target="https://www.aifa.gov.it/documents/20142/3815901/Classe_H_per_principio_attivo_30-04-2026.csv" TargetMode="External"/><Relationship Id="rId524" Type="http://schemas.openxmlformats.org/officeDocument/2006/relationships/hyperlink" Target="https://www.aifa.gov.it/documents/20142/3815901/Classe_H_per_principio_attivo_30-04-2026.csv" TargetMode="External"/><Relationship Id="rId525" Type="http://schemas.openxmlformats.org/officeDocument/2006/relationships/hyperlink" Target="https://www.aifa.gov.it/documents/20142/3815901/Classe_H_per_principio_attivo_30-04-2026.csv" TargetMode="External"/><Relationship Id="rId526" Type="http://schemas.openxmlformats.org/officeDocument/2006/relationships/hyperlink" Target="https://www.aifa.gov.it/documents/20142/3815901/Classe_H_per_principio_attivo_30-04-2026.csv" TargetMode="External"/><Relationship Id="rId527" Type="http://schemas.openxmlformats.org/officeDocument/2006/relationships/hyperlink" Target="https://www.aifa.gov.it/documents/20142/3815901/Classe_H_per_principio_attivo_30-04-2026.csv" TargetMode="External"/><Relationship Id="rId528" Type="http://schemas.openxmlformats.org/officeDocument/2006/relationships/hyperlink" Target="https://www.aponeo.de/rx/10735547-paricalcitol-hexal-2-mikrogramm-ml-injektionslsg.html" TargetMode="External"/><Relationship Id="rId529" Type="http://schemas.openxmlformats.org/officeDocument/2006/relationships/hyperlink" Target="https://www.aifa.gov.it/documents/20142/3815901/Classe_H_per_principio_attivo_30-04-2026.csv" TargetMode="External"/><Relationship Id="rId530" Type="http://schemas.openxmlformats.org/officeDocument/2006/relationships/hyperlink" Target="https://www.aifa.gov.it/documents/20142/3815901/Classe_H_per_principio_attivo_30-04-2026.csv" TargetMode="External"/><Relationship Id="rId531" Type="http://schemas.openxmlformats.org/officeDocument/2006/relationships/hyperlink" Target="https://base-donnees-publique.medicaments.gouv.fr/medicament/61614600/extrait" TargetMode="External"/><Relationship Id="rId532" Type="http://schemas.openxmlformats.org/officeDocument/2006/relationships/hyperlink" Target="https://www.aliva.de/p/vecuronium-inresa-10-mg-pulver-z-herst-e-inj-lsg-10-pulver-zur-herstellung-einer-injektionsloesung-03379371" TargetMode="External"/><Relationship Id="rId533" Type="http://schemas.openxmlformats.org/officeDocument/2006/relationships/hyperlink" Target="https://idbl.ab.bluecross.ca/idbl/drugsList?ptc=08120708" TargetMode="External"/><Relationship Id="rId534" Type="http://schemas.openxmlformats.org/officeDocument/2006/relationships/hyperlink" Target="https://idbl.ab.bluecross.ca/idbl/drugsList?ptc=08120708" TargetMode="External"/><Relationship Id="rId535" Type="http://schemas.openxmlformats.org/officeDocument/2006/relationships/hyperlink" Target="https://www.ab.bluecross.ca/dbl/pdfs/ABCDPL_2026_09_04.pdf" TargetMode="External"/><Relationship Id="rId536" Type="http://schemas.openxmlformats.org/officeDocument/2006/relationships/hyperlink" Target="https://www.formulary.health.gov.on.ca/formulary/detail.xhtml?drugId=02496003" TargetMode="External"/><Relationship Id="rId537" Type="http://schemas.openxmlformats.org/officeDocument/2006/relationships/hyperlink" Target="https://www.ab.bluecross.ca/dbl/pdfs/ABCDPL_2026_09_04.pdf" TargetMode="External"/><Relationship Id="rId538" Type="http://schemas.openxmlformats.org/officeDocument/2006/relationships/hyperlink" Target="https://www.pbs.gov.au/industry/pricing/ex-manufacturer-price/2026/09/ex-manufacturer-prices-non-efc-2026-09-01.XLSX" TargetMode="External"/><Relationship Id="rId539" Type="http://schemas.openxmlformats.org/officeDocument/2006/relationships/hyperlink" Target="https://www.pbs.gov.au/industry/pricing/ex-manufacturer-price/2026/09/ex-manufacturer-prices-non-efc-2026-09-01.XLSX" TargetMode="External"/><Relationship Id="rId540" Type="http://schemas.openxmlformats.org/officeDocument/2006/relationships/hyperlink" Target="https://www.pbs.gov.au/industry/pricing/ex-manufacturer-price/2026/09/ex-manufacturer-prices-non-efc-2026-09-01.XLSX" TargetMode="External"/><Relationship Id="rId541" Type="http://schemas.openxmlformats.org/officeDocument/2006/relationships/hyperlink" Target="https://www.pbs.gov.au/industry/pricing/ex-manufacturer-price/2026/09/ex-manufacturer-prices-non-efc-2026-09-01.XLSX" TargetMode="External"/><Relationship Id="rId542" Type="http://schemas.openxmlformats.org/officeDocument/2006/relationships/hyperlink" Target="https://www.medshop.com.au/products/meropenem-ranbaxy-1g-vial-5-meropenem-1000mg-vial" TargetMode="External"/><Relationship Id="rId543" Type="http://schemas.openxmlformats.org/officeDocument/2006/relationships/hyperlink" Target="https://michaelschemist.com.au/products/meropenemran500mginj5" TargetMode="External"/><Relationship Id="rId544" Type="http://schemas.openxmlformats.org/officeDocument/2006/relationships/hyperlink" Target="https://medicineprices.org.za/" TargetMode="External"/><Relationship Id="rId545" Type="http://schemas.openxmlformats.org/officeDocument/2006/relationships/hyperlink" Target="https://medicineprices.org.za/" TargetMode="External"/><Relationship Id="rId546" Type="http://schemas.openxmlformats.org/officeDocument/2006/relationships/hyperlink" Target="https://www.health.gov.za/nhi-pee/" TargetMode="External"/><Relationship Id="rId547" Type="http://schemas.openxmlformats.org/officeDocument/2006/relationships/hyperlink" Target="https://www.health.gov.za/nhi-pee/" TargetMode="External"/><Relationship Id="rId548" Type="http://schemas.openxmlformats.org/officeDocument/2006/relationships/hyperlink" Target="https://medicineprices.org.za/" TargetMode="External"/><Relationship Id="rId549" Type="http://schemas.openxmlformats.org/officeDocument/2006/relationships/hyperlink" Target="https://dmd-browser.nhsbsa.nhs.uk/ampp/view/168374" TargetMode="External"/><Relationship Id="rId550" Type="http://schemas.openxmlformats.org/officeDocument/2006/relationships/hyperlink" Target="https://www.aifa.gov.it/documents/20142/3815901/Classe_H_per_principio_attivo_30-04-2026.csv" TargetMode="External"/><Relationship Id="rId551" Type="http://schemas.openxmlformats.org/officeDocument/2006/relationships/hyperlink" Target="https://www.aifa.gov.it/documents/20142/3815901/Classe_H_per_principio_attivo_30-04-2026.csv" TargetMode="External"/><Relationship Id="rId552" Type="http://schemas.openxmlformats.org/officeDocument/2006/relationships/hyperlink" Target="https://www.mycare.de/online-kaufen/levetiracetam-till100mgml-infusionsloesungs--konzentrat-15576734" TargetMode="External"/><Relationship Id="rId553" Type="http://schemas.openxmlformats.org/officeDocument/2006/relationships/hyperlink" Target="https://www.aifa.gov.it/documents/20142/3815901/Classe_H_per_principio_attivo_30-04-2026.csv" TargetMode="External"/><Relationship Id="rId554" Type="http://schemas.openxmlformats.org/officeDocument/2006/relationships/hyperlink" Target="https://www.sanidad.gob.es/profesionales/nomenclator.do?metodo=buscarProductos&amp;especialidad=XEPLION%25" TargetMode="External"/><Relationship Id="rId555" Type="http://schemas.openxmlformats.org/officeDocument/2006/relationships/hyperlink" Target="https://www.cms.gov/files/zip/october-2026-medicare-part-b-payment-limit-files-final.zip" TargetMode="External"/><Relationship Id="rId556" Type="http://schemas.openxmlformats.org/officeDocument/2006/relationships/hyperlink" Target="https://www.health.gov.za/nhi-pee/" TargetMode="External"/><Relationship Id="rId557" Type="http://schemas.openxmlformats.org/officeDocument/2006/relationships/hyperlink" Target="https://dmd-browser.nhsbsa.nhs.uk/ampp/view/175452" TargetMode="External"/><Relationship Id="rId558" Type="http://schemas.openxmlformats.org/officeDocument/2006/relationships/hyperlink" Target="https://dmd-browser.nhsbsa.nhs.uk/ampp/view/190496" TargetMode="External"/><Relationship Id="rId559" Type="http://schemas.openxmlformats.org/officeDocument/2006/relationships/hyperlink" Target="https://dmd-browser.nhsbsa.nhs.uk/ampp/view/170191" TargetMode="External"/><Relationship Id="rId560" Type="http://schemas.openxmlformats.org/officeDocument/2006/relationships/hyperlink" Target="https://dmd-browser.nhsbsa.nhs.uk/ampp/view/208581" TargetMode="External"/><Relationship Id="rId561" Type="http://schemas.openxmlformats.org/officeDocument/2006/relationships/hyperlink" Target="https://www.aifa.gov.it/documents/20142/3815901/Classe_H_per_principio_attivo_30-04-2026.csv" TargetMode="External"/><Relationship Id="rId562" Type="http://schemas.openxmlformats.org/officeDocument/2006/relationships/hyperlink" Target="https://www.aifa.gov.it/documents/20142/3815901/Classe_H_per_principio_attivo_30-04-2026.csv" TargetMode="External"/><Relationship Id="rId563" Type="http://schemas.openxmlformats.org/officeDocument/2006/relationships/hyperlink" Target="https://www.drugs.com/price-guide/oxacillin" TargetMode="External"/><Relationship Id="rId564" Type="http://schemas.openxmlformats.org/officeDocument/2006/relationships/hyperlink" Target="https://www.drugs.com/price-guide/ceftriaxone" TargetMode="External"/><Relationship Id="rId565" Type="http://schemas.openxmlformats.org/officeDocument/2006/relationships/hyperlink" Target="https://www.drugs.com/price-guide/ceftriaxone" TargetMode="External"/><Relationship Id="rId566" Type="http://schemas.openxmlformats.org/officeDocument/2006/relationships/hyperlink" Target="https://dmd-browser.nhsbsa.nhs.uk/ampp/view/197707" TargetMode="External"/><Relationship Id="rId567" Type="http://schemas.openxmlformats.org/officeDocument/2006/relationships/hyperlink" Target="https://dmd-browser.nhsbsa.nhs.uk/ampp/view/197725" TargetMode="External"/><Relationship Id="rId568" Type="http://schemas.openxmlformats.org/officeDocument/2006/relationships/hyperlink" Target="https://dmd-browser.nhsbsa.nhs.uk/ampp/view/102025" TargetMode="External"/><Relationship Id="rId569" Type="http://schemas.openxmlformats.org/officeDocument/2006/relationships/hyperlink" Target="https://dmd-browser.nhsbsa.nhs.uk/ampp/view/87654" TargetMode="External"/><Relationship Id="rId570" Type="http://schemas.openxmlformats.org/officeDocument/2006/relationships/hyperlink" Target="https://dmd-browser.nhsbsa.nhs.uk/ampp/view/64125" TargetMode="External"/><Relationship Id="rId571" Type="http://schemas.openxmlformats.org/officeDocument/2006/relationships/hyperlink" Target="https://www.nhsbsa.nhs.uk/sites/default/files/2026-08/Part%20VIIIA%20Sep%2026.xls.xlsx" TargetMode="External"/><Relationship Id="rId572" Type="http://schemas.openxmlformats.org/officeDocument/2006/relationships/hyperlink" Target="https://dmd-browser.nhsbsa.nhs.uk/ampp/view/162030" TargetMode="External"/><Relationship Id="rId573" Type="http://schemas.openxmlformats.org/officeDocument/2006/relationships/hyperlink" Target="https://www.nhsbsa.nhs.uk/sites/default/files/2026-08/Part%20VIIIA%20Sep%2026.xls.xlsx" TargetMode="External"/><Relationship Id="rId574" Type="http://schemas.openxmlformats.org/officeDocument/2006/relationships/hyperlink" Target="https://dmd-browser.nhsbsa.nhs.uk/ampp/view/210923" TargetMode="External"/><Relationship Id="rId575" Type="http://schemas.openxmlformats.org/officeDocument/2006/relationships/hyperlink" Target="https://www.nhsbsa.nhs.uk/sites/default/files/2026-08/Part%20VIIIA%20Sep%2026.xls.xlsx" TargetMode="External"/><Relationship Id="rId576" Type="http://schemas.openxmlformats.org/officeDocument/2006/relationships/hyperlink" Target="https://dmd-browser.nhsbsa.nhs.uk/ampp/view/110861" TargetMode="External"/><Relationship Id="rId577" Type="http://schemas.openxmlformats.org/officeDocument/2006/relationships/hyperlink" Target="https://dmd-browser.nhsbsa.nhs.uk/ampp/view/110863" TargetMode="External"/><Relationship Id="rId578" Type="http://schemas.openxmlformats.org/officeDocument/2006/relationships/hyperlink" Target="https://dmd-browser.nhsbsa.nhs.uk/ampp/view/59566" TargetMode="External"/><Relationship Id="rId579" Type="http://schemas.openxmlformats.org/officeDocument/2006/relationships/hyperlink" Target="https://dmd-browser.nhsbsa.nhs.uk/ampp/view/87667" TargetMode="External"/><Relationship Id="rId580" Type="http://schemas.openxmlformats.org/officeDocument/2006/relationships/hyperlink" Target="https://www.aponeo.de/rx/17923772-adenosin-baxter-6-mg-2-ml-injektionsloesung.html" TargetMode="External"/><Relationship Id="rId581" Type="http://schemas.openxmlformats.org/officeDocument/2006/relationships/hyperlink" Target="https://www.aifa.gov.it/documents/20142/3815901/Classe_H_per_principio_attivo_30-04-2026.csv" TargetMode="External"/><Relationship Id="rId582" Type="http://schemas.openxmlformats.org/officeDocument/2006/relationships/hyperlink" Target="https://www.aifa.gov.it/documents/20142/3815901/Classe_H_per_principio_attivo_30-04-2026.csv" TargetMode="External"/><Relationship Id="rId583" Type="http://schemas.openxmlformats.org/officeDocument/2006/relationships/hyperlink" Target="https://www.medicijnkosten.nl/medicijn?artikel=HYALURONIDASE+INJ%2FINFUSIEPOEDER+AMPUL+1500IE&amp;id=b89726bfa881dc7b75ae7c2517d4b5b7" TargetMode="External"/><Relationship Id="rId584" Type="http://schemas.openxmlformats.org/officeDocument/2006/relationships/hyperlink" Target="https://mediately.co/gr/drugs/YCsx3j2n2qawnnaJDmFwug8Ahhz/metaraminol-so-inj-inf-10mg-ml" TargetMode="External"/><Relationship Id="rId585" Type="http://schemas.openxmlformats.org/officeDocument/2006/relationships/hyperlink" Target="https://mediately.co/de/drugs/2JLSD2rNCbtip2an1uWLKQBCmLc/milrinon-carinopharm-1-mg-ml-injektions-infusionslosung" TargetMode="External"/><Relationship Id="rId586" Type="http://schemas.openxmlformats.org/officeDocument/2006/relationships/hyperlink" Target="https://www.aifa.gov.it/documents/20142/3815901/Classe_H_per_principio_attivo_30-04-2026.csv" TargetMode="External"/><Relationship Id="rId587" Type="http://schemas.openxmlformats.org/officeDocument/2006/relationships/hyperlink" Target="https://www.medicinpriser.dk/Default.aspx?VirksomtStof=Protamin" TargetMode="External"/><Relationship Id="rId588" Type="http://schemas.openxmlformats.org/officeDocument/2006/relationships/hyperlink" Target="https://www.medicinpriser.dk/Default.aspx?VirksomtStof=Remifentanil" TargetMode="External"/><Relationship Id="rId589" Type="http://schemas.openxmlformats.org/officeDocument/2006/relationships/hyperlink" Target="https://www.aifa.gov.it/documents/20142/3815901/Classe_H_per_principio_attivo_30-04-2026.csv" TargetMode="External"/><Relationship Id="rId590" Type="http://schemas.openxmlformats.org/officeDocument/2006/relationships/hyperlink" Target="https://www.aifa.gov.it/documents/20142/3815901/Classe_H_per_principio_attivo_30-04-2026.csv" TargetMode="External"/><Relationship Id="rId591" Type="http://schemas.openxmlformats.org/officeDocument/2006/relationships/hyperlink" Target="https://www.aifa.gov.it/documents/20142/3815901/Classe_H_per_principio_attivo_30-04-2026.csv" TargetMode="External"/><Relationship Id="rId592" Type="http://schemas.openxmlformats.org/officeDocument/2006/relationships/hyperlink" Target="https://www.cms.gov/files/zip/october-2026-medicare-part-b-payment-limit-files-final.zip" TargetMode="External"/><Relationship Id="rId593" Type="http://schemas.openxmlformats.org/officeDocument/2006/relationships/hyperlink" Target="https://www.medshop.com.au/products/sodium-valproate-juno-400mg-4ml" TargetMode="External"/><Relationship Id="rId594" Type="http://schemas.openxmlformats.org/officeDocument/2006/relationships/hyperlink" Target="https://www.drugs.com/price-guide/acetazolamide" TargetMode="External"/><Relationship Id="rId595" Type="http://schemas.openxmlformats.org/officeDocument/2006/relationships/hyperlink" Target="https://www.drugs.com/price-guide/chlorpromazine" TargetMode="External"/><Relationship Id="rId596" Type="http://schemas.openxmlformats.org/officeDocument/2006/relationships/hyperlink" Target="https://www.drugs.com/price-guide/cisatracurium" TargetMode="External"/><Relationship Id="rId597" Type="http://schemas.openxmlformats.org/officeDocument/2006/relationships/hyperlink" Target="https://www.drugs.com/price-guide/cisatracurium" TargetMode="External"/><Relationship Id="rId598" Type="http://schemas.openxmlformats.org/officeDocument/2006/relationships/hyperlink" Target="https://www.drugs.com/price-guide/cyanocobalamin" TargetMode="External"/><Relationship Id="rId599" Type="http://schemas.openxmlformats.org/officeDocument/2006/relationships/hyperlink" Target="https://www.drugs.com/price-guide/sodium-edecrin" TargetMode="External"/><Relationship Id="rId600" Type="http://schemas.openxmlformats.org/officeDocument/2006/relationships/hyperlink" Target="https://department.va.gov/procurement-acquisition-and-logistics/wp-content/uploads/sites/56/2026/10/TPharmPrices2026-10-01.xlsx" TargetMode="External"/><Relationship Id="rId601" Type="http://schemas.openxmlformats.org/officeDocument/2006/relationships/hyperlink" Target="https://www.drugs.com/price-guide/haloperidol" TargetMode="External"/><Relationship Id="rId602" Type="http://schemas.openxmlformats.org/officeDocument/2006/relationships/hyperlink" Target="https://www.drugs.com/price-guide/haloperidol" TargetMode="External"/><Relationship Id="rId603" Type="http://schemas.openxmlformats.org/officeDocument/2006/relationships/hyperlink" Target="https://www.cms.gov/files/zip/october-2026-medicare-part-b-payment-limit-files-final.zip" TargetMode="External"/><Relationship Id="rId604" Type="http://schemas.openxmlformats.org/officeDocument/2006/relationships/hyperlink" Target="https://www.drugs.com/price-guide/indocyanine-green" TargetMode="External"/><Relationship Id="rId605" Type="http://schemas.openxmlformats.org/officeDocument/2006/relationships/hyperlink" Target="https://department.va.gov/procurement-acquisition-and-logistics/wp-content/uploads/sites/56/2026/10/TPharmPrices2026-10-01.xlsx" TargetMode="External"/><Relationship Id="rId606" Type="http://schemas.openxmlformats.org/officeDocument/2006/relationships/hyperlink" Target="https://department.va.gov/procurement-acquisition-and-logistics/wp-content/uploads/sites/56/2026/10/TPharmPrices2026-10-01.xlsx" TargetMode="External"/><Relationship Id="rId607" Type="http://schemas.openxmlformats.org/officeDocument/2006/relationships/hyperlink" Target="https://www.drugs.com/price-guide/fluorescein" TargetMode="External"/><Relationship Id="rId608" Type="http://schemas.openxmlformats.org/officeDocument/2006/relationships/hyperlink" Target="https://www.drugs.com/price-guide/bortezomib" TargetMode="External"/><Relationship Id="rId609" Type="http://schemas.openxmlformats.org/officeDocument/2006/relationships/hyperlink" Target="https://www.drugs.com/price-guide/fulvestrant" TargetMode="External"/><Relationship Id="rId610" Type="http://schemas.openxmlformats.org/officeDocument/2006/relationships/hyperlink" Target="https://www.drugs.com/price-guide/sugammadex" TargetMode="External"/><Relationship Id="rId611" Type="http://schemas.openxmlformats.org/officeDocument/2006/relationships/hyperlink" Target="https://www.drugs.com/price-guide/sugammadex" TargetMode="External"/><Relationship Id="rId612" Type="http://schemas.openxmlformats.org/officeDocument/2006/relationships/hyperlink" Target="https://dmd-browser.nhsbsa.nhs.uk/ampp/view/187562" TargetMode="External"/><Relationship Id="rId613" Type="http://schemas.openxmlformats.org/officeDocument/2006/relationships/hyperlink" Target="https://www.aifa.gov.it/documents/20142/3815901/Classe_H_per_principio_attivo_30-04-2026.csv" TargetMode="External"/><Relationship Id="rId614" Type="http://schemas.openxmlformats.org/officeDocument/2006/relationships/hyperlink" Target="https://base-donnees-publique.medicaments.gouv.fr/medicament/66127233/extrait" TargetMode="External"/><Relationship Id="rId615" Type="http://schemas.openxmlformats.org/officeDocument/2006/relationships/hyperlink" Target="https://www.health.gov.za/nhi-pee/" TargetMode="External"/><Relationship Id="rId616" Type="http://schemas.openxmlformats.org/officeDocument/2006/relationships/hyperlink" Target="https://www.health.gov.za/nhi-pee/" TargetMode="External"/><Relationship Id="rId617" Type="http://schemas.openxmlformats.org/officeDocument/2006/relationships/hyperlink" Target="https://www.health.gov.za/nhi-pee/" TargetMode="External"/><Relationship Id="rId618"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ema.europa.eu/en/documents/other/article-57-product-data_en.xlsx" TargetMode="External"/><Relationship Id="rId2" Type="http://schemas.openxmlformats.org/officeDocument/2006/relationships/hyperlink" Target="https://products.mhra.gov.uk/" TargetMode="External"/><Relationship Id="rId3" Type="http://schemas.openxmlformats.org/officeDocument/2006/relationships/hyperlink" Target="https://www.canada.ca/en/health-canada/services/drugs-health-products/drug-products/drug-product-database.html" TargetMode="External"/><Relationship Id="rId4" Type="http://schemas.openxmlformats.org/officeDocument/2006/relationships/hyperlink" Target="https://www.tga.gov.au/resources/artg" TargetMode="External"/><Relationship Id="rId5" Type="http://schemas.openxmlformats.org/officeDocument/2006/relationships/hyperlink" Target="https://medicineprices.org.za/" TargetMode="External"/><Relationship Id="rId6" Type="http://schemas.openxmlformats.org/officeDocument/2006/relationships/hyperlink" Target="https://www.accessdata.fda.gov/cder/ndctext.zip" TargetMode="External"/><Relationship Id="rId7"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dailymed.nlm.nih.gov/dailymed/search.cfm?labeltype=all&amp;query=carboprost" TargetMode="External"/><Relationship Id="rId2" Type="http://schemas.openxmlformats.org/officeDocument/2006/relationships/hyperlink" Target="https://dailymed.nlm.nih.gov/dailymed/lookup.cfm?setid=c1cde9c7-b005-484f-8497-343c5ecd4f0a" TargetMode="External"/><Relationship Id="rId3" Type="http://schemas.openxmlformats.org/officeDocument/2006/relationships/hyperlink" Target="https://dailymed.nlm.nih.gov/dailymed/search.cfm?labeltype=all&amp;query=carboprost" TargetMode="External"/><Relationship Id="rId4" Type="http://schemas.openxmlformats.org/officeDocument/2006/relationships/hyperlink" Target="https://www.ema.europa.eu/en/documents/other/article-57-product-data_en.xlsx" TargetMode="External"/><Relationship Id="rId5" Type="http://schemas.openxmlformats.org/officeDocument/2006/relationships/hyperlink" Target="https://dailymed.nlm.nih.gov/dailymed/search.cfm?labeltype=all&amp;query=diazepam+injection" TargetMode="External"/><Relationship Id="rId6" Type="http://schemas.openxmlformats.org/officeDocument/2006/relationships/hyperlink" Target="https://dailymed.nlm.nih.gov/dailymed/drugInfo.cfm?setid=7a912f1a-deee-46df-a8df-22a0afb06529" TargetMode="External"/><Relationship Id="rId7" Type="http://schemas.openxmlformats.org/officeDocument/2006/relationships/hyperlink" Target="https://dailymed.nlm.nih.gov/dailymed/search.cfm?labeltype=all&amp;query=fulvestrant" TargetMode="External"/><Relationship Id="rId8" Type="http://schemas.openxmlformats.org/officeDocument/2006/relationships/hyperlink" Target="https://dailymed.nlm.nih.gov/dailymed/drugInfo.cfm?setid=b02915fe-6c44-48c1-aaeb-997ddc59a595" TargetMode="External"/><Relationship Id="rId9" Type="http://schemas.openxmlformats.org/officeDocument/2006/relationships/hyperlink" Target="https://dailymed.nlm.nih.gov/dailymed/search.cfm?labeltype=all&amp;query=methotrexate+injection" TargetMode="External"/><Relationship Id="rId10" Type="http://schemas.openxmlformats.org/officeDocument/2006/relationships/hyperlink" Target="https://dailymed.nlm.nih.gov/dailymed/drugInfo.cfm?setid=a63364d5-4dfa-49d7-8a5e-c8959ae1d37a" TargetMode="External"/><Relationship Id="rId11" Type="http://schemas.openxmlformats.org/officeDocument/2006/relationships/hyperlink" Target="https://dailymed.nlm.nih.gov/dailymed/search.cfm?labeltype=all&amp;query=phytonadione" TargetMode="External"/><Relationship Id="rId12" Type="http://schemas.openxmlformats.org/officeDocument/2006/relationships/hyperlink" Target="https://dailymed.nlm.nih.gov/dailymed/search.cfm?searchdb=ndc&amp;query=62332-826-05" TargetMode="External"/><Relationship Id="rId13" Type="http://schemas.openxmlformats.org/officeDocument/2006/relationships/hyperlink" Target="https://dailymed.nlm.nih.gov/dailymed/search.cfm?labeltype=all&amp;query=triamcinolone+acetonide+injectable+suspension" TargetMode="External"/><Relationship Id="rId14" Type="http://schemas.openxmlformats.org/officeDocument/2006/relationships/hyperlink" Target="https://dailymed.nlm.nih.gov/dailymed/drugInfo.cfm?setid=1034d417-493a-443a-a62e-30786f673ee3" TargetMode="External"/><Relationship Id="rId15" Type="http://schemas.openxmlformats.org/officeDocument/2006/relationships/hyperlink" Target="https://dailymed.nlm.nih.gov/dailymed/search.cfm?labeltype=all&amp;query=ampicillin" TargetMode="External"/><Relationship Id="rId16" Type="http://schemas.openxmlformats.org/officeDocument/2006/relationships/hyperlink" Target="https://health-products.canada.ca/dpd-bdpp/info?code=95007&amp;lang=eng" TargetMode="External"/><Relationship Id="rId17" Type="http://schemas.openxmlformats.org/officeDocument/2006/relationships/hyperlink" Target="https://dailymed.nlm.nih.gov/dailymed/search.cfm?labeltype=all&amp;query=ampicillin" TargetMode="External"/><Relationship Id="rId18" Type="http://schemas.openxmlformats.org/officeDocument/2006/relationships/hyperlink" Target="https://www.ema.europa.eu/en/documents/other/article-57-product-data_en.xlsx" TargetMode="External"/><Relationship Id="rId19" Type="http://schemas.openxmlformats.org/officeDocument/2006/relationships/hyperlink" Target="https://dailymed.nlm.nih.gov/dailymed/search.cfm?labeltype=all&amp;query=argatroban" TargetMode="External"/><Relationship Id="rId20" Type="http://schemas.openxmlformats.org/officeDocument/2006/relationships/hyperlink" Target="https://dailymed.nlm.nih.gov/dailymed/drugInfo.cfm?setid=d9b975bd-e3f4-466e-96ca-7bef7899506d" TargetMode="External"/><Relationship Id="rId21" Type="http://schemas.openxmlformats.org/officeDocument/2006/relationships/hyperlink" Target="https://dailymed.nlm.nih.gov/dailymed/search.cfm?labeltype=all&amp;query=azacitidine" TargetMode="External"/><Relationship Id="rId22" Type="http://schemas.openxmlformats.org/officeDocument/2006/relationships/hyperlink" Target="https://mhraproducts4853.blob.core.windows.net/docs/2efde25ac4cbefa21bb4640027e6b7243ef5b3f8" TargetMode="External"/><Relationship Id="rId23" Type="http://schemas.openxmlformats.org/officeDocument/2006/relationships/hyperlink" Target="https://dailymed.nlm.nih.gov/dailymed/search.cfm?labeltype=all&amp;query=azacitidine" TargetMode="External"/><Relationship Id="rId24" Type="http://schemas.openxmlformats.org/officeDocument/2006/relationships/hyperlink" Target="https://www.ema.europa.eu/en/documents/other/article-57-product-data_en.xlsx" TargetMode="External"/><Relationship Id="rId25" Type="http://schemas.openxmlformats.org/officeDocument/2006/relationships/hyperlink" Target="https://dailymed.nlm.nih.gov/dailymed/search.cfm?labeltype=all&amp;query=azacitidine" TargetMode="External"/><Relationship Id="rId26" Type="http://schemas.openxmlformats.org/officeDocument/2006/relationships/hyperlink" Target="https://base-donnees-publique.medicaments.gouv.fr/index.php?page=1&amp;choixRecherche=medicament&amp;txtCaracteres=Azacitidine%20Arrow&amp;action=show" TargetMode="External"/><Relationship Id="rId27" Type="http://schemas.openxmlformats.org/officeDocument/2006/relationships/hyperlink" Target="https://www.ema.europa.eu/en/documents/other/article-57-product-data_en.xlsx" TargetMode="External"/><Relationship Id="rId28" Type="http://schemas.openxmlformats.org/officeDocument/2006/relationships/hyperlink" Target="https://dailymed.nlm.nih.gov/dailymed/search.cfm?labeltype=all&amp;query=azacitidine" TargetMode="External"/><Relationship Id="rId29" Type="http://schemas.openxmlformats.org/officeDocument/2006/relationships/hyperlink" Target="https://www.ebs.tga.gov.au/ebs/picmi/picmirepository.nsf/pdf?OpenAgent&amp;id=CP-2024-PI-01359-1" TargetMode="External"/><Relationship Id="rId30" Type="http://schemas.openxmlformats.org/officeDocument/2006/relationships/hyperlink" Target="https://dailymed.nlm.nih.gov/dailymed/search.cfm?labeltype=all&amp;query=bortezomib" TargetMode="External"/><Relationship Id="rId31" Type="http://schemas.openxmlformats.org/officeDocument/2006/relationships/hyperlink" Target="https://dailymed.nlm.nih.gov/dailymed/search.cfm?labeltype=all&amp;query=Bortezomib" TargetMode="External"/><Relationship Id="rId32" Type="http://schemas.openxmlformats.org/officeDocument/2006/relationships/hyperlink" Target="https://dailymed.nlm.nih.gov/dailymed/search.cfm?labeltype=all&amp;query=bortezomib" TargetMode="External"/><Relationship Id="rId33" Type="http://schemas.openxmlformats.org/officeDocument/2006/relationships/hyperlink" Target="https://mhraproducts4853.blob.core.windows.net/docs/0c08f164559c903dce45f10a6de733bdd83f7e40" TargetMode="External"/><Relationship Id="rId34" Type="http://schemas.openxmlformats.org/officeDocument/2006/relationships/hyperlink" Target="https://dailymed.nlm.nih.gov/dailymed/search.cfm?labeltype=all&amp;query=bortezomib" TargetMode="External"/><Relationship Id="rId35" Type="http://schemas.openxmlformats.org/officeDocument/2006/relationships/hyperlink" Target="https://www.ema.europa.eu/en/documents/other/article-57-product-data_en.xlsx" TargetMode="External"/><Relationship Id="rId36" Type="http://schemas.openxmlformats.org/officeDocument/2006/relationships/hyperlink" Target="https://dailymed.nlm.nih.gov/dailymed/search.cfm?labeltype=all&amp;query=bortezomib" TargetMode="External"/><Relationship Id="rId37" Type="http://schemas.openxmlformats.org/officeDocument/2006/relationships/hyperlink" Target="https://base-donnees-publique.medicaments.gouv.fr/index.php?page=1&amp;choixRecherche=medicament&amp;txtCaracteres=Bortezomib%20Arrow&amp;action=show" TargetMode="External"/><Relationship Id="rId38" Type="http://schemas.openxmlformats.org/officeDocument/2006/relationships/hyperlink" Target="https://www.ema.europa.eu/en/documents/other/article-57-product-data_en.xlsx" TargetMode="External"/><Relationship Id="rId39" Type="http://schemas.openxmlformats.org/officeDocument/2006/relationships/hyperlink" Target="https://dailymed.nlm.nih.gov/dailymed/search.cfm?labeltype=all&amp;query=bortezomib" TargetMode="External"/><Relationship Id="rId40" Type="http://schemas.openxmlformats.org/officeDocument/2006/relationships/hyperlink" Target="https://www.ebs.tga.gov.au/servlet/xmlmillr6?dbid=ebs/PublicHTML/pdfStore.nsf&amp;docid=401630&amp;agid=(PrintDetailsPublic)&amp;actionid=1" TargetMode="External"/><Relationship Id="rId41" Type="http://schemas.openxmlformats.org/officeDocument/2006/relationships/hyperlink" Target="https://dailymed.nlm.nih.gov/dailymed/search.cfm?labeltype=all&amp;query=bupivacaine" TargetMode="External"/><Relationship Id="rId42" Type="http://schemas.openxmlformats.org/officeDocument/2006/relationships/hyperlink" Target="https://www.ema.europa.eu/en/documents/other/article-57-product-data_en.xlsx" TargetMode="External"/><Relationship Id="rId43" Type="http://schemas.openxmlformats.org/officeDocument/2006/relationships/hyperlink" Target="https://dailymed.nlm.nih.gov/dailymed/search.cfm?labeltype=all&amp;query=bupivacaine" TargetMode="External"/><Relationship Id="rId44" Type="http://schemas.openxmlformats.org/officeDocument/2006/relationships/hyperlink" Target="https://www.ema.europa.eu/en/documents/other/article-57-product-data_en.xlsx" TargetMode="External"/><Relationship Id="rId45" Type="http://schemas.openxmlformats.org/officeDocument/2006/relationships/hyperlink" Target="https://dailymed.nlm.nih.gov/dailymed/search.cfm?labeltype=all&amp;query=carboprost" TargetMode="External"/><Relationship Id="rId46" Type="http://schemas.openxmlformats.org/officeDocument/2006/relationships/hyperlink" Target="https://dailymed.nlm.nih.gov/dailymed/lookup.cfm?setid=c1cde9c7-b005-484f-8497-343c5ecd4f0a" TargetMode="External"/><Relationship Id="rId47" Type="http://schemas.openxmlformats.org/officeDocument/2006/relationships/hyperlink" Target="https://dailymed.nlm.nih.gov/dailymed/search.cfm?labeltype=all&amp;query=cefepime" TargetMode="External"/><Relationship Id="rId48" Type="http://schemas.openxmlformats.org/officeDocument/2006/relationships/hyperlink" Target="https://pi-pil-repository.sahpra.org.za/wp-content/uploads/2022/08/1.3.1.1-Auro-Cefepime-Injection.pdf" TargetMode="External"/><Relationship Id="rId49" Type="http://schemas.openxmlformats.org/officeDocument/2006/relationships/hyperlink" Target="https://dailymed.nlm.nih.gov/dailymed/search.cfm?labeltype=all&amp;query=ceftazidime" TargetMode="External"/><Relationship Id="rId50" Type="http://schemas.openxmlformats.org/officeDocument/2006/relationships/hyperlink" Target="https://base-donnees-publique.medicaments.gouv.fr/index.php?page=1&amp;choixRecherche=medicament&amp;txtCaracteres=Ceftazidime%20Arrow&amp;action=show" TargetMode="External"/><Relationship Id="rId51" Type="http://schemas.openxmlformats.org/officeDocument/2006/relationships/hyperlink" Target="https://www.ema.europa.eu/en/documents/other/article-57-product-data_en.xlsx" TargetMode="External"/><Relationship Id="rId52" Type="http://schemas.openxmlformats.org/officeDocument/2006/relationships/hyperlink" Target="https://dailymed.nlm.nih.gov/dailymed/search.cfm?labeltype=all&amp;query=ceftriaxone" TargetMode="External"/><Relationship Id="rId53" Type="http://schemas.openxmlformats.org/officeDocument/2006/relationships/hyperlink" Target="https://base-donnees-publique.medicaments.gouv.fr/index.php?page=1&amp;choixRecherche=medicament&amp;txtCaracteres=Ceftriaxone%20Almus&amp;action=show" TargetMode="External"/><Relationship Id="rId54" Type="http://schemas.openxmlformats.org/officeDocument/2006/relationships/hyperlink" Target="https://www.ema.europa.eu/en/documents/other/article-57-product-data_en.xlsx" TargetMode="External"/><Relationship Id="rId55" Type="http://schemas.openxmlformats.org/officeDocument/2006/relationships/hyperlink" Target="https://dailymed.nlm.nih.gov/dailymed/search.cfm?labeltype=all&amp;query=chlorpromazine" TargetMode="External"/><Relationship Id="rId56" Type="http://schemas.openxmlformats.org/officeDocument/2006/relationships/hyperlink" Target="https://dailymed.nlm.nih.gov/dailymed/lookup.cfm?setid=07e6144a-b460-4887-b8e2-dd371c14a55c" TargetMode="External"/><Relationship Id="rId57" Type="http://schemas.openxmlformats.org/officeDocument/2006/relationships/hyperlink" Target="https://dailymed.nlm.nih.gov/dailymed/search.cfm?labeltype=all&amp;query=cyclophosphamide" TargetMode="External"/><Relationship Id="rId58" Type="http://schemas.openxmlformats.org/officeDocument/2006/relationships/hyperlink" Target="https://dailymed.nlm.nih.gov/dailymed/drugInfo.cfm?setid=3c1eb470-0bba-457d-94e3-b9508f0d398a" TargetMode="External"/><Relationship Id="rId59" Type="http://schemas.openxmlformats.org/officeDocument/2006/relationships/hyperlink" Target="https://dailymed.nlm.nih.gov/dailymed/search.cfm?labeltype=all&amp;query=dactinomycin" TargetMode="External"/><Relationship Id="rId60" Type="http://schemas.openxmlformats.org/officeDocument/2006/relationships/hyperlink" Target="https://dailymed.nlm.nih.gov/dailymed/drugInfo.cfm?setid=aa047ee8-f2e8-4720-84b1-d1c4532d6c63" TargetMode="External"/><Relationship Id="rId61" Type="http://schemas.openxmlformats.org/officeDocument/2006/relationships/hyperlink" Target="https://dailymed.nlm.nih.gov/dailymed/search.cfm?labeltype=all&amp;query=daptomycin" TargetMode="External"/><Relationship Id="rId62" Type="http://schemas.openxmlformats.org/officeDocument/2006/relationships/hyperlink" Target="https://www.ema.europa.eu/en/documents/other/article-57-product-data_en.xlsx" TargetMode="External"/><Relationship Id="rId63" Type="http://schemas.openxmlformats.org/officeDocument/2006/relationships/hyperlink" Target="https://dailymed.nlm.nih.gov/dailymed/search.cfm?labeltype=all&amp;query=doxorubicin" TargetMode="External"/><Relationship Id="rId64" Type="http://schemas.openxmlformats.org/officeDocument/2006/relationships/hyperlink" Target="https://base-donnees-publique.medicaments.gouv.fr/index.php?page=1&amp;choixRecherche=medicament&amp;txtCaracteres=Doxorubicine%20Arrow&amp;action=show" TargetMode="External"/><Relationship Id="rId65" Type="http://schemas.openxmlformats.org/officeDocument/2006/relationships/hyperlink" Target="https://www.ema.europa.eu/en/documents/other/article-57-product-data_en.xlsx" TargetMode="External"/><Relationship Id="rId66" Type="http://schemas.openxmlformats.org/officeDocument/2006/relationships/hyperlink" Target="https://dailymed.nlm.nih.gov/dailymed/search.cfm?labeltype=all&amp;query=ephedrine+sulfate+injection" TargetMode="External"/><Relationship Id="rId67" Type="http://schemas.openxmlformats.org/officeDocument/2006/relationships/hyperlink" Target="https://dailymed.nlm.nih.gov/dailymed/drugInfo.cfm?setid=a5862de7-4118-4bda-8075-0b2524e04585" TargetMode="External"/><Relationship Id="rId68" Type="http://schemas.openxmlformats.org/officeDocument/2006/relationships/hyperlink" Target="https://dailymed.nlm.nih.gov/dailymed/search.cfm?labeltype=all&amp;query=ephedrine+sulfate+injection" TargetMode="External"/><Relationship Id="rId69" Type="http://schemas.openxmlformats.org/officeDocument/2006/relationships/hyperlink" Target="https://base-donnees-publique.medicaments.gouv.fr/index.php?page=1&amp;choixRecherche=medicament&amp;txtCaracteres=Ephedrine%20Arrow&amp;action=show" TargetMode="External"/><Relationship Id="rId70" Type="http://schemas.openxmlformats.org/officeDocument/2006/relationships/hyperlink" Target="https://www.ema.europa.eu/en/documents/other/article-57-product-data_en.xlsx" TargetMode="External"/><Relationship Id="rId71" Type="http://schemas.openxmlformats.org/officeDocument/2006/relationships/hyperlink" Target="https://dailymed.nlm.nih.gov/dailymed/search.cfm?labeltype=all&amp;query=epirubicin" TargetMode="External"/><Relationship Id="rId72" Type="http://schemas.openxmlformats.org/officeDocument/2006/relationships/hyperlink" Target="https://www.ema.europa.eu/en/documents/other/article-57-product-data_en.xlsx" TargetMode="External"/><Relationship Id="rId73" Type="http://schemas.openxmlformats.org/officeDocument/2006/relationships/hyperlink" Target="https://dailymed.nlm.nih.gov/dailymed/search.cfm?labeltype=all&amp;query=eptifibatide" TargetMode="External"/><Relationship Id="rId74" Type="http://schemas.openxmlformats.org/officeDocument/2006/relationships/hyperlink" Target="https://dailymed.nlm.nih.gov/dailymed/drugInfo.cfm?setid=00ad7bbe-cadd-4647-b74b-adfc9f2b5e94" TargetMode="External"/><Relationship Id="rId75" Type="http://schemas.openxmlformats.org/officeDocument/2006/relationships/hyperlink" Target="https://dailymed.nlm.nih.gov/dailymed/search.cfm?labeltype=all&amp;query=ertapenem" TargetMode="External"/><Relationship Id="rId76" Type="http://schemas.openxmlformats.org/officeDocument/2006/relationships/hyperlink" Target="https://dailymed.nlm.nih.gov/dailymed/drugInfo.cfm?setid=f725a68c-31a2-482a-9744-19adc47506b5" TargetMode="External"/><Relationship Id="rId77" Type="http://schemas.openxmlformats.org/officeDocument/2006/relationships/hyperlink" Target="https://dailymed.nlm.nih.gov/dailymed/search.cfm?labeltype=all&amp;query=ertapenem" TargetMode="External"/><Relationship Id="rId78" Type="http://schemas.openxmlformats.org/officeDocument/2006/relationships/hyperlink" Target="https://www.ema.europa.eu/en/documents/other/article-57-product-data_en.xlsx" TargetMode="External"/><Relationship Id="rId79" Type="http://schemas.openxmlformats.org/officeDocument/2006/relationships/hyperlink" Target="https://dailymed.nlm.nih.gov/dailymed/search.cfm?labeltype=all&amp;query=ertapenem" TargetMode="External"/><Relationship Id="rId80" Type="http://schemas.openxmlformats.org/officeDocument/2006/relationships/hyperlink" Target="https://health-products.canada.ca/dpd-bdpp/info?code=98213&amp;lang=eng" TargetMode="External"/><Relationship Id="rId81" Type="http://schemas.openxmlformats.org/officeDocument/2006/relationships/hyperlink" Target="https://dailymed.nlm.nih.gov/dailymed/search.cfm?labeltype=all&amp;query=ertapenem" TargetMode="External"/><Relationship Id="rId82" Type="http://schemas.openxmlformats.org/officeDocument/2006/relationships/hyperlink" Target="https://base-donnees-publique.medicaments.gouv.fr/index.php?page=1&amp;choixRecherche=medicament&amp;txtCaracteres=Ertapenem%20Arrow&amp;action=show" TargetMode="External"/><Relationship Id="rId83" Type="http://schemas.openxmlformats.org/officeDocument/2006/relationships/hyperlink" Target="https://www.ema.europa.eu/en/documents/other/article-57-product-data_en.xlsx" TargetMode="External"/><Relationship Id="rId84" Type="http://schemas.openxmlformats.org/officeDocument/2006/relationships/hyperlink" Target="https://dailymed.nlm.nih.gov/dailymed/search.cfm?labeltype=all&amp;query=ertapenem" TargetMode="External"/><Relationship Id="rId85" Type="http://schemas.openxmlformats.org/officeDocument/2006/relationships/hyperlink" Target="https://pi-pil-repository.sahpra.org.za/wp-content/uploads/2023/07/pil_ETAMEP.pdf" TargetMode="External"/><Relationship Id="rId86" Type="http://schemas.openxmlformats.org/officeDocument/2006/relationships/hyperlink" Target="https://dailymed.nlm.nih.gov/dailymed/search.cfm?labeltype=all&amp;query=esmolol" TargetMode="External"/><Relationship Id="rId87" Type="http://schemas.openxmlformats.org/officeDocument/2006/relationships/hyperlink" Target="https://dailymed.nlm.nih.gov/dailymed/drugInfo.cfm?setid=ac22475d-2d78-469f-9435-b403ac4ee380" TargetMode="External"/><Relationship Id="rId88" Type="http://schemas.openxmlformats.org/officeDocument/2006/relationships/hyperlink" Target="https://dailymed.nlm.nih.gov/dailymed/search.cfm?labeltype=all&amp;query=esmolol" TargetMode="External"/><Relationship Id="rId89" Type="http://schemas.openxmlformats.org/officeDocument/2006/relationships/hyperlink" Target="https://www.ema.europa.eu/en/documents/other/article-57-product-data_en.xlsx" TargetMode="External"/><Relationship Id="rId90" Type="http://schemas.openxmlformats.org/officeDocument/2006/relationships/hyperlink" Target="https://www.medicines.org.uk/emc/search?q=flucloxacillin" TargetMode="External"/><Relationship Id="rId91" Type="http://schemas.openxmlformats.org/officeDocument/2006/relationships/hyperlink" Target="https://www.ema.europa.eu/en/documents/other/article-57-product-data_en.xlsx" TargetMode="External"/><Relationship Id="rId92" Type="http://schemas.openxmlformats.org/officeDocument/2006/relationships/hyperlink" Target="https://www.medicines.org.uk/emc/search?q=flucloxacillin" TargetMode="External"/><Relationship Id="rId93" Type="http://schemas.openxmlformats.org/officeDocument/2006/relationships/hyperlink" Target="https://base-donnees-publique.medicaments.gouv.fr/index.php?page=1&amp;choixRecherche=medicament&amp;txtCaracteres=Flucloxacilline&amp;action=show" TargetMode="External"/><Relationship Id="rId94" Type="http://schemas.openxmlformats.org/officeDocument/2006/relationships/hyperlink" Target="https://www.ema.europa.eu/en/documents/other/article-57-product-data_en.xlsx" TargetMode="External"/><Relationship Id="rId95" Type="http://schemas.openxmlformats.org/officeDocument/2006/relationships/hyperlink" Target="https://www.medicines.org.uk/emc/search?q=flucloxacillin" TargetMode="External"/><Relationship Id="rId96" Type="http://schemas.openxmlformats.org/officeDocument/2006/relationships/hyperlink" Target="https://www.ebs.tga.gov.au/ebs/picmi/picmirepository.nsf/pdf?OpenAgent&amp;id=CP-2024-PI-02513-1" TargetMode="External"/><Relationship Id="rId97" Type="http://schemas.openxmlformats.org/officeDocument/2006/relationships/hyperlink" Target="https://dailymed.nlm.nih.gov/dailymed/search.cfm?labeltype=all&amp;query=fluorouracil+injection" TargetMode="External"/><Relationship Id="rId98" Type="http://schemas.openxmlformats.org/officeDocument/2006/relationships/hyperlink" Target="https://dailymed.nlm.nih.gov/dailymed/drugInfo.cfm?setid=199ef964-8a9b-403e-a2ae-759280b3d1d1" TargetMode="External"/><Relationship Id="rId99" Type="http://schemas.openxmlformats.org/officeDocument/2006/relationships/hyperlink" Target="https://dailymed.nlm.nih.gov/dailymed/search.cfm?labeltype=all&amp;query=fluphenazine+decanoate" TargetMode="External"/><Relationship Id="rId100" Type="http://schemas.openxmlformats.org/officeDocument/2006/relationships/hyperlink" Target="https://dailymed.nlm.nih.gov/dailymed/drugInfo.cfm?setid=1f532edc-1a2c-4221-80dd-1ac158dd3a72" TargetMode="External"/><Relationship Id="rId101" Type="http://schemas.openxmlformats.org/officeDocument/2006/relationships/hyperlink" Target="https://dailymed.nlm.nih.gov/dailymed/search.cfm?labeltype=all&amp;query=leucovorin+calcium+injection" TargetMode="External"/><Relationship Id="rId102" Type="http://schemas.openxmlformats.org/officeDocument/2006/relationships/hyperlink" Target="https://www.ema.europa.eu/en/documents/other/article-57-product-data_en.xlsx" TargetMode="External"/><Relationship Id="rId103" Type="http://schemas.openxmlformats.org/officeDocument/2006/relationships/hyperlink" Target="https://dailymed.nlm.nih.gov/dailymed/search.cfm?labeltype=all&amp;query=fulvestrant" TargetMode="External"/><Relationship Id="rId104" Type="http://schemas.openxmlformats.org/officeDocument/2006/relationships/hyperlink" Target="https://mhraproducts4853.blob.core.windows.net/docs/662771b8a40d902278b3bdf8028b29838cd8e06c" TargetMode="External"/><Relationship Id="rId105" Type="http://schemas.openxmlformats.org/officeDocument/2006/relationships/hyperlink" Target="https://dailymed.nlm.nih.gov/dailymed/search.cfm?labeltype=all&amp;query=fulvestrant" TargetMode="External"/><Relationship Id="rId106" Type="http://schemas.openxmlformats.org/officeDocument/2006/relationships/hyperlink" Target="https://base-donnees-publique.medicaments.gouv.fr/index.php?page=1&amp;choixRecherche=medicament&amp;txtCaracteres=Fulvestrant%20Arrow&amp;action=show" TargetMode="External"/><Relationship Id="rId107" Type="http://schemas.openxmlformats.org/officeDocument/2006/relationships/hyperlink" Target="https://www.ema.europa.eu/en/documents/other/article-57-product-data_en.xlsx" TargetMode="External"/><Relationship Id="rId108" Type="http://schemas.openxmlformats.org/officeDocument/2006/relationships/hyperlink" Target="https://dailymed.nlm.nih.gov/dailymed/search.cfm?labeltype=all&amp;query=fulvestrant" TargetMode="External"/><Relationship Id="rId109" Type="http://schemas.openxmlformats.org/officeDocument/2006/relationships/hyperlink" Target="https://www.tga.gov.au/resources/artg/408393" TargetMode="External"/><Relationship Id="rId110" Type="http://schemas.openxmlformats.org/officeDocument/2006/relationships/hyperlink" Target="https://dailymed.nlm.nih.gov/dailymed/search.cfm?labeltype=all&amp;query=hydralazine+injection" TargetMode="External"/><Relationship Id="rId111" Type="http://schemas.openxmlformats.org/officeDocument/2006/relationships/hyperlink" Target="https://health-products.canada.ca/dpd-bdpp/info?code=100550&amp;lang=eng" TargetMode="External"/><Relationship Id="rId112" Type="http://schemas.openxmlformats.org/officeDocument/2006/relationships/hyperlink" Target="https://dailymed.nlm.nih.gov/dailymed/search.cfm?labeltype=all&amp;query=ibandronate+injection" TargetMode="External"/><Relationship Id="rId113" Type="http://schemas.openxmlformats.org/officeDocument/2006/relationships/hyperlink" Target="https://dailymed.nlm.nih.gov/dailymed/lookup.cfm?setid=e81f2c5b-bead-48ac-be3e-016cf963d7ed" TargetMode="External"/><Relationship Id="rId114" Type="http://schemas.openxmlformats.org/officeDocument/2006/relationships/hyperlink" Target="https://dailymed.nlm.nih.gov/dailymed/search.cfm?labeltype=all&amp;query=medroxyprogesterone+acetate+injectable" TargetMode="External"/><Relationship Id="rId115" Type="http://schemas.openxmlformats.org/officeDocument/2006/relationships/hyperlink" Target="https://dailymed.nlm.nih.gov/dailymed/search.cfm?searchdb=ndc&amp;query=55150-329-25" TargetMode="External"/><Relationship Id="rId116" Type="http://schemas.openxmlformats.org/officeDocument/2006/relationships/hyperlink" Target="https://dailymed.nlm.nih.gov/dailymed/search.cfm?labeltype=all&amp;query=melphalan+hydrochloride" TargetMode="External"/><Relationship Id="rId117" Type="http://schemas.openxmlformats.org/officeDocument/2006/relationships/hyperlink" Target="https://www.ema.europa.eu/en/documents/other/article-57-product-data_en.xlsx" TargetMode="External"/><Relationship Id="rId118" Type="http://schemas.openxmlformats.org/officeDocument/2006/relationships/hyperlink" Target="https://dailymed.nlm.nih.gov/dailymed/search.cfm?labeltype=all&amp;query=meropenem" TargetMode="External"/><Relationship Id="rId119" Type="http://schemas.openxmlformats.org/officeDocument/2006/relationships/hyperlink" Target="https://www.ema.europa.eu/en/documents/other/article-57-product-data_en.xlsx" TargetMode="External"/><Relationship Id="rId120" Type="http://schemas.openxmlformats.org/officeDocument/2006/relationships/hyperlink" Target="https://dailymed.nlm.nih.gov/dailymed/search.cfm?labeltype=all&amp;query=meropenem" TargetMode="External"/><Relationship Id="rId121" Type="http://schemas.openxmlformats.org/officeDocument/2006/relationships/hyperlink" Target="https://health-products.canada.ca/dpd-bdpp/info?code=95075&amp;lang=eng" TargetMode="External"/><Relationship Id="rId122" Type="http://schemas.openxmlformats.org/officeDocument/2006/relationships/hyperlink" Target="https://dailymed.nlm.nih.gov/dailymed/search.cfm?labeltype=all&amp;query=meropenem" TargetMode="External"/><Relationship Id="rId123" Type="http://schemas.openxmlformats.org/officeDocument/2006/relationships/hyperlink" Target="https://base-donnees-publique.medicaments.gouv.fr/index.php?page=1&amp;choixRecherche=medicament&amp;txtCaracteres=Meropenem&amp;action=show" TargetMode="External"/><Relationship Id="rId124" Type="http://schemas.openxmlformats.org/officeDocument/2006/relationships/hyperlink" Target="https://www.ema.europa.eu/en/documents/other/article-57-product-data_en.xlsx" TargetMode="External"/><Relationship Id="rId125" Type="http://schemas.openxmlformats.org/officeDocument/2006/relationships/hyperlink" Target="https://dailymed.nlm.nih.gov/dailymed/search.cfm?labeltype=all&amp;query=mesna" TargetMode="External"/><Relationship Id="rId126" Type="http://schemas.openxmlformats.org/officeDocument/2006/relationships/hyperlink" Target="https://dailymed.nlm.nih.gov/dailymed/drugInfo.cfm?setid=49e9c804-9e88-4774-8faf-35bd61b3a8e9" TargetMode="External"/><Relationship Id="rId127" Type="http://schemas.openxmlformats.org/officeDocument/2006/relationships/hyperlink" Target="https://dailymed.nlm.nih.gov/dailymed/search.cfm?labeltype=all&amp;query=methotrexate+injection" TargetMode="External"/><Relationship Id="rId128" Type="http://schemas.openxmlformats.org/officeDocument/2006/relationships/hyperlink" Target="https://dailymed.nlm.nih.gov/dailymed/search.cfm?searchdb=ndc&amp;query=55150-510" TargetMode="External"/><Relationship Id="rId129" Type="http://schemas.openxmlformats.org/officeDocument/2006/relationships/hyperlink" Target="https://dailymed.nlm.nih.gov/dailymed/search.cfm?labeltype=all&amp;query=methylprednisolone+acetate" TargetMode="External"/><Relationship Id="rId130" Type="http://schemas.openxmlformats.org/officeDocument/2006/relationships/hyperlink" Target="https://dailymed.nlm.nih.gov/dailymed/search.cfm?searchdb=ndc&amp;query=55150-262" TargetMode="External"/><Relationship Id="rId131" Type="http://schemas.openxmlformats.org/officeDocument/2006/relationships/hyperlink" Target="https://dailymed.nlm.nih.gov/dailymed/search.cfm?labeltype=all&amp;query=mitomycin" TargetMode="External"/><Relationship Id="rId132" Type="http://schemas.openxmlformats.org/officeDocument/2006/relationships/hyperlink" Target="https://www.ema.europa.eu/en/documents/other/article-57-product-data_en.xlsx" TargetMode="External"/><Relationship Id="rId133" Type="http://schemas.openxmlformats.org/officeDocument/2006/relationships/hyperlink" Target="https://dailymed.nlm.nih.gov/dailymed/search.cfm?labeltype=all&amp;query=nafcillin" TargetMode="External"/><Relationship Id="rId134" Type="http://schemas.openxmlformats.org/officeDocument/2006/relationships/hyperlink" Target="https://dailymed.nlm.nih.gov/dailymed/search.cfm?searchdb=ndc&amp;query=55150-122" TargetMode="External"/><Relationship Id="rId135" Type="http://schemas.openxmlformats.org/officeDocument/2006/relationships/hyperlink" Target="https://dailymed.nlm.nih.gov/dailymed/search.cfm?labeltype=all&amp;query=naloxone+hydrochloride+injection" TargetMode="External"/><Relationship Id="rId136" Type="http://schemas.openxmlformats.org/officeDocument/2006/relationships/hyperlink" Target="https://dailymed.nlm.nih.gov/dailymed/search.cfm?searchdb=ndc&amp;query=55150-345-01" TargetMode="External"/><Relationship Id="rId137" Type="http://schemas.openxmlformats.org/officeDocument/2006/relationships/hyperlink" Target="https://dailymed.nlm.nih.gov/dailymed/search.cfm?labeltype=all&amp;query=naloxone+hydrochloride+injection" TargetMode="External"/><Relationship Id="rId138" Type="http://schemas.openxmlformats.org/officeDocument/2006/relationships/hyperlink" Target="https://health-products.canada.ca/dpd-bdpp/info?code=102386&amp;lang=eng" TargetMode="External"/><Relationship Id="rId139" Type="http://schemas.openxmlformats.org/officeDocument/2006/relationships/hyperlink" Target="https://dailymed.nlm.nih.gov/dailymed/search.cfm?labeltype=all&amp;query=ondansetron+injection" TargetMode="External"/><Relationship Id="rId140" Type="http://schemas.openxmlformats.org/officeDocument/2006/relationships/hyperlink" Target="https://dmd-browser.nhsbsa.nhs.uk/ampp/view/47382" TargetMode="External"/><Relationship Id="rId141" Type="http://schemas.openxmlformats.org/officeDocument/2006/relationships/hyperlink" Target="https://dailymed.nlm.nih.gov/dailymed/search.cfm?labeltype=all&amp;query=ondansetron+injection" TargetMode="External"/><Relationship Id="rId142" Type="http://schemas.openxmlformats.org/officeDocument/2006/relationships/hyperlink" Target="https://www.ema.europa.eu/en/documents/other/article-57-product-data_en.xlsx" TargetMode="External"/><Relationship Id="rId143" Type="http://schemas.openxmlformats.org/officeDocument/2006/relationships/hyperlink" Target="https://dailymed.nlm.nih.gov/dailymed/search.cfm?labeltype=all&amp;query=ondansetron+injection" TargetMode="External"/><Relationship Id="rId144" Type="http://schemas.openxmlformats.org/officeDocument/2006/relationships/hyperlink" Target="https://health-products.canada.ca/dpd-bdpp/info?code=98138&amp;lang=eng" TargetMode="External"/><Relationship Id="rId145" Type="http://schemas.openxmlformats.org/officeDocument/2006/relationships/hyperlink" Target="https://dailymed.nlm.nih.gov/dailymed/search.cfm?labeltype=all&amp;query=ondansetron+injection" TargetMode="External"/><Relationship Id="rId146" Type="http://schemas.openxmlformats.org/officeDocument/2006/relationships/hyperlink" Target="https://www.ema.europa.eu/en/documents/other/article-57-product-data_en.xlsx" TargetMode="External"/><Relationship Id="rId147" Type="http://schemas.openxmlformats.org/officeDocument/2006/relationships/hyperlink" Target="https://dailymed.nlm.nih.gov/dailymed/search.cfm?labeltype=all&amp;query=oxacillin" TargetMode="External"/><Relationship Id="rId148" Type="http://schemas.openxmlformats.org/officeDocument/2006/relationships/hyperlink" Target="https://dailymed.nlm.nih.gov/dailymed/drugInfo.cfm?setid=81e90279-9889-47bd-974b-334c181f295c" TargetMode="External"/><Relationship Id="rId149" Type="http://schemas.openxmlformats.org/officeDocument/2006/relationships/hyperlink" Target="https://dailymed.nlm.nih.gov/dailymed/search.cfm?labeltype=all&amp;query=palonosetron" TargetMode="External"/><Relationship Id="rId150" Type="http://schemas.openxmlformats.org/officeDocument/2006/relationships/hyperlink" Target="https://dailymed.nlm.nih.gov/dailymed/drugInfo.cfm?setid=42e2d437-0712-4e9c-9c2a-00093c406d62" TargetMode="External"/><Relationship Id="rId151" Type="http://schemas.openxmlformats.org/officeDocument/2006/relationships/hyperlink" Target="https://dailymed.nlm.nih.gov/dailymed/search.cfm?labeltype=all&amp;query=pantoprazole+sodium+for+injection" TargetMode="External"/><Relationship Id="rId152" Type="http://schemas.openxmlformats.org/officeDocument/2006/relationships/hyperlink" Target="https://dmd-browser.nhsbsa.nhs.uk/ampp/view/194984" TargetMode="External"/><Relationship Id="rId153" Type="http://schemas.openxmlformats.org/officeDocument/2006/relationships/hyperlink" Target="https://dailymed.nlm.nih.gov/dailymed/search.cfm?labeltype=all&amp;query=pantoprazole+sodium+for+injection" TargetMode="External"/><Relationship Id="rId154" Type="http://schemas.openxmlformats.org/officeDocument/2006/relationships/hyperlink" Target="https://www.ema.europa.eu/en/documents/other/article-57-product-data_en.xlsx" TargetMode="External"/><Relationship Id="rId155" Type="http://schemas.openxmlformats.org/officeDocument/2006/relationships/hyperlink" Target="https://dailymed.nlm.nih.gov/dailymed/search.cfm?labeltype=all&amp;query=pantoprazole+sodium+for+injection" TargetMode="External"/><Relationship Id="rId156" Type="http://schemas.openxmlformats.org/officeDocument/2006/relationships/hyperlink" Target="https://health-products.canada.ca/dpd-bdpp/info?code=94611&amp;lang=eng" TargetMode="External"/><Relationship Id="rId157" Type="http://schemas.openxmlformats.org/officeDocument/2006/relationships/hyperlink" Target="https://dailymed.nlm.nih.gov/dailymed/search.cfm?labeltype=all&amp;query=pantoprazole+sodium+for+injection" TargetMode="External"/><Relationship Id="rId158" Type="http://schemas.openxmlformats.org/officeDocument/2006/relationships/hyperlink" Target="https://base-donnees-publique.medicaments.gouv.fr/index.php?page=1&amp;choixRecherche=medicament&amp;txtCaracteres=Pantoprazole%20Arrow&amp;action=show" TargetMode="External"/><Relationship Id="rId159" Type="http://schemas.openxmlformats.org/officeDocument/2006/relationships/hyperlink" Target="https://www.ema.europa.eu/en/documents/other/article-57-product-data_en.xlsx" TargetMode="External"/><Relationship Id="rId160" Type="http://schemas.openxmlformats.org/officeDocument/2006/relationships/hyperlink" Target="https://dailymed.nlm.nih.gov/dailymed/search.cfm?labeltype=all&amp;query=plerixafor" TargetMode="External"/><Relationship Id="rId161" Type="http://schemas.openxmlformats.org/officeDocument/2006/relationships/hyperlink" Target="https://dailymed.nlm.nih.gov/dailymed/drugInfo.cfm?setid=58c9fa02-3701-d411-f946-790a62ddc064" TargetMode="External"/><Relationship Id="rId162" Type="http://schemas.openxmlformats.org/officeDocument/2006/relationships/hyperlink" Target="https://dailymed.nlm.nih.gov/dailymed/search.cfm?labeltype=all&amp;query=plerixafor" TargetMode="External"/><Relationship Id="rId163" Type="http://schemas.openxmlformats.org/officeDocument/2006/relationships/hyperlink" Target="https://mhraproducts4853.blob.core.windows.net/docs/bb7448515c77d7fb12fb87b29dc3839d02e684f3" TargetMode="External"/><Relationship Id="rId164" Type="http://schemas.openxmlformats.org/officeDocument/2006/relationships/hyperlink" Target="https://dailymed.nlm.nih.gov/dailymed/search.cfm?labeltype=all&amp;query=plerixafor" TargetMode="External"/><Relationship Id="rId165" Type="http://schemas.openxmlformats.org/officeDocument/2006/relationships/hyperlink" Target="https://www.ema.europa.eu/en/documents/other/article-57-product-data_en.xlsx" TargetMode="External"/><Relationship Id="rId166" Type="http://schemas.openxmlformats.org/officeDocument/2006/relationships/hyperlink" Target="https://dailymed.nlm.nih.gov/dailymed/search.cfm?labeltype=all&amp;query=plerixafor" TargetMode="External"/><Relationship Id="rId167" Type="http://schemas.openxmlformats.org/officeDocument/2006/relationships/hyperlink" Target="https://health-products.canada.ca/dpd-bdpp/info?code=102820&amp;lang=eng" TargetMode="External"/><Relationship Id="rId168" Type="http://schemas.openxmlformats.org/officeDocument/2006/relationships/hyperlink" Target="https://dailymed.nlm.nih.gov/dailymed/search.cfm?labeltype=all&amp;query=plerixafor" TargetMode="External"/><Relationship Id="rId169" Type="http://schemas.openxmlformats.org/officeDocument/2006/relationships/hyperlink" Target="https://base-donnees-publique.medicaments.gouv.fr/index.php?page=1&amp;choixRecherche=medicament&amp;txtCaracteres=Plerixafor%20Arrow&amp;action=show" TargetMode="External"/><Relationship Id="rId170" Type="http://schemas.openxmlformats.org/officeDocument/2006/relationships/hyperlink" Target="https://www.ema.europa.eu/en/documents/other/article-57-product-data_en.xlsx" TargetMode="External"/><Relationship Id="rId171" Type="http://schemas.openxmlformats.org/officeDocument/2006/relationships/hyperlink" Target="https://dailymed.nlm.nih.gov/dailymed/search.cfm?labeltype=all&amp;query=plerixafor" TargetMode="External"/><Relationship Id="rId172" Type="http://schemas.openxmlformats.org/officeDocument/2006/relationships/hyperlink" Target="https://www.ebs.tga.gov.au/ebs/picmi/picmirepository.nsf/pdf?OpenAgent&amp;id=CP-2024-PI-01246-1" TargetMode="External"/><Relationship Id="rId173" Type="http://schemas.openxmlformats.org/officeDocument/2006/relationships/hyperlink" Target="https://dailymed.nlm.nih.gov/dailymed/search.cfm?labeltype=all&amp;query=progesterone+injection" TargetMode="External"/><Relationship Id="rId174" Type="http://schemas.openxmlformats.org/officeDocument/2006/relationships/hyperlink" Target="https://dailymed.nlm.nih.gov/dailymed/drugInfo.cfm?setid=7d19df3b-94ed-4681-beae-9caaf137d014" TargetMode="External"/><Relationship Id="rId175" Type="http://schemas.openxmlformats.org/officeDocument/2006/relationships/hyperlink" Target="https://dailymed.nlm.nih.gov/dailymed/search.cfm?labeltype=all&amp;query=regadenoson" TargetMode="External"/><Relationship Id="rId176" Type="http://schemas.openxmlformats.org/officeDocument/2006/relationships/hyperlink" Target="https://dailymed.nlm.nih.gov/dailymed/drugInfo.cfm?setid=b553eb2d-0c3f-444e-ad4c-282328683110" TargetMode="External"/><Relationship Id="rId177" Type="http://schemas.openxmlformats.org/officeDocument/2006/relationships/hyperlink" Target="https://dailymed.nlm.nih.gov/dailymed/search.cfm?labeltype=all&amp;query=remifentanil" TargetMode="External"/><Relationship Id="rId178" Type="http://schemas.openxmlformats.org/officeDocument/2006/relationships/hyperlink" Target="https://www.ema.europa.eu/en/documents/other/article-57-product-data_en.xlsx" TargetMode="External"/><Relationship Id="rId179" Type="http://schemas.openxmlformats.org/officeDocument/2006/relationships/hyperlink" Target="https://dailymed.nlm.nih.gov/dailymed/search.cfm?labeltype=all&amp;query=ropivacaine" TargetMode="External"/><Relationship Id="rId180" Type="http://schemas.openxmlformats.org/officeDocument/2006/relationships/hyperlink" Target="https://dailymed.nlm.nih.gov/dailymed/drugInfo.cfm?setid=3763b7b6-da49-4658-b93d-28f5da24d09e" TargetMode="External"/><Relationship Id="rId181" Type="http://schemas.openxmlformats.org/officeDocument/2006/relationships/hyperlink" Target="https://dailymed.nlm.nih.gov/dailymed/search.cfm?labeltype=all&amp;query=sildenafil+injection" TargetMode="External"/><Relationship Id="rId182" Type="http://schemas.openxmlformats.org/officeDocument/2006/relationships/hyperlink" Target="https://dailymed.nlm.nih.gov/dailymed/drugInfo.cfm?setid=bb92d686-a81e-4b91-8048-693af0534cb3" TargetMode="External"/><Relationship Id="rId183" Type="http://schemas.openxmlformats.org/officeDocument/2006/relationships/hyperlink" Target="https://dailymed.nlm.nih.gov/dailymed/search.cfm?labeltype=all&amp;query=testosterone+cypionate" TargetMode="External"/><Relationship Id="rId184" Type="http://schemas.openxmlformats.org/officeDocument/2006/relationships/hyperlink" Target="https://dailymed.nlm.nih.gov/dailymed/drugInfo.cfm?setid=f901e2b2-f143-4237-8e95-0d134585490b" TargetMode="External"/><Relationship Id="rId185" Type="http://schemas.openxmlformats.org/officeDocument/2006/relationships/hyperlink" Target="https://dailymed.nlm.nih.gov/dailymed/search.cfm?labeltype=all&amp;query=testosterone+enanthate" TargetMode="External"/><Relationship Id="rId186" Type="http://schemas.openxmlformats.org/officeDocument/2006/relationships/hyperlink" Target="https://dailymed.nlm.nih.gov/dailymed/drugInfo.cfm?setid=82a98132-9d5f-40a5-8c4f-f52f2a5de60e" TargetMode="External"/><Relationship Id="rId187" Type="http://schemas.openxmlformats.org/officeDocument/2006/relationships/hyperlink" Target="https://dailymed.nlm.nih.gov/dailymed/search.cfm?labeltype=all&amp;query=tirofiban" TargetMode="External"/><Relationship Id="rId188" Type="http://schemas.openxmlformats.org/officeDocument/2006/relationships/hyperlink" Target="https://dailymed.nlm.nih.gov/dailymed/drugInfo.cfm?setid=d554acff-22e9-4f28-b826-ee1b91daa2df" TargetMode="External"/><Relationship Id="rId189" Type="http://schemas.openxmlformats.org/officeDocument/2006/relationships/hyperlink" Target="https://dailymed.nlm.nih.gov/dailymed/search.cfm?labeltype=all&amp;query=tirofiban" TargetMode="External"/><Relationship Id="rId190" Type="http://schemas.openxmlformats.org/officeDocument/2006/relationships/hyperlink" Target="https://www.ema.europa.eu/en/documents/other/article-57-product-data_en.xlsx" TargetMode="External"/><Relationship Id="rId191" Type="http://schemas.openxmlformats.org/officeDocument/2006/relationships/hyperlink" Target="https://dailymed.nlm.nih.gov/dailymed/search.cfm?labeltype=all&amp;query=tirofiban" TargetMode="External"/><Relationship Id="rId192" Type="http://schemas.openxmlformats.org/officeDocument/2006/relationships/hyperlink" Target="https://www.ema.europa.eu/en/documents/other/article-57-product-data_en.xlsx" TargetMode="External"/><Relationship Id="rId193" Type="http://schemas.openxmlformats.org/officeDocument/2006/relationships/hyperlink" Target="https://dailymed.nlm.nih.gov/dailymed/search.cfm?labeltype=all&amp;query=tranexamic+acid+injection" TargetMode="External"/><Relationship Id="rId194" Type="http://schemas.openxmlformats.org/officeDocument/2006/relationships/hyperlink" Target="https://www.ema.europa.eu/en/documents/other/article-57-product-data_en.xlsx" TargetMode="External"/><Relationship Id="rId195" Type="http://schemas.openxmlformats.org/officeDocument/2006/relationships/hyperlink" Target="https://dailymed.nlm.nih.gov/dailymed/search.cfm?labeltype=all&amp;query=tranexamic+acid+injection" TargetMode="External"/><Relationship Id="rId196" Type="http://schemas.openxmlformats.org/officeDocument/2006/relationships/hyperlink" Target="https://health-products.canada.ca/dpd-bdpp/info?code=95428&amp;lang=eng" TargetMode="External"/><Relationship Id="rId197" Type="http://schemas.openxmlformats.org/officeDocument/2006/relationships/hyperlink" Target="https://dailymed.nlm.nih.gov/dailymed/search.cfm?labeltype=all&amp;query=tranexamic+acid+injection" TargetMode="External"/><Relationship Id="rId198" Type="http://schemas.openxmlformats.org/officeDocument/2006/relationships/hyperlink" Target="https://base-donnees-publique.medicaments.gouv.fr/index.php?page=1&amp;choixRecherche=medicament&amp;txtCaracteres=Acide%20Tranexamique&amp;action=show" TargetMode="External"/><Relationship Id="rId199" Type="http://schemas.openxmlformats.org/officeDocument/2006/relationships/hyperlink" Target="https://www.ema.europa.eu/en/documents/other/article-57-product-data_en.xlsx" TargetMode="External"/><Relationship Id="rId200" Type="http://schemas.openxmlformats.org/officeDocument/2006/relationships/hyperlink" Target="https://dailymed.nlm.nih.gov/dailymed/search.cfm?labeltype=all&amp;query=triamcinolone+acetonide+injectable+suspension" TargetMode="External"/><Relationship Id="rId201" Type="http://schemas.openxmlformats.org/officeDocument/2006/relationships/hyperlink" Target="https://dailymed.nlm.nih.gov/dailymed/drugInfo.cfm?setid=1034d417-493a-443a-a62e-30786f673ee3" TargetMode="External"/><Relationship Id="rId202" Type="http://schemas.openxmlformats.org/officeDocument/2006/relationships/hyperlink" Target="https://dailymed.nlm.nih.gov/dailymed/search.cfm?labeltype=all&amp;query=vecuronium" TargetMode="External"/><Relationship Id="rId203" Type="http://schemas.openxmlformats.org/officeDocument/2006/relationships/hyperlink" Target="https://dailymed.nlm.nih.gov/dailymed/lookup.cfm?setid=86d81719-534c-4e50-ae39-d8b20e50dfad" TargetMode="External"/><Relationship Id="rId204" Type="http://schemas.openxmlformats.org/officeDocument/2006/relationships/hyperlink" Target="https://dailymed.nlm.nih.gov/dailymed/search.cfm?labeltype=all&amp;query=verapamil+hydrochloride+injection" TargetMode="External"/><Relationship Id="rId205" Type="http://schemas.openxmlformats.org/officeDocument/2006/relationships/hyperlink" Target="https://dailymed.nlm.nih.gov/dailymed/drugInfo.cfm?setid=def3b9ba-523d-4b83-a80d-fa6f362e111c" TargetMode="External"/><Relationship Id="rId206" Type="http://schemas.openxmlformats.org/officeDocument/2006/relationships/hyperlink" Target="https://dailymed.nlm.nih.gov/dailymed/search.cfm?labeltype=all&amp;query=vinorelbine" TargetMode="External"/><Relationship Id="rId207" Type="http://schemas.openxmlformats.org/officeDocument/2006/relationships/hyperlink" Target="https://base-donnees-publique.medicaments.gouv.fr/index.php?page=1&amp;choixRecherche=medicament&amp;txtCaracteres=Vinorelbine&amp;action=show" TargetMode="External"/><Relationship Id="rId208" Type="http://schemas.openxmlformats.org/officeDocument/2006/relationships/hyperlink" Target="https://www.ema.europa.eu/en/documents/other/article-57-product-data_en.xlsx" TargetMode="External"/><Relationship Id="rId209" Type="http://schemas.openxmlformats.org/officeDocument/2006/relationships/hyperlink" Target="https://dailymed.nlm.nih.gov/dailymed/search.cfm?labeltype=all&amp;query=azacitidine" TargetMode="External"/><Relationship Id="rId210" Type="http://schemas.openxmlformats.org/officeDocument/2006/relationships/hyperlink" Target="https://www.ebs.tga.gov.au/servlet/xmlmillr6?dbid=ebs/PublicHTML/pdfStore.nsf&amp;docid=285655&amp;agid=(PrintDetailsPublic)&amp;actionid=1" TargetMode="External"/><Relationship Id="rId211" Type="http://schemas.openxmlformats.org/officeDocument/2006/relationships/hyperlink" Target="https://dailymed.nlm.nih.gov/dailymed/search.cfm?labeltype=all&amp;query=bleomycin" TargetMode="External"/><Relationship Id="rId212" Type="http://schemas.openxmlformats.org/officeDocument/2006/relationships/hyperlink" Target="https://www.healthdirect.gov.au/medicines/brand/amt%2C765691000168104/bleomycin-15k-cipla" TargetMode="External"/><Relationship Id="rId213" Type="http://schemas.openxmlformats.org/officeDocument/2006/relationships/hyperlink" Target="https://dailymed.nlm.nih.gov/dailymed/search.cfm?labeltype=all&amp;query=bleomycin" TargetMode="External"/><Relationship Id="rId214" Type="http://schemas.openxmlformats.org/officeDocument/2006/relationships/hyperlink" Target="https://medsinfoportal.sahpra.org.za/pil/da701bba09930b6759e3519933be7136.pdf" TargetMode="External"/><Relationship Id="rId215" Type="http://schemas.openxmlformats.org/officeDocument/2006/relationships/hyperlink" Target="https://dailymed.nlm.nih.gov/dailymed/search.cfm?labeltype=all&amp;query=bortezomib" TargetMode="External"/><Relationship Id="rId216" Type="http://schemas.openxmlformats.org/officeDocument/2006/relationships/hyperlink" Target="https://pi-pil-repository.sahpra.org.za/wp-content/uploads/2025/08/Final_PI-_ONBORT.pdf" TargetMode="External"/><Relationship Id="rId217" Type="http://schemas.openxmlformats.org/officeDocument/2006/relationships/hyperlink" Target="https://dailymed.nlm.nih.gov/dailymed/search.cfm?labeltype=all&amp;query=cefepime" TargetMode="External"/><Relationship Id="rId218" Type="http://schemas.openxmlformats.org/officeDocument/2006/relationships/hyperlink" Target="https://medicineprices.org.za/" TargetMode="External"/><Relationship Id="rId219" Type="http://schemas.openxmlformats.org/officeDocument/2006/relationships/hyperlink" Target="https://dailymed.nlm.nih.gov/dailymed/search.cfm?labeltype=all&amp;query=daptomycin" TargetMode="External"/><Relationship Id="rId220" Type="http://schemas.openxmlformats.org/officeDocument/2006/relationships/hyperlink" Target="https://mhraproducts4853.blob.core.windows.net/docs/a63e0068e2c1943c944704ec48517d5eb5a0e436" TargetMode="External"/><Relationship Id="rId221" Type="http://schemas.openxmlformats.org/officeDocument/2006/relationships/hyperlink" Target="https://dailymed.nlm.nih.gov/dailymed/search.cfm?labeltype=all&amp;query=daptomycin" TargetMode="External"/><Relationship Id="rId222" Type="http://schemas.openxmlformats.org/officeDocument/2006/relationships/hyperlink" Target="https://www.ema.europa.eu/en/documents/other/article-57-product-data_en.xlsx" TargetMode="External"/><Relationship Id="rId223" Type="http://schemas.openxmlformats.org/officeDocument/2006/relationships/hyperlink" Target="https://dailymed.nlm.nih.gov/dailymed/search.cfm?labeltype=all&amp;query=daptomycin" TargetMode="External"/><Relationship Id="rId224" Type="http://schemas.openxmlformats.org/officeDocument/2006/relationships/hyperlink" Target="https://www.ebs.tga.gov.au/ebs/picmi/picmirepository.nsf/pdf?OpenAgent&amp;id=CP-2023-PI-01892-1" TargetMode="External"/><Relationship Id="rId225" Type="http://schemas.openxmlformats.org/officeDocument/2006/relationships/hyperlink" Target="https://dailymed.nlm.nih.gov/dailymed/search.cfm?labeltype=all&amp;query=doxorubicin" TargetMode="External"/><Relationship Id="rId226" Type="http://schemas.openxmlformats.org/officeDocument/2006/relationships/hyperlink" Target="https://medsinfoportal.sahpra.org.za/pi/630dc9c6196521be5b9372d6e0896f56.pdf" TargetMode="External"/><Relationship Id="rId227" Type="http://schemas.openxmlformats.org/officeDocument/2006/relationships/hyperlink" Target="https://dailymed.nlm.nih.gov/dailymed/search.cfm?labeltype=all&amp;query=fulvestrant" TargetMode="External"/><Relationship Id="rId228" Type="http://schemas.openxmlformats.org/officeDocument/2006/relationships/hyperlink" Target="https://www.ema.europa.eu/en/documents/other/article-57-product-data_en.xlsx" TargetMode="External"/><Relationship Id="rId229" Type="http://schemas.openxmlformats.org/officeDocument/2006/relationships/hyperlink" Target="https://dailymed.nlm.nih.gov/dailymed/search.cfm?labeltype=all&amp;query=hydrocortisone+sodium+succinate" TargetMode="External"/><Relationship Id="rId230" Type="http://schemas.openxmlformats.org/officeDocument/2006/relationships/hyperlink" Target="https://dailymed.nlm.nih.gov/dailymed/search.cfm?searchdb=ndc&amp;query=69097-004" TargetMode="External"/><Relationship Id="rId231" Type="http://schemas.openxmlformats.org/officeDocument/2006/relationships/hyperlink" Target="https://dailymed.nlm.nih.gov/dailymed/search.cfm?labeltype=all&amp;query=hydrocortisone+sodium+succinate" TargetMode="External"/><Relationship Id="rId232" Type="http://schemas.openxmlformats.org/officeDocument/2006/relationships/hyperlink" Target="https://www.ebs.tga.gov.au/ebs/picmi/picmirepository.nsf/pdf?OpenAgent&amp;id=CP-2022-PI-01547-1" TargetMode="External"/><Relationship Id="rId233" Type="http://schemas.openxmlformats.org/officeDocument/2006/relationships/hyperlink" Target="https://dailymed.nlm.nih.gov/dailymed/search.cfm?labeltype=all&amp;query=isoproterenol" TargetMode="External"/><Relationship Id="rId234" Type="http://schemas.openxmlformats.org/officeDocument/2006/relationships/hyperlink" Target="https://www.ebs.tga.gov.au/ebs/picmi/picmirepository.nsf/pdf?OpenAgent&amp;id=CP-2022-PI-01316-1" TargetMode="External"/><Relationship Id="rId235" Type="http://schemas.openxmlformats.org/officeDocument/2006/relationships/hyperlink" Target="https://dailymed.nlm.nih.gov/dailymed/search.cfm?labeltype=all&amp;query=lanreotide" TargetMode="External"/><Relationship Id="rId236" Type="http://schemas.openxmlformats.org/officeDocument/2006/relationships/hyperlink" Target="https://dailymed.nlm.nih.gov/dailymed/drugInfo.cfm?setid=2892b4c3-0329-4d29-97ff-3b45283bbab1" TargetMode="External"/><Relationship Id="rId237" Type="http://schemas.openxmlformats.org/officeDocument/2006/relationships/hyperlink" Target="https://www.who.int/news-room/fact-sheets/detail/measles" TargetMode="External"/><Relationship Id="rId238" Type="http://schemas.openxmlformats.org/officeDocument/2006/relationships/hyperlink" Target="https://medicineprices.org.za/" TargetMode="External"/><Relationship Id="rId239" Type="http://schemas.openxmlformats.org/officeDocument/2006/relationships/hyperlink" Target="https://dailymed.nlm.nih.gov/dailymed/search.cfm?labeltype=all&amp;query=medroxyprogesterone+acetate+injectable" TargetMode="External"/><Relationship Id="rId240" Type="http://schemas.openxmlformats.org/officeDocument/2006/relationships/hyperlink" Target="https://www.tga.gov.au/resources/annual-charge-exemptions/cipla-medroxyprogesterone-medroxyprogesterone-acetate-150-mg1-ml-injection-suspension-vial-2024-25" TargetMode="External"/><Relationship Id="rId241" Type="http://schemas.openxmlformats.org/officeDocument/2006/relationships/hyperlink" Target="https://dailymed.nlm.nih.gov/dailymed/search.cfm?labeltype=all&amp;query=palonosetron" TargetMode="External"/><Relationship Id="rId242" Type="http://schemas.openxmlformats.org/officeDocument/2006/relationships/hyperlink" Target="https://www.ebs.tga.gov.au/servlet/xmlmillr6?dbid=ebs/PublicHTML/pdfStore.nsf&amp;docid=267130&amp;agid=(PrintDetailsPublic)&amp;actionid=1" TargetMode="External"/><Relationship Id="rId243" Type="http://schemas.openxmlformats.org/officeDocument/2006/relationships/hyperlink" Target="https://dailymed.nlm.nih.gov/dailymed/search.cfm?labeltype=all&amp;query=phenylephrine+hydrochloride+injection" TargetMode="External"/><Relationship Id="rId244" Type="http://schemas.openxmlformats.org/officeDocument/2006/relationships/hyperlink" Target="https://www.ebs.tga.gov.au/servlet/xmlmillr6?dbid=ebs/PublicHTML/pdfStore.nsf&amp;docid=304362&amp;agid=(PrintDetailsPublic)&amp;actionid=1" TargetMode="External"/><Relationship Id="rId245" Type="http://schemas.openxmlformats.org/officeDocument/2006/relationships/hyperlink" Target="https://dailymed.nlm.nih.gov/dailymed/search.cfm?labeltype=all&amp;query=phytonadione" TargetMode="External"/><Relationship Id="rId246" Type="http://schemas.openxmlformats.org/officeDocument/2006/relationships/hyperlink" Target="https://dailymed.nlm.nih.gov/dailymed/search.cfm?searchdb=ndc&amp;query=69097-003-96" TargetMode="External"/><Relationship Id="rId247" Type="http://schemas.openxmlformats.org/officeDocument/2006/relationships/hyperlink" Target="https://list.essentialmeds.org/?query=streptokinase" TargetMode="External"/><Relationship Id="rId248" Type="http://schemas.openxmlformats.org/officeDocument/2006/relationships/hyperlink" Target="https://medicineprices.org.za/" TargetMode="External"/><Relationship Id="rId249" Type="http://schemas.openxmlformats.org/officeDocument/2006/relationships/hyperlink" Target="https://dailymed.nlm.nih.gov/dailymed/search.cfm?labeltype=all&amp;query=sugammadex" TargetMode="External"/><Relationship Id="rId250" Type="http://schemas.openxmlformats.org/officeDocument/2006/relationships/hyperlink" Target="https://www.ema.europa.eu/en/documents/other/article-57-product-data_en.xlsx" TargetMode="External"/><Relationship Id="rId251" Type="http://schemas.openxmlformats.org/officeDocument/2006/relationships/hyperlink" Target="https://dailymed.nlm.nih.gov/dailymed/search.cfm?labeltype=all&amp;query=sugammadex" TargetMode="External"/><Relationship Id="rId252" Type="http://schemas.openxmlformats.org/officeDocument/2006/relationships/hyperlink" Target="https://www.tga.gov.au/resources/artg" TargetMode="External"/><Relationship Id="rId253" Type="http://schemas.openxmlformats.org/officeDocument/2006/relationships/hyperlink" Target="https://dailymed.nlm.nih.gov/dailymed/search.cfm?labeltype=all&amp;query=sugammadex" TargetMode="External"/><Relationship Id="rId254" Type="http://schemas.openxmlformats.org/officeDocument/2006/relationships/hyperlink" Target="https://pi-pil-repository.sahpra.org.za/wp-content/uploads/2023/04/Final_PI_SENUOM_Applicant.pdf" TargetMode="External"/><Relationship Id="rId255" Type="http://schemas.openxmlformats.org/officeDocument/2006/relationships/hyperlink" Target="https://www.medicines.org.uk/emc/search?q=teicoplanin" TargetMode="External"/><Relationship Id="rId256" Type="http://schemas.openxmlformats.org/officeDocument/2006/relationships/hyperlink" Target="https://medsinfoportal.sahpra.org.za/pil/4482c47ecb020931a053f527db2883e0.pdf" TargetMode="External"/><Relationship Id="rId257" Type="http://schemas.openxmlformats.org/officeDocument/2006/relationships/hyperlink" Target="https://dailymed.nlm.nih.gov/dailymed/search.cfm?labeltype=all&amp;query=testosterone+cypionate" TargetMode="External"/><Relationship Id="rId258" Type="http://schemas.openxmlformats.org/officeDocument/2006/relationships/hyperlink" Target="https://dailymed.nlm.nih.gov/dailymed/drugInfo.cfm?setid=78d55bad-4a5b-4e21-aeb8-a4c6346208be" TargetMode="External"/><Relationship Id="rId259" Type="http://schemas.openxmlformats.org/officeDocument/2006/relationships/hyperlink" Target="https://dailymed.nlm.nih.gov/dailymed/search.cfm?labeltype=all&amp;query=testosterone+undecanoate" TargetMode="External"/><Relationship Id="rId260" Type="http://schemas.openxmlformats.org/officeDocument/2006/relationships/hyperlink" Target="https://pi-pil-repository.sahpra.org.za/wp-content/uploads/2025/10/570491_Testosterone-cipla_PI_Applicant.pdf" TargetMode="External"/><Relationship Id="rId261" Type="http://schemas.openxmlformats.org/officeDocument/2006/relationships/hyperlink" Target="https://dailymed.nlm.nih.gov/dailymed/search.cfm?labeltype=all&amp;query=trastuzumab" TargetMode="External"/><Relationship Id="rId262" Type="http://schemas.openxmlformats.org/officeDocument/2006/relationships/hyperlink" Target="https://www.ebs.tga.gov.au/servlet/xmlmillr6?dbid=ebs/PublicHTML/pdfStore.nsf&amp;docid=368972&amp;agid=(PrintDetailsPublic)&amp;actionid=1" TargetMode="External"/><Relationship Id="rId263" Type="http://schemas.openxmlformats.org/officeDocument/2006/relationships/hyperlink" Target="https://dailymed.nlm.nih.gov/dailymed/search.cfm?labeltype=all&amp;query=vinblastine" TargetMode="External"/><Relationship Id="rId264" Type="http://schemas.openxmlformats.org/officeDocument/2006/relationships/hyperlink" Target="https://medicineprices.org.za/" TargetMode="External"/><Relationship Id="rId265" Type="http://schemas.openxmlformats.org/officeDocument/2006/relationships/hyperlink" Target="https://dailymed.nlm.nih.gov/dailymed/search.cfm?labeltype=all&amp;query=vinorelbine" TargetMode="External"/><Relationship Id="rId266" Type="http://schemas.openxmlformats.org/officeDocument/2006/relationships/hyperlink" Target="https://medsinfoportal.sahpra.org.za/pil/36f7abdc01fd9359da933b04b2161e20.pdf" TargetMode="External"/><Relationship Id="rId267" Type="http://schemas.openxmlformats.org/officeDocument/2006/relationships/hyperlink" Target="https://dailymed.nlm.nih.gov/dailymed/search.cfm?labeltype=all&amp;query=azacitidine" TargetMode="External"/><Relationship Id="rId268" Type="http://schemas.openxmlformats.org/officeDocument/2006/relationships/hyperlink" Target="https://mhraproducts4853.blob.core.windows.net/docs/11c1ec30fc299931e4de1e6eb1da508221e64e2f" TargetMode="External"/><Relationship Id="rId269" Type="http://schemas.openxmlformats.org/officeDocument/2006/relationships/hyperlink" Target="https://dailymed.nlm.nih.gov/dailymed/search.cfm?labeltype=all&amp;query=azacitidine" TargetMode="External"/><Relationship Id="rId270" Type="http://schemas.openxmlformats.org/officeDocument/2006/relationships/hyperlink" Target="https://health-products.canada.ca/dpd-bdpp/info?code=95068&amp;lang=eng" TargetMode="External"/><Relationship Id="rId271" Type="http://schemas.openxmlformats.org/officeDocument/2006/relationships/hyperlink" Target="https://dailymed.nlm.nih.gov/dailymed/search.cfm?labeltype=all&amp;query=azacitidine" TargetMode="External"/><Relationship Id="rId272" Type="http://schemas.openxmlformats.org/officeDocument/2006/relationships/hyperlink" Target="https://www.ema.europa.eu/en/medicines/human/EPAR/azacitidine-betapharm" TargetMode="External"/><Relationship Id="rId273" Type="http://schemas.openxmlformats.org/officeDocument/2006/relationships/hyperlink" Target="https://www.ema.europa.eu/en/documents/other/article-57-product-data_en.xlsx" TargetMode="External"/><Relationship Id="rId274" Type="http://schemas.openxmlformats.org/officeDocument/2006/relationships/hyperlink" Target="https://dailymed.nlm.nih.gov/dailymed/search.cfm?labeltype=all&amp;query=azacitidine" TargetMode="External"/><Relationship Id="rId275" Type="http://schemas.openxmlformats.org/officeDocument/2006/relationships/hyperlink" Target="https://www.ebs.tga.gov.au/ebs/picmi/picmirepository.nsf/pdf?OpenAgent&amp;id=CP-2016-PI-01288-1" TargetMode="External"/><Relationship Id="rId276" Type="http://schemas.openxmlformats.org/officeDocument/2006/relationships/hyperlink" Target="https://dailymed.nlm.nih.gov/dailymed/search.cfm?labeltype=all&amp;query=azacitidine" TargetMode="External"/><Relationship Id="rId277" Type="http://schemas.openxmlformats.org/officeDocument/2006/relationships/hyperlink" Target="https://pi-pil-repository.sahpra.org.za/wp-content/uploads/2023/07/approved-pil.pdf" TargetMode="External"/><Relationship Id="rId278" Type="http://schemas.openxmlformats.org/officeDocument/2006/relationships/hyperlink" Target="https://dailymed.nlm.nih.gov/dailymed/search.cfm?labeltype=all&amp;query=bivalirudin" TargetMode="External"/><Relationship Id="rId279" Type="http://schemas.openxmlformats.org/officeDocument/2006/relationships/hyperlink" Target="https://dailymed.nlm.nih.gov/dailymed/search.cfm?labeltype=all&amp;query=Bivalirudin" TargetMode="External"/><Relationship Id="rId280" Type="http://schemas.openxmlformats.org/officeDocument/2006/relationships/hyperlink" Target="https://dailymed.nlm.nih.gov/dailymed/search.cfm?labeltype=all&amp;query=bortezomib" TargetMode="External"/><Relationship Id="rId281" Type="http://schemas.openxmlformats.org/officeDocument/2006/relationships/hyperlink" Target="https://dailymed.nlm.nih.gov/dailymed/search.cfm?labeltype=all&amp;query=Bortezomib" TargetMode="External"/><Relationship Id="rId282" Type="http://schemas.openxmlformats.org/officeDocument/2006/relationships/hyperlink" Target="https://dailymed.nlm.nih.gov/dailymed/search.cfm?labeltype=all&amp;query=bortezomib" TargetMode="External"/><Relationship Id="rId283" Type="http://schemas.openxmlformats.org/officeDocument/2006/relationships/hyperlink" Target="https://mhraproducts4853.blob.core.windows.net/docs/3f37ca6630cfcad926467080f4d6bb4a305ed4fa" TargetMode="External"/><Relationship Id="rId284" Type="http://schemas.openxmlformats.org/officeDocument/2006/relationships/hyperlink" Target="https://dailymed.nlm.nih.gov/dailymed/search.cfm?labeltype=all&amp;query=bortezomib" TargetMode="External"/><Relationship Id="rId285" Type="http://schemas.openxmlformats.org/officeDocument/2006/relationships/hyperlink" Target="https://www.ema.europa.eu/en/documents/other/article-57-product-data_en.xlsx" TargetMode="External"/><Relationship Id="rId286" Type="http://schemas.openxmlformats.org/officeDocument/2006/relationships/hyperlink" Target="https://dailymed.nlm.nih.gov/dailymed/search.cfm?labeltype=all&amp;query=bortezomib" TargetMode="External"/><Relationship Id="rId287" Type="http://schemas.openxmlformats.org/officeDocument/2006/relationships/hyperlink" Target="https://health-products.canada.ca/dpd-bdpp/info?code=93883&amp;lang=eng" TargetMode="External"/><Relationship Id="rId288" Type="http://schemas.openxmlformats.org/officeDocument/2006/relationships/hyperlink" Target="https://dailymed.nlm.nih.gov/dailymed/search.cfm?labeltype=all&amp;query=bortezomib" TargetMode="External"/><Relationship Id="rId289" Type="http://schemas.openxmlformats.org/officeDocument/2006/relationships/hyperlink" Target="https://base-donnees-publique.medicaments.gouv.fr/index.php?page=1&amp;choixRecherche=medicament&amp;txtCaracteres=Bortezomib&amp;action=show" TargetMode="External"/><Relationship Id="rId290" Type="http://schemas.openxmlformats.org/officeDocument/2006/relationships/hyperlink" Target="https://www.ema.europa.eu/en/documents/other/article-57-product-data_en.xlsx" TargetMode="External"/><Relationship Id="rId291" Type="http://schemas.openxmlformats.org/officeDocument/2006/relationships/hyperlink" Target="https://dailymed.nlm.nih.gov/dailymed/search.cfm?labeltype=all&amp;query=bortezomib" TargetMode="External"/><Relationship Id="rId292" Type="http://schemas.openxmlformats.org/officeDocument/2006/relationships/hyperlink" Target="https://pi-pil-repository.sahpra.org.za/wp-content/uploads/2025/04/pil-approved-5.pdf" TargetMode="External"/><Relationship Id="rId293" Type="http://schemas.openxmlformats.org/officeDocument/2006/relationships/hyperlink" Target="https://dailymed.nlm.nih.gov/dailymed/search.cfm?labeltype=all&amp;query=carboprost" TargetMode="External"/><Relationship Id="rId294" Type="http://schemas.openxmlformats.org/officeDocument/2006/relationships/hyperlink" Target="https://dailymed.nlm.nih.gov/dailymed/lookup.cfm?setid=ce9f0ea6-69f9-6b68-2811-3b51e34acea6" TargetMode="External"/><Relationship Id="rId295" Type="http://schemas.openxmlformats.org/officeDocument/2006/relationships/hyperlink" Target="https://dailymed.nlm.nih.gov/dailymed/search.cfm?labeltype=all&amp;query=carboprost" TargetMode="External"/><Relationship Id="rId296" Type="http://schemas.openxmlformats.org/officeDocument/2006/relationships/hyperlink" Target="https://www.ebs.tga.gov.au/ebs/picmi/picmirepository.nsf/pdf?OpenAgent&amp;id=CP-2023-PI-01598-1" TargetMode="External"/><Relationship Id="rId297" Type="http://schemas.openxmlformats.org/officeDocument/2006/relationships/hyperlink" Target="https://dailymed.nlm.nih.gov/dailymed/search.cfm?labeltype=all&amp;query=cyclophosphamide" TargetMode="External"/><Relationship Id="rId298" Type="http://schemas.openxmlformats.org/officeDocument/2006/relationships/hyperlink" Target="https://dailymed.nlm.nih.gov/dailymed/drugInfo.cfm?setid=a5818647-d840-e9d7-c7b8-6541b485e44e" TargetMode="External"/><Relationship Id="rId299" Type="http://schemas.openxmlformats.org/officeDocument/2006/relationships/hyperlink" Target="https://dailymed.nlm.nih.gov/dailymed/search.cfm?labeltype=all&amp;query=cyclophosphamide" TargetMode="External"/><Relationship Id="rId300" Type="http://schemas.openxmlformats.org/officeDocument/2006/relationships/hyperlink" Target="https://base-donnees-publique.medicaments.gouv.fr/index.php?page=1&amp;choixRecherche=medicament&amp;txtCaracteres=Cyclophosphamide%20Reddy&amp;action=show" TargetMode="External"/><Relationship Id="rId301" Type="http://schemas.openxmlformats.org/officeDocument/2006/relationships/hyperlink" Target="https://www.ema.europa.eu/en/documents/other/article-57-product-data_en.xlsx" TargetMode="External"/><Relationship Id="rId302" Type="http://schemas.openxmlformats.org/officeDocument/2006/relationships/hyperlink" Target="https://dailymed.nlm.nih.gov/dailymed/search.cfm?labeltype=all&amp;query=daptomycin" TargetMode="External"/><Relationship Id="rId303" Type="http://schemas.openxmlformats.org/officeDocument/2006/relationships/hyperlink" Target="https://mhraproducts4853.blob.core.windows.net/docs/60c8a02705c24afc73bb76255b45928c586ba95b" TargetMode="External"/><Relationship Id="rId304" Type="http://schemas.openxmlformats.org/officeDocument/2006/relationships/hyperlink" Target="https://dailymed.nlm.nih.gov/dailymed/search.cfm?labeltype=all&amp;query=daptomycin" TargetMode="External"/><Relationship Id="rId305" Type="http://schemas.openxmlformats.org/officeDocument/2006/relationships/hyperlink" Target="https://www.ema.europa.eu/en/documents/other/article-57-product-data_en.xlsx" TargetMode="External"/><Relationship Id="rId306" Type="http://schemas.openxmlformats.org/officeDocument/2006/relationships/hyperlink" Target="https://dailymed.nlm.nih.gov/dailymed/search.cfm?labeltype=all&amp;query=daptomycin" TargetMode="External"/><Relationship Id="rId307" Type="http://schemas.openxmlformats.org/officeDocument/2006/relationships/hyperlink" Target="https://health-products.canada.ca/dpd-bdpp/info?code=98052&amp;lang=eng" TargetMode="External"/><Relationship Id="rId308" Type="http://schemas.openxmlformats.org/officeDocument/2006/relationships/hyperlink" Target="https://dailymed.nlm.nih.gov/dailymed/search.cfm?labeltype=all&amp;query=daptomycin" TargetMode="External"/><Relationship Id="rId309" Type="http://schemas.openxmlformats.org/officeDocument/2006/relationships/hyperlink" Target="https://base-donnees-publique.medicaments.gouv.fr/index.php?page=1&amp;choixRecherche=medicament&amp;txtCaracteres=Daptomycine%20Reddy&amp;action=show" TargetMode="External"/><Relationship Id="rId310" Type="http://schemas.openxmlformats.org/officeDocument/2006/relationships/hyperlink" Target="https://www.ema.europa.eu/en/documents/other/article-57-product-data_en.xlsx" TargetMode="External"/><Relationship Id="rId311" Type="http://schemas.openxmlformats.org/officeDocument/2006/relationships/hyperlink" Target="https://dailymed.nlm.nih.gov/dailymed/search.cfm?labeltype=all&amp;query=daptomycin" TargetMode="External"/><Relationship Id="rId312" Type="http://schemas.openxmlformats.org/officeDocument/2006/relationships/hyperlink" Target="https://www.ebs.tga.gov.au/ebs/picmi/picmirepository.nsf/pdf?OpenAgent&amp;id=CP-2021-PI-01507-1" TargetMode="External"/><Relationship Id="rId313" Type="http://schemas.openxmlformats.org/officeDocument/2006/relationships/hyperlink" Target="https://dailymed.nlm.nih.gov/dailymed/search.cfm?labeltype=all&amp;query=desmopressin" TargetMode="External"/><Relationship Id="rId314" Type="http://schemas.openxmlformats.org/officeDocument/2006/relationships/hyperlink" Target="https://dailymed.nlm.nih.gov/dailymed/drugInfo.cfm?setid=60dd8694-58d8-d88e-26f2-f28baa53787e" TargetMode="External"/><Relationship Id="rId315" Type="http://schemas.openxmlformats.org/officeDocument/2006/relationships/hyperlink" Target="https://dailymed.nlm.nih.gov/dailymed/search.cfm?labeltype=all&amp;query=diazepam+injection" TargetMode="External"/><Relationship Id="rId316" Type="http://schemas.openxmlformats.org/officeDocument/2006/relationships/hyperlink" Target="https://dailymed.nlm.nih.gov/dailymed/drugInfo.cfm?setid=7a912f1a-deee-46df-a8df-22a0afb06529" TargetMode="External"/><Relationship Id="rId317" Type="http://schemas.openxmlformats.org/officeDocument/2006/relationships/hyperlink" Target="https://dailymed.nlm.nih.gov/dailymed/search.cfm?labeltype=all&amp;query=ephedrine+sulfate+injection" TargetMode="External"/><Relationship Id="rId318" Type="http://schemas.openxmlformats.org/officeDocument/2006/relationships/hyperlink" Target="https://dailymed.nlm.nih.gov/dailymed/drugInfo.cfm?setid=1d1c41c1-8f5f-ee76-c890-4f1f2a3b2e96" TargetMode="External"/><Relationship Id="rId319" Type="http://schemas.openxmlformats.org/officeDocument/2006/relationships/hyperlink" Target="https://dailymed.nlm.nih.gov/dailymed/search.cfm?labeltype=all&amp;query=eribulin" TargetMode="External"/><Relationship Id="rId320" Type="http://schemas.openxmlformats.org/officeDocument/2006/relationships/hyperlink" Target="https://dailymed.nlm.nih.gov/dailymed/drugInfo.cfm?setid=1038e984-3bf7-5bbf-f1ec-ce15ae330efc" TargetMode="External"/><Relationship Id="rId321" Type="http://schemas.openxmlformats.org/officeDocument/2006/relationships/hyperlink" Target="https://dailymed.nlm.nih.gov/dailymed/search.cfm?labeltype=all&amp;query=eribulin" TargetMode="External"/><Relationship Id="rId322" Type="http://schemas.openxmlformats.org/officeDocument/2006/relationships/hyperlink" Target="https://dmd-browser.nhsbsa.nhs.uk/ampp/view/211180" TargetMode="External"/><Relationship Id="rId323" Type="http://schemas.openxmlformats.org/officeDocument/2006/relationships/hyperlink" Target="https://dailymed.nlm.nih.gov/dailymed/search.cfm?labeltype=all&amp;query=eribulin" TargetMode="External"/><Relationship Id="rId324" Type="http://schemas.openxmlformats.org/officeDocument/2006/relationships/hyperlink" Target="https://www.ema.europa.eu/en/documents/other/article-57-product-data_en.xlsx" TargetMode="External"/><Relationship Id="rId325" Type="http://schemas.openxmlformats.org/officeDocument/2006/relationships/hyperlink" Target="https://dailymed.nlm.nih.gov/dailymed/search.cfm?labeltype=all&amp;query=eribulin" TargetMode="External"/><Relationship Id="rId326" Type="http://schemas.openxmlformats.org/officeDocument/2006/relationships/hyperlink" Target="https://health-products.canada.ca/dpd-bdpp/info?code=103467&amp;lang=eng" TargetMode="External"/><Relationship Id="rId327" Type="http://schemas.openxmlformats.org/officeDocument/2006/relationships/hyperlink" Target="https://dailymed.nlm.nih.gov/dailymed/search.cfm?labeltype=all&amp;query=eribulin" TargetMode="External"/><Relationship Id="rId328" Type="http://schemas.openxmlformats.org/officeDocument/2006/relationships/hyperlink" Target="https://www.ema.europa.eu/en/documents/other/article-57-product-data_en.xlsx" TargetMode="External"/><Relationship Id="rId329" Type="http://schemas.openxmlformats.org/officeDocument/2006/relationships/hyperlink" Target="https://dailymed.nlm.nih.gov/dailymed/search.cfm?labeltype=all&amp;query=eribulin" TargetMode="External"/><Relationship Id="rId330" Type="http://schemas.openxmlformats.org/officeDocument/2006/relationships/hyperlink" Target="https://www.ebs.tga.gov.au/ebs/picmi/picmirepository.nsf/pdf?OpenAgent&amp;id=CP-2024-PI-02722-1" TargetMode="External"/><Relationship Id="rId331" Type="http://schemas.openxmlformats.org/officeDocument/2006/relationships/hyperlink" Target="https://dailymed.nlm.nih.gov/dailymed/search.cfm?labeltype=all&amp;query=eribulin" TargetMode="External"/><Relationship Id="rId332" Type="http://schemas.openxmlformats.org/officeDocument/2006/relationships/hyperlink" Target="https://medicineprices.org.za/" TargetMode="External"/><Relationship Id="rId333" Type="http://schemas.openxmlformats.org/officeDocument/2006/relationships/hyperlink" Target="https://dailymed.nlm.nih.gov/dailymed/search.cfm?labeltype=all&amp;query=ertapenem" TargetMode="External"/><Relationship Id="rId334" Type="http://schemas.openxmlformats.org/officeDocument/2006/relationships/hyperlink" Target="https://health-products.canada.ca/dpd-bdpp/info?code=100038&amp;lang=eng" TargetMode="External"/><Relationship Id="rId335" Type="http://schemas.openxmlformats.org/officeDocument/2006/relationships/hyperlink" Target="https://dailymed.nlm.nih.gov/dailymed/search.cfm?labeltype=all&amp;query=ferric+carboxymaltose" TargetMode="External"/><Relationship Id="rId336" Type="http://schemas.openxmlformats.org/officeDocument/2006/relationships/hyperlink" Target="https://www.tga.gov.au/resources/artg/431990" TargetMode="External"/><Relationship Id="rId337" Type="http://schemas.openxmlformats.org/officeDocument/2006/relationships/hyperlink" Target="https://dailymed.nlm.nih.gov/dailymed/search.cfm?labeltype=all&amp;query=fulvestrant" TargetMode="External"/><Relationship Id="rId338" Type="http://schemas.openxmlformats.org/officeDocument/2006/relationships/hyperlink" Target="https://dailymed.nlm.nih.gov/dailymed/drugInfo.cfm?setid=2fc17ba3-83c7-a2b4-8a75-6a0cb1e07682" TargetMode="External"/><Relationship Id="rId339" Type="http://schemas.openxmlformats.org/officeDocument/2006/relationships/hyperlink" Target="https://dailymed.nlm.nih.gov/dailymed/search.cfm?labeltype=all&amp;query=fulvestrant" TargetMode="External"/><Relationship Id="rId340" Type="http://schemas.openxmlformats.org/officeDocument/2006/relationships/hyperlink" Target="https://mhraproducts4853.blob.core.windows.net/docs/15cb9531a83993d5871cb4fbb39a9f60d681facb" TargetMode="External"/><Relationship Id="rId341" Type="http://schemas.openxmlformats.org/officeDocument/2006/relationships/hyperlink" Target="https://dailymed.nlm.nih.gov/dailymed/search.cfm?labeltype=all&amp;query=fulvestrant" TargetMode="External"/><Relationship Id="rId342" Type="http://schemas.openxmlformats.org/officeDocument/2006/relationships/hyperlink" Target="https://www.ema.europa.eu/en/documents/other/article-57-product-data_en.xlsx" TargetMode="External"/><Relationship Id="rId343" Type="http://schemas.openxmlformats.org/officeDocument/2006/relationships/hyperlink" Target="https://dailymed.nlm.nih.gov/dailymed/search.cfm?labeltype=all&amp;query=fulvestrant" TargetMode="External"/><Relationship Id="rId344" Type="http://schemas.openxmlformats.org/officeDocument/2006/relationships/hyperlink" Target="https://www.ema.europa.eu/en/documents/other/article-57-product-data_en.xlsx" TargetMode="External"/><Relationship Id="rId345" Type="http://schemas.openxmlformats.org/officeDocument/2006/relationships/hyperlink" Target="https://dailymed.nlm.nih.gov/dailymed/search.cfm?labeltype=all&amp;query=fulvestrant" TargetMode="External"/><Relationship Id="rId346" Type="http://schemas.openxmlformats.org/officeDocument/2006/relationships/hyperlink" Target="https://pi-pil-repository.sahpra.org.za/wp-content/uploads/2025/02/approved-pi.pdf" TargetMode="External"/><Relationship Id="rId347" Type="http://schemas.openxmlformats.org/officeDocument/2006/relationships/hyperlink" Target="https://dailymed.nlm.nih.gov/dailymed/search.cfm?labeltype=all&amp;query=ibandronate+injection" TargetMode="External"/><Relationship Id="rId348" Type="http://schemas.openxmlformats.org/officeDocument/2006/relationships/hyperlink" Target="https://www.ema.europa.eu/en/documents/other/article-57-product-data_en.xlsx" TargetMode="External"/><Relationship Id="rId349" Type="http://schemas.openxmlformats.org/officeDocument/2006/relationships/hyperlink" Target="https://dailymed.nlm.nih.gov/dailymed/search.cfm?labeltype=all&amp;query=naloxone+hydrochloride+injection" TargetMode="External"/><Relationship Id="rId350" Type="http://schemas.openxmlformats.org/officeDocument/2006/relationships/hyperlink" Target="https://dailymed.nlm.nih.gov/dailymed/search.cfm?searchdb=ndc&amp;query=43598-750-11" TargetMode="External"/><Relationship Id="rId351" Type="http://schemas.openxmlformats.org/officeDocument/2006/relationships/hyperlink" Target="https://dailymed.nlm.nih.gov/dailymed/search.cfm?labeltype=all&amp;query=neostigmine" TargetMode="External"/><Relationship Id="rId352" Type="http://schemas.openxmlformats.org/officeDocument/2006/relationships/hyperlink" Target="https://dailymed.nlm.nih.gov/dailymed/drugInfo.cfm?setid=12575d1a-a2c2-37b2-0dcf-31e58bbc2a10" TargetMode="External"/><Relationship Id="rId353" Type="http://schemas.openxmlformats.org/officeDocument/2006/relationships/hyperlink" Target="https://dailymed.nlm.nih.gov/dailymed/search.cfm?labeltype=all&amp;query=palonosetron" TargetMode="External"/><Relationship Id="rId354" Type="http://schemas.openxmlformats.org/officeDocument/2006/relationships/hyperlink" Target="https://dailymed.nlm.nih.gov/dailymed/lookup.cfm?setid=991b8452-852c-c55c-7b1b-e97c4964777a" TargetMode="External"/><Relationship Id="rId355" Type="http://schemas.openxmlformats.org/officeDocument/2006/relationships/hyperlink" Target="https://dailymed.nlm.nih.gov/dailymed/search.cfm?labeltype=all&amp;query=palonosetron" TargetMode="External"/><Relationship Id="rId356" Type="http://schemas.openxmlformats.org/officeDocument/2006/relationships/hyperlink" Target="https://www.ema.europa.eu/en/documents/other/article-57-product-data_en.xlsx" TargetMode="External"/><Relationship Id="rId357" Type="http://schemas.openxmlformats.org/officeDocument/2006/relationships/hyperlink" Target="https://dailymed.nlm.nih.gov/dailymed/search.cfm?labeltype=all&amp;query=palonosetron" TargetMode="External"/><Relationship Id="rId358" Type="http://schemas.openxmlformats.org/officeDocument/2006/relationships/hyperlink" Target="https://www.ebs.tga.gov.au/ebs/picmi/picmirepository.nsf/pdf?OpenAgent&amp;id=CP-2016-PI-02208-1" TargetMode="External"/><Relationship Id="rId359" Type="http://schemas.openxmlformats.org/officeDocument/2006/relationships/hyperlink" Target="https://dailymed.nlm.nih.gov/dailymed/search.cfm?labeltype=all&amp;query=phytonadione" TargetMode="External"/><Relationship Id="rId360" Type="http://schemas.openxmlformats.org/officeDocument/2006/relationships/hyperlink" Target="https://dailymed.nlm.nih.gov/dailymed/drugInfo.cfm?setid=02445c07-7b4b-cd70-54e8-ebefc814f547" TargetMode="External"/><Relationship Id="rId361" Type="http://schemas.openxmlformats.org/officeDocument/2006/relationships/hyperlink" Target="https://dailymed.nlm.nih.gov/dailymed/search.cfm?labeltype=all&amp;query=plerixafor" TargetMode="External"/><Relationship Id="rId362" Type="http://schemas.openxmlformats.org/officeDocument/2006/relationships/hyperlink" Target="https://dailymed.nlm.nih.gov/dailymed/drugInfo.cfm?setid=58c9fa02-3701-d411-f946-790a62ddc064" TargetMode="External"/><Relationship Id="rId363" Type="http://schemas.openxmlformats.org/officeDocument/2006/relationships/hyperlink" Target="https://dailymed.nlm.nih.gov/dailymed/search.cfm?labeltype=all&amp;query=regadenoson" TargetMode="External"/><Relationship Id="rId364" Type="http://schemas.openxmlformats.org/officeDocument/2006/relationships/hyperlink" Target="https://dailymed.nlm.nih.gov/dailymed/search.cfm?labeltype=all&amp;query=Regadenoson" TargetMode="External"/><Relationship Id="rId365" Type="http://schemas.openxmlformats.org/officeDocument/2006/relationships/hyperlink" Target="https://dailymed.nlm.nih.gov/dailymed/search.cfm?labeltype=all&amp;query=succinylcholine" TargetMode="External"/><Relationship Id="rId366" Type="http://schemas.openxmlformats.org/officeDocument/2006/relationships/hyperlink" Target="https://dailymed.nlm.nih.gov/dailymed/drugInfo.cfm?setid=6e6e0ce7-c73c-407f-9678-724425f24976" TargetMode="External"/><Relationship Id="rId367" Type="http://schemas.openxmlformats.org/officeDocument/2006/relationships/hyperlink" Target="https://dailymed.nlm.nih.gov/dailymed/search.cfm?labeltype=all&amp;query=succinylcholine" TargetMode="External"/><Relationship Id="rId368" Type="http://schemas.openxmlformats.org/officeDocument/2006/relationships/hyperlink" Target="https://pdf.hres.ca/dpd_pm/00069183.PDF" TargetMode="External"/><Relationship Id="rId369" Type="http://schemas.openxmlformats.org/officeDocument/2006/relationships/hyperlink" Target="https://dailymed.nlm.nih.gov/dailymed/search.cfm?labeltype=all&amp;query=sugammadex" TargetMode="External"/><Relationship Id="rId370" Type="http://schemas.openxmlformats.org/officeDocument/2006/relationships/hyperlink" Target="https://dailymed.nlm.nih.gov/dailymed/drugInfo.cfm?setid=4f90c37e-3505-0968-38fd-fc7e4dd66e82" TargetMode="External"/><Relationship Id="rId371" Type="http://schemas.openxmlformats.org/officeDocument/2006/relationships/hyperlink" Target="https://dailymed.nlm.nih.gov/dailymed/search.cfm?labeltype=all&amp;query=sugammadex" TargetMode="External"/><Relationship Id="rId372" Type="http://schemas.openxmlformats.org/officeDocument/2006/relationships/hyperlink" Target="https://dmd-browser.nhsbsa.nhs.uk/ampp/view/195075" TargetMode="External"/><Relationship Id="rId373" Type="http://schemas.openxmlformats.org/officeDocument/2006/relationships/hyperlink" Target="https://dailymed.nlm.nih.gov/dailymed/search.cfm?labeltype=all&amp;query=sugammadex" TargetMode="External"/><Relationship Id="rId374" Type="http://schemas.openxmlformats.org/officeDocument/2006/relationships/hyperlink" Target="https://www.ema.europa.eu/en/documents/other/article-57-product-data_en.xlsx" TargetMode="External"/><Relationship Id="rId375" Type="http://schemas.openxmlformats.org/officeDocument/2006/relationships/hyperlink" Target="https://dailymed.nlm.nih.gov/dailymed/search.cfm?labeltype=all&amp;query=sugammadex" TargetMode="External"/><Relationship Id="rId376" Type="http://schemas.openxmlformats.org/officeDocument/2006/relationships/hyperlink" Target="https://base-donnees-publique.medicaments.gouv.fr/index.php?page=1&amp;choixRecherche=medicament&amp;txtCaracteres=Sugammadex&amp;action=show" TargetMode="External"/><Relationship Id="rId377" Type="http://schemas.openxmlformats.org/officeDocument/2006/relationships/hyperlink" Target="https://www.ema.europa.eu/en/documents/other/article-57-product-data_en.xlsx" TargetMode="External"/><Relationship Id="rId378" Type="http://schemas.openxmlformats.org/officeDocument/2006/relationships/hyperlink" Target="https://dailymed.nlm.nih.gov/dailymed/search.cfm?labeltype=all&amp;query=sugammadex" TargetMode="External"/><Relationship Id="rId379" Type="http://schemas.openxmlformats.org/officeDocument/2006/relationships/hyperlink" Target="https://www.ebs.tga.gov.au/ebs/picmi/picmirepository.nsf/pdf?OpenAgent&amp;id=CP-2021-PI-01471-1" TargetMode="External"/><Relationship Id="rId380" Type="http://schemas.openxmlformats.org/officeDocument/2006/relationships/hyperlink" Target="https://dailymed.nlm.nih.gov/dailymed/search.cfm?labeltype=all&amp;query=sugammadex" TargetMode="External"/><Relationship Id="rId381" Type="http://schemas.openxmlformats.org/officeDocument/2006/relationships/hyperlink" Target="https://pi-pil-repository.sahpra.org.za/wp-content/uploads/2023/11/Final_PI_Neuvysi_Applicant.pdf" TargetMode="External"/><Relationship Id="rId382" Type="http://schemas.openxmlformats.org/officeDocument/2006/relationships/hyperlink" Target="https://dailymed.nlm.nih.gov/dailymed/search.cfm?labeltype=all&amp;query=thiotepa" TargetMode="External"/><Relationship Id="rId383" Type="http://schemas.openxmlformats.org/officeDocument/2006/relationships/hyperlink" Target="https://dailymed.nlm.nih.gov/dailymed/drugInfo.cfm?setid=0def6a5e-4bf5-b1fd-47b7-0f17ecfd9bc2" TargetMode="External"/><Relationship Id="rId384" Type="http://schemas.openxmlformats.org/officeDocument/2006/relationships/hyperlink" Target="https://dailymed.nlm.nih.gov/dailymed/search.cfm?labeltype=all&amp;query=triamcinolone+acetonide+injectable+suspension" TargetMode="External"/><Relationship Id="rId385" Type="http://schemas.openxmlformats.org/officeDocument/2006/relationships/hyperlink" Target="https://dailymed.nlm.nih.gov/dailymed/drugInfo.cfm?setid=1034d417-493a-443a-a62e-30786f673ee3" TargetMode="External"/><Relationship Id="rId386" Type="http://schemas.openxmlformats.org/officeDocument/2006/relationships/hyperlink" Target="https://dailymed.nlm.nih.gov/dailymed/search.cfm?labeltype=all&amp;query=acetazolamide" TargetMode="External"/><Relationship Id="rId387" Type="http://schemas.openxmlformats.org/officeDocument/2006/relationships/hyperlink" Target="https://dmd-browser.nhsbsa.nhs.uk/ampp/view/210747" TargetMode="External"/><Relationship Id="rId388" Type="http://schemas.openxmlformats.org/officeDocument/2006/relationships/hyperlink" Target="https://dailymed.nlm.nih.gov/dailymed/search.cfm?labeltype=all&amp;query=acetazolamide" TargetMode="External"/><Relationship Id="rId389" Type="http://schemas.openxmlformats.org/officeDocument/2006/relationships/hyperlink" Target="https://www.ema.europa.eu/en/documents/other/article-57-product-data_en.xlsx" TargetMode="External"/><Relationship Id="rId390" Type="http://schemas.openxmlformats.org/officeDocument/2006/relationships/hyperlink" Target="https://dailymed.nlm.nih.gov/dailymed/search.cfm?labeltype=all&amp;query=amikacin" TargetMode="External"/><Relationship Id="rId391" Type="http://schemas.openxmlformats.org/officeDocument/2006/relationships/hyperlink" Target="https://dmd-browser.nhsbsa.nhs.uk/ampp/view/184215" TargetMode="External"/><Relationship Id="rId392" Type="http://schemas.openxmlformats.org/officeDocument/2006/relationships/hyperlink" Target="https://dailymed.nlm.nih.gov/dailymed/search.cfm?labeltype=all&amp;query=amikacin" TargetMode="External"/><Relationship Id="rId393" Type="http://schemas.openxmlformats.org/officeDocument/2006/relationships/hyperlink" Target="https://www.ema.europa.eu/en/documents/other/article-57-product-data_en.xlsx" TargetMode="External"/><Relationship Id="rId394" Type="http://schemas.openxmlformats.org/officeDocument/2006/relationships/hyperlink" Target="https://dailymed.nlm.nih.gov/dailymed/search.cfm?labeltype=all&amp;query=amikacin" TargetMode="External"/><Relationship Id="rId395" Type="http://schemas.openxmlformats.org/officeDocument/2006/relationships/hyperlink" Target="https://health-products.canada.ca/dpd-bdpp/info?code=97163&amp;lang=eng" TargetMode="External"/><Relationship Id="rId396" Type="http://schemas.openxmlformats.org/officeDocument/2006/relationships/hyperlink" Target="https://dailymed.nlm.nih.gov/dailymed/search.cfm?labeltype=all&amp;query=amikacin" TargetMode="External"/><Relationship Id="rId397" Type="http://schemas.openxmlformats.org/officeDocument/2006/relationships/hyperlink" Target="https://www.ema.europa.eu/en/documents/other/article-57-product-data_en.xlsx" TargetMode="External"/><Relationship Id="rId398" Type="http://schemas.openxmlformats.org/officeDocument/2006/relationships/hyperlink" Target="https://dailymed.nlm.nih.gov/dailymed/search.cfm?labeltype=all&amp;query=amikacin" TargetMode="External"/><Relationship Id="rId399" Type="http://schemas.openxmlformats.org/officeDocument/2006/relationships/hyperlink" Target="https://www.ebs.tga.gov.au/ebs/picmi/picmirepository.nsf/pdf?OpenAgent&amp;id=CP-2019-PI-02339-1" TargetMode="External"/><Relationship Id="rId400" Type="http://schemas.openxmlformats.org/officeDocument/2006/relationships/hyperlink" Target="https://dailymed.nlm.nih.gov/dailymed/search.cfm?labeltype=all&amp;query=ampicillin" TargetMode="External"/><Relationship Id="rId401" Type="http://schemas.openxmlformats.org/officeDocument/2006/relationships/hyperlink" Target="https://www.ema.europa.eu/en/documents/other/article-57-product-data_en.xlsx" TargetMode="External"/><Relationship Id="rId402" Type="http://schemas.openxmlformats.org/officeDocument/2006/relationships/hyperlink" Target="https://dailymed.nlm.nih.gov/dailymed/search.cfm?labeltype=all&amp;query=azacitidine" TargetMode="External"/><Relationship Id="rId403" Type="http://schemas.openxmlformats.org/officeDocument/2006/relationships/hyperlink" Target="https://mhraproducts4853.blob.core.windows.net/docs/e4d662e29a638c2305c604ee1f25827e963a09f4" TargetMode="External"/><Relationship Id="rId404" Type="http://schemas.openxmlformats.org/officeDocument/2006/relationships/hyperlink" Target="https://dailymed.nlm.nih.gov/dailymed/search.cfm?labeltype=all&amp;query=azacitidine" TargetMode="External"/><Relationship Id="rId405" Type="http://schemas.openxmlformats.org/officeDocument/2006/relationships/hyperlink" Target="https://www.ema.europa.eu/en/documents/other/article-57-product-data_en.xlsx" TargetMode="External"/><Relationship Id="rId406" Type="http://schemas.openxmlformats.org/officeDocument/2006/relationships/hyperlink" Target="https://dailymed.nlm.nih.gov/dailymed/search.cfm?labeltype=all&amp;query=azacitidine" TargetMode="External"/><Relationship Id="rId407" Type="http://schemas.openxmlformats.org/officeDocument/2006/relationships/hyperlink" Target="https://base-donnees-publique.medicaments.gouv.fr/index.php?page=1&amp;choixRecherche=medicament&amp;txtCaracteres=Azacitidine%20Tillomed&amp;action=show" TargetMode="External"/><Relationship Id="rId408" Type="http://schemas.openxmlformats.org/officeDocument/2006/relationships/hyperlink" Target="https://www.ema.europa.eu/en/documents/other/article-57-product-data_en.xlsx" TargetMode="External"/><Relationship Id="rId409" Type="http://schemas.openxmlformats.org/officeDocument/2006/relationships/hyperlink" Target="https://dailymed.nlm.nih.gov/dailymed/search.cfm?labeltype=all&amp;query=bortezomib" TargetMode="External"/><Relationship Id="rId410" Type="http://schemas.openxmlformats.org/officeDocument/2006/relationships/hyperlink" Target="https://www.ema.europa.eu/en/documents/other/article-57-product-data_en.xlsx" TargetMode="External"/><Relationship Id="rId411" Type="http://schemas.openxmlformats.org/officeDocument/2006/relationships/hyperlink" Target="https://dailymed.nlm.nih.gov/dailymed/search.cfm?labeltype=all&amp;query=bortezomib" TargetMode="External"/><Relationship Id="rId412" Type="http://schemas.openxmlformats.org/officeDocument/2006/relationships/hyperlink" Target="https://health-products.canada.ca/dpd-bdpp/info?code=98328&amp;lang=eng" TargetMode="External"/><Relationship Id="rId413" Type="http://schemas.openxmlformats.org/officeDocument/2006/relationships/hyperlink" Target="https://dailymed.nlm.nih.gov/dailymed/search.cfm?labeltype=all&amp;query=bortezomib" TargetMode="External"/><Relationship Id="rId414" Type="http://schemas.openxmlformats.org/officeDocument/2006/relationships/hyperlink" Target="https://base-donnees-publique.medicaments.gouv.fr/index.php?page=1&amp;choixRecherche=medicament&amp;txtCaracteres=Bortezomib%20Tillomed&amp;action=show" TargetMode="External"/><Relationship Id="rId415" Type="http://schemas.openxmlformats.org/officeDocument/2006/relationships/hyperlink" Target="https://www.ema.europa.eu/en/documents/other/article-57-product-data_en.xlsx" TargetMode="External"/><Relationship Id="rId416" Type="http://schemas.openxmlformats.org/officeDocument/2006/relationships/hyperlink" Target="https://dailymed.nlm.nih.gov/dailymed/search.cfm?labeltype=all&amp;query=colistimethate" TargetMode="External"/><Relationship Id="rId417" Type="http://schemas.openxmlformats.org/officeDocument/2006/relationships/hyperlink" Target="https://health-products.canada.ca/dpd-bdpp/info?code=103531&amp;lang=eng" TargetMode="External"/><Relationship Id="rId418" Type="http://schemas.openxmlformats.org/officeDocument/2006/relationships/hyperlink" Target="https://dailymed.nlm.nih.gov/dailymed/search.cfm?labeltype=all&amp;query=cyclophosphamide" TargetMode="External"/><Relationship Id="rId419" Type="http://schemas.openxmlformats.org/officeDocument/2006/relationships/hyperlink" Target="https://health-products.canada.ca/dpd-bdpp/info?code=106329&amp;lang=eng" TargetMode="External"/><Relationship Id="rId420" Type="http://schemas.openxmlformats.org/officeDocument/2006/relationships/hyperlink" Target="https://dailymed.nlm.nih.gov/dailymed/search.cfm?labeltype=all&amp;query=daptomycin" TargetMode="External"/><Relationship Id="rId421" Type="http://schemas.openxmlformats.org/officeDocument/2006/relationships/hyperlink" Target="https://mhraproducts4853.blob.core.windows.net/docs/9afd4b27b19aa5c9bee689358bc17d6502fcab14" TargetMode="External"/><Relationship Id="rId422" Type="http://schemas.openxmlformats.org/officeDocument/2006/relationships/hyperlink" Target="https://dailymed.nlm.nih.gov/dailymed/search.cfm?labeltype=all&amp;query=daptomycin" TargetMode="External"/><Relationship Id="rId423" Type="http://schemas.openxmlformats.org/officeDocument/2006/relationships/hyperlink" Target="https://base-donnees-publique.medicaments.gouv.fr/index.php?page=1&amp;choixRecherche=medicament&amp;txtCaracteres=Daptomycin%20Tillomed&amp;action=show" TargetMode="External"/><Relationship Id="rId424" Type="http://schemas.openxmlformats.org/officeDocument/2006/relationships/hyperlink" Target="https://www.ema.europa.eu/en/documents/other/article-57-product-data_en.xlsx" TargetMode="External"/><Relationship Id="rId425" Type="http://schemas.openxmlformats.org/officeDocument/2006/relationships/hyperlink" Target="https://dailymed.nlm.nih.gov/dailymed/search.cfm?labeltype=all&amp;query=eribulin" TargetMode="External"/><Relationship Id="rId426" Type="http://schemas.openxmlformats.org/officeDocument/2006/relationships/hyperlink" Target="https://base-donnees-publique.medicaments.gouv.fr/index.php?page=1&amp;choixRecherche=medicament&amp;txtCaracteres=Eribuline%20Tillomed&amp;action=show" TargetMode="External"/><Relationship Id="rId427" Type="http://schemas.openxmlformats.org/officeDocument/2006/relationships/hyperlink" Target="https://www.ema.europa.eu/en/documents/other/article-57-product-data_en.xlsx" TargetMode="External"/><Relationship Id="rId428" Type="http://schemas.openxmlformats.org/officeDocument/2006/relationships/hyperlink" Target="https://dailymed.nlm.nih.gov/dailymed/search.cfm?labeltype=all&amp;query=esomeprazole+sodium" TargetMode="External"/><Relationship Id="rId429" Type="http://schemas.openxmlformats.org/officeDocument/2006/relationships/hyperlink" Target="https://www.ema.europa.eu/en/documents/other/article-57-product-data_en.xlsx" TargetMode="External"/><Relationship Id="rId430" Type="http://schemas.openxmlformats.org/officeDocument/2006/relationships/hyperlink" Target="https://dailymed.nlm.nih.gov/dailymed/search.cfm?labeltype=all&amp;query=esomeprazole+sodium" TargetMode="External"/><Relationship Id="rId431" Type="http://schemas.openxmlformats.org/officeDocument/2006/relationships/hyperlink" Target="https://base-donnees-publique.medicaments.gouv.fr/index.php?page=1&amp;choixRecherche=medicament&amp;txtCaracteres=Esomeprazole%20Tillomed&amp;action=show" TargetMode="External"/><Relationship Id="rId432" Type="http://schemas.openxmlformats.org/officeDocument/2006/relationships/hyperlink" Target="https://www.ema.europa.eu/en/documents/other/article-57-product-data_en.xlsx" TargetMode="External"/><Relationship Id="rId433" Type="http://schemas.openxmlformats.org/officeDocument/2006/relationships/hyperlink" Target="https://dailymed.nlm.nih.gov/dailymed/search.cfm?labeltype=all&amp;query=isoproterenol" TargetMode="External"/><Relationship Id="rId434" Type="http://schemas.openxmlformats.org/officeDocument/2006/relationships/hyperlink" Target="https://health-products.canada.ca/dpd-bdpp/info?code=99218&amp;lang=eng" TargetMode="External"/><Relationship Id="rId435" Type="http://schemas.openxmlformats.org/officeDocument/2006/relationships/hyperlink" Target="https://dailymed.nlm.nih.gov/dailymed/search.cfm?labeltype=all&amp;query=isoproterenol" TargetMode="External"/><Relationship Id="rId436" Type="http://schemas.openxmlformats.org/officeDocument/2006/relationships/hyperlink" Target="https://base-donnees-publique.medicaments.gouv.fr/index.php?page=1&amp;choixRecherche=medicament&amp;txtCaracteres=Isoprenaline%20Chlorhydrate&amp;action=show" TargetMode="External"/><Relationship Id="rId437" Type="http://schemas.openxmlformats.org/officeDocument/2006/relationships/hyperlink" Target="https://www.ema.europa.eu/en/documents/other/article-57-product-data_en.xlsx" TargetMode="External"/><Relationship Id="rId438" Type="http://schemas.openxmlformats.org/officeDocument/2006/relationships/hyperlink" Target="https://dailymed.nlm.nih.gov/dailymed/search.cfm?labeltype=all&amp;query=melphalan+hydrochloride" TargetMode="External"/><Relationship Id="rId439" Type="http://schemas.openxmlformats.org/officeDocument/2006/relationships/hyperlink" Target="https://mhraproducts4853.blob.core.windows.net/docs/b72d32face7ce61d71696787ed3106ac25618280" TargetMode="External"/><Relationship Id="rId440" Type="http://schemas.openxmlformats.org/officeDocument/2006/relationships/hyperlink" Target="https://dailymed.nlm.nih.gov/dailymed/search.cfm?labeltype=all&amp;query=melphalan+hydrochloride" TargetMode="External"/><Relationship Id="rId441" Type="http://schemas.openxmlformats.org/officeDocument/2006/relationships/hyperlink" Target="https://www.ema.europa.eu/en/documents/other/article-57-product-data_en.xlsx" TargetMode="External"/><Relationship Id="rId442" Type="http://schemas.openxmlformats.org/officeDocument/2006/relationships/hyperlink" Target="https://dailymed.nlm.nih.gov/dailymed/search.cfm?labeltype=all&amp;query=melphalan+hydrochloride" TargetMode="External"/><Relationship Id="rId443" Type="http://schemas.openxmlformats.org/officeDocument/2006/relationships/hyperlink" Target="https://health-products.canada.ca/dpd-bdpp/info?code=96274&amp;lang=eng" TargetMode="External"/><Relationship Id="rId444" Type="http://schemas.openxmlformats.org/officeDocument/2006/relationships/hyperlink" Target="https://dailymed.nlm.nih.gov/dailymed/search.cfm?labeltype=all&amp;query=melphalan+hydrochloride" TargetMode="External"/><Relationship Id="rId445" Type="http://schemas.openxmlformats.org/officeDocument/2006/relationships/hyperlink" Target="https://base-donnees-publique.medicaments.gouv.fr/index.php?page=1&amp;choixRecherche=medicament&amp;txtCaracteres=Melphalan%20Tillomed&amp;action=show" TargetMode="External"/><Relationship Id="rId446" Type="http://schemas.openxmlformats.org/officeDocument/2006/relationships/hyperlink" Target="https://www.ema.europa.eu/en/documents/other/article-57-product-data_en.xlsx" TargetMode="External"/><Relationship Id="rId447" Type="http://schemas.openxmlformats.org/officeDocument/2006/relationships/hyperlink" Target="https://dailymed.nlm.nih.gov/dailymed/search.cfm?labeltype=all&amp;query=melphalan+hydrochloride" TargetMode="External"/><Relationship Id="rId448" Type="http://schemas.openxmlformats.org/officeDocument/2006/relationships/hyperlink" Target="https://www.ebs.tga.gov.au/ebs/picmi/picmirepository.nsf/pdf?OpenAgent&amp;id=CP-2018-PI-01539-1" TargetMode="External"/><Relationship Id="rId449" Type="http://schemas.openxmlformats.org/officeDocument/2006/relationships/hyperlink" Target="https://dailymed.nlm.nih.gov/dailymed/search.cfm?labeltype=all&amp;query=milrinone" TargetMode="External"/><Relationship Id="rId450" Type="http://schemas.openxmlformats.org/officeDocument/2006/relationships/hyperlink" Target="https://dmd-browser.nhsbsa.nhs.uk/ampp/view/190885" TargetMode="External"/><Relationship Id="rId451" Type="http://schemas.openxmlformats.org/officeDocument/2006/relationships/hyperlink" Target="https://dailymed.nlm.nih.gov/dailymed/search.cfm?labeltype=all&amp;query=milrinone" TargetMode="External"/><Relationship Id="rId452" Type="http://schemas.openxmlformats.org/officeDocument/2006/relationships/hyperlink" Target="https://www.ema.europa.eu/en/documents/other/article-57-product-data_en.xlsx" TargetMode="External"/><Relationship Id="rId453" Type="http://schemas.openxmlformats.org/officeDocument/2006/relationships/hyperlink" Target="https://dailymed.nlm.nih.gov/dailymed/search.cfm?labeltype=all&amp;query=milrinone" TargetMode="External"/><Relationship Id="rId454" Type="http://schemas.openxmlformats.org/officeDocument/2006/relationships/hyperlink" Target="https://base-donnees-publique.medicaments.gouv.fr/index.php?page=1&amp;choixRecherche=medicament&amp;txtCaracteres=Milrinone%20Tillomed&amp;action=show" TargetMode="External"/><Relationship Id="rId455" Type="http://schemas.openxmlformats.org/officeDocument/2006/relationships/hyperlink" Target="https://www.ema.europa.eu/en/documents/other/article-57-product-data_en.xlsx" TargetMode="External"/><Relationship Id="rId456" Type="http://schemas.openxmlformats.org/officeDocument/2006/relationships/hyperlink" Target="https://dailymed.nlm.nih.gov/dailymed/search.cfm?labeltype=all&amp;query=neostigmine" TargetMode="External"/><Relationship Id="rId457" Type="http://schemas.openxmlformats.org/officeDocument/2006/relationships/hyperlink" Target="https://health-products.canada.ca/dpd-bdpp/info?code=96586&amp;lang=eng" TargetMode="External"/><Relationship Id="rId458" Type="http://schemas.openxmlformats.org/officeDocument/2006/relationships/hyperlink" Target="https://dailymed.nlm.nih.gov/dailymed/search.cfm?labeltype=all&amp;query=ondansetron+injection" TargetMode="External"/><Relationship Id="rId459" Type="http://schemas.openxmlformats.org/officeDocument/2006/relationships/hyperlink" Target="https://www.ema.europa.eu/en/documents/other/article-57-product-data_en.xlsx" TargetMode="External"/><Relationship Id="rId460" Type="http://schemas.openxmlformats.org/officeDocument/2006/relationships/hyperlink" Target="https://dailymed.nlm.nih.gov/dailymed/search.cfm?labeltype=all&amp;query=pantoprazole+sodium+for+injection" TargetMode="External"/><Relationship Id="rId461" Type="http://schemas.openxmlformats.org/officeDocument/2006/relationships/hyperlink" Target="https://dmd-browser.nhsbsa.nhs.uk/ampp/view/194984" TargetMode="External"/><Relationship Id="rId462" Type="http://schemas.openxmlformats.org/officeDocument/2006/relationships/hyperlink" Target="https://dailymed.nlm.nih.gov/dailymed/search.cfm?labeltype=all&amp;query=pantoprazole+sodium+for+injection" TargetMode="External"/><Relationship Id="rId463" Type="http://schemas.openxmlformats.org/officeDocument/2006/relationships/hyperlink" Target="https://www.ema.europa.eu/en/documents/other/article-57-product-data_en.xlsx" TargetMode="External"/><Relationship Id="rId464" Type="http://schemas.openxmlformats.org/officeDocument/2006/relationships/hyperlink" Target="https://dailymed.nlm.nih.gov/dailymed/search.cfm?labeltype=all&amp;query=pantoprazole+sodium+for+injection" TargetMode="External"/><Relationship Id="rId465" Type="http://schemas.openxmlformats.org/officeDocument/2006/relationships/hyperlink" Target="https://base-donnees-publique.medicaments.gouv.fr/index.php?page=1&amp;choixRecherche=medicament&amp;txtCaracteres=Pantoprazole%20Tillomed&amp;action=show" TargetMode="External"/><Relationship Id="rId466" Type="http://schemas.openxmlformats.org/officeDocument/2006/relationships/hyperlink" Target="https://www.ema.europa.eu/en/documents/other/article-57-product-data_en.xlsx" TargetMode="External"/><Relationship Id="rId467" Type="http://schemas.openxmlformats.org/officeDocument/2006/relationships/hyperlink" Target="https://dailymed.nlm.nih.gov/dailymed/search.cfm?labeltype=all&amp;query=pentamidine" TargetMode="External"/><Relationship Id="rId468" Type="http://schemas.openxmlformats.org/officeDocument/2006/relationships/hyperlink" Target="https://dmd-browser.nhsbsa.nhs.uk/ampp/view/197400" TargetMode="External"/><Relationship Id="rId469" Type="http://schemas.openxmlformats.org/officeDocument/2006/relationships/hyperlink" Target="https://dailymed.nlm.nih.gov/dailymed/search.cfm?labeltype=all&amp;query=pentamidine" TargetMode="External"/><Relationship Id="rId470" Type="http://schemas.openxmlformats.org/officeDocument/2006/relationships/hyperlink" Target="https://www.ema.europa.eu/en/documents/other/article-57-product-data_en.xlsx" TargetMode="External"/><Relationship Id="rId471" Type="http://schemas.openxmlformats.org/officeDocument/2006/relationships/hyperlink" Target="https://dailymed.nlm.nih.gov/dailymed/search.cfm?labeltype=all&amp;query=pentamidine" TargetMode="External"/><Relationship Id="rId472" Type="http://schemas.openxmlformats.org/officeDocument/2006/relationships/hyperlink" Target="https://health-products.canada.ca/dpd-bdpp/info?code=100704&amp;lang=eng" TargetMode="External"/><Relationship Id="rId473" Type="http://schemas.openxmlformats.org/officeDocument/2006/relationships/hyperlink" Target="https://dailymed.nlm.nih.gov/dailymed/search.cfm?labeltype=all&amp;query=pentamidine" TargetMode="External"/><Relationship Id="rId474" Type="http://schemas.openxmlformats.org/officeDocument/2006/relationships/hyperlink" Target="https://base-donnees-publique.medicaments.gouv.fr/index.php?page=1&amp;choixRecherche=medicament&amp;txtCaracteres=Pentamidine%20Tillomed&amp;action=show" TargetMode="External"/><Relationship Id="rId475" Type="http://schemas.openxmlformats.org/officeDocument/2006/relationships/hyperlink" Target="https://www.ema.europa.eu/en/documents/other/article-57-product-data_en.xlsx" TargetMode="External"/><Relationship Id="rId476" Type="http://schemas.openxmlformats.org/officeDocument/2006/relationships/hyperlink" Target="https://dailymed.nlm.nih.gov/dailymed/search.cfm?labeltype=all&amp;query=pentamidine" TargetMode="External"/><Relationship Id="rId477" Type="http://schemas.openxmlformats.org/officeDocument/2006/relationships/hyperlink" Target="https://www.ebs.tga.gov.au/ebs/picmi/picmirepository.nsf/pdf?OpenAgent&amp;id=CP-2023-PI-02341-1" TargetMode="External"/><Relationship Id="rId478" Type="http://schemas.openxmlformats.org/officeDocument/2006/relationships/hyperlink" Target="https://dailymed.nlm.nih.gov/dailymed/search.cfm?labeltype=all&amp;query=plerixafor" TargetMode="External"/><Relationship Id="rId479" Type="http://schemas.openxmlformats.org/officeDocument/2006/relationships/hyperlink" Target="https://mhraproducts4853.blob.core.windows.net/docs/07357ed28124fa9adf67221cff8397b75709ff50" TargetMode="External"/><Relationship Id="rId480" Type="http://schemas.openxmlformats.org/officeDocument/2006/relationships/hyperlink" Target="https://dailymed.nlm.nih.gov/dailymed/search.cfm?labeltype=all&amp;query=plerixafor" TargetMode="External"/><Relationship Id="rId481" Type="http://schemas.openxmlformats.org/officeDocument/2006/relationships/hyperlink" Target="https://base-donnees-publique.medicaments.gouv.fr/index.php?page=1&amp;choixRecherche=medicament&amp;txtCaracteres=Plerixafor%20Tillomed&amp;action=show" TargetMode="External"/><Relationship Id="rId482" Type="http://schemas.openxmlformats.org/officeDocument/2006/relationships/hyperlink" Target="https://www.ema.europa.eu/en/documents/other/article-57-product-data_en.xlsx" TargetMode="External"/><Relationship Id="rId483" Type="http://schemas.openxmlformats.org/officeDocument/2006/relationships/hyperlink" Target="https://dailymed.nlm.nih.gov/dailymed/search.cfm?labeltype=all&amp;query=propofol" TargetMode="External"/><Relationship Id="rId484" Type="http://schemas.openxmlformats.org/officeDocument/2006/relationships/hyperlink" Target="https://health-products.canada.ca/dpd-bdpp/info?code=101486&amp;lang=eng" TargetMode="External"/><Relationship Id="rId485" Type="http://schemas.openxmlformats.org/officeDocument/2006/relationships/hyperlink" Target="https://dailymed.nlm.nih.gov/dailymed/search.cfm?labeltype=all&amp;query=sugammadex" TargetMode="External"/><Relationship Id="rId486" Type="http://schemas.openxmlformats.org/officeDocument/2006/relationships/hyperlink" Target="https://dmd-browser.nhsbsa.nhs.uk/ampp/view/195295" TargetMode="External"/><Relationship Id="rId487" Type="http://schemas.openxmlformats.org/officeDocument/2006/relationships/hyperlink" Target="https://dailymed.nlm.nih.gov/dailymed/search.cfm?labeltype=all&amp;query=sugammadex" TargetMode="External"/><Relationship Id="rId488" Type="http://schemas.openxmlformats.org/officeDocument/2006/relationships/hyperlink" Target="https://www.ema.europa.eu/en/documents/other/article-57-product-data_en.xlsx" TargetMode="External"/><Relationship Id="rId489" Type="http://schemas.openxmlformats.org/officeDocument/2006/relationships/hyperlink" Target="https://dailymed.nlm.nih.gov/dailymed/search.cfm?labeltype=all&amp;query=sugammadex" TargetMode="External"/><Relationship Id="rId490" Type="http://schemas.openxmlformats.org/officeDocument/2006/relationships/hyperlink" Target="https://www.ema.europa.eu/en/documents/other/article-57-product-data_en.xlsx" TargetMode="External"/><Relationship Id="rId491" Type="http://schemas.openxmlformats.org/officeDocument/2006/relationships/hyperlink" Target="https://dailymed.nlm.nih.gov/dailymed/search.cfm?labeltype=all&amp;query=azacitidine" TargetMode="External"/><Relationship Id="rId492" Type="http://schemas.openxmlformats.org/officeDocument/2006/relationships/hyperlink" Target="https://www.ema.europa.eu/en/documents/other/article-57-product-data_en.xlsx" TargetMode="External"/><Relationship Id="rId493" Type="http://schemas.openxmlformats.org/officeDocument/2006/relationships/hyperlink" Target="https://dailymed.nlm.nih.gov/dailymed/search.cfm?labeltype=all&amp;query=bortezomib" TargetMode="External"/><Relationship Id="rId494" Type="http://schemas.openxmlformats.org/officeDocument/2006/relationships/hyperlink" Target="https://www.ema.europa.eu/en/documents/other/article-57-product-data_en.xlsx" TargetMode="External"/><Relationship Id="rId495" Type="http://schemas.openxmlformats.org/officeDocument/2006/relationships/hyperlink" Target="https://dailymed.nlm.nih.gov/dailymed/search.cfm?labeltype=all&amp;query=bortezomib" TargetMode="External"/><Relationship Id="rId496" Type="http://schemas.openxmlformats.org/officeDocument/2006/relationships/hyperlink" Target="https://www.tga.gov.au/resources/artg/444811" TargetMode="External"/><Relationship Id="rId497" Type="http://schemas.openxmlformats.org/officeDocument/2006/relationships/hyperlink" Target="https://dailymed.nlm.nih.gov/dailymed/search.cfm?labeltype=all&amp;query=eribulin" TargetMode="External"/><Relationship Id="rId498" Type="http://schemas.openxmlformats.org/officeDocument/2006/relationships/hyperlink" Target="https://dailymed.nlm.nih.gov/dailymed/drugInfo.cfm?setid=55f4017d-5ea8-4622-bf59-9b9c329097fd" TargetMode="External"/><Relationship Id="rId499" Type="http://schemas.openxmlformats.org/officeDocument/2006/relationships/hyperlink" Target="https://dailymed.nlm.nih.gov/dailymed/search.cfm?labeltype=all&amp;query=eribulin" TargetMode="External"/><Relationship Id="rId500" Type="http://schemas.openxmlformats.org/officeDocument/2006/relationships/hyperlink" Target="https://mhraproducts4853.blob.core.windows.net/docs/b0ceabb0dd6b7d5e0d5eaf6156cd2acdc6593ea6" TargetMode="External"/><Relationship Id="rId501" Type="http://schemas.openxmlformats.org/officeDocument/2006/relationships/hyperlink" Target="https://dailymed.nlm.nih.gov/dailymed/search.cfm?labeltype=all&amp;query=eribulin" TargetMode="External"/><Relationship Id="rId502" Type="http://schemas.openxmlformats.org/officeDocument/2006/relationships/hyperlink" Target="https://www.ema.europa.eu/en/documents/other/article-57-product-data_en.xlsx" TargetMode="External"/><Relationship Id="rId503" Type="http://schemas.openxmlformats.org/officeDocument/2006/relationships/hyperlink" Target="https://dailymed.nlm.nih.gov/dailymed/search.cfm?labeltype=all&amp;query=eribulin" TargetMode="External"/><Relationship Id="rId504" Type="http://schemas.openxmlformats.org/officeDocument/2006/relationships/hyperlink" Target="https://www.ema.europa.eu/en/documents/other/article-57-product-data_en.xlsx" TargetMode="External"/><Relationship Id="rId505" Type="http://schemas.openxmlformats.org/officeDocument/2006/relationships/hyperlink" Target="https://dailymed.nlm.nih.gov/dailymed/search.cfm?labeltype=all&amp;query=fulvestrant" TargetMode="External"/><Relationship Id="rId506" Type="http://schemas.openxmlformats.org/officeDocument/2006/relationships/hyperlink" Target="https://dailymed.nlm.nih.gov/dailymed/drugInfo.cfm?setid=99cf8b69-4c23-4886-80e9-b23e348b5bd7" TargetMode="External"/><Relationship Id="rId507" Type="http://schemas.openxmlformats.org/officeDocument/2006/relationships/hyperlink" Target="https://dailymed.nlm.nih.gov/dailymed/search.cfm?labeltype=all&amp;query=fulvestrant" TargetMode="External"/><Relationship Id="rId508" Type="http://schemas.openxmlformats.org/officeDocument/2006/relationships/hyperlink" Target="https://mhraproducts4853.blob.core.windows.net/docs/4e24a9a4b6a719b2aafafdba94273597a32d78e1" TargetMode="External"/><Relationship Id="rId509" Type="http://schemas.openxmlformats.org/officeDocument/2006/relationships/hyperlink" Target="https://dailymed.nlm.nih.gov/dailymed/search.cfm?labeltype=all&amp;query=fulvestrant" TargetMode="External"/><Relationship Id="rId510" Type="http://schemas.openxmlformats.org/officeDocument/2006/relationships/hyperlink" Target="https://www.ema.europa.eu/en/documents/other/article-57-product-data_en.xlsx" TargetMode="External"/><Relationship Id="rId511" Type="http://schemas.openxmlformats.org/officeDocument/2006/relationships/hyperlink" Target="https://dailymed.nlm.nih.gov/dailymed/search.cfm?labeltype=all&amp;query=fulvestrant" TargetMode="External"/><Relationship Id="rId512" Type="http://schemas.openxmlformats.org/officeDocument/2006/relationships/hyperlink" Target="https://www.ema.europa.eu/en/documents/other/article-57-product-data_en.xlsx" TargetMode="External"/><Relationship Id="rId513" Type="http://schemas.openxmlformats.org/officeDocument/2006/relationships/hyperlink" Target="https://dailymed.nlm.nih.gov/dailymed/search.cfm?labeltype=all&amp;query=plerixafor" TargetMode="External"/><Relationship Id="rId514" Type="http://schemas.openxmlformats.org/officeDocument/2006/relationships/hyperlink" Target="https://www.ema.europa.eu/en/documents/other/article-57-product-data_en.xlsx" TargetMode="External"/><Relationship Id="rId515" Type="http://schemas.openxmlformats.org/officeDocument/2006/relationships/hyperlink" Target="https://dailymed.nlm.nih.gov/dailymed/search.cfm?labeltype=all&amp;query=sugammadex" TargetMode="External"/><Relationship Id="rId516" Type="http://schemas.openxmlformats.org/officeDocument/2006/relationships/hyperlink" Target="https://mhraproducts4853.blob.core.windows.net/docs/e45682bfe340af873ea832a08fc0d30da2179c79" TargetMode="External"/><Relationship Id="rId517" Type="http://schemas.openxmlformats.org/officeDocument/2006/relationships/hyperlink" Target="https://dailymed.nlm.nih.gov/dailymed/search.cfm?labeltype=all&amp;query=sugammadex" TargetMode="External"/><Relationship Id="rId518" Type="http://schemas.openxmlformats.org/officeDocument/2006/relationships/hyperlink" Target="https://www.ema.europa.eu/en/documents/other/article-57-product-data_en.xlsx" TargetMode="External"/><Relationship Id="rId519" Type="http://schemas.openxmlformats.org/officeDocument/2006/relationships/hyperlink" Target="https://dailymed.nlm.nih.gov/dailymed/search.cfm?labeltype=all&amp;query=sugammadex" TargetMode="External"/><Relationship Id="rId520" Type="http://schemas.openxmlformats.org/officeDocument/2006/relationships/hyperlink" Target="https://www.ema.europa.eu/en/documents/other/article-57-product-data_en.xlsx" TargetMode="External"/><Relationship Id="rId521" Type="http://schemas.openxmlformats.org/officeDocument/2006/relationships/hyperlink" Target="https://dailymed.nlm.nih.gov/dailymed/search.cfm?labeltype=all&amp;query=azacitidine" TargetMode="External"/><Relationship Id="rId522" Type="http://schemas.openxmlformats.org/officeDocument/2006/relationships/hyperlink" Target="https://mhraproducts4853.blob.core.windows.net/docs/f9227b59e7a18d99e840d90e17567148b1e67b9a" TargetMode="External"/><Relationship Id="rId523" Type="http://schemas.openxmlformats.org/officeDocument/2006/relationships/hyperlink" Target="https://dailymed.nlm.nih.gov/dailymed/search.cfm?labeltype=all&amp;query=azacitidine" TargetMode="External"/><Relationship Id="rId524" Type="http://schemas.openxmlformats.org/officeDocument/2006/relationships/hyperlink" Target="https://www.ema.europa.eu/en/documents/other/article-57-product-data_en.xlsx" TargetMode="External"/><Relationship Id="rId525" Type="http://schemas.openxmlformats.org/officeDocument/2006/relationships/hyperlink" Target="https://dailymed.nlm.nih.gov/dailymed/search.cfm?labeltype=all&amp;query=bortezomib" TargetMode="External"/><Relationship Id="rId526" Type="http://schemas.openxmlformats.org/officeDocument/2006/relationships/hyperlink" Target="https://dailymed.nlm.nih.gov/dailymed/drugInfo.cfm?setid=04aafa6a-a50d-4a47-a831-be8e8bb992ac" TargetMode="External"/><Relationship Id="rId527" Type="http://schemas.openxmlformats.org/officeDocument/2006/relationships/hyperlink" Target="https://dailymed.nlm.nih.gov/dailymed/search.cfm?labeltype=all&amp;query=bortezomib" TargetMode="External"/><Relationship Id="rId528" Type="http://schemas.openxmlformats.org/officeDocument/2006/relationships/hyperlink" Target="https://mhraproducts4853.blob.core.windows.net/docs/7e2b44fca58941c5658f914dc653e9323cf4a2cd" TargetMode="External"/><Relationship Id="rId529" Type="http://schemas.openxmlformats.org/officeDocument/2006/relationships/hyperlink" Target="https://dailymed.nlm.nih.gov/dailymed/search.cfm?labeltype=all&amp;query=bortezomib" TargetMode="External"/><Relationship Id="rId530" Type="http://schemas.openxmlformats.org/officeDocument/2006/relationships/hyperlink" Target="https://www.ema.europa.eu/en/documents/other/article-57-product-data_en.xlsx" TargetMode="External"/><Relationship Id="rId531" Type="http://schemas.openxmlformats.org/officeDocument/2006/relationships/hyperlink" Target="https://dailymed.nlm.nih.gov/dailymed/search.cfm?labeltype=all&amp;query=bortezomib" TargetMode="External"/><Relationship Id="rId532" Type="http://schemas.openxmlformats.org/officeDocument/2006/relationships/hyperlink" Target="https://www.ema.europa.eu/en/documents/other/article-57-product-data_en.xlsx" TargetMode="External"/><Relationship Id="rId533" Type="http://schemas.openxmlformats.org/officeDocument/2006/relationships/hyperlink" Target="https://dailymed.nlm.nih.gov/dailymed/search.cfm?labeltype=all&amp;query=bortezomib" TargetMode="External"/><Relationship Id="rId534" Type="http://schemas.openxmlformats.org/officeDocument/2006/relationships/hyperlink" Target="https://www.ebs.tga.gov.au/servlet/xmlmillr6?dbid=ebs/PublicHTML/pdfStore.nsf&amp;docid=214243&amp;agid=(PrintDetailsPublic)&amp;actionid=1" TargetMode="External"/><Relationship Id="rId535" Type="http://schemas.openxmlformats.org/officeDocument/2006/relationships/hyperlink" Target="https://dailymed.nlm.nih.gov/dailymed/search.cfm?labeltype=all&amp;query=bortezomib" TargetMode="External"/><Relationship Id="rId536" Type="http://schemas.openxmlformats.org/officeDocument/2006/relationships/hyperlink" Target="https://medicineprices.org.za/" TargetMode="External"/><Relationship Id="rId537" Type="http://schemas.openxmlformats.org/officeDocument/2006/relationships/hyperlink" Target="https://dailymed.nlm.nih.gov/dailymed/search.cfm?labeltype=all&amp;query=brivaracetam" TargetMode="External"/><Relationship Id="rId538" Type="http://schemas.openxmlformats.org/officeDocument/2006/relationships/hyperlink" Target="https://mhraproducts4853.blob.core.windows.net/docs/da6e39cbeb26faea8c72a05b7312c32134b623cd" TargetMode="External"/><Relationship Id="rId539" Type="http://schemas.openxmlformats.org/officeDocument/2006/relationships/hyperlink" Target="https://dailymed.nlm.nih.gov/dailymed/search.cfm?labeltype=all&amp;query=brivaracetam" TargetMode="External"/><Relationship Id="rId540" Type="http://schemas.openxmlformats.org/officeDocument/2006/relationships/hyperlink" Target="https://www.ema.europa.eu/en/documents/other/article-57-product-data_en.xlsx" TargetMode="External"/><Relationship Id="rId541" Type="http://schemas.openxmlformats.org/officeDocument/2006/relationships/hyperlink" Target="https://dailymed.nlm.nih.gov/dailymed/search.cfm?labeltype=all&amp;query=brivaracetam" TargetMode="External"/><Relationship Id="rId542" Type="http://schemas.openxmlformats.org/officeDocument/2006/relationships/hyperlink" Target="https://www.ema.europa.eu/en/documents/other/article-57-product-data_en.xlsx" TargetMode="External"/><Relationship Id="rId543" Type="http://schemas.openxmlformats.org/officeDocument/2006/relationships/hyperlink" Target="https://dailymed.nlm.nih.gov/dailymed/search.cfm?labeltype=all&amp;query=chlorpromazine" TargetMode="External"/><Relationship Id="rId544" Type="http://schemas.openxmlformats.org/officeDocument/2006/relationships/hyperlink" Target="https://dailymed.nlm.nih.gov/dailymed/drugInfo.cfm?setid=6564346c-661c-41cf-9cef-db6aa15710cd" TargetMode="External"/><Relationship Id="rId545" Type="http://schemas.openxmlformats.org/officeDocument/2006/relationships/hyperlink" Target="https://dailymed.nlm.nih.gov/dailymed/search.cfm?labeltype=all&amp;query=cyanocobalamin+injection" TargetMode="External"/><Relationship Id="rId546" Type="http://schemas.openxmlformats.org/officeDocument/2006/relationships/hyperlink" Target="https://dailymed.nlm.nih.gov/dailymed/search.cfm?labeltype=all&amp;query=Cyanocobalamin" TargetMode="External"/><Relationship Id="rId547" Type="http://schemas.openxmlformats.org/officeDocument/2006/relationships/hyperlink" Target="https://dailymed.nlm.nih.gov/dailymed/search.cfm?labeltype=all&amp;query=daptomycin" TargetMode="External"/><Relationship Id="rId548" Type="http://schemas.openxmlformats.org/officeDocument/2006/relationships/hyperlink" Target="https://mhraproducts4853.blob.core.windows.net/docs/767f850723d94449fe9c9148dd21c9b7daf22e18" TargetMode="External"/><Relationship Id="rId549" Type="http://schemas.openxmlformats.org/officeDocument/2006/relationships/hyperlink" Target="https://dailymed.nlm.nih.gov/dailymed/search.cfm?labeltype=all&amp;query=daptomycin" TargetMode="External"/><Relationship Id="rId550" Type="http://schemas.openxmlformats.org/officeDocument/2006/relationships/hyperlink" Target="https://www.ema.europa.eu/en/documents/other/article-57-product-data_en.xlsx" TargetMode="External"/><Relationship Id="rId551" Type="http://schemas.openxmlformats.org/officeDocument/2006/relationships/hyperlink" Target="https://dailymed.nlm.nih.gov/dailymed/search.cfm?labeltype=all&amp;query=daptomycin" TargetMode="External"/><Relationship Id="rId552" Type="http://schemas.openxmlformats.org/officeDocument/2006/relationships/hyperlink" Target="https://www.ema.europa.eu/en/documents/other/article-57-product-data_en.xlsx" TargetMode="External"/><Relationship Id="rId553" Type="http://schemas.openxmlformats.org/officeDocument/2006/relationships/hyperlink" Target="https://dailymed.nlm.nih.gov/dailymed/search.cfm?labeltype=all&amp;query=glycopyrrolate+injection" TargetMode="External"/><Relationship Id="rId554" Type="http://schemas.openxmlformats.org/officeDocument/2006/relationships/hyperlink" Target="https://www.health.gov.za/nhi-pee/" TargetMode="External"/><Relationship Id="rId555" Type="http://schemas.openxmlformats.org/officeDocument/2006/relationships/hyperlink" Target="https://dailymed.nlm.nih.gov/dailymed/search.cfm?labeltype=all&amp;query=isoproterenol" TargetMode="External"/><Relationship Id="rId556" Type="http://schemas.openxmlformats.org/officeDocument/2006/relationships/hyperlink" Target="https://dailymed.nlm.nih.gov/dailymed/search.cfm?labeltype=all&amp;query=Isoproterenol+Hydrochloride" TargetMode="External"/><Relationship Id="rId557" Type="http://schemas.openxmlformats.org/officeDocument/2006/relationships/hyperlink" Target="https://dailymed.nlm.nih.gov/dailymed/search.cfm?labeltype=all&amp;query=lidocaine+hydrochloride+injection" TargetMode="External"/><Relationship Id="rId558" Type="http://schemas.openxmlformats.org/officeDocument/2006/relationships/hyperlink" Target="https://dailymed.nlm.nih.gov/dailymed/drugInfo.cfm?setid=cfbca641-aeee-4dc8-a340-30c53d3b023b" TargetMode="External"/><Relationship Id="rId559" Type="http://schemas.openxmlformats.org/officeDocument/2006/relationships/hyperlink" Target="https://dailymed.nlm.nih.gov/dailymed/search.cfm?labeltype=all&amp;query=magnesium+sulfate+injection" TargetMode="External"/><Relationship Id="rId560" Type="http://schemas.openxmlformats.org/officeDocument/2006/relationships/hyperlink" Target="https://dailymed.nlm.nih.gov/dailymed/drugInfo.cfm?setid=5a0f9db9-b8be-c923-e063-6394a90a7dd7" TargetMode="External"/><Relationship Id="rId561" Type="http://schemas.openxmlformats.org/officeDocument/2006/relationships/hyperlink" Target="https://dailymed.nlm.nih.gov/dailymed/search.cfm?labeltype=all&amp;query=melphalan+hydrochloride" TargetMode="External"/><Relationship Id="rId562" Type="http://schemas.openxmlformats.org/officeDocument/2006/relationships/hyperlink" Target="https://mhraproducts4853.blob.core.windows.net/docs/703e9b8af2577bc6d1c69e9d1f96615cbdcb7a07" TargetMode="External"/><Relationship Id="rId563" Type="http://schemas.openxmlformats.org/officeDocument/2006/relationships/hyperlink" Target="https://dailymed.nlm.nih.gov/dailymed/search.cfm?labeltype=all&amp;query=melphalan+hydrochloride" TargetMode="External"/><Relationship Id="rId564" Type="http://schemas.openxmlformats.org/officeDocument/2006/relationships/hyperlink" Target="https://www.ema.europa.eu/en/documents/other/article-57-product-data_en.xlsx" TargetMode="External"/><Relationship Id="rId565" Type="http://schemas.openxmlformats.org/officeDocument/2006/relationships/hyperlink" Target="https://dailymed.nlm.nih.gov/dailymed/search.cfm?labeltype=all&amp;query=melphalan+hydrochloride" TargetMode="External"/><Relationship Id="rId566" Type="http://schemas.openxmlformats.org/officeDocument/2006/relationships/hyperlink" Target="https://www.ema.europa.eu/en/documents/other/article-57-product-data_en.xlsx" TargetMode="External"/><Relationship Id="rId567" Type="http://schemas.openxmlformats.org/officeDocument/2006/relationships/hyperlink" Target="https://dailymed.nlm.nih.gov/dailymed/search.cfm?labeltype=all&amp;query=methotrexate+injection" TargetMode="External"/><Relationship Id="rId568" Type="http://schemas.openxmlformats.org/officeDocument/2006/relationships/hyperlink" Target="https://dailymed.nlm.nih.gov/dailymed/search.cfm?labeltype=all&amp;query=Methotrexate+Sodium" TargetMode="External"/><Relationship Id="rId569" Type="http://schemas.openxmlformats.org/officeDocument/2006/relationships/hyperlink" Target="https://dailymed.nlm.nih.gov/dailymed/search.cfm?labeltype=all&amp;query=palonosetron" TargetMode="External"/><Relationship Id="rId570" Type="http://schemas.openxmlformats.org/officeDocument/2006/relationships/hyperlink" Target="https://medicineprices.org.za/" TargetMode="External"/><Relationship Id="rId571" Type="http://schemas.openxmlformats.org/officeDocument/2006/relationships/hyperlink" Target="https://dailymed.nlm.nih.gov/dailymed/search.cfm?labeltype=all&amp;query=pantoprazole+sodium+for+injection" TargetMode="External"/><Relationship Id="rId572" Type="http://schemas.openxmlformats.org/officeDocument/2006/relationships/hyperlink" Target="https://dmd-browser.nhsbsa.nhs.uk/ampp/view/194984" TargetMode="External"/><Relationship Id="rId573" Type="http://schemas.openxmlformats.org/officeDocument/2006/relationships/hyperlink" Target="https://dailymed.nlm.nih.gov/dailymed/search.cfm?labeltype=all&amp;query=pantoprazole+sodium+for+injection" TargetMode="External"/><Relationship Id="rId574" Type="http://schemas.openxmlformats.org/officeDocument/2006/relationships/hyperlink" Target="https://www.ema.europa.eu/en/documents/other/article-57-product-data_en.xlsx" TargetMode="External"/><Relationship Id="rId575" Type="http://schemas.openxmlformats.org/officeDocument/2006/relationships/hyperlink" Target="https://dailymed.nlm.nih.gov/dailymed/search.cfm?labeltype=all&amp;query=pantoprazole+sodium+for+injection" TargetMode="External"/><Relationship Id="rId576" Type="http://schemas.openxmlformats.org/officeDocument/2006/relationships/hyperlink" Target="https://www.ema.europa.eu/en/documents/other/article-57-product-data_en.xlsx" TargetMode="External"/><Relationship Id="rId577" Type="http://schemas.openxmlformats.org/officeDocument/2006/relationships/hyperlink" Target="https://dailymed.nlm.nih.gov/dailymed/search.cfm?labeltype=all&amp;query=plerixafor" TargetMode="External"/><Relationship Id="rId578" Type="http://schemas.openxmlformats.org/officeDocument/2006/relationships/hyperlink" Target="https://dailymed.nlm.nih.gov/dailymed/drugInfo.cfm?setid=bb8e1167-8378-4e73-9bcb-d69093ec829b" TargetMode="External"/><Relationship Id="rId579" Type="http://schemas.openxmlformats.org/officeDocument/2006/relationships/hyperlink" Target="https://dailymed.nlm.nih.gov/dailymed/search.cfm?labeltype=all&amp;query=plerixafor" TargetMode="External"/><Relationship Id="rId580" Type="http://schemas.openxmlformats.org/officeDocument/2006/relationships/hyperlink" Target="https://mhraproducts4853.blob.core.windows.net/docs/04f9e2d2b4b82a0ffe5f86e1d5d606b552cb19c3" TargetMode="External"/><Relationship Id="rId581" Type="http://schemas.openxmlformats.org/officeDocument/2006/relationships/hyperlink" Target="https://dailymed.nlm.nih.gov/dailymed/search.cfm?labeltype=all&amp;query=plerixafor" TargetMode="External"/><Relationship Id="rId582" Type="http://schemas.openxmlformats.org/officeDocument/2006/relationships/hyperlink" Target="https://www.ema.europa.eu/en/documents/other/article-57-product-data_en.xlsx" TargetMode="External"/><Relationship Id="rId583" Type="http://schemas.openxmlformats.org/officeDocument/2006/relationships/hyperlink" Target="https://dailymed.nlm.nih.gov/dailymed/search.cfm?labeltype=all&amp;query=plerixafor" TargetMode="External"/><Relationship Id="rId584" Type="http://schemas.openxmlformats.org/officeDocument/2006/relationships/hyperlink" Target="https://www.ema.europa.eu/en/documents/other/article-57-product-data_en.xlsx" TargetMode="External"/><Relationship Id="rId585" Type="http://schemas.openxmlformats.org/officeDocument/2006/relationships/hyperlink" Target="https://dailymed.nlm.nih.gov/dailymed/search.cfm?labeltype=all&amp;query=plerixafor" TargetMode="External"/><Relationship Id="rId586" Type="http://schemas.openxmlformats.org/officeDocument/2006/relationships/hyperlink" Target="https://medicineprices.org.za/" TargetMode="External"/><Relationship Id="rId587" Type="http://schemas.openxmlformats.org/officeDocument/2006/relationships/hyperlink" Target="https://dailymed.nlm.nih.gov/dailymed/search.cfm?labeltype=all&amp;query=propofol" TargetMode="External"/><Relationship Id="rId588" Type="http://schemas.openxmlformats.org/officeDocument/2006/relationships/hyperlink" Target="https://dailymed.nlm.nih.gov/dailymed/search.cfm?labeltype=all&amp;query=Propofol" TargetMode="External"/><Relationship Id="rId589" Type="http://schemas.openxmlformats.org/officeDocument/2006/relationships/hyperlink" Target="https://dailymed.nlm.nih.gov/dailymed/search.cfm?labeltype=all&amp;query=rocuronium" TargetMode="External"/><Relationship Id="rId590" Type="http://schemas.openxmlformats.org/officeDocument/2006/relationships/hyperlink" Target="https://www.ema.europa.eu/en/documents/other/article-57-product-data_en.xlsx" TargetMode="External"/><Relationship Id="rId591" Type="http://schemas.openxmlformats.org/officeDocument/2006/relationships/hyperlink" Target="https://dailymed.nlm.nih.gov/dailymed/search.cfm?labeltype=all&amp;query=sodium+bicarbonate+injection" TargetMode="External"/><Relationship Id="rId592" Type="http://schemas.openxmlformats.org/officeDocument/2006/relationships/hyperlink" Target="https://dailymed.nlm.nih.gov/dailymed/search.cfm?labeltype=all&amp;query=Sodium+Bicarbonate" TargetMode="External"/><Relationship Id="rId593" Type="http://schemas.openxmlformats.org/officeDocument/2006/relationships/hyperlink" Target="https://dailymed.nlm.nih.gov/dailymed/search.cfm?labeltype=all&amp;query=succinylcholine" TargetMode="External"/><Relationship Id="rId594" Type="http://schemas.openxmlformats.org/officeDocument/2006/relationships/hyperlink" Target="https://dailymed.nlm.nih.gov/dailymed/drugInfo.cfm?setid=7d0f0431-e616-49c2-80d8-0752a45428db" TargetMode="External"/><Relationship Id="rId595" Type="http://schemas.openxmlformats.org/officeDocument/2006/relationships/hyperlink" Target="https://dailymed.nlm.nih.gov/dailymed/search.cfm?labeltype=all&amp;query=sugammadex" TargetMode="External"/><Relationship Id="rId596" Type="http://schemas.openxmlformats.org/officeDocument/2006/relationships/hyperlink" Target="https://dailymed.nlm.nih.gov/dailymed/drugInfo.cfm?setid=9adda802-fab2-40c1-9c2f-358debdfb249" TargetMode="External"/><Relationship Id="rId597" Type="http://schemas.openxmlformats.org/officeDocument/2006/relationships/hyperlink" Target="https://dailymed.nlm.nih.gov/dailymed/search.cfm?labeltype=all&amp;query=sugammadex" TargetMode="External"/><Relationship Id="rId598" Type="http://schemas.openxmlformats.org/officeDocument/2006/relationships/hyperlink" Target="https://dmd-browser.nhsbsa.nhs.uk/ampp/view/195045" TargetMode="External"/><Relationship Id="rId599" Type="http://schemas.openxmlformats.org/officeDocument/2006/relationships/hyperlink" Target="https://dailymed.nlm.nih.gov/dailymed/search.cfm?labeltype=all&amp;query=sugammadex" TargetMode="External"/><Relationship Id="rId600" Type="http://schemas.openxmlformats.org/officeDocument/2006/relationships/hyperlink" Target="https://www.ema.europa.eu/en/documents/other/article-57-product-data_en.xlsx" TargetMode="External"/><Relationship Id="rId601" Type="http://schemas.openxmlformats.org/officeDocument/2006/relationships/hyperlink" Target="https://dailymed.nlm.nih.gov/dailymed/search.cfm?labeltype=all&amp;query=sugammadex" TargetMode="External"/><Relationship Id="rId602" Type="http://schemas.openxmlformats.org/officeDocument/2006/relationships/hyperlink" Target="https://www.ema.europa.eu/en/documents/other/article-57-product-data_en.xlsx" TargetMode="External"/><Relationship Id="rId603" Type="http://schemas.openxmlformats.org/officeDocument/2006/relationships/hyperlink" Target="https://dailymed.nlm.nih.gov/dailymed/search.cfm?labeltype=all&amp;query=sugammadex" TargetMode="External"/><Relationship Id="rId604" Type="http://schemas.openxmlformats.org/officeDocument/2006/relationships/hyperlink" Target="https://medicineprices.org.za/" TargetMode="External"/><Relationship Id="rId605" Type="http://schemas.openxmlformats.org/officeDocument/2006/relationships/hyperlink" Target="https://www.medicines.org.uk/emc/search?q=teicoplanin" TargetMode="External"/><Relationship Id="rId606" Type="http://schemas.openxmlformats.org/officeDocument/2006/relationships/hyperlink" Target="https://mhraproducts4853.blob.core.windows.net/docs/cdd932519ea5620f679cbc05a39d576016396f04" TargetMode="External"/><Relationship Id="rId607" Type="http://schemas.openxmlformats.org/officeDocument/2006/relationships/hyperlink" Target="https://www.medicines.org.uk/emc/search?q=teicoplanin" TargetMode="External"/><Relationship Id="rId608" Type="http://schemas.openxmlformats.org/officeDocument/2006/relationships/hyperlink" Target="https://www.ema.europa.eu/en/documents/other/article-57-product-data_en.xlsx" TargetMode="External"/><Relationship Id="rId609" Type="http://schemas.openxmlformats.org/officeDocument/2006/relationships/hyperlink" Target="https://dailymed.nlm.nih.gov/dailymed/search.cfm?labeltype=all&amp;query=verapamil+hydrochloride+injection" TargetMode="External"/><Relationship Id="rId610" Type="http://schemas.openxmlformats.org/officeDocument/2006/relationships/hyperlink" Target="https://dailymed.nlm.nih.gov/dailymed/search.cfm?labeltype=all&amp;query=Verapamil+Hydrochloride" TargetMode="External"/><Relationship Id="rId611" Type="http://schemas.openxmlformats.org/officeDocument/2006/relationships/hyperlink" Target="https://dailymed.nlm.nih.gov/dailymed/search.cfm?labeltype=all&amp;query=amiodarone" TargetMode="External"/><Relationship Id="rId612" Type="http://schemas.openxmlformats.org/officeDocument/2006/relationships/hyperlink" Target="https://www.ema.europa.eu/en/documents/other/article-57-product-data_en.xlsx" TargetMode="External"/><Relationship Id="rId613" Type="http://schemas.openxmlformats.org/officeDocument/2006/relationships/hyperlink" Target="https://dailymed.nlm.nih.gov/dailymed/search.cfm?labeltype=all&amp;query=amiodarone" TargetMode="External"/><Relationship Id="rId614" Type="http://schemas.openxmlformats.org/officeDocument/2006/relationships/hyperlink" Target="https://pi-pil-repository.sahpra.org.za/wp-content/uploads/2023/08/Final_PI_Amiodarone_Applicant.pdf" TargetMode="External"/><Relationship Id="rId615" Type="http://schemas.openxmlformats.org/officeDocument/2006/relationships/hyperlink" Target="https://www.medicines.org.uk/emc/search?q=amoxicillin+injection" TargetMode="External"/><Relationship Id="rId616" Type="http://schemas.openxmlformats.org/officeDocument/2006/relationships/hyperlink" Target="https://www.ema.europa.eu/en/documents/other/article-57-product-data_en.xlsx" TargetMode="External"/><Relationship Id="rId617" Type="http://schemas.openxmlformats.org/officeDocument/2006/relationships/hyperlink" Target="https://www.medicines.org.uk/emc/search?q=amoxicillin+injection" TargetMode="External"/><Relationship Id="rId618" Type="http://schemas.openxmlformats.org/officeDocument/2006/relationships/hyperlink" Target="https://www.ema.europa.eu/en/documents/other/article-57-product-data_en.xlsx" TargetMode="External"/><Relationship Id="rId619" Type="http://schemas.openxmlformats.org/officeDocument/2006/relationships/hyperlink" Target="https://dailymed.nlm.nih.gov/dailymed/search.cfm?labeltype=all&amp;query=argatroban" TargetMode="External"/><Relationship Id="rId620" Type="http://schemas.openxmlformats.org/officeDocument/2006/relationships/hyperlink" Target="https://dailymed.nlm.nih.gov/dailymed/drugInfo.cfm?setid=46cdf9e6-839c-49c8-9ee1-c30cfdd9368d" TargetMode="External"/><Relationship Id="rId621" Type="http://schemas.openxmlformats.org/officeDocument/2006/relationships/hyperlink" Target="https://dailymed.nlm.nih.gov/dailymed/search.cfm?labeltype=all&amp;query=argatroban" TargetMode="External"/><Relationship Id="rId622" Type="http://schemas.openxmlformats.org/officeDocument/2006/relationships/hyperlink" Target="https://www.ema.europa.eu/en/documents/other/article-57-product-data_en.xlsx" TargetMode="External"/><Relationship Id="rId623" Type="http://schemas.openxmlformats.org/officeDocument/2006/relationships/hyperlink" Target="https://dailymed.nlm.nih.gov/dailymed/search.cfm?labeltype=all&amp;query=argatroban" TargetMode="External"/><Relationship Id="rId624" Type="http://schemas.openxmlformats.org/officeDocument/2006/relationships/hyperlink" Target="https://base-donnees-publique.medicaments.gouv.fr/index.php?page=1&amp;choixRecherche=medicament&amp;txtCaracteres=Argatroban%20Accord&amp;action=show" TargetMode="External"/><Relationship Id="rId625" Type="http://schemas.openxmlformats.org/officeDocument/2006/relationships/hyperlink" Target="https://www.ema.europa.eu/en/documents/other/article-57-product-data_en.xlsx" TargetMode="External"/><Relationship Id="rId626" Type="http://schemas.openxmlformats.org/officeDocument/2006/relationships/hyperlink" Target="https://www.medicines.org.uk/emc/search?q=atracurium" TargetMode="External"/><Relationship Id="rId627" Type="http://schemas.openxmlformats.org/officeDocument/2006/relationships/hyperlink" Target="https://www.ema.europa.eu/en/documents/other/article-57-product-data_en.xlsx" TargetMode="External"/><Relationship Id="rId628" Type="http://schemas.openxmlformats.org/officeDocument/2006/relationships/hyperlink" Target="https://dailymed.nlm.nih.gov/dailymed/search.cfm?labeltype=all&amp;query=atropine" TargetMode="External"/><Relationship Id="rId629" Type="http://schemas.openxmlformats.org/officeDocument/2006/relationships/hyperlink" Target="https://dailymed.nlm.nih.gov/dailymed/drugInfo.cfm?setid=c82cb295-ffce-47d6-97ad-a8aa723f4e4f" TargetMode="External"/><Relationship Id="rId630" Type="http://schemas.openxmlformats.org/officeDocument/2006/relationships/hyperlink" Target="https://dailymed.nlm.nih.gov/dailymed/search.cfm?labeltype=all&amp;query=atropine" TargetMode="External"/><Relationship Id="rId631" Type="http://schemas.openxmlformats.org/officeDocument/2006/relationships/hyperlink" Target="https://mhraproducts4853.blob.core.windows.net/docs/83f16d64af85ebcff9e5a6717926b9a997285ef9" TargetMode="External"/><Relationship Id="rId632" Type="http://schemas.openxmlformats.org/officeDocument/2006/relationships/hyperlink" Target="https://dailymed.nlm.nih.gov/dailymed/search.cfm?labeltype=all&amp;query=atropine" TargetMode="External"/><Relationship Id="rId633" Type="http://schemas.openxmlformats.org/officeDocument/2006/relationships/hyperlink" Target="https://www.ema.europa.eu/en/documents/other/article-57-product-data_en.xlsx" TargetMode="External"/><Relationship Id="rId634" Type="http://schemas.openxmlformats.org/officeDocument/2006/relationships/hyperlink" Target="https://dailymed.nlm.nih.gov/dailymed/search.cfm?labeltype=all&amp;query=atropine" TargetMode="External"/><Relationship Id="rId635" Type="http://schemas.openxmlformats.org/officeDocument/2006/relationships/hyperlink" Target="https://base-donnees-publique.medicaments.gouv.fr/index.php?page=1&amp;choixRecherche=medicament&amp;txtCaracteres=Atropine%20Sulfate&amp;action=show" TargetMode="External"/><Relationship Id="rId636" Type="http://schemas.openxmlformats.org/officeDocument/2006/relationships/hyperlink" Target="https://www.ema.europa.eu/en/documents/other/article-57-product-data_en.xlsx" TargetMode="External"/><Relationship Id="rId637" Type="http://schemas.openxmlformats.org/officeDocument/2006/relationships/hyperlink" Target="https://dailymed.nlm.nih.gov/dailymed/search.cfm?labeltype=all&amp;query=azacitidine" TargetMode="External"/><Relationship Id="rId638" Type="http://schemas.openxmlformats.org/officeDocument/2006/relationships/hyperlink" Target="https://mhraproducts4853.blob.core.windows.net/docs/a2a772c860b9386451c6a3574cfdaf10ef66ccc2" TargetMode="External"/><Relationship Id="rId639" Type="http://schemas.openxmlformats.org/officeDocument/2006/relationships/hyperlink" Target="https://dailymed.nlm.nih.gov/dailymed/search.cfm?labeltype=all&amp;query=azacitidine" TargetMode="External"/><Relationship Id="rId640" Type="http://schemas.openxmlformats.org/officeDocument/2006/relationships/hyperlink" Target="https://www.ema.europa.eu/en/medicines/human/EPAR/azacitidine-accord" TargetMode="External"/><Relationship Id="rId641" Type="http://schemas.openxmlformats.org/officeDocument/2006/relationships/hyperlink" Target="https://www.ema.europa.eu/en/documents/other/article-57-product-data_en.xlsx" TargetMode="External"/><Relationship Id="rId642" Type="http://schemas.openxmlformats.org/officeDocument/2006/relationships/hyperlink" Target="https://dailymed.nlm.nih.gov/dailymed/search.cfm?labeltype=all&amp;query=azacitidine" TargetMode="External"/><Relationship Id="rId643" Type="http://schemas.openxmlformats.org/officeDocument/2006/relationships/hyperlink" Target="https://www.ebs.tga.gov.au/servlet/xmlmillr6?dbid=ebs/PublicHTML/pdfStore.nsf&amp;docid=265773&amp;agid=(PrintDetailsPublic)&amp;actionid=1" TargetMode="External"/><Relationship Id="rId644" Type="http://schemas.openxmlformats.org/officeDocument/2006/relationships/hyperlink" Target="https://dailymed.nlm.nih.gov/dailymed/search.cfm?labeltype=all&amp;query=bivalirudin" TargetMode="External"/><Relationship Id="rId645" Type="http://schemas.openxmlformats.org/officeDocument/2006/relationships/hyperlink" Target="https://dailymed.nlm.nih.gov/dailymed/drugInfo.cfm?setid=c20969cb-72d4-469b-9bd8-332250d896c3" TargetMode="External"/><Relationship Id="rId646" Type="http://schemas.openxmlformats.org/officeDocument/2006/relationships/hyperlink" Target="https://dailymed.nlm.nih.gov/dailymed/search.cfm?labeltype=all&amp;query=bivalirudin" TargetMode="External"/><Relationship Id="rId647" Type="http://schemas.openxmlformats.org/officeDocument/2006/relationships/hyperlink" Target="https://mhraproducts4853.blob.core.windows.net/docs/30f752c59283a6203a2ee801fcc269de3749bd69" TargetMode="External"/><Relationship Id="rId648" Type="http://schemas.openxmlformats.org/officeDocument/2006/relationships/hyperlink" Target="https://dailymed.nlm.nih.gov/dailymed/search.cfm?labeltype=all&amp;query=bivalirudin" TargetMode="External"/><Relationship Id="rId649" Type="http://schemas.openxmlformats.org/officeDocument/2006/relationships/hyperlink" Target="https://www.ema.europa.eu/en/documents/other/article-57-product-data_en.xlsx" TargetMode="External"/><Relationship Id="rId650" Type="http://schemas.openxmlformats.org/officeDocument/2006/relationships/hyperlink" Target="https://dailymed.nlm.nih.gov/dailymed/search.cfm?labeltype=all&amp;query=bivalirudin" TargetMode="External"/><Relationship Id="rId651" Type="http://schemas.openxmlformats.org/officeDocument/2006/relationships/hyperlink" Target="https://base-donnees-publique.medicaments.gouv.fr/index.php?page=1&amp;choixRecherche=medicament&amp;txtCaracteres=Bivalirudine%20Accord&amp;action=show" TargetMode="External"/><Relationship Id="rId652" Type="http://schemas.openxmlformats.org/officeDocument/2006/relationships/hyperlink" Target="https://www.ema.europa.eu/en/documents/other/article-57-product-data_en.xlsx" TargetMode="External"/><Relationship Id="rId653" Type="http://schemas.openxmlformats.org/officeDocument/2006/relationships/hyperlink" Target="https://dailymed.nlm.nih.gov/dailymed/search.cfm?labeltype=all&amp;query=bleomycin" TargetMode="External"/><Relationship Id="rId654" Type="http://schemas.openxmlformats.org/officeDocument/2006/relationships/hyperlink" Target="https://dmd-browser.nhsbsa.nhs.uk/ampp/view/197277" TargetMode="External"/><Relationship Id="rId655" Type="http://schemas.openxmlformats.org/officeDocument/2006/relationships/hyperlink" Target="https://dailymed.nlm.nih.gov/dailymed/search.cfm?labeltype=all&amp;query=bleomycin" TargetMode="External"/><Relationship Id="rId656" Type="http://schemas.openxmlformats.org/officeDocument/2006/relationships/hyperlink" Target="https://www.ema.europa.eu/en/documents/other/article-57-product-data_en.xlsx" TargetMode="External"/><Relationship Id="rId657" Type="http://schemas.openxmlformats.org/officeDocument/2006/relationships/hyperlink" Target="https://dailymed.nlm.nih.gov/dailymed/search.cfm?labeltype=all&amp;query=bleomycin" TargetMode="External"/><Relationship Id="rId658" Type="http://schemas.openxmlformats.org/officeDocument/2006/relationships/hyperlink" Target="https://base-donnees-publique.medicaments.gouv.fr/index.php?page=1&amp;choixRecherche=medicament&amp;txtCaracteres=Bleomycine%20Accord&amp;action=show" TargetMode="External"/><Relationship Id="rId659" Type="http://schemas.openxmlformats.org/officeDocument/2006/relationships/hyperlink" Target="https://www.ema.europa.eu/en/documents/other/article-57-product-data_en.xlsx" TargetMode="External"/><Relationship Id="rId660" Type="http://schemas.openxmlformats.org/officeDocument/2006/relationships/hyperlink" Target="https://dailymed.nlm.nih.gov/dailymed/search.cfm?labeltype=all&amp;query=bleomycin" TargetMode="External"/><Relationship Id="rId661" Type="http://schemas.openxmlformats.org/officeDocument/2006/relationships/hyperlink" Target="https://www.tga.gov.au/resources/artg/455447" TargetMode="External"/><Relationship Id="rId662" Type="http://schemas.openxmlformats.org/officeDocument/2006/relationships/hyperlink" Target="https://dailymed.nlm.nih.gov/dailymed/search.cfm?labeltype=all&amp;query=bortezomib" TargetMode="External"/><Relationship Id="rId663" Type="http://schemas.openxmlformats.org/officeDocument/2006/relationships/hyperlink" Target="https://mhraproducts4853.blob.core.windows.net/docs/12980f46e6a82ae30e1d8b52c7aa037faf108ac2" TargetMode="External"/><Relationship Id="rId664" Type="http://schemas.openxmlformats.org/officeDocument/2006/relationships/hyperlink" Target="https://dailymed.nlm.nih.gov/dailymed/search.cfm?labeltype=all&amp;query=bortezomib" TargetMode="External"/><Relationship Id="rId665" Type="http://schemas.openxmlformats.org/officeDocument/2006/relationships/hyperlink" Target="https://www.ema.europa.eu/en/medicines/human/EPAR/bortezomib-accord" TargetMode="External"/><Relationship Id="rId666" Type="http://schemas.openxmlformats.org/officeDocument/2006/relationships/hyperlink" Target="https://www.ema.europa.eu/en/documents/other/article-57-product-data_en.xlsx" TargetMode="External"/><Relationship Id="rId667" Type="http://schemas.openxmlformats.org/officeDocument/2006/relationships/hyperlink" Target="https://dailymed.nlm.nih.gov/dailymed/search.cfm?labeltype=all&amp;query=bortezomib" TargetMode="External"/><Relationship Id="rId668" Type="http://schemas.openxmlformats.org/officeDocument/2006/relationships/hyperlink" Target="https://www.ema.europa.eu/en/medicines/human/EPAR/bortezomib-accord" TargetMode="External"/><Relationship Id="rId669" Type="http://schemas.openxmlformats.org/officeDocument/2006/relationships/hyperlink" Target="https://www.ema.europa.eu/en/documents/other/article-57-product-data_en.xlsx" TargetMode="External"/><Relationship Id="rId670" Type="http://schemas.openxmlformats.org/officeDocument/2006/relationships/hyperlink" Target="https://dailymed.nlm.nih.gov/dailymed/search.cfm?labeltype=all&amp;query=bortezomib" TargetMode="External"/><Relationship Id="rId671" Type="http://schemas.openxmlformats.org/officeDocument/2006/relationships/hyperlink" Target="https://www.ebs.tga.gov.au/ebs/picmi/picmirepository.nsf/pdf?OpenAgent&amp;id=CP-2021-PI-01166-1" TargetMode="External"/><Relationship Id="rId672" Type="http://schemas.openxmlformats.org/officeDocument/2006/relationships/hyperlink" Target="https://dailymed.nlm.nih.gov/dailymed/search.cfm?labeltype=all&amp;query=bortezomib" TargetMode="External"/><Relationship Id="rId673" Type="http://schemas.openxmlformats.org/officeDocument/2006/relationships/hyperlink" Target="https://medicineprices.org.za/" TargetMode="External"/><Relationship Id="rId674" Type="http://schemas.openxmlformats.org/officeDocument/2006/relationships/hyperlink" Target="https://dailymed.nlm.nih.gov/dailymed/search.cfm?labeltype=all&amp;query=cefepime" TargetMode="External"/><Relationship Id="rId675" Type="http://schemas.openxmlformats.org/officeDocument/2006/relationships/hyperlink" Target="https://base-donnees-publique.medicaments.gouv.fr/index.php?page=1&amp;choixRecherche=medicament&amp;txtCaracteres=Cefepime%20Accord&amp;action=show" TargetMode="External"/><Relationship Id="rId676" Type="http://schemas.openxmlformats.org/officeDocument/2006/relationships/hyperlink" Target="https://www.ema.europa.eu/en/documents/other/article-57-product-data_en.xlsx" TargetMode="External"/><Relationship Id="rId677" Type="http://schemas.openxmlformats.org/officeDocument/2006/relationships/hyperlink" Target="https://dailymed.nlm.nih.gov/dailymed/search.cfm?labeltype=all&amp;query=ceftriaxone" TargetMode="External"/><Relationship Id="rId678" Type="http://schemas.openxmlformats.org/officeDocument/2006/relationships/hyperlink" Target="https://www.ema.europa.eu/en/documents/other/article-57-product-data_en.xlsx" TargetMode="External"/><Relationship Id="rId679" Type="http://schemas.openxmlformats.org/officeDocument/2006/relationships/hyperlink" Target="https://dailymed.nlm.nih.gov/dailymed/search.cfm?labeltype=all&amp;query=cisatracurium" TargetMode="External"/><Relationship Id="rId680" Type="http://schemas.openxmlformats.org/officeDocument/2006/relationships/hyperlink" Target="https://dmd-browser.nhsbsa.nhs.uk/ampp/view/161747" TargetMode="External"/><Relationship Id="rId681" Type="http://schemas.openxmlformats.org/officeDocument/2006/relationships/hyperlink" Target="https://dailymed.nlm.nih.gov/dailymed/search.cfm?labeltype=all&amp;query=cisatracurium" TargetMode="External"/><Relationship Id="rId682" Type="http://schemas.openxmlformats.org/officeDocument/2006/relationships/hyperlink" Target="https://www.ema.europa.eu/en/documents/other/article-57-product-data_en.xlsx" TargetMode="External"/><Relationship Id="rId683" Type="http://schemas.openxmlformats.org/officeDocument/2006/relationships/hyperlink" Target="https://dailymed.nlm.nih.gov/dailymed/search.cfm?labeltype=all&amp;query=cisatracurium" TargetMode="External"/><Relationship Id="rId684" Type="http://schemas.openxmlformats.org/officeDocument/2006/relationships/hyperlink" Target="https://base-donnees-publique.medicaments.gouv.fr/index.php?page=1&amp;choixRecherche=medicament&amp;txtCaracteres=Cisatracurium%20Accord&amp;action=show" TargetMode="External"/><Relationship Id="rId685" Type="http://schemas.openxmlformats.org/officeDocument/2006/relationships/hyperlink" Target="https://www.ema.europa.eu/en/documents/other/article-57-product-data_en.xlsx" TargetMode="External"/><Relationship Id="rId686" Type="http://schemas.openxmlformats.org/officeDocument/2006/relationships/hyperlink" Target="https://dailymed.nlm.nih.gov/dailymed/search.cfm?labeltype=all&amp;query=cisatracurium" TargetMode="External"/><Relationship Id="rId687" Type="http://schemas.openxmlformats.org/officeDocument/2006/relationships/hyperlink" Target="https://www.healthdirect.gov.au/medicines/brand/amt%2C747971000168108/cisatracurium-accord" TargetMode="External"/><Relationship Id="rId688" Type="http://schemas.openxmlformats.org/officeDocument/2006/relationships/hyperlink" Target="https://dailymed.nlm.nih.gov/dailymed/search.cfm?labeltype=all&amp;query=colistimethate" TargetMode="External"/><Relationship Id="rId689" Type="http://schemas.openxmlformats.org/officeDocument/2006/relationships/hyperlink" Target="https://mhraproducts4853.blob.core.windows.net/docs/8aa64ad76fd15cb2547c7efd93adab9ba205d731" TargetMode="External"/><Relationship Id="rId690" Type="http://schemas.openxmlformats.org/officeDocument/2006/relationships/hyperlink" Target="https://dailymed.nlm.nih.gov/dailymed/search.cfm?labeltype=all&amp;query=colistimethate" TargetMode="External"/><Relationship Id="rId691" Type="http://schemas.openxmlformats.org/officeDocument/2006/relationships/hyperlink" Target="https://www.ema.europa.eu/en/documents/other/article-57-product-data_en.xlsx" TargetMode="External"/><Relationship Id="rId692" Type="http://schemas.openxmlformats.org/officeDocument/2006/relationships/hyperlink" Target="https://dailymed.nlm.nih.gov/dailymed/search.cfm?labeltype=all&amp;query=colistimethate" TargetMode="External"/><Relationship Id="rId693" Type="http://schemas.openxmlformats.org/officeDocument/2006/relationships/hyperlink" Target="https://base-donnees-publique.medicaments.gouv.fr/index.php?page=1&amp;choixRecherche=medicament&amp;txtCaracteres=Colistimethate%20Sodique&amp;action=show" TargetMode="External"/><Relationship Id="rId694" Type="http://schemas.openxmlformats.org/officeDocument/2006/relationships/hyperlink" Target="https://www.ema.europa.eu/en/documents/other/article-57-product-data_en.xlsx" TargetMode="External"/><Relationship Id="rId695" Type="http://schemas.openxmlformats.org/officeDocument/2006/relationships/hyperlink" Target="https://dailymed.nlm.nih.gov/dailymed/search.cfm?labeltype=all&amp;query=cyclophosphamide" TargetMode="External"/><Relationship Id="rId696" Type="http://schemas.openxmlformats.org/officeDocument/2006/relationships/hyperlink" Target="https://mhraproducts4853.blob.core.windows.net/docs/d3c74c787031827e9a6482db982411c9ea5b4974" TargetMode="External"/><Relationship Id="rId697" Type="http://schemas.openxmlformats.org/officeDocument/2006/relationships/hyperlink" Target="https://dailymed.nlm.nih.gov/dailymed/search.cfm?labeltype=all&amp;query=cyclophosphamide" TargetMode="External"/><Relationship Id="rId698" Type="http://schemas.openxmlformats.org/officeDocument/2006/relationships/hyperlink" Target="https://www.ema.europa.eu/en/documents/other/article-57-product-data_en.xlsx" TargetMode="External"/><Relationship Id="rId699" Type="http://schemas.openxmlformats.org/officeDocument/2006/relationships/hyperlink" Target="https://dailymed.nlm.nih.gov/dailymed/search.cfm?labeltype=all&amp;query=cyclophosphamide" TargetMode="External"/><Relationship Id="rId700" Type="http://schemas.openxmlformats.org/officeDocument/2006/relationships/hyperlink" Target="https://www.ema.europa.eu/en/documents/other/article-57-product-data_en.xlsx" TargetMode="External"/><Relationship Id="rId701" Type="http://schemas.openxmlformats.org/officeDocument/2006/relationships/hyperlink" Target="https://dailymed.nlm.nih.gov/dailymed/search.cfm?labeltype=all&amp;query=cyclophosphamide" TargetMode="External"/><Relationship Id="rId702" Type="http://schemas.openxmlformats.org/officeDocument/2006/relationships/hyperlink" Target="https://www.ebs.tga.gov.au/servlet/xmlmillr6?dbid=ebs/PublicHTML/pdfStore.nsf&amp;docid=361544&amp;agid=(PrintDetailsPublic)&amp;actionid=1" TargetMode="External"/><Relationship Id="rId703" Type="http://schemas.openxmlformats.org/officeDocument/2006/relationships/hyperlink" Target="https://dailymed.nlm.nih.gov/dailymed/search.cfm?labeltype=all&amp;query=cytarabine" TargetMode="External"/><Relationship Id="rId704" Type="http://schemas.openxmlformats.org/officeDocument/2006/relationships/hyperlink" Target="https://dmd-browser.nhsbsa.nhs.uk/ampp/view/183004/" TargetMode="External"/><Relationship Id="rId705" Type="http://schemas.openxmlformats.org/officeDocument/2006/relationships/hyperlink" Target="https://dailymed.nlm.nih.gov/dailymed/search.cfm?labeltype=all&amp;query=cytarabine" TargetMode="External"/><Relationship Id="rId706" Type="http://schemas.openxmlformats.org/officeDocument/2006/relationships/hyperlink" Target="https://www.ema.europa.eu/en/documents/other/article-57-product-data_en.xlsx" TargetMode="External"/><Relationship Id="rId707" Type="http://schemas.openxmlformats.org/officeDocument/2006/relationships/hyperlink" Target="https://dailymed.nlm.nih.gov/dailymed/search.cfm?labeltype=all&amp;query=cytarabine" TargetMode="External"/><Relationship Id="rId708" Type="http://schemas.openxmlformats.org/officeDocument/2006/relationships/hyperlink" Target="https://base-donnees-publique.medicaments.gouv.fr/index.php?page=1&amp;choixRecherche=medicament&amp;txtCaracteres=Cytarabine%20Accord&amp;action=show" TargetMode="External"/><Relationship Id="rId709" Type="http://schemas.openxmlformats.org/officeDocument/2006/relationships/hyperlink" Target="https://www.ema.europa.eu/en/documents/other/article-57-product-data_en.xlsx" TargetMode="External"/><Relationship Id="rId710" Type="http://schemas.openxmlformats.org/officeDocument/2006/relationships/hyperlink" Target="https://dailymed.nlm.nih.gov/dailymed/search.cfm?labeltype=all&amp;query=cytarabine" TargetMode="External"/><Relationship Id="rId711" Type="http://schemas.openxmlformats.org/officeDocument/2006/relationships/hyperlink" Target="https://www.ebs.tga.gov.au/ebs/picmi/picmirepository.nsf/pdf?OpenAgent&amp;id=CP-2019-PI-01435-1" TargetMode="External"/><Relationship Id="rId712" Type="http://schemas.openxmlformats.org/officeDocument/2006/relationships/hyperlink" Target="https://dailymed.nlm.nih.gov/dailymed/search.cfm?labeltype=all&amp;query=daptomycin" TargetMode="External"/><Relationship Id="rId713" Type="http://schemas.openxmlformats.org/officeDocument/2006/relationships/hyperlink" Target="https://mhraproducts4853.blob.core.windows.net/docs/0183f536246db149ed7afbe39d17c1895384ae38" TargetMode="External"/><Relationship Id="rId714" Type="http://schemas.openxmlformats.org/officeDocument/2006/relationships/hyperlink" Target="https://dailymed.nlm.nih.gov/dailymed/search.cfm?labeltype=all&amp;query=daptomycin" TargetMode="External"/><Relationship Id="rId715" Type="http://schemas.openxmlformats.org/officeDocument/2006/relationships/hyperlink" Target="https://www.ema.europa.eu/en/documents/other/article-57-product-data_en.xlsx" TargetMode="External"/><Relationship Id="rId716" Type="http://schemas.openxmlformats.org/officeDocument/2006/relationships/hyperlink" Target="https://dailymed.nlm.nih.gov/dailymed/search.cfm?labeltype=all&amp;query=daptomycin" TargetMode="External"/><Relationship Id="rId717" Type="http://schemas.openxmlformats.org/officeDocument/2006/relationships/hyperlink" Target="https://base-donnees-publique.medicaments.gouv.fr/index.php?page=1&amp;choixRecherche=medicament&amp;txtCaracteres=Daptomycine&amp;action=show" TargetMode="External"/><Relationship Id="rId718" Type="http://schemas.openxmlformats.org/officeDocument/2006/relationships/hyperlink" Target="https://www.ema.europa.eu/en/documents/other/article-57-product-data_en.xlsx" TargetMode="External"/><Relationship Id="rId719" Type="http://schemas.openxmlformats.org/officeDocument/2006/relationships/hyperlink" Target="https://dailymed.nlm.nih.gov/dailymed/search.cfm?labeltype=all&amp;query=daptomycin" TargetMode="External"/><Relationship Id="rId720" Type="http://schemas.openxmlformats.org/officeDocument/2006/relationships/hyperlink" Target="https://www.ebs.tga.gov.au/servlet/xmlmillr6?dbid=ebs/PublicHTML/pdfStore.nsf&amp;docid=315391&amp;agid=(PrintDetailsPublic)&amp;actionid=1" TargetMode="External"/><Relationship Id="rId721" Type="http://schemas.openxmlformats.org/officeDocument/2006/relationships/hyperlink" Target="https://dailymed.nlm.nih.gov/dailymed/search.cfm?labeltype=all&amp;query=daptomycin" TargetMode="External"/><Relationship Id="rId722" Type="http://schemas.openxmlformats.org/officeDocument/2006/relationships/hyperlink" Target="https://pi-pil-repository.sahpra.org.za/wp-content/uploads/2023/04/Final_PIL_Dabucor_Applicant.pdf" TargetMode="External"/><Relationship Id="rId723" Type="http://schemas.openxmlformats.org/officeDocument/2006/relationships/hyperlink" Target="https://dailymed.nlm.nih.gov/dailymed/search.cfm?labeltype=all&amp;query=degarelix" TargetMode="External"/><Relationship Id="rId724" Type="http://schemas.openxmlformats.org/officeDocument/2006/relationships/hyperlink" Target="https://mhraproducts4853.blob.core.windows.net/docs/7a814678d4b4e608757e54abcf1f8525475a6699" TargetMode="External"/><Relationship Id="rId725" Type="http://schemas.openxmlformats.org/officeDocument/2006/relationships/hyperlink" Target="https://dailymed.nlm.nih.gov/dailymed/search.cfm?labeltype=all&amp;query=degarelix" TargetMode="External"/><Relationship Id="rId726" Type="http://schemas.openxmlformats.org/officeDocument/2006/relationships/hyperlink" Target="https://www.ema.europa.eu/en/medicines/human/EPAR/degarelix-accord" TargetMode="External"/><Relationship Id="rId727" Type="http://schemas.openxmlformats.org/officeDocument/2006/relationships/hyperlink" Target="https://www.ema.europa.eu/en/documents/other/article-57-product-data_en.xlsx" TargetMode="External"/><Relationship Id="rId728" Type="http://schemas.openxmlformats.org/officeDocument/2006/relationships/hyperlink" Target="https://dailymed.nlm.nih.gov/dailymed/search.cfm?labeltype=all&amp;query=denosumab" TargetMode="External"/><Relationship Id="rId729" Type="http://schemas.openxmlformats.org/officeDocument/2006/relationships/hyperlink" Target="https://dmd-browser.nhsbsa.nhs.uk/ampp/view/212227" TargetMode="External"/><Relationship Id="rId730" Type="http://schemas.openxmlformats.org/officeDocument/2006/relationships/hyperlink" Target="https://dailymed.nlm.nih.gov/dailymed/search.cfm?labeltype=all&amp;query=denosumab" TargetMode="External"/><Relationship Id="rId731" Type="http://schemas.openxmlformats.org/officeDocument/2006/relationships/hyperlink" Target="https://www.ema.europa.eu/en/medicines/human/EPAR/jubereq" TargetMode="External"/><Relationship Id="rId732" Type="http://schemas.openxmlformats.org/officeDocument/2006/relationships/hyperlink" Target="https://www.ema.europa.eu/en/documents/other/article-57-product-data_en.xlsx" TargetMode="External"/><Relationship Id="rId733" Type="http://schemas.openxmlformats.org/officeDocument/2006/relationships/hyperlink" Target="https://dailymed.nlm.nih.gov/dailymed/search.cfm?labeltype=all&amp;query=denosumab" TargetMode="External"/><Relationship Id="rId734" Type="http://schemas.openxmlformats.org/officeDocument/2006/relationships/hyperlink" Target="https://www.tga.gov.au/resources/artg/450305" TargetMode="External"/><Relationship Id="rId735" Type="http://schemas.openxmlformats.org/officeDocument/2006/relationships/hyperlink" Target="https://dailymed.nlm.nih.gov/dailymed/search.cfm?labeltype=all&amp;query=doxorubicin" TargetMode="External"/><Relationship Id="rId736" Type="http://schemas.openxmlformats.org/officeDocument/2006/relationships/hyperlink" Target="https://www.ema.europa.eu/en/medicines/human/EPAR/zolsketil-pegylated-liposomal" TargetMode="External"/><Relationship Id="rId737" Type="http://schemas.openxmlformats.org/officeDocument/2006/relationships/hyperlink" Target="https://www.ema.europa.eu/en/documents/other/article-57-product-data_en.xlsx" TargetMode="External"/><Relationship Id="rId738" Type="http://schemas.openxmlformats.org/officeDocument/2006/relationships/hyperlink" Target="https://dailymed.nlm.nih.gov/dailymed/search.cfm?labeltype=all&amp;query=doxorubicin" TargetMode="External"/><Relationship Id="rId739" Type="http://schemas.openxmlformats.org/officeDocument/2006/relationships/hyperlink" Target="https://health-products.canada.ca/dpd-bdpp/info?code=86785&amp;lang=eng" TargetMode="External"/><Relationship Id="rId740" Type="http://schemas.openxmlformats.org/officeDocument/2006/relationships/hyperlink" Target="https://dailymed.nlm.nih.gov/dailymed/search.cfm?labeltype=all&amp;query=doxorubicin" TargetMode="External"/><Relationship Id="rId741" Type="http://schemas.openxmlformats.org/officeDocument/2006/relationships/hyperlink" Target="https://www.ema.europa.eu/en/medicines/human/EPAR/zolsketil-pegylated-liposomal" TargetMode="External"/><Relationship Id="rId742" Type="http://schemas.openxmlformats.org/officeDocument/2006/relationships/hyperlink" Target="https://www.ema.europa.eu/en/documents/other/article-57-product-data_en.xlsx" TargetMode="External"/><Relationship Id="rId743" Type="http://schemas.openxmlformats.org/officeDocument/2006/relationships/hyperlink" Target="https://dailymed.nlm.nih.gov/dailymed/search.cfm?labeltype=all&amp;query=doxorubicin" TargetMode="External"/><Relationship Id="rId744" Type="http://schemas.openxmlformats.org/officeDocument/2006/relationships/hyperlink" Target="https://www.tga.gov.au/resources/artg/174248" TargetMode="External"/><Relationship Id="rId745" Type="http://schemas.openxmlformats.org/officeDocument/2006/relationships/hyperlink" Target="https://dailymed.nlm.nih.gov/dailymed/search.cfm?labeltype=all&amp;query=doxorubicin" TargetMode="External"/><Relationship Id="rId746" Type="http://schemas.openxmlformats.org/officeDocument/2006/relationships/hyperlink" Target="https://www.sahpra.org.za/wp-content/uploads/2020/02/Rubexet_PI_Accord_MCC-format-02-October-2014.pdf" TargetMode="External"/><Relationship Id="rId747" Type="http://schemas.openxmlformats.org/officeDocument/2006/relationships/hyperlink" Target="https://dailymed.nlm.nih.gov/dailymed/search.cfm?labeltype=all&amp;query=epinephrine+injection" TargetMode="External"/><Relationship Id="rId748" Type="http://schemas.openxmlformats.org/officeDocument/2006/relationships/hyperlink" Target="https://base-donnees-publique.medicaments.gouv.fr/index.php?page=1&amp;choixRecherche=medicament&amp;txtCaracteres=Adrenaline%20Accord&amp;action=show" TargetMode="External"/><Relationship Id="rId749" Type="http://schemas.openxmlformats.org/officeDocument/2006/relationships/hyperlink" Target="https://www.ema.europa.eu/en/documents/other/article-57-product-data_en.xlsx" TargetMode="External"/><Relationship Id="rId750" Type="http://schemas.openxmlformats.org/officeDocument/2006/relationships/hyperlink" Target="https://dailymed.nlm.nih.gov/dailymed/search.cfm?labeltype=all&amp;query=epirubicin" TargetMode="External"/><Relationship Id="rId751" Type="http://schemas.openxmlformats.org/officeDocument/2006/relationships/hyperlink" Target="https://dmd-browser.nhsbsa.nhs.uk/ampp/view/90547" TargetMode="External"/><Relationship Id="rId752" Type="http://schemas.openxmlformats.org/officeDocument/2006/relationships/hyperlink" Target="https://dailymed.nlm.nih.gov/dailymed/search.cfm?labeltype=all&amp;query=epirubicin" TargetMode="External"/><Relationship Id="rId753" Type="http://schemas.openxmlformats.org/officeDocument/2006/relationships/hyperlink" Target="https://www.ema.europa.eu/en/documents/other/article-57-product-data_en.xlsx" TargetMode="External"/><Relationship Id="rId754" Type="http://schemas.openxmlformats.org/officeDocument/2006/relationships/hyperlink" Target="https://dailymed.nlm.nih.gov/dailymed/search.cfm?labeltype=all&amp;query=epirubicin" TargetMode="External"/><Relationship Id="rId755" Type="http://schemas.openxmlformats.org/officeDocument/2006/relationships/hyperlink" Target="https://base-donnees-publique.medicaments.gouv.fr/index.php?page=1&amp;choixRecherche=medicament&amp;txtCaracteres=Epirubicine%20Accord&amp;action=show" TargetMode="External"/><Relationship Id="rId756" Type="http://schemas.openxmlformats.org/officeDocument/2006/relationships/hyperlink" Target="https://www.ema.europa.eu/en/documents/other/article-57-product-data_en.xlsx" TargetMode="External"/><Relationship Id="rId757" Type="http://schemas.openxmlformats.org/officeDocument/2006/relationships/hyperlink" Target="https://dailymed.nlm.nih.gov/dailymed/search.cfm?labeltype=all&amp;query=epirubicin" TargetMode="External"/><Relationship Id="rId758" Type="http://schemas.openxmlformats.org/officeDocument/2006/relationships/hyperlink" Target="https://www.safetyandquality.gov.au/medicine-finder/epirubicin-accord-solution-for-injection" TargetMode="External"/><Relationship Id="rId759" Type="http://schemas.openxmlformats.org/officeDocument/2006/relationships/hyperlink" Target="https://dailymed.nlm.nih.gov/dailymed/search.cfm?labeltype=all&amp;query=epirubicin" TargetMode="External"/><Relationship Id="rId760" Type="http://schemas.openxmlformats.org/officeDocument/2006/relationships/hyperlink" Target="https://medicineprices.org.za/" TargetMode="External"/><Relationship Id="rId761" Type="http://schemas.openxmlformats.org/officeDocument/2006/relationships/hyperlink" Target="https://dailymed.nlm.nih.gov/dailymed/search.cfm?labeltype=all&amp;query=eptifibatide" TargetMode="External"/><Relationship Id="rId762" Type="http://schemas.openxmlformats.org/officeDocument/2006/relationships/hyperlink" Target="https://www.ema.europa.eu/en/medicines/human/EPAR/eptifibatide-accord" TargetMode="External"/><Relationship Id="rId763" Type="http://schemas.openxmlformats.org/officeDocument/2006/relationships/hyperlink" Target="https://www.ema.europa.eu/en/documents/other/article-57-product-data_en.xlsx" TargetMode="External"/><Relationship Id="rId764" Type="http://schemas.openxmlformats.org/officeDocument/2006/relationships/hyperlink" Target="https://dailymed.nlm.nih.gov/dailymed/search.cfm?labeltype=all&amp;query=eribulin" TargetMode="External"/><Relationship Id="rId765" Type="http://schemas.openxmlformats.org/officeDocument/2006/relationships/hyperlink" Target="https://www.ema.europa.eu/en/documents/other/article-57-product-data_en.xlsx" TargetMode="External"/><Relationship Id="rId766" Type="http://schemas.openxmlformats.org/officeDocument/2006/relationships/hyperlink" Target="https://dailymed.nlm.nih.gov/dailymed/search.cfm?labeltype=all&amp;query=esomeprazole+sodium" TargetMode="External"/><Relationship Id="rId767" Type="http://schemas.openxmlformats.org/officeDocument/2006/relationships/hyperlink" Target="https://dmd-browser.nhsbsa.nhs.uk/ampp/view/189948" TargetMode="External"/><Relationship Id="rId768" Type="http://schemas.openxmlformats.org/officeDocument/2006/relationships/hyperlink" Target="https://dailymed.nlm.nih.gov/dailymed/search.cfm?labeltype=all&amp;query=esomeprazole+sodium" TargetMode="External"/><Relationship Id="rId769" Type="http://schemas.openxmlformats.org/officeDocument/2006/relationships/hyperlink" Target="https://www.ema.europa.eu/en/documents/other/article-57-product-data_en.xlsx" TargetMode="External"/><Relationship Id="rId770" Type="http://schemas.openxmlformats.org/officeDocument/2006/relationships/hyperlink" Target="https://dailymed.nlm.nih.gov/dailymed/search.cfm?labeltype=all&amp;query=esomeprazole+sodium" TargetMode="External"/><Relationship Id="rId771" Type="http://schemas.openxmlformats.org/officeDocument/2006/relationships/hyperlink" Target="https://www.ema.europa.eu/en/documents/other/article-57-product-data_en.xlsx" TargetMode="External"/><Relationship Id="rId772" Type="http://schemas.openxmlformats.org/officeDocument/2006/relationships/hyperlink" Target="https://www.medicines.org.uk/emc/search?q=flucloxacillin" TargetMode="External"/><Relationship Id="rId773" Type="http://schemas.openxmlformats.org/officeDocument/2006/relationships/hyperlink" Target="https://www.ema.europa.eu/en/documents/other/article-57-product-data_en.xlsx" TargetMode="External"/><Relationship Id="rId774" Type="http://schemas.openxmlformats.org/officeDocument/2006/relationships/hyperlink" Target="https://dailymed.nlm.nih.gov/dailymed/search.cfm?labeltype=all&amp;query=fludarabine" TargetMode="External"/><Relationship Id="rId775" Type="http://schemas.openxmlformats.org/officeDocument/2006/relationships/hyperlink" Target="https://dmd-browser.nhsbsa.nhs.uk/ampp/view/105990" TargetMode="External"/><Relationship Id="rId776" Type="http://schemas.openxmlformats.org/officeDocument/2006/relationships/hyperlink" Target="https://dailymed.nlm.nih.gov/dailymed/search.cfm?labeltype=all&amp;query=fludarabine" TargetMode="External"/><Relationship Id="rId777" Type="http://schemas.openxmlformats.org/officeDocument/2006/relationships/hyperlink" Target="https://www.ema.europa.eu/en/documents/other/article-57-product-data_en.xlsx" TargetMode="External"/><Relationship Id="rId778" Type="http://schemas.openxmlformats.org/officeDocument/2006/relationships/hyperlink" Target="https://dailymed.nlm.nih.gov/dailymed/search.cfm?labeltype=all&amp;query=fludarabine" TargetMode="External"/><Relationship Id="rId779" Type="http://schemas.openxmlformats.org/officeDocument/2006/relationships/hyperlink" Target="https://base-donnees-publique.medicaments.gouv.fr/index.php?page=1&amp;choixRecherche=medicament&amp;txtCaracteres=Fludarabine%20Accord&amp;action=show" TargetMode="External"/><Relationship Id="rId780" Type="http://schemas.openxmlformats.org/officeDocument/2006/relationships/hyperlink" Target="https://www.ema.europa.eu/en/documents/other/article-57-product-data_en.xlsx" TargetMode="External"/><Relationship Id="rId781" Type="http://schemas.openxmlformats.org/officeDocument/2006/relationships/hyperlink" Target="https://dailymed.nlm.nih.gov/dailymed/search.cfm?labeltype=all&amp;query=fluorouracil+injection" TargetMode="External"/><Relationship Id="rId782" Type="http://schemas.openxmlformats.org/officeDocument/2006/relationships/hyperlink" Target="https://dmd-browser.nhsbsa.nhs.uk/ampp/view/90576" TargetMode="External"/><Relationship Id="rId783" Type="http://schemas.openxmlformats.org/officeDocument/2006/relationships/hyperlink" Target="https://dailymed.nlm.nih.gov/dailymed/search.cfm?labeltype=all&amp;query=fluorouracil+injection" TargetMode="External"/><Relationship Id="rId784" Type="http://schemas.openxmlformats.org/officeDocument/2006/relationships/hyperlink" Target="https://www.ema.europa.eu/en/documents/other/article-57-product-data_en.xlsx" TargetMode="External"/><Relationship Id="rId785" Type="http://schemas.openxmlformats.org/officeDocument/2006/relationships/hyperlink" Target="https://dailymed.nlm.nih.gov/dailymed/search.cfm?labeltype=all&amp;query=fluorouracil+injection" TargetMode="External"/><Relationship Id="rId786" Type="http://schemas.openxmlformats.org/officeDocument/2006/relationships/hyperlink" Target="https://health-products.canada.ca/dpd-bdpp/info?code=89810&amp;lang=eng" TargetMode="External"/><Relationship Id="rId787" Type="http://schemas.openxmlformats.org/officeDocument/2006/relationships/hyperlink" Target="https://dailymed.nlm.nih.gov/dailymed/search.cfm?labeltype=all&amp;query=fluorouracil+injection" TargetMode="External"/><Relationship Id="rId788" Type="http://schemas.openxmlformats.org/officeDocument/2006/relationships/hyperlink" Target="https://base-donnees-publique.medicaments.gouv.fr/index.php?page=1&amp;choixRecherche=medicament&amp;txtCaracteres=Fluorouracile%20Accord&amp;action=show" TargetMode="External"/><Relationship Id="rId789" Type="http://schemas.openxmlformats.org/officeDocument/2006/relationships/hyperlink" Target="https://www.ema.europa.eu/en/documents/other/article-57-product-data_en.xlsx" TargetMode="External"/><Relationship Id="rId790" Type="http://schemas.openxmlformats.org/officeDocument/2006/relationships/hyperlink" Target="https://dailymed.nlm.nih.gov/dailymed/search.cfm?labeltype=all&amp;query=fulvestrant" TargetMode="External"/><Relationship Id="rId791" Type="http://schemas.openxmlformats.org/officeDocument/2006/relationships/hyperlink" Target="https://dailymed.nlm.nih.gov/dailymed/drugInfo.cfm?setid=b471eb51-488e-5312-e053-2a95a90a8116" TargetMode="External"/><Relationship Id="rId792" Type="http://schemas.openxmlformats.org/officeDocument/2006/relationships/hyperlink" Target="https://dailymed.nlm.nih.gov/dailymed/search.cfm?labeltype=all&amp;query=fulvestrant" TargetMode="External"/><Relationship Id="rId793" Type="http://schemas.openxmlformats.org/officeDocument/2006/relationships/hyperlink" Target="https://mhraproducts4853.blob.core.windows.net/docs/b46086f37376e5481490ddb82a9d2e3645873236" TargetMode="External"/><Relationship Id="rId794" Type="http://schemas.openxmlformats.org/officeDocument/2006/relationships/hyperlink" Target="https://dailymed.nlm.nih.gov/dailymed/search.cfm?labeltype=all&amp;query=fulvestrant" TargetMode="External"/><Relationship Id="rId795" Type="http://schemas.openxmlformats.org/officeDocument/2006/relationships/hyperlink" Target="https://www.ema.europa.eu/en/documents/other/article-57-product-data_en.xlsx" TargetMode="External"/><Relationship Id="rId796" Type="http://schemas.openxmlformats.org/officeDocument/2006/relationships/hyperlink" Target="https://dailymed.nlm.nih.gov/dailymed/search.cfm?labeltype=all&amp;query=fulvestrant" TargetMode="External"/><Relationship Id="rId797" Type="http://schemas.openxmlformats.org/officeDocument/2006/relationships/hyperlink" Target="https://base-donnees-publique.medicaments.gouv.fr/index.php?page=1&amp;choixRecherche=medicament&amp;txtCaracteres=Fulvestrant%20Accord&amp;action=show" TargetMode="External"/><Relationship Id="rId798" Type="http://schemas.openxmlformats.org/officeDocument/2006/relationships/hyperlink" Target="https://www.ema.europa.eu/en/documents/other/article-57-product-data_en.xlsx" TargetMode="External"/><Relationship Id="rId799" Type="http://schemas.openxmlformats.org/officeDocument/2006/relationships/hyperlink" Target="https://dailymed.nlm.nih.gov/dailymed/search.cfm?labeltype=all&amp;query=fulvestrant" TargetMode="External"/><Relationship Id="rId800" Type="http://schemas.openxmlformats.org/officeDocument/2006/relationships/hyperlink" Target="https://www.ebs.tga.gov.au/ebs/picmi/picmirepository.nsf/pdf?OpenAgent&amp;id=CP-2021-PI-01020-1" TargetMode="External"/><Relationship Id="rId801" Type="http://schemas.openxmlformats.org/officeDocument/2006/relationships/hyperlink" Target="https://dailymed.nlm.nih.gov/dailymed/search.cfm?labeltype=all&amp;query=fulvestrant" TargetMode="External"/><Relationship Id="rId802" Type="http://schemas.openxmlformats.org/officeDocument/2006/relationships/hyperlink" Target="https://medicineprices.org.za/" TargetMode="External"/><Relationship Id="rId803" Type="http://schemas.openxmlformats.org/officeDocument/2006/relationships/hyperlink" Target="https://dailymed.nlm.nih.gov/dailymed/search.cfm?labeltype=all&amp;query=glycopyrrolate+injection" TargetMode="External"/><Relationship Id="rId804" Type="http://schemas.openxmlformats.org/officeDocument/2006/relationships/hyperlink" Target="https://www.ema.europa.eu/en/documents/other/article-57-product-data_en.xlsx" TargetMode="External"/><Relationship Id="rId805" Type="http://schemas.openxmlformats.org/officeDocument/2006/relationships/hyperlink" Target="https://dailymed.nlm.nih.gov/dailymed/search.cfm?labeltype=all&amp;query=glycopyrrolate+injection" TargetMode="External"/><Relationship Id="rId806" Type="http://schemas.openxmlformats.org/officeDocument/2006/relationships/hyperlink" Target="https://www.ema.europa.eu/en/documents/other/article-57-product-data_en.xlsx" TargetMode="External"/><Relationship Id="rId807" Type="http://schemas.openxmlformats.org/officeDocument/2006/relationships/hyperlink" Target="https://dailymed.nlm.nih.gov/dailymed/search.cfm?labeltype=all&amp;query=glycopyrrolate+injection" TargetMode="External"/><Relationship Id="rId808" Type="http://schemas.openxmlformats.org/officeDocument/2006/relationships/hyperlink" Target="https://www.ebs.tga.gov.au/ebs/picmi/picmirepository.nsf/pdf?OpenAgent&amp;id=CP-2016-PI-02612-1" TargetMode="External"/><Relationship Id="rId809" Type="http://schemas.openxmlformats.org/officeDocument/2006/relationships/hyperlink" Target="https://www.medicines.org.uk/emc/search?q=hydroxocobalamin" TargetMode="External"/><Relationship Id="rId810" Type="http://schemas.openxmlformats.org/officeDocument/2006/relationships/hyperlink" Target="https://www.ema.europa.eu/en/documents/other/article-57-product-data_en.xlsx" TargetMode="External"/><Relationship Id="rId811" Type="http://schemas.openxmlformats.org/officeDocument/2006/relationships/hyperlink" Target="https://dailymed.nlm.nih.gov/dailymed/search.cfm?labeltype=all&amp;query=ibandronate+injection" TargetMode="External"/><Relationship Id="rId812" Type="http://schemas.openxmlformats.org/officeDocument/2006/relationships/hyperlink" Target="https://dailymed.nlm.nih.gov/dailymed/fda/fdaDrugXsl.cfm?setid=2b84257d-d8b3-56fe-e054-00144ff88e88" TargetMode="External"/><Relationship Id="rId813" Type="http://schemas.openxmlformats.org/officeDocument/2006/relationships/hyperlink" Target="https://dailymed.nlm.nih.gov/dailymed/search.cfm?labeltype=all&amp;query=ibandronate+injection" TargetMode="External"/><Relationship Id="rId814" Type="http://schemas.openxmlformats.org/officeDocument/2006/relationships/hyperlink" Target="https://mhraproducts4853.blob.core.windows.net/docs/77d3cbbc5361b04cb13407c5649837410927261d" TargetMode="External"/><Relationship Id="rId815" Type="http://schemas.openxmlformats.org/officeDocument/2006/relationships/hyperlink" Target="https://dailymed.nlm.nih.gov/dailymed/search.cfm?labeltype=all&amp;query=ibandronate+injection" TargetMode="External"/><Relationship Id="rId816" Type="http://schemas.openxmlformats.org/officeDocument/2006/relationships/hyperlink" Target="https://www.ema.europa.eu/en/medicines/human/EPAR/ibandronic-acid-accord" TargetMode="External"/><Relationship Id="rId817" Type="http://schemas.openxmlformats.org/officeDocument/2006/relationships/hyperlink" Target="https://www.ema.europa.eu/en/documents/other/article-57-product-data_en.xlsx" TargetMode="External"/><Relationship Id="rId818" Type="http://schemas.openxmlformats.org/officeDocument/2006/relationships/hyperlink" Target="https://dailymed.nlm.nih.gov/dailymed/search.cfm?labeltype=all&amp;query=idarubicin" TargetMode="External"/><Relationship Id="rId819" Type="http://schemas.openxmlformats.org/officeDocument/2006/relationships/hyperlink" Target="https://www.ema.europa.eu/en/documents/other/article-57-product-data_en.xlsx" TargetMode="External"/><Relationship Id="rId820" Type="http://schemas.openxmlformats.org/officeDocument/2006/relationships/hyperlink" Target="https://dailymed.nlm.nih.gov/dailymed/search.cfm?labeltype=all&amp;query=idarubicin" TargetMode="External"/><Relationship Id="rId821" Type="http://schemas.openxmlformats.org/officeDocument/2006/relationships/hyperlink" Target="https://base-donnees-publique.medicaments.gouv.fr/index.php?page=1&amp;choixRecherche=medicament&amp;txtCaracteres=Idarubicine%20Accord&amp;action=show" TargetMode="External"/><Relationship Id="rId822" Type="http://schemas.openxmlformats.org/officeDocument/2006/relationships/hyperlink" Target="https://www.ema.europa.eu/en/documents/other/article-57-product-data_en.xlsx" TargetMode="External"/><Relationship Id="rId823" Type="http://schemas.openxmlformats.org/officeDocument/2006/relationships/hyperlink" Target="https://dailymed.nlm.nih.gov/dailymed/search.cfm?labeltype=all&amp;query=leuprolide" TargetMode="External"/><Relationship Id="rId824" Type="http://schemas.openxmlformats.org/officeDocument/2006/relationships/hyperlink" Target="https://mhraproducts4853.blob.core.windows.net/docs/9139290e853308d1ca62298463423a242ccfa099" TargetMode="External"/><Relationship Id="rId825" Type="http://schemas.openxmlformats.org/officeDocument/2006/relationships/hyperlink" Target="https://dailymed.nlm.nih.gov/dailymed/search.cfm?labeltype=all&amp;query=leuprolide" TargetMode="External"/><Relationship Id="rId826" Type="http://schemas.openxmlformats.org/officeDocument/2006/relationships/hyperlink" Target="https://www.ema.europa.eu/en/medicines/human/EPAR/camcevi" TargetMode="External"/><Relationship Id="rId827" Type="http://schemas.openxmlformats.org/officeDocument/2006/relationships/hyperlink" Target="https://www.ema.europa.eu/en/documents/other/article-57-product-data_en.xlsx" TargetMode="External"/><Relationship Id="rId828" Type="http://schemas.openxmlformats.org/officeDocument/2006/relationships/hyperlink" Target="https://dailymed.nlm.nih.gov/dailymed/search.cfm?labeltype=all&amp;query=lidocaine+hydrochloride+injection" TargetMode="External"/><Relationship Id="rId829" Type="http://schemas.openxmlformats.org/officeDocument/2006/relationships/hyperlink" Target="https://www.ema.europa.eu/en/documents/other/article-57-product-data_en.xlsx" TargetMode="External"/><Relationship Id="rId830" Type="http://schemas.openxmlformats.org/officeDocument/2006/relationships/hyperlink" Target="https://dailymed.nlm.nih.gov/dailymed/search.cfm?labeltype=all&amp;query=lidocaine+hydrochloride+injection" TargetMode="External"/><Relationship Id="rId831" Type="http://schemas.openxmlformats.org/officeDocument/2006/relationships/hyperlink" Target="https://www.ema.europa.eu/en/documents/other/article-57-product-data_en.xlsx" TargetMode="External"/><Relationship Id="rId832" Type="http://schemas.openxmlformats.org/officeDocument/2006/relationships/hyperlink" Target="https://dailymed.nlm.nih.gov/dailymed/search.cfm?labeltype=all&amp;query=lidocaine+hydrochloride+injection" TargetMode="External"/><Relationship Id="rId833" Type="http://schemas.openxmlformats.org/officeDocument/2006/relationships/hyperlink" Target="https://www.ebs.tga.gov.au/ebs/picmi/picmirepository.nsf/pdf?OpenAgent&amp;id=CP-2019-PI-01963-1" TargetMode="External"/><Relationship Id="rId834" Type="http://schemas.openxmlformats.org/officeDocument/2006/relationships/hyperlink" Target="https://dailymed.nlm.nih.gov/dailymed/search.cfm?labeltype=all&amp;query=melphalan+hydrochloride" TargetMode="External"/><Relationship Id="rId835" Type="http://schemas.openxmlformats.org/officeDocument/2006/relationships/hyperlink" Target="https://mhraproducts4853.blob.core.windows.net/docs/1740a36db8ba332d071a925f2871b14576fa46c7" TargetMode="External"/><Relationship Id="rId836" Type="http://schemas.openxmlformats.org/officeDocument/2006/relationships/hyperlink" Target="https://dailymed.nlm.nih.gov/dailymed/search.cfm?labeltype=all&amp;query=melphalan+hydrochloride" TargetMode="External"/><Relationship Id="rId837" Type="http://schemas.openxmlformats.org/officeDocument/2006/relationships/hyperlink" Target="https://www.ema.europa.eu/en/documents/other/article-57-product-data_en.xlsx" TargetMode="External"/><Relationship Id="rId838" Type="http://schemas.openxmlformats.org/officeDocument/2006/relationships/hyperlink" Target="https://dailymed.nlm.nih.gov/dailymed/search.cfm?labeltype=all&amp;query=methotrexate+injection" TargetMode="External"/><Relationship Id="rId839" Type="http://schemas.openxmlformats.org/officeDocument/2006/relationships/hyperlink" Target="https://dmd-browser.nhsbsa.nhs.uk/ampp/view/133567" TargetMode="External"/><Relationship Id="rId840" Type="http://schemas.openxmlformats.org/officeDocument/2006/relationships/hyperlink" Target="https://dailymed.nlm.nih.gov/dailymed/search.cfm?labeltype=all&amp;query=methotrexate+injection" TargetMode="External"/><Relationship Id="rId841" Type="http://schemas.openxmlformats.org/officeDocument/2006/relationships/hyperlink" Target="https://www.ema.europa.eu/en/documents/other/article-57-product-data_en.xlsx" TargetMode="External"/><Relationship Id="rId842" Type="http://schemas.openxmlformats.org/officeDocument/2006/relationships/hyperlink" Target="https://dailymed.nlm.nih.gov/dailymed/search.cfm?labeltype=all&amp;query=methotrexate+injection" TargetMode="External"/><Relationship Id="rId843" Type="http://schemas.openxmlformats.org/officeDocument/2006/relationships/hyperlink" Target="https://produits-sante.canada.ca/dpd-bdpp/info?code=81253&amp;lang=eng" TargetMode="External"/><Relationship Id="rId844" Type="http://schemas.openxmlformats.org/officeDocument/2006/relationships/hyperlink" Target="https://dailymed.nlm.nih.gov/dailymed/search.cfm?labeltype=all&amp;query=methotrexate+injection" TargetMode="External"/><Relationship Id="rId845" Type="http://schemas.openxmlformats.org/officeDocument/2006/relationships/hyperlink" Target="https://base-donnees-publique.medicaments.gouv.fr/index.php?page=1&amp;choixRecherche=medicament&amp;txtCaracteres=Izixate&amp;action=show" TargetMode="External"/><Relationship Id="rId846" Type="http://schemas.openxmlformats.org/officeDocument/2006/relationships/hyperlink" Target="https://www.ema.europa.eu/en/documents/other/article-57-product-data_en.xlsx" TargetMode="External"/><Relationship Id="rId847" Type="http://schemas.openxmlformats.org/officeDocument/2006/relationships/hyperlink" Target="https://dailymed.nlm.nih.gov/dailymed/search.cfm?labeltype=all&amp;query=methotrexate+injection" TargetMode="External"/><Relationship Id="rId848" Type="http://schemas.openxmlformats.org/officeDocument/2006/relationships/hyperlink" Target="https://www.healthdirect.gov.au/medicines/brand/amt%2C933505761000036101/methotrexate-intas" TargetMode="External"/><Relationship Id="rId849" Type="http://schemas.openxmlformats.org/officeDocument/2006/relationships/hyperlink" Target="https://dailymed.nlm.nih.gov/dailymed/search.cfm?labeltype=all&amp;query=midazolam+injection" TargetMode="External"/><Relationship Id="rId850" Type="http://schemas.openxmlformats.org/officeDocument/2006/relationships/hyperlink" Target="https://www.ema.europa.eu/en/documents/other/article-57-product-data_en.xlsx" TargetMode="External"/><Relationship Id="rId851" Type="http://schemas.openxmlformats.org/officeDocument/2006/relationships/hyperlink" Target="https://dailymed.nlm.nih.gov/dailymed/search.cfm?labeltype=all&amp;query=midazolam+injection" TargetMode="External"/><Relationship Id="rId852" Type="http://schemas.openxmlformats.org/officeDocument/2006/relationships/hyperlink" Target="https://base-donnees-publique.medicaments.gouv.fr/index.php?page=1&amp;choixRecherche=medicament&amp;txtCaracteres=Midazolam%20Accord&amp;action=show" TargetMode="External"/><Relationship Id="rId853" Type="http://schemas.openxmlformats.org/officeDocument/2006/relationships/hyperlink" Target="https://www.ema.europa.eu/en/documents/other/article-57-product-data_en.xlsx" TargetMode="External"/><Relationship Id="rId854" Type="http://schemas.openxmlformats.org/officeDocument/2006/relationships/hyperlink" Target="https://dailymed.nlm.nih.gov/dailymed/search.cfm?labeltype=all&amp;query=midazolam+injection" TargetMode="External"/><Relationship Id="rId855" Type="http://schemas.openxmlformats.org/officeDocument/2006/relationships/hyperlink" Target="https://www.ebs.tga.gov.au/ebs/picmi/picmirepository.nsf/pdf?OpenAgent&amp;id=CP-2016-PI-02501-1" TargetMode="External"/><Relationship Id="rId856" Type="http://schemas.openxmlformats.org/officeDocument/2006/relationships/hyperlink" Target="https://dailymed.nlm.nih.gov/dailymed/search.cfm?labeltype=all&amp;query=mitomycin" TargetMode="External"/><Relationship Id="rId857" Type="http://schemas.openxmlformats.org/officeDocument/2006/relationships/hyperlink" Target="https://dmd-browser.nhsbsa.nhs.uk/ampp/view/180360" TargetMode="External"/><Relationship Id="rId858" Type="http://schemas.openxmlformats.org/officeDocument/2006/relationships/hyperlink" Target="https://dailymed.nlm.nih.gov/dailymed/search.cfm?labeltype=all&amp;query=mitomycin" TargetMode="External"/><Relationship Id="rId859" Type="http://schemas.openxmlformats.org/officeDocument/2006/relationships/hyperlink" Target="https://www.ema.europa.eu/en/documents/other/article-57-product-data_en.xlsx" TargetMode="External"/><Relationship Id="rId860" Type="http://schemas.openxmlformats.org/officeDocument/2006/relationships/hyperlink" Target="https://dailymed.nlm.nih.gov/dailymed/search.cfm?labeltype=all&amp;query=mitomycin" TargetMode="External"/><Relationship Id="rId861" Type="http://schemas.openxmlformats.org/officeDocument/2006/relationships/hyperlink" Target="https://health-products.canada.ca/dpd-bdpp/info?code=95282&amp;lang=eng" TargetMode="External"/><Relationship Id="rId862" Type="http://schemas.openxmlformats.org/officeDocument/2006/relationships/hyperlink" Target="https://dailymed.nlm.nih.gov/dailymed/search.cfm?labeltype=all&amp;query=mitomycin" TargetMode="External"/><Relationship Id="rId863" Type="http://schemas.openxmlformats.org/officeDocument/2006/relationships/hyperlink" Target="https://base-donnees-publique.medicaments.gouv.fr/index.php?page=1&amp;choixRecherche=medicament&amp;txtCaracteres=Mitomycine%20Accord&amp;action=show" TargetMode="External"/><Relationship Id="rId864" Type="http://schemas.openxmlformats.org/officeDocument/2006/relationships/hyperlink" Target="https://www.ema.europa.eu/en/documents/other/article-57-product-data_en.xlsx" TargetMode="External"/><Relationship Id="rId865" Type="http://schemas.openxmlformats.org/officeDocument/2006/relationships/hyperlink" Target="https://dailymed.nlm.nih.gov/dailymed/search.cfm?labeltype=all&amp;query=mitoxantrone" TargetMode="External"/><Relationship Id="rId866" Type="http://schemas.openxmlformats.org/officeDocument/2006/relationships/hyperlink" Target="https://www.ema.europa.eu/en/documents/other/article-57-product-data_en.xlsx" TargetMode="External"/><Relationship Id="rId867" Type="http://schemas.openxmlformats.org/officeDocument/2006/relationships/hyperlink" Target="https://dailymed.nlm.nih.gov/dailymed/search.cfm?labeltype=all&amp;query=mitoxantrone" TargetMode="External"/><Relationship Id="rId868" Type="http://schemas.openxmlformats.org/officeDocument/2006/relationships/hyperlink" Target="https://base-donnees-publique.medicaments.gouv.fr/index.php?page=1&amp;choixRecherche=medicament&amp;txtCaracteres=Mitoxantrone%20Accord&amp;action=show" TargetMode="External"/><Relationship Id="rId869" Type="http://schemas.openxmlformats.org/officeDocument/2006/relationships/hyperlink" Target="https://www.ema.europa.eu/en/documents/other/article-57-product-data_en.xlsx" TargetMode="External"/><Relationship Id="rId870" Type="http://schemas.openxmlformats.org/officeDocument/2006/relationships/hyperlink" Target="https://dailymed.nlm.nih.gov/dailymed/search.cfm?labeltype=all&amp;query=naloxone+hydrochloride+injection" TargetMode="External"/><Relationship Id="rId871" Type="http://schemas.openxmlformats.org/officeDocument/2006/relationships/hyperlink" Target="https://dailymed.nlm.nih.gov/dailymed/search.cfm?labeltype=all&amp;query=Naloxone+Hydrochloride" TargetMode="External"/><Relationship Id="rId872" Type="http://schemas.openxmlformats.org/officeDocument/2006/relationships/hyperlink" Target="https://dailymed.nlm.nih.gov/dailymed/search.cfm?labeltype=all&amp;query=naloxone+hydrochloride+injection" TargetMode="External"/><Relationship Id="rId873" Type="http://schemas.openxmlformats.org/officeDocument/2006/relationships/hyperlink" Target="https://mhraproducts4853.blob.core.windows.net/docs/1b85c921ff22e65de2c4cb817669b364513ade84" TargetMode="External"/><Relationship Id="rId874" Type="http://schemas.openxmlformats.org/officeDocument/2006/relationships/hyperlink" Target="https://dailymed.nlm.nih.gov/dailymed/search.cfm?labeltype=all&amp;query=naloxone+hydrochloride+injection" TargetMode="External"/><Relationship Id="rId875" Type="http://schemas.openxmlformats.org/officeDocument/2006/relationships/hyperlink" Target="https://www.ema.europa.eu/en/documents/other/article-57-product-data_en.xlsx" TargetMode="External"/><Relationship Id="rId876" Type="http://schemas.openxmlformats.org/officeDocument/2006/relationships/hyperlink" Target="https://dailymed.nlm.nih.gov/dailymed/search.cfm?labeltype=all&amp;query=naloxone+hydrochloride+injection" TargetMode="External"/><Relationship Id="rId877" Type="http://schemas.openxmlformats.org/officeDocument/2006/relationships/hyperlink" Target="https://www.ema.europa.eu/en/documents/other/article-57-product-data_en.xlsx" TargetMode="External"/><Relationship Id="rId878" Type="http://schemas.openxmlformats.org/officeDocument/2006/relationships/hyperlink" Target="https://dailymed.nlm.nih.gov/dailymed/search.cfm?labeltype=all&amp;query=ondansetron+injection" TargetMode="External"/><Relationship Id="rId879" Type="http://schemas.openxmlformats.org/officeDocument/2006/relationships/hyperlink" Target="https://dailymed.nlm.nih.gov/dailymed/search.cfm?searchdb=ndc&amp;query=16729-298" TargetMode="External"/><Relationship Id="rId880" Type="http://schemas.openxmlformats.org/officeDocument/2006/relationships/hyperlink" Target="https://dailymed.nlm.nih.gov/dailymed/search.cfm?labeltype=all&amp;query=ondansetron+injection" TargetMode="External"/><Relationship Id="rId881" Type="http://schemas.openxmlformats.org/officeDocument/2006/relationships/hyperlink" Target="https://dmd-browser.nhsbsa.nhs.uk/ampp/view/197033" TargetMode="External"/><Relationship Id="rId882" Type="http://schemas.openxmlformats.org/officeDocument/2006/relationships/hyperlink" Target="https://dailymed.nlm.nih.gov/dailymed/search.cfm?labeltype=all&amp;query=ondansetron+injection" TargetMode="External"/><Relationship Id="rId883" Type="http://schemas.openxmlformats.org/officeDocument/2006/relationships/hyperlink" Target="https://www.ema.europa.eu/en/documents/other/article-57-product-data_en.xlsx" TargetMode="External"/><Relationship Id="rId884" Type="http://schemas.openxmlformats.org/officeDocument/2006/relationships/hyperlink" Target="https://dailymed.nlm.nih.gov/dailymed/search.cfm?labeltype=all&amp;query=ondansetron+injection" TargetMode="External"/><Relationship Id="rId885" Type="http://schemas.openxmlformats.org/officeDocument/2006/relationships/hyperlink" Target="https://base-donnees-publique.medicaments.gouv.fr/index.php?page=1&amp;choixRecherche=medicament&amp;txtCaracteres=Ondansetron%20Accord&amp;action=show" TargetMode="External"/><Relationship Id="rId886" Type="http://schemas.openxmlformats.org/officeDocument/2006/relationships/hyperlink" Target="https://www.ema.europa.eu/en/documents/other/article-57-product-data_en.xlsx" TargetMode="External"/><Relationship Id="rId887" Type="http://schemas.openxmlformats.org/officeDocument/2006/relationships/hyperlink" Target="https://dailymed.nlm.nih.gov/dailymed/search.cfm?labeltype=all&amp;query=ondansetron+injection" TargetMode="External"/><Relationship Id="rId888" Type="http://schemas.openxmlformats.org/officeDocument/2006/relationships/hyperlink" Target="https://www.ebs.tga.gov.au/ebs/picmi/picmirepository.nsf/pdf?OpenAgent&amp;id=CP-2016-PI-02393-1" TargetMode="External"/><Relationship Id="rId889" Type="http://schemas.openxmlformats.org/officeDocument/2006/relationships/hyperlink" Target="https://dailymed.nlm.nih.gov/dailymed/search.cfm?labeltype=all&amp;query=paclitaxel" TargetMode="External"/><Relationship Id="rId890" Type="http://schemas.openxmlformats.org/officeDocument/2006/relationships/hyperlink" Target="https://www.ema.europa.eu/en/medicines/human/EPAR/naveruclif" TargetMode="External"/><Relationship Id="rId891" Type="http://schemas.openxmlformats.org/officeDocument/2006/relationships/hyperlink" Target="https://www.ema.europa.eu/en/documents/other/article-57-product-data_en.xlsx" TargetMode="External"/><Relationship Id="rId892" Type="http://schemas.openxmlformats.org/officeDocument/2006/relationships/hyperlink" Target="https://dailymed.nlm.nih.gov/dailymed/search.cfm?labeltype=all&amp;query=paclitaxel" TargetMode="External"/><Relationship Id="rId893" Type="http://schemas.openxmlformats.org/officeDocument/2006/relationships/hyperlink" Target="https://health-products.canada.ca/dpd-bdpp/info?code=87681&amp;lang=eng" TargetMode="External"/><Relationship Id="rId894" Type="http://schemas.openxmlformats.org/officeDocument/2006/relationships/hyperlink" Target="https://dailymed.nlm.nih.gov/dailymed/search.cfm?labeltype=all&amp;query=paclitaxel" TargetMode="External"/><Relationship Id="rId895" Type="http://schemas.openxmlformats.org/officeDocument/2006/relationships/hyperlink" Target="https://www.ema.europa.eu/en/medicines/human/EPAR/naveruclif" TargetMode="External"/><Relationship Id="rId896" Type="http://schemas.openxmlformats.org/officeDocument/2006/relationships/hyperlink" Target="https://www.ema.europa.eu/en/documents/other/article-57-product-data_en.xlsx" TargetMode="External"/><Relationship Id="rId897" Type="http://schemas.openxmlformats.org/officeDocument/2006/relationships/hyperlink" Target="https://dailymed.nlm.nih.gov/dailymed/search.cfm?labeltype=all&amp;query=palonosetron" TargetMode="External"/><Relationship Id="rId898" Type="http://schemas.openxmlformats.org/officeDocument/2006/relationships/hyperlink" Target="https://mhraproducts4853.blob.core.windows.net/docs/f5e999c5eaed01985040c89afd30ed8456f534a6" TargetMode="External"/><Relationship Id="rId899" Type="http://schemas.openxmlformats.org/officeDocument/2006/relationships/hyperlink" Target="https://dailymed.nlm.nih.gov/dailymed/search.cfm?labeltype=all&amp;query=palonosetron" TargetMode="External"/><Relationship Id="rId900" Type="http://schemas.openxmlformats.org/officeDocument/2006/relationships/hyperlink" Target="https://www.ema.europa.eu/en/medicines/human/EPAR/palonosetron-accord" TargetMode="External"/><Relationship Id="rId901" Type="http://schemas.openxmlformats.org/officeDocument/2006/relationships/hyperlink" Target="https://www.ema.europa.eu/en/documents/other/article-57-product-data_en.xlsx" TargetMode="External"/><Relationship Id="rId902" Type="http://schemas.openxmlformats.org/officeDocument/2006/relationships/hyperlink" Target="https://dailymed.nlm.nih.gov/dailymed/search.cfm?labeltype=all&amp;query=palonosetron" TargetMode="External"/><Relationship Id="rId903" Type="http://schemas.openxmlformats.org/officeDocument/2006/relationships/hyperlink" Target="https://medicineprices.org.za/" TargetMode="External"/><Relationship Id="rId904" Type="http://schemas.openxmlformats.org/officeDocument/2006/relationships/hyperlink" Target="https://dailymed.nlm.nih.gov/dailymed/search.cfm?labeltype=all&amp;query=pantoprazole+sodium+for+injection" TargetMode="External"/><Relationship Id="rId905" Type="http://schemas.openxmlformats.org/officeDocument/2006/relationships/hyperlink" Target="https://dmd-browser.nhsbsa.nhs.uk/ampp/view/194984" TargetMode="External"/><Relationship Id="rId906" Type="http://schemas.openxmlformats.org/officeDocument/2006/relationships/hyperlink" Target="https://dailymed.nlm.nih.gov/dailymed/search.cfm?labeltype=all&amp;query=pantoprazole+sodium+for+injection" TargetMode="External"/><Relationship Id="rId907" Type="http://schemas.openxmlformats.org/officeDocument/2006/relationships/hyperlink" Target="https://www.ema.europa.eu/en/documents/other/article-57-product-data_en.xlsx" TargetMode="External"/><Relationship Id="rId908" Type="http://schemas.openxmlformats.org/officeDocument/2006/relationships/hyperlink" Target="https://dailymed.nlm.nih.gov/dailymed/search.cfm?labeltype=all&amp;query=pantoprazole+sodium+for+injection" TargetMode="External"/><Relationship Id="rId909" Type="http://schemas.openxmlformats.org/officeDocument/2006/relationships/hyperlink" Target="https://www.ema.europa.eu/en/documents/other/article-57-product-data_en.xlsx" TargetMode="External"/><Relationship Id="rId910" Type="http://schemas.openxmlformats.org/officeDocument/2006/relationships/hyperlink" Target="https://dailymed.nlm.nih.gov/dailymed/search.cfm?labeltype=all&amp;query=paricalcitol+injection" TargetMode="External"/><Relationship Id="rId911" Type="http://schemas.openxmlformats.org/officeDocument/2006/relationships/hyperlink" Target="https://dailymed.nlm.nih.gov/dailymed/drugInfo.cfm?setid=2b7c7587-2042-0d9c-e054-00144ff88e88" TargetMode="External"/><Relationship Id="rId912" Type="http://schemas.openxmlformats.org/officeDocument/2006/relationships/hyperlink" Target="https://dailymed.nlm.nih.gov/dailymed/search.cfm?labeltype=all&amp;query=paricalcitol+injection" TargetMode="External"/><Relationship Id="rId913" Type="http://schemas.openxmlformats.org/officeDocument/2006/relationships/hyperlink" Target="https://www.ema.europa.eu/en/documents/other/article-57-product-data_en.xlsx" TargetMode="External"/><Relationship Id="rId914" Type="http://schemas.openxmlformats.org/officeDocument/2006/relationships/hyperlink" Target="https://dailymed.nlm.nih.gov/dailymed/search.cfm?labeltype=all&amp;query=pegfilgrastim" TargetMode="External"/><Relationship Id="rId915" Type="http://schemas.openxmlformats.org/officeDocument/2006/relationships/hyperlink" Target="https://mhraproducts4853.blob.core.windows.net/docs/558dcfb1d7c94ccfc6b14703ecd62a427ca2264d" TargetMode="External"/><Relationship Id="rId916" Type="http://schemas.openxmlformats.org/officeDocument/2006/relationships/hyperlink" Target="https://dailymed.nlm.nih.gov/dailymed/search.cfm?labeltype=all&amp;query=pegfilgrastim" TargetMode="External"/><Relationship Id="rId917" Type="http://schemas.openxmlformats.org/officeDocument/2006/relationships/hyperlink" Target="https://www.ema.europa.eu/en/medicines/human/EPAR/pelgraz" TargetMode="External"/><Relationship Id="rId918" Type="http://schemas.openxmlformats.org/officeDocument/2006/relationships/hyperlink" Target="https://www.ema.europa.eu/en/documents/other/article-57-product-data_en.xlsx" TargetMode="External"/><Relationship Id="rId919" Type="http://schemas.openxmlformats.org/officeDocument/2006/relationships/hyperlink" Target="https://dailymed.nlm.nih.gov/dailymed/search.cfm?labeltype=all&amp;query=phenylephrine+hydrochloride+injection" TargetMode="External"/><Relationship Id="rId920" Type="http://schemas.openxmlformats.org/officeDocument/2006/relationships/hyperlink" Target="https://www.ebs.tga.gov.au/ebs/picmi/picmirepository.nsf/pdf?OpenAgent&amp;id=CP-2020-PI-02525-1" TargetMode="External"/><Relationship Id="rId921" Type="http://schemas.openxmlformats.org/officeDocument/2006/relationships/hyperlink" Target="https://dailymed.nlm.nih.gov/dailymed/search.cfm?labeltype=all&amp;query=phenylephrine+hydrochloride+injection" TargetMode="External"/><Relationship Id="rId922" Type="http://schemas.openxmlformats.org/officeDocument/2006/relationships/hyperlink" Target="https://medicineprices.org.za/" TargetMode="External"/><Relationship Id="rId923" Type="http://schemas.openxmlformats.org/officeDocument/2006/relationships/hyperlink" Target="https://dailymed.nlm.nih.gov/dailymed/search.cfm?labeltype=all&amp;query=phenytoin+sodium+injection" TargetMode="External"/><Relationship Id="rId924" Type="http://schemas.openxmlformats.org/officeDocument/2006/relationships/hyperlink" Target="https://www.ema.europa.eu/en/documents/other/article-57-product-data_en.xlsx" TargetMode="External"/><Relationship Id="rId925" Type="http://schemas.openxmlformats.org/officeDocument/2006/relationships/hyperlink" Target="https://dailymed.nlm.nih.gov/dailymed/search.cfm?labeltype=all&amp;query=phenytoin+sodium+injection" TargetMode="External"/><Relationship Id="rId926" Type="http://schemas.openxmlformats.org/officeDocument/2006/relationships/hyperlink" Target="https://www.ema.europa.eu/en/documents/other/article-57-product-data_en.xlsx" TargetMode="External"/><Relationship Id="rId927" Type="http://schemas.openxmlformats.org/officeDocument/2006/relationships/hyperlink" Target="https://dailymed.nlm.nih.gov/dailymed/search.cfm?labeltype=all&amp;query=plerixafor" TargetMode="External"/><Relationship Id="rId928" Type="http://schemas.openxmlformats.org/officeDocument/2006/relationships/hyperlink" Target="https://mhraproducts4853.blob.core.windows.net/docs/07357ed28124fa9adf67221cff8397b75709ff50" TargetMode="External"/><Relationship Id="rId929" Type="http://schemas.openxmlformats.org/officeDocument/2006/relationships/hyperlink" Target="https://dailymed.nlm.nih.gov/dailymed/search.cfm?labeltype=all&amp;query=plerixafor" TargetMode="External"/><Relationship Id="rId930" Type="http://schemas.openxmlformats.org/officeDocument/2006/relationships/hyperlink" Target="https://www.ema.europa.eu/en/medicines/human/EPAR/plerixafor-accord" TargetMode="External"/><Relationship Id="rId931" Type="http://schemas.openxmlformats.org/officeDocument/2006/relationships/hyperlink" Target="https://www.ema.europa.eu/en/documents/other/article-57-product-data_en.xlsx" TargetMode="External"/><Relationship Id="rId932" Type="http://schemas.openxmlformats.org/officeDocument/2006/relationships/hyperlink" Target="https://dailymed.nlm.nih.gov/dailymed/search.cfm?labeltype=all&amp;query=plerixafor" TargetMode="External"/><Relationship Id="rId933" Type="http://schemas.openxmlformats.org/officeDocument/2006/relationships/hyperlink" Target="http://tga.gov.au/resources/artg/398073" TargetMode="External"/><Relationship Id="rId934" Type="http://schemas.openxmlformats.org/officeDocument/2006/relationships/hyperlink" Target="https://dailymed.nlm.nih.gov/dailymed/search.cfm?labeltype=all&amp;query=progesterone+injection" TargetMode="External"/><Relationship Id="rId935" Type="http://schemas.openxmlformats.org/officeDocument/2006/relationships/hyperlink" Target="https://dailymed.nlm.nih.gov/dailymed/search.cfm?labeltype=all&amp;query=Progesterone" TargetMode="External"/><Relationship Id="rId936" Type="http://schemas.openxmlformats.org/officeDocument/2006/relationships/hyperlink" Target="https://dailymed.nlm.nih.gov/dailymed/search.cfm?labeltype=all&amp;query=ranibizumab" TargetMode="External"/><Relationship Id="rId937" Type="http://schemas.openxmlformats.org/officeDocument/2006/relationships/hyperlink" Target="https://mhraproducts4853.blob.core.windows.net/docs/0cd995a5637a3bd404fb0dc96033abecfd8ffc95" TargetMode="External"/><Relationship Id="rId938" Type="http://schemas.openxmlformats.org/officeDocument/2006/relationships/hyperlink" Target="https://dailymed.nlm.nih.gov/dailymed/search.cfm?labeltype=all&amp;query=regadenoson" TargetMode="External"/><Relationship Id="rId939" Type="http://schemas.openxmlformats.org/officeDocument/2006/relationships/hyperlink" Target="https://dailymed.nlm.nih.gov/dailymed/search.cfm?labeltype=all&amp;query=Regadenoson" TargetMode="External"/><Relationship Id="rId940" Type="http://schemas.openxmlformats.org/officeDocument/2006/relationships/hyperlink" Target="https://dailymed.nlm.nih.gov/dailymed/search.cfm?labeltype=all&amp;query=rocuronium" TargetMode="External"/><Relationship Id="rId941" Type="http://schemas.openxmlformats.org/officeDocument/2006/relationships/hyperlink" Target="https://www.ema.europa.eu/en/documents/other/article-57-product-data_en.xlsx" TargetMode="External"/><Relationship Id="rId942" Type="http://schemas.openxmlformats.org/officeDocument/2006/relationships/hyperlink" Target="https://dailymed.nlm.nih.gov/dailymed/search.cfm?labeltype=all&amp;query=rocuronium" TargetMode="External"/><Relationship Id="rId943" Type="http://schemas.openxmlformats.org/officeDocument/2006/relationships/hyperlink" Target="https://www.ema.europa.eu/en/documents/other/article-57-product-data_en.xlsx" TargetMode="External"/><Relationship Id="rId944" Type="http://schemas.openxmlformats.org/officeDocument/2006/relationships/hyperlink" Target="https://dailymed.nlm.nih.gov/dailymed/search.cfm?labeltype=all&amp;query=succinylcholine" TargetMode="External"/><Relationship Id="rId945" Type="http://schemas.openxmlformats.org/officeDocument/2006/relationships/hyperlink" Target="https://www.tga.gov.au/resources/artg" TargetMode="External"/><Relationship Id="rId946" Type="http://schemas.openxmlformats.org/officeDocument/2006/relationships/hyperlink" Target="https://dailymed.nlm.nih.gov/dailymed/search.cfm?labeltype=all&amp;query=sugammadex" TargetMode="External"/><Relationship Id="rId947" Type="http://schemas.openxmlformats.org/officeDocument/2006/relationships/hyperlink" Target="https://mhraproducts4853.blob.core.windows.net/docs/44089c416fe7066a241a329bc84997950abfd99d" TargetMode="External"/><Relationship Id="rId948" Type="http://schemas.openxmlformats.org/officeDocument/2006/relationships/hyperlink" Target="https://dailymed.nlm.nih.gov/dailymed/search.cfm?labeltype=all&amp;query=sugammadex" TargetMode="External"/><Relationship Id="rId949" Type="http://schemas.openxmlformats.org/officeDocument/2006/relationships/hyperlink" Target="https://www.ema.europa.eu/en/documents/other/article-57-product-data_en.xlsx" TargetMode="External"/><Relationship Id="rId950" Type="http://schemas.openxmlformats.org/officeDocument/2006/relationships/hyperlink" Target="https://dailymed.nlm.nih.gov/dailymed/search.cfm?labeltype=all&amp;query=sugammadex" TargetMode="External"/><Relationship Id="rId951" Type="http://schemas.openxmlformats.org/officeDocument/2006/relationships/hyperlink" Target="https://base-donnees-publique.medicaments.gouv.fr/index.php?page=1&amp;choixRecherche=medicament&amp;txtCaracteres=Sugammadex%20Accord&amp;action=show" TargetMode="External"/><Relationship Id="rId952" Type="http://schemas.openxmlformats.org/officeDocument/2006/relationships/hyperlink" Target="https://www.ema.europa.eu/en/documents/other/article-57-product-data_en.xlsx" TargetMode="External"/><Relationship Id="rId953" Type="http://schemas.openxmlformats.org/officeDocument/2006/relationships/hyperlink" Target="https://dailymed.nlm.nih.gov/dailymed/search.cfm?labeltype=all&amp;query=sugammadex" TargetMode="External"/><Relationship Id="rId954" Type="http://schemas.openxmlformats.org/officeDocument/2006/relationships/hyperlink" Target="https://www.ebs.tga.gov.au/servlet/xmlmillr6?dbid=ebs/PublicHTML/pdfStore.nsf&amp;docid=372777&amp;agid=(PrintDetailsPublic)&amp;actionid=1" TargetMode="External"/><Relationship Id="rId955" Type="http://schemas.openxmlformats.org/officeDocument/2006/relationships/hyperlink" Target="https://www.medicines.org.uk/emc/search?q=teicoplanin" TargetMode="External"/><Relationship Id="rId956" Type="http://schemas.openxmlformats.org/officeDocument/2006/relationships/hyperlink" Target="https://www.ema.europa.eu/en/documents/other/article-57-product-data_en.xlsx" TargetMode="External"/><Relationship Id="rId957" Type="http://schemas.openxmlformats.org/officeDocument/2006/relationships/hyperlink" Target="https://dailymed.nlm.nih.gov/dailymed/search.cfm?labeltype=all&amp;query=tigecycline" TargetMode="External"/><Relationship Id="rId958" Type="http://schemas.openxmlformats.org/officeDocument/2006/relationships/hyperlink" Target="https://www.ema.europa.eu/en/medicines/human/EPAR/tigecycline-accord" TargetMode="External"/><Relationship Id="rId959" Type="http://schemas.openxmlformats.org/officeDocument/2006/relationships/hyperlink" Target="https://www.ema.europa.eu/en/documents/other/article-57-product-data_en.xlsx" TargetMode="External"/><Relationship Id="rId960" Type="http://schemas.openxmlformats.org/officeDocument/2006/relationships/hyperlink" Target="https://dailymed.nlm.nih.gov/dailymed/search.cfm?labeltype=all&amp;query=tigecycline" TargetMode="External"/><Relationship Id="rId961" Type="http://schemas.openxmlformats.org/officeDocument/2006/relationships/hyperlink" Target="https://www.ebs.tga.gov.au/servlet/xmlmillr6?dbid=ebs/PublicHTML/pdfStore.nsf&amp;docid=331680&amp;agid=(PrintDetailsPublic)&amp;actionid=1" TargetMode="External"/><Relationship Id="rId962" Type="http://schemas.openxmlformats.org/officeDocument/2006/relationships/hyperlink" Target="https://dailymed.nlm.nih.gov/dailymed/search.cfm?labeltype=all&amp;query=ustekinumab" TargetMode="External"/><Relationship Id="rId963" Type="http://schemas.openxmlformats.org/officeDocument/2006/relationships/hyperlink" Target="https://mhraproducts4853.blob.core.windows.net/docs/7f0af292cea25f881c619785dd36da19d641eb1a" TargetMode="External"/><Relationship Id="rId964" Type="http://schemas.openxmlformats.org/officeDocument/2006/relationships/hyperlink" Target="https://dailymed.nlm.nih.gov/dailymed/search.cfm?labeltype=all&amp;query=ustekinumab" TargetMode="External"/><Relationship Id="rId965" Type="http://schemas.openxmlformats.org/officeDocument/2006/relationships/hyperlink" Target="https://www.ema.europa.eu/en/medicines/human/EPAR/imuldosa" TargetMode="External"/><Relationship Id="rId966" Type="http://schemas.openxmlformats.org/officeDocument/2006/relationships/hyperlink" Target="https://www.ema.europa.eu/en/documents/other/article-57-product-data_en.xlsx" TargetMode="External"/><Relationship Id="rId967" Type="http://schemas.openxmlformats.org/officeDocument/2006/relationships/hyperlink" Target="https://dailymed.nlm.nih.gov/dailymed/search.cfm?labeltype=all&amp;query=ustekinumab" TargetMode="External"/><Relationship Id="rId968" Type="http://schemas.openxmlformats.org/officeDocument/2006/relationships/hyperlink" Target="https://www.ema.europa.eu/en/medicines/human/EPAR/imuldosa" TargetMode="External"/><Relationship Id="rId969" Type="http://schemas.openxmlformats.org/officeDocument/2006/relationships/hyperlink" Target="https://www.ema.europa.eu/en/documents/other/article-57-product-data_en.xlsx" TargetMode="External"/><Relationship Id="rId970" Type="http://schemas.openxmlformats.org/officeDocument/2006/relationships/hyperlink" Target="https://dailymed.nlm.nih.gov/dailymed/search.cfm?labeltype=all&amp;query=vincristine" TargetMode="External"/><Relationship Id="rId971" Type="http://schemas.openxmlformats.org/officeDocument/2006/relationships/hyperlink" Target="https://www.sahpra.org.za/document-category/product-recall/page/7/" TargetMode="External"/><Relationship Id="rId972" Type="http://schemas.openxmlformats.org/officeDocument/2006/relationships/hyperlink" Target="https://dailymed.nlm.nih.gov/dailymed/search.cfm?labeltype=all&amp;query=vinorelbine" TargetMode="External"/><Relationship Id="rId973" Type="http://schemas.openxmlformats.org/officeDocument/2006/relationships/hyperlink" Target="https://www.ema.europa.eu/en/documents/other/article-57-product-data_en.xlsx" TargetMode="External"/><Relationship Id="rId974" Type="http://schemas.openxmlformats.org/officeDocument/2006/relationships/hyperlink" Target="https://dailymed.nlm.nih.gov/dailymed/search.cfm?labeltype=all&amp;query=vinorelbine" TargetMode="External"/><Relationship Id="rId975" Type="http://schemas.openxmlformats.org/officeDocument/2006/relationships/hyperlink" Target="https://base-donnees-publique.medicaments.gouv.fr/index.php?page=1&amp;choixRecherche=medicament&amp;txtCaracteres=Vinorelbine%20Accord&amp;action=show" TargetMode="External"/><Relationship Id="rId976" Type="http://schemas.openxmlformats.org/officeDocument/2006/relationships/hyperlink" Target="https://www.ema.europa.eu/en/documents/other/article-57-product-data_en.xlsx" TargetMode="External"/><Relationship Id="rId977" Type="http://schemas.openxmlformats.org/officeDocument/2006/relationships/hyperlink" Target="https://dailymed.nlm.nih.gov/dailymed/search.cfm?labeltype=all&amp;query=alfentanil" TargetMode="External"/><Relationship Id="rId978" Type="http://schemas.openxmlformats.org/officeDocument/2006/relationships/hyperlink" Target="https://www.nps.org.au/assets/medicines/8bd3b47f-93b8-42ea-9c27-a53300ffa94f.pdf" TargetMode="External"/><Relationship Id="rId979" Type="http://schemas.openxmlformats.org/officeDocument/2006/relationships/hyperlink" Target="https://dailymed.nlm.nih.gov/dailymed/search.cfm?labeltype=all&amp;query=cefazolin" TargetMode="External"/><Relationship Id="rId980" Type="http://schemas.openxmlformats.org/officeDocument/2006/relationships/hyperlink" Target="https://www.ebs.tga.gov.au/servlet/xmlmillr6?dbid=ebs/PublicHTML/pdfStore.nsf&amp;docid=322861&amp;agid=(PrintDetailsPublic)&amp;actionid=1" TargetMode="External"/><Relationship Id="rId981" Type="http://schemas.openxmlformats.org/officeDocument/2006/relationships/hyperlink" Target="https://dailymed.nlm.nih.gov/dailymed/search.cfm?labeltype=all&amp;query=cisatracurium" TargetMode="External"/><Relationship Id="rId982" Type="http://schemas.openxmlformats.org/officeDocument/2006/relationships/hyperlink" Target="https://www.healthdirect.gov.au/medicines/brand/amt%2C913251000168100/cisatracurium-ajs" TargetMode="External"/><Relationship Id="rId983" Type="http://schemas.openxmlformats.org/officeDocument/2006/relationships/hyperlink" Target="https://dailymed.nlm.nih.gov/dailymed/search.cfm?labeltype=all&amp;query=daptomycin" TargetMode="External"/><Relationship Id="rId984" Type="http://schemas.openxmlformats.org/officeDocument/2006/relationships/hyperlink" Target="https://www.ebs.tga.gov.au/ebs/picmi/picmirepository.nsf/pdf?OpenAgent&amp;id=CP-2023-PI-01405-1" TargetMode="External"/><Relationship Id="rId985" Type="http://schemas.openxmlformats.org/officeDocument/2006/relationships/hyperlink" Target="https://dailymed.nlm.nih.gov/dailymed/search.cfm?labeltype=all&amp;query=diazepam+injection" TargetMode="External"/><Relationship Id="rId986" Type="http://schemas.openxmlformats.org/officeDocument/2006/relationships/hyperlink" Target="https://dailymed.nlm.nih.gov/dailymed/search.cfm?labeltype=all&amp;query=Diazepam" TargetMode="External"/><Relationship Id="rId987" Type="http://schemas.openxmlformats.org/officeDocument/2006/relationships/hyperlink" Target="https://dailymed.nlm.nih.gov/dailymed/search.cfm?labeltype=all&amp;query=droperidol" TargetMode="External"/><Relationship Id="rId988" Type="http://schemas.openxmlformats.org/officeDocument/2006/relationships/hyperlink" Target="https://www.ebs.tga.gov.au/ebs/picmi/picmirepository.nsf/pdf?OpenAgent&amp;id=CP-2017-PI-01601-1" TargetMode="External"/><Relationship Id="rId989" Type="http://schemas.openxmlformats.org/officeDocument/2006/relationships/hyperlink" Target="https://dailymed.nlm.nih.gov/dailymed/search.cfm?labeltype=all&amp;query=iron+sucrose" TargetMode="External"/><Relationship Id="rId990" Type="http://schemas.openxmlformats.org/officeDocument/2006/relationships/hyperlink" Target="https://medicineprices.org.za/" TargetMode="External"/><Relationship Id="rId991" Type="http://schemas.openxmlformats.org/officeDocument/2006/relationships/hyperlink" Target="https://dailymed.nlm.nih.gov/dailymed/search.cfm?labeltype=all&amp;query=ephedrine+sulfate+injection" TargetMode="External"/><Relationship Id="rId992" Type="http://schemas.openxmlformats.org/officeDocument/2006/relationships/hyperlink" Target="https://www.ebs.tga.gov.au/servlet/xmlmillr6?dbid=ebs/PublicHTML/pdfStore.nsf&amp;docid=259539&amp;agid=(PrintDetailsPublic)&amp;actionid=1" TargetMode="External"/><Relationship Id="rId993" Type="http://schemas.openxmlformats.org/officeDocument/2006/relationships/hyperlink" Target="https://dailymed.nlm.nih.gov/dailymed/search.cfm?labeltype=all&amp;query=ertapenem" TargetMode="External"/><Relationship Id="rId994" Type="http://schemas.openxmlformats.org/officeDocument/2006/relationships/hyperlink" Target="https://medicineprices.org.za/" TargetMode="External"/><Relationship Id="rId995" Type="http://schemas.openxmlformats.org/officeDocument/2006/relationships/hyperlink" Target="https://dailymed.nlm.nih.gov/dailymed/search.cfm?labeltype=all&amp;query=famotidine+injection" TargetMode="External"/><Relationship Id="rId996" Type="http://schemas.openxmlformats.org/officeDocument/2006/relationships/hyperlink" Target="https://dailymed.nlm.nih.gov/dailymed/search.cfm?labeltype=all&amp;query=Famotidine" TargetMode="External"/><Relationship Id="rId997" Type="http://schemas.openxmlformats.org/officeDocument/2006/relationships/hyperlink" Target="https://dailymed.nlm.nih.gov/dailymed/search.cfm?labeltype=all&amp;query=fentanyl+citrate+injection" TargetMode="External"/><Relationship Id="rId998" Type="http://schemas.openxmlformats.org/officeDocument/2006/relationships/hyperlink" Target="https://www.safetyandquality.gov.au/medicine-finder/fentanyl-gh" TargetMode="External"/><Relationship Id="rId999" Type="http://schemas.openxmlformats.org/officeDocument/2006/relationships/hyperlink" Target="https://dailymed.nlm.nih.gov/dailymed/search.cfm?labeltype=all&amp;query=meropenem" TargetMode="External"/><Relationship Id="rId1000" Type="http://schemas.openxmlformats.org/officeDocument/2006/relationships/hyperlink" Target="https://www.healthdirect.gov.au/medicines/brand/amt%2C1310041000168105/meropenem-gh" TargetMode="External"/><Relationship Id="rId1001" Type="http://schemas.openxmlformats.org/officeDocument/2006/relationships/hyperlink" Target="https://dailymed.nlm.nih.gov/dailymed/search.cfm?labeltype=all&amp;query=meropenem" TargetMode="External"/><Relationship Id="rId1002" Type="http://schemas.openxmlformats.org/officeDocument/2006/relationships/hyperlink" Target="https://pi-pil-repository.sahpra.org.za/wp-content/uploads/2025/02/Approved-PIL-25-November-2024.pdf" TargetMode="External"/><Relationship Id="rId1003" Type="http://schemas.openxmlformats.org/officeDocument/2006/relationships/hyperlink" Target="https://dailymed.nlm.nih.gov/dailymed/search.cfm?labeltype=all&amp;query=milrinone" TargetMode="External"/><Relationship Id="rId1004" Type="http://schemas.openxmlformats.org/officeDocument/2006/relationships/hyperlink" Target="https://www.safetyandquality.gov.au/medicine-finder/milrinone-gh-concentrate-for-infusion" TargetMode="External"/><Relationship Id="rId1005" Type="http://schemas.openxmlformats.org/officeDocument/2006/relationships/hyperlink" Target="https://dailymed.nlm.nih.gov/dailymed/search.cfm?labeltype=all&amp;query=olanzapine+for+injection" TargetMode="External"/><Relationship Id="rId1006" Type="http://schemas.openxmlformats.org/officeDocument/2006/relationships/hyperlink" Target="https://www.tga.gov.au/resources/artg/484114" TargetMode="External"/><Relationship Id="rId1007" Type="http://schemas.openxmlformats.org/officeDocument/2006/relationships/hyperlink" Target="https://dailymed.nlm.nih.gov/dailymed/search.cfm?labeltype=all&amp;query=oxytocin" TargetMode="External"/><Relationship Id="rId1008" Type="http://schemas.openxmlformats.org/officeDocument/2006/relationships/hyperlink" Target="https://www.safetyandquality.gov.au/medicine-finder/oxytocin-gh" TargetMode="External"/><Relationship Id="rId1009" Type="http://schemas.openxmlformats.org/officeDocument/2006/relationships/hyperlink" Target="https://dailymed.nlm.nih.gov/dailymed/search.cfm?labeltype=all&amp;query=remifentanil" TargetMode="External"/><Relationship Id="rId1010" Type="http://schemas.openxmlformats.org/officeDocument/2006/relationships/hyperlink" Target="https://pi-pil-repository.sahpra.org.za/wp-content/uploads/2025/05/Approved-PI-12-May-2025.pdf" TargetMode="External"/><Relationship Id="rId1011" Type="http://schemas.openxmlformats.org/officeDocument/2006/relationships/hyperlink" Target="https://dailymed.nlm.nih.gov/dailymed/search.cfm?labeltype=all&amp;query=sugammadex" TargetMode="External"/><Relationship Id="rId1012" Type="http://schemas.openxmlformats.org/officeDocument/2006/relationships/hyperlink" Target="https://dailymed.nlm.nih.gov/dailymed/drugInfo.cfm?setid=9f2e66d7-a5d2-4593-bb30-6d4a418381aa" TargetMode="External"/><Relationship Id="rId1013" Type="http://schemas.openxmlformats.org/officeDocument/2006/relationships/hyperlink" Target="https://dailymed.nlm.nih.gov/dailymed/search.cfm?labeltype=all&amp;query=sugammadex" TargetMode="External"/><Relationship Id="rId1014" Type="http://schemas.openxmlformats.org/officeDocument/2006/relationships/hyperlink" Target="https://www.ebs.tga.gov.au/ebs/picmi/picmirepository.nsf/pdf?OpenAgent&amp;id=CP-2023-PI-02604-1&amp;d=20260925172310101" TargetMode="External"/><Relationship Id="rId1015" Type="http://schemas.openxmlformats.org/officeDocument/2006/relationships/hyperlink" Target="https://www.medicines.org.uk/emc/search?q=teicoplanin" TargetMode="External"/><Relationship Id="rId1016" Type="http://schemas.openxmlformats.org/officeDocument/2006/relationships/hyperlink" Target="https://www.ebs.tga.gov.au/servlet/xmlmillr6?dbid=ebs/PublicHTML/pdfStore.nsf&amp;docid=259192&amp;agid=(PrintDetailsPublic)&amp;actionid=1" TargetMode="External"/><Relationship Id="rId1017" Type="http://schemas.openxmlformats.org/officeDocument/2006/relationships/hyperlink" Target="https://www.medicines.org.uk/emc/search?q=teicoplanin" TargetMode="External"/><Relationship Id="rId1018" Type="http://schemas.openxmlformats.org/officeDocument/2006/relationships/hyperlink" Target="https://medicineprices.org.za/" TargetMode="External"/><Relationship Id="rId1019" Type="http://schemas.openxmlformats.org/officeDocument/2006/relationships/hyperlink" Target="https://dailymed.nlm.nih.gov/dailymed/search.cfm?labeltype=all&amp;query=testosterone+undecanoate" TargetMode="External"/><Relationship Id="rId1020" Type="http://schemas.openxmlformats.org/officeDocument/2006/relationships/hyperlink" Target="https://medicineprices.org.za/" TargetMode="External"/><Relationship Id="rId1021" Type="http://schemas.openxmlformats.org/officeDocument/2006/relationships/hyperlink" Target="https://dailymed.nlm.nih.gov/dailymed/search.cfm?labeltype=all&amp;query=bortezomib" TargetMode="External"/><Relationship Id="rId1022" Type="http://schemas.openxmlformats.org/officeDocument/2006/relationships/hyperlink" Target="https://dailymed.nlm.nih.gov/dailymed/drugInfo.cfm?setid=d41340c2-7fe8-42b2-aaa5-c9f9b0e9b50e" TargetMode="External"/><Relationship Id="rId1023" Type="http://schemas.openxmlformats.org/officeDocument/2006/relationships/hyperlink" Target="https://dailymed.nlm.nih.gov/dailymed/search.cfm?labeltype=all&amp;query=bortezomib" TargetMode="External"/><Relationship Id="rId1024" Type="http://schemas.openxmlformats.org/officeDocument/2006/relationships/hyperlink" Target="https://mhraproducts4853.blob.core.windows.net/docs/8703115c833741c52c0b5e3efbbb2258862cffa1" TargetMode="External"/><Relationship Id="rId1025" Type="http://schemas.openxmlformats.org/officeDocument/2006/relationships/hyperlink" Target="https://dailymed.nlm.nih.gov/dailymed/search.cfm?labeltype=all&amp;query=bortezomib" TargetMode="External"/><Relationship Id="rId1026" Type="http://schemas.openxmlformats.org/officeDocument/2006/relationships/hyperlink" Target="https://www.ema.europa.eu/en/documents/other/article-57-product-data_en.xlsx" TargetMode="External"/><Relationship Id="rId1027" Type="http://schemas.openxmlformats.org/officeDocument/2006/relationships/hyperlink" Target="https://dailymed.nlm.nih.gov/dailymed/search.cfm?labeltype=all&amp;query=bortezomib" TargetMode="External"/><Relationship Id="rId1028" Type="http://schemas.openxmlformats.org/officeDocument/2006/relationships/hyperlink" Target="https://www.ema.europa.eu/en/documents/other/article-57-product-data_en.xlsx" TargetMode="External"/><Relationship Id="rId1029" Type="http://schemas.openxmlformats.org/officeDocument/2006/relationships/hyperlink" Target="https://dailymed.nlm.nih.gov/dailymed/search.cfm?labeltype=all&amp;query=bortezomib" TargetMode="External"/><Relationship Id="rId1030" Type="http://schemas.openxmlformats.org/officeDocument/2006/relationships/hyperlink" Target="https://www.tga.gov.au/resources/artg/306550" TargetMode="External"/><Relationship Id="rId1031" Type="http://schemas.openxmlformats.org/officeDocument/2006/relationships/hyperlink" Target="https://dailymed.nlm.nih.gov/dailymed/search.cfm?labeltype=all&amp;query=brivaracetam" TargetMode="External"/><Relationship Id="rId1032" Type="http://schemas.openxmlformats.org/officeDocument/2006/relationships/hyperlink" Target="https://dailymed.nlm.nih.gov/dailymed/drugInfo.cfm?setid=2c6af271-3222-4602-98a6-14754f0a29ba" TargetMode="External"/><Relationship Id="rId1033" Type="http://schemas.openxmlformats.org/officeDocument/2006/relationships/hyperlink" Target="https://dailymed.nlm.nih.gov/dailymed/search.cfm?labeltype=all&amp;query=chlorpromazine" TargetMode="External"/><Relationship Id="rId1034" Type="http://schemas.openxmlformats.org/officeDocument/2006/relationships/hyperlink" Target="https://dailymed.nlm.nih.gov/dailymed/drugInfo.cfm?setid=867d5c7f-52d4-4794-b1d4-6747f3262fba" TargetMode="External"/><Relationship Id="rId1035" Type="http://schemas.openxmlformats.org/officeDocument/2006/relationships/hyperlink" Target="https://dailymed.nlm.nih.gov/dailymed/search.cfm?labeltype=all&amp;query=fluphenazine+decanoate" TargetMode="External"/><Relationship Id="rId1036" Type="http://schemas.openxmlformats.org/officeDocument/2006/relationships/hyperlink" Target="https://dailymed.nlm.nih.gov/dailymed/search.cfm?labeltype=all&amp;query=Fluphenazine+Decanoate" TargetMode="External"/><Relationship Id="rId1037" Type="http://schemas.openxmlformats.org/officeDocument/2006/relationships/hyperlink" Target="https://dailymed.nlm.nih.gov/dailymed/search.cfm?labeltype=all&amp;query=gadobutrol" TargetMode="External"/><Relationship Id="rId1038" Type="http://schemas.openxmlformats.org/officeDocument/2006/relationships/hyperlink" Target="https://mhraproducts4853.blob.core.windows.net/docs/a892ae362be90b720fee33b3e1c9cf5f06e6ed09" TargetMode="External"/><Relationship Id="rId1039" Type="http://schemas.openxmlformats.org/officeDocument/2006/relationships/hyperlink" Target="https://dailymed.nlm.nih.gov/dailymed/search.cfm?labeltype=all&amp;query=gadobutrol" TargetMode="External"/><Relationship Id="rId1040" Type="http://schemas.openxmlformats.org/officeDocument/2006/relationships/hyperlink" Target="https://www.ema.europa.eu/en/documents/other/article-57-product-data_en.xlsx" TargetMode="External"/><Relationship Id="rId1041" Type="http://schemas.openxmlformats.org/officeDocument/2006/relationships/hyperlink" Target="https://dailymed.nlm.nih.gov/dailymed/search.cfm?labeltype=all&amp;query=plerixafor" TargetMode="External"/><Relationship Id="rId1042" Type="http://schemas.openxmlformats.org/officeDocument/2006/relationships/hyperlink" Target="https://dailymed.nlm.nih.gov/dailymed/drugInfo.cfm?setid=58c9fa02-3701-d411-f946-790a62ddc064" TargetMode="External"/><Relationship Id="rId1043" Type="http://schemas.openxmlformats.org/officeDocument/2006/relationships/hyperlink" Target="https://dailymed.nlm.nih.gov/dailymed/search.cfm?labeltype=all&amp;query=plerixafor" TargetMode="External"/><Relationship Id="rId1044" Type="http://schemas.openxmlformats.org/officeDocument/2006/relationships/hyperlink" Target="https://www.ema.europa.eu/en/documents/other/article-57-product-data_en.xlsx" TargetMode="External"/><Relationship Id="rId1045" Type="http://schemas.openxmlformats.org/officeDocument/2006/relationships/hyperlink" Target="https://dailymed.nlm.nih.gov/dailymed/search.cfm?labeltype=all&amp;query=sugammadex" TargetMode="External"/><Relationship Id="rId1046" Type="http://schemas.openxmlformats.org/officeDocument/2006/relationships/hyperlink" Target="https://dailymed.nlm.nih.gov/dailymed/drugInfo.cfm?setid=ab41ea1c-266f-421c-8fc4-6e7ff518a75d" TargetMode="External"/><Relationship Id="rId1047" Type="http://schemas.openxmlformats.org/officeDocument/2006/relationships/hyperlink" Target="https://dailymed.nlm.nih.gov/dailymed/search.cfm?labeltype=all&amp;query=sugammadex" TargetMode="External"/><Relationship Id="rId1048" Type="http://schemas.openxmlformats.org/officeDocument/2006/relationships/hyperlink" Target="https://mhraproducts4853.blob.core.windows.net/docs/7aa20df6854ee9b7ef3bc783930d858a9979d943" TargetMode="External"/><Relationship Id="rId1049" Type="http://schemas.openxmlformats.org/officeDocument/2006/relationships/hyperlink" Target="https://dailymed.nlm.nih.gov/dailymed/search.cfm?labeltype=all&amp;query=sugammadex" TargetMode="External"/><Relationship Id="rId1050" Type="http://schemas.openxmlformats.org/officeDocument/2006/relationships/hyperlink" Target="https://www.ema.europa.eu/en/documents/other/article-57-product-data_en.xlsx" TargetMode="External"/><Relationship Id="rId1051" Type="http://schemas.openxmlformats.org/officeDocument/2006/relationships/hyperlink" Target="https://dailymed.nlm.nih.gov/dailymed/search.cfm?labeltype=all&amp;query=sugammadex" TargetMode="External"/><Relationship Id="rId1052" Type="http://schemas.openxmlformats.org/officeDocument/2006/relationships/hyperlink" Target="https://www.ebs.tga.gov.au/ebs/picmi/picmirepository.nsf/pdf?OpenAgent&amp;id=CP-2026-PI-01917-1" TargetMode="External"/><Relationship Id="rId1053" Type="http://schemas.openxmlformats.org/officeDocument/2006/relationships/hyperlink" Target="https://dailymed.nlm.nih.gov/dailymed/search.cfm?labeltype=all&amp;query=brivaracetam" TargetMode="External"/><Relationship Id="rId1054" Type="http://schemas.openxmlformats.org/officeDocument/2006/relationships/hyperlink" Target="https://dailymed.nlm.nih.gov/dailymed/drugInfo.cfm?setid=c054a1c9-2aa7-473b-a04b-622596f36c95" TargetMode="External"/><Relationship Id="rId1055" Type="http://schemas.openxmlformats.org/officeDocument/2006/relationships/hyperlink" Target="https://dailymed.nlm.nih.gov/dailymed/search.cfm?labeltype=all&amp;query=caffeine+citrate" TargetMode="External"/><Relationship Id="rId1056" Type="http://schemas.openxmlformats.org/officeDocument/2006/relationships/hyperlink" Target="https://www.ema.europa.eu/en/documents/other/article-57-product-data_en.xlsx" TargetMode="External"/><Relationship Id="rId1057" Type="http://schemas.openxmlformats.org/officeDocument/2006/relationships/hyperlink" Target="https://dailymed.nlm.nih.gov/dailymed/search.cfm?labeltype=all&amp;query=carboprost" TargetMode="External"/><Relationship Id="rId1058" Type="http://schemas.openxmlformats.org/officeDocument/2006/relationships/hyperlink" Target="https://dailymed.nlm.nih.gov/dailymed/lookup.cfm?setid=c1cde9c7-b005-484f-8497-343c5ecd4f0a" TargetMode="External"/><Relationship Id="rId1059" Type="http://schemas.openxmlformats.org/officeDocument/2006/relationships/hyperlink" Target="https://www.medicines.org.uk/emc/search?q=cyclizine" TargetMode="External"/><Relationship Id="rId1060" Type="http://schemas.openxmlformats.org/officeDocument/2006/relationships/hyperlink" Target="https://www.ema.europa.eu/en/documents/other/article-57-product-data_en.xlsx" TargetMode="External"/><Relationship Id="rId1061" Type="http://schemas.openxmlformats.org/officeDocument/2006/relationships/hyperlink" Target="https://www.medicines.org.uk/emc/search?q=cyclizine" TargetMode="External"/><Relationship Id="rId1062" Type="http://schemas.openxmlformats.org/officeDocument/2006/relationships/hyperlink" Target="https://www.ebs.tga.gov.au/servlet/xmlmillr6?dbid=ebs/PublicHTML/pdfStore.nsf&amp;docid=394390&amp;agid=(PrintDetailsPublic)&amp;actionid=1" TargetMode="External"/><Relationship Id="rId1063" Type="http://schemas.openxmlformats.org/officeDocument/2006/relationships/hyperlink" Target="https://dailymed.nlm.nih.gov/dailymed/search.cfm?labeltype=all&amp;query=diphenhydramine+injection" TargetMode="External"/><Relationship Id="rId1064" Type="http://schemas.openxmlformats.org/officeDocument/2006/relationships/hyperlink" Target="https://dailymed.nlm.nih.gov/dailymed/drugInfo.cfm?setid=c2981222-1671-4ecd-a5a2-286f0663f1ae" TargetMode="External"/><Relationship Id="rId1065" Type="http://schemas.openxmlformats.org/officeDocument/2006/relationships/hyperlink" Target="https://dailymed.nlm.nih.gov/dailymed/search.cfm?labeltype=all&amp;query=isoproterenol" TargetMode="External"/><Relationship Id="rId1066" Type="http://schemas.openxmlformats.org/officeDocument/2006/relationships/hyperlink" Target="https://dailymed.nlm.nih.gov/dailymed/drugInfo.cfm?setid=0f6a7651-e7b4-4ada-8ccd-2123d094a113" TargetMode="External"/><Relationship Id="rId1067" Type="http://schemas.openxmlformats.org/officeDocument/2006/relationships/hyperlink" Target="https://dailymed.nlm.nih.gov/dailymed/search.cfm?labeltype=all&amp;query=isoproterenol" TargetMode="External"/><Relationship Id="rId1068" Type="http://schemas.openxmlformats.org/officeDocument/2006/relationships/hyperlink" Target="https://www.ebs.tga.gov.au/servlet/xmlmillr6?dbid=ebs/PublicHTML/pdfStore.nsf&amp;docid=358311&amp;agid=(PrintDetailsPublic)&amp;actionid=1" TargetMode="External"/><Relationship Id="rId1069" Type="http://schemas.openxmlformats.org/officeDocument/2006/relationships/hyperlink" Target="https://dailymed.nlm.nih.gov/dailymed/search.cfm?labeltype=all&amp;query=levetiracetam+injection" TargetMode="External"/><Relationship Id="rId1070" Type="http://schemas.openxmlformats.org/officeDocument/2006/relationships/hyperlink" Target="https://www.ema.europa.eu/en/documents/other/article-57-product-data_en.xlsx" TargetMode="External"/><Relationship Id="rId1071" Type="http://schemas.openxmlformats.org/officeDocument/2006/relationships/hyperlink" Target="https://dailymed.nlm.nih.gov/dailymed/search.cfm?labeltype=all&amp;query=levetiracetam+injection" TargetMode="External"/><Relationship Id="rId1072" Type="http://schemas.openxmlformats.org/officeDocument/2006/relationships/hyperlink" Target="https://www.ebs.tga.gov.au/servlet/xmlmillr6?dbid=ebs/PublicHTML/pdfStore.nsf&amp;docid=397976&amp;agid=(PrintDetailsPublic)&amp;actionid=1" TargetMode="External"/><Relationship Id="rId1073" Type="http://schemas.openxmlformats.org/officeDocument/2006/relationships/hyperlink" Target="https://dailymed.nlm.nih.gov/dailymed/search.cfm?labeltype=all&amp;query=lincomycin" TargetMode="External"/><Relationship Id="rId1074" Type="http://schemas.openxmlformats.org/officeDocument/2006/relationships/hyperlink" Target="https://dailymed.nlm.nih.gov/dailymed/search.cfm?searchdb=ndc&amp;query=68083-478" TargetMode="External"/><Relationship Id="rId1075" Type="http://schemas.openxmlformats.org/officeDocument/2006/relationships/hyperlink" Target="https://dailymed.nlm.nih.gov/dailymed/search.cfm?labeltype=all&amp;query=succinylcholine" TargetMode="External"/><Relationship Id="rId1076" Type="http://schemas.openxmlformats.org/officeDocument/2006/relationships/hyperlink" Target="https://dailymed.nlm.nih.gov/dailymed/drugInfo.cfm?setid=204f1c24-4bf6-40d5-95f3-a732db28e033" TargetMode="External"/><Relationship Id="rId1077" Type="http://schemas.openxmlformats.org/officeDocument/2006/relationships/hyperlink" Target="https://dailymed.nlm.nih.gov/dailymed/search.cfm?labeltype=all&amp;query=verapamil+hydrochloride+injection" TargetMode="External"/><Relationship Id="rId1078" Type="http://schemas.openxmlformats.org/officeDocument/2006/relationships/hyperlink" Target="https://dailymed.nlm.nih.gov/dailymed/drugInfo.cfm?setid=9f19a5b4-286c-2c3f-e053-2a95a90a51df" TargetMode="External"/><Relationship Id="rId1079" Type="http://schemas.openxmlformats.org/officeDocument/2006/relationships/hyperlink" Target="https://dailymed.nlm.nih.gov/dailymed/search.cfm?labeltype=all&amp;query=bupivacaine" TargetMode="External"/><Relationship Id="rId1080" Type="http://schemas.openxmlformats.org/officeDocument/2006/relationships/hyperlink" Target="https://dailymed.nlm.nih.gov/dailymed/drugInfo.cfm?setid=f29c905e-9a55-446f-a89d-860ad9ade7ad" TargetMode="External"/><Relationship Id="rId1081" Type="http://schemas.openxmlformats.org/officeDocument/2006/relationships/hyperlink" Target="https://dailymed.nlm.nih.gov/dailymed/search.cfm?labeltype=all&amp;query=carboprost" TargetMode="External"/><Relationship Id="rId1082" Type="http://schemas.openxmlformats.org/officeDocument/2006/relationships/hyperlink" Target="https://dailymed.nlm.nih.gov/dailymed/lookup.cfm?setid=c1cde9c7-b005-484f-8497-343c5ecd4f0a" TargetMode="External"/><Relationship Id="rId1083" Type="http://schemas.openxmlformats.org/officeDocument/2006/relationships/hyperlink" Target="https://dailymed.nlm.nih.gov/dailymed/search.cfm?labeltype=all&amp;query=meropenem" TargetMode="External"/><Relationship Id="rId1084" Type="http://schemas.openxmlformats.org/officeDocument/2006/relationships/hyperlink" Target="https://base-donnees-publique.medicaments.gouv.fr/index.php?page=1&amp;choixRecherche=medicament&amp;txtCaracteres=Meropenem%20Steriscience&amp;action=show" TargetMode="External"/><Relationship Id="rId1085" Type="http://schemas.openxmlformats.org/officeDocument/2006/relationships/hyperlink" Target="https://www.ema.europa.eu/en/documents/other/article-57-product-data_en.xlsx" TargetMode="External"/><Relationship Id="rId1086" Type="http://schemas.openxmlformats.org/officeDocument/2006/relationships/hyperlink" Target="https://dailymed.nlm.nih.gov/dailymed/search.cfm?labeltype=all&amp;query=methohexital" TargetMode="External"/><Relationship Id="rId1087" Type="http://schemas.openxmlformats.org/officeDocument/2006/relationships/hyperlink" Target="https://dailymed.nlm.nih.gov/dailymed/search.cfm?searchdb=ndc&amp;query=83270-003" TargetMode="External"/><Relationship Id="rId1088" Type="http://schemas.openxmlformats.org/officeDocument/2006/relationships/hyperlink" Target="https://dailymed.nlm.nih.gov/dailymed/search.cfm?labeltype=all&amp;query=nafcillin" TargetMode="External"/><Relationship Id="rId1089" Type="http://schemas.openxmlformats.org/officeDocument/2006/relationships/hyperlink" Target="https://dailymed.nlm.nih.gov/dailymed/search.cfm?searchdb=ndc&amp;query=83270-310" TargetMode="External"/><Relationship Id="rId1090" Type="http://schemas.openxmlformats.org/officeDocument/2006/relationships/hyperlink" Target="https://dailymed.nlm.nih.gov/dailymed/search.cfm?labeltype=all&amp;query=alfentanil" TargetMode="External"/><Relationship Id="rId1091" Type="http://schemas.openxmlformats.org/officeDocument/2006/relationships/hyperlink" Target="https://dmd-browser.nhsbsa.nhs.uk/ampp/view/20811" TargetMode="External"/><Relationship Id="rId1092" Type="http://schemas.openxmlformats.org/officeDocument/2006/relationships/hyperlink" Target="https://dailymed.nlm.nih.gov/dailymed/search.cfm?labeltype=all&amp;query=alfentanil" TargetMode="External"/><Relationship Id="rId1093" Type="http://schemas.openxmlformats.org/officeDocument/2006/relationships/hyperlink" Target="https://www.ema.europa.eu/en/documents/other/article-57-product-data_en.xlsx" TargetMode="External"/><Relationship Id="rId1094" Type="http://schemas.openxmlformats.org/officeDocument/2006/relationships/hyperlink" Target="https://dailymed.nlm.nih.gov/dailymed/search.cfm?labeltype=all&amp;query=alfentanil" TargetMode="External"/><Relationship Id="rId1095" Type="http://schemas.openxmlformats.org/officeDocument/2006/relationships/hyperlink" Target="https://base-donnees-publique.medicaments.gouv.fr/index.php?page=1&amp;choixRecherche=medicament&amp;txtCaracteres=Rapifen&amp;action=show" TargetMode="External"/><Relationship Id="rId1096" Type="http://schemas.openxmlformats.org/officeDocument/2006/relationships/hyperlink" Target="https://www.ema.europa.eu/en/documents/other/article-57-product-data_en.xlsx" TargetMode="External"/><Relationship Id="rId1097" Type="http://schemas.openxmlformats.org/officeDocument/2006/relationships/hyperlink" Target="https://dailymed.nlm.nih.gov/dailymed/search.cfm?labeltype=all&amp;query=alfentanil" TargetMode="External"/><Relationship Id="rId1098" Type="http://schemas.openxmlformats.org/officeDocument/2006/relationships/hyperlink" Target="https://www.safetyandquality.gov.au/medicine-finder/rapifen" TargetMode="External"/><Relationship Id="rId1099" Type="http://schemas.openxmlformats.org/officeDocument/2006/relationships/hyperlink" Target="https://dailymed.nlm.nih.gov/dailymed/search.cfm?labeltype=all&amp;query=alfentanil" TargetMode="External"/><Relationship Id="rId1100" Type="http://schemas.openxmlformats.org/officeDocument/2006/relationships/hyperlink" Target="https://www.sahpra.org.za/wp-content/uploads/2020/02/Rapifen_PI_Piramal-Critical-Care_MCC-format-01-February-2010.pdf" TargetMode="External"/><Relationship Id="rId1101" Type="http://schemas.openxmlformats.org/officeDocument/2006/relationships/hyperlink" Target="https://dailymed.nlm.nih.gov/dailymed/search.cfm?labeltype=all&amp;query=baclofen" TargetMode="External"/><Relationship Id="rId1102" Type="http://schemas.openxmlformats.org/officeDocument/2006/relationships/hyperlink" Target="https://dailymed.nlm.nih.gov/dailymed/lookup.cfm?setid=00d3e846-dd92-448d-9ab8-6a07be823cc1" TargetMode="External"/><Relationship Id="rId1103" Type="http://schemas.openxmlformats.org/officeDocument/2006/relationships/hyperlink" Target="https://dailymed.nlm.nih.gov/dailymed/search.cfm?labeltype=all&amp;query=baclofen" TargetMode="External"/><Relationship Id="rId1104" Type="http://schemas.openxmlformats.org/officeDocument/2006/relationships/hyperlink" Target="https://products.mhra.gov.uk/search/?search=baclofen" TargetMode="External"/><Relationship Id="rId1105" Type="http://schemas.openxmlformats.org/officeDocument/2006/relationships/hyperlink" Target="https://dailymed.nlm.nih.gov/dailymed/search.cfm?labeltype=all&amp;query=baclofen" TargetMode="External"/><Relationship Id="rId1106" Type="http://schemas.openxmlformats.org/officeDocument/2006/relationships/hyperlink" Target="https://www.ema.europa.eu/en/documents/other/article-57-product-data_en.xlsx" TargetMode="External"/><Relationship Id="rId1107" Type="http://schemas.openxmlformats.org/officeDocument/2006/relationships/hyperlink" Target="https://dailymed.nlm.nih.gov/dailymed/search.cfm?labeltype=all&amp;query=baclofen" TargetMode="External"/><Relationship Id="rId1108" Type="http://schemas.openxmlformats.org/officeDocument/2006/relationships/hyperlink" Target="https://base-donnees-publique.medicaments.gouv.fr/index.php?page=1&amp;choixRecherche=medicament&amp;txtCaracteres=Spacyr&amp;action=show" TargetMode="External"/><Relationship Id="rId1109" Type="http://schemas.openxmlformats.org/officeDocument/2006/relationships/hyperlink" Target="https://www.ema.europa.eu/en/documents/other/article-57-product-data_en.xlsx" TargetMode="External"/><Relationship Id="rId1110" Type="http://schemas.openxmlformats.org/officeDocument/2006/relationships/hyperlink" Target="https://dailymed.nlm.nih.gov/dailymed/search.cfm?labeltype=all&amp;query=cisatracurium" TargetMode="External"/><Relationship Id="rId1111" Type="http://schemas.openxmlformats.org/officeDocument/2006/relationships/hyperlink" Target="https://dailymed.nlm.nih.gov/dailymed/drugInfo.cfm?setid=d8b5eb77-b393-4cd7-86c5-d2a9d131f96d" TargetMode="External"/><Relationship Id="rId1112" Type="http://schemas.openxmlformats.org/officeDocument/2006/relationships/hyperlink" Target="https://dailymed.nlm.nih.gov/dailymed/search.cfm?labeltype=all&amp;query=etomidate" TargetMode="External"/><Relationship Id="rId1113" Type="http://schemas.openxmlformats.org/officeDocument/2006/relationships/hyperlink" Target="https://www.ema.europa.eu/en/documents/other/article-57-product-data_en.xlsx" TargetMode="External"/><Relationship Id="rId1114" Type="http://schemas.openxmlformats.org/officeDocument/2006/relationships/hyperlink" Target="https://dailymed.nlm.nih.gov/dailymed/search.cfm?labeltype=all&amp;query=etomidate" TargetMode="External"/><Relationship Id="rId1115" Type="http://schemas.openxmlformats.org/officeDocument/2006/relationships/hyperlink" Target="https://base-donnees-publique.medicaments.gouv.fr/index.php?page=1&amp;choixRecherche=medicament&amp;txtCaracteres=Hypnomidate&amp;action=show" TargetMode="External"/><Relationship Id="rId1116" Type="http://schemas.openxmlformats.org/officeDocument/2006/relationships/hyperlink" Target="https://www.ema.europa.eu/en/documents/other/article-57-product-data_en.xlsx" TargetMode="External"/><Relationship Id="rId1117" Type="http://schemas.openxmlformats.org/officeDocument/2006/relationships/hyperlink" Target="https://dailymed.nlm.nih.gov/dailymed/search.cfm?labeltype=all&amp;query=etomidate" TargetMode="External"/><Relationship Id="rId1118" Type="http://schemas.openxmlformats.org/officeDocument/2006/relationships/hyperlink" Target="https://medicineprices.org.za/" TargetMode="External"/><Relationship Id="rId1119" Type="http://schemas.openxmlformats.org/officeDocument/2006/relationships/hyperlink" Target="https://dailymed.nlm.nih.gov/dailymed/search.cfm?labeltype=all&amp;query=fentanyl+citrate+injection" TargetMode="External"/><Relationship Id="rId1120" Type="http://schemas.openxmlformats.org/officeDocument/2006/relationships/hyperlink" Target="https://www.ema.europa.eu/en/documents/other/article-57-product-data_en.xlsx" TargetMode="External"/><Relationship Id="rId1121" Type="http://schemas.openxmlformats.org/officeDocument/2006/relationships/hyperlink" Target="https://dailymed.nlm.nih.gov/dailymed/search.cfm?labeltype=all&amp;query=fentanyl+citrate+injection" TargetMode="External"/><Relationship Id="rId1122" Type="http://schemas.openxmlformats.org/officeDocument/2006/relationships/hyperlink" Target="https://base-donnees-publique.medicaments.gouv.fr/index.php?page=1&amp;choixRecherche=medicament&amp;txtCaracteres=Fentanyl%20Piramal&amp;action=show" TargetMode="External"/><Relationship Id="rId1123" Type="http://schemas.openxmlformats.org/officeDocument/2006/relationships/hyperlink" Target="https://www.ema.europa.eu/en/documents/other/article-57-product-data_en.xlsx" TargetMode="External"/><Relationship Id="rId1124" Type="http://schemas.openxmlformats.org/officeDocument/2006/relationships/hyperlink" Target="https://dailymed.nlm.nih.gov/dailymed/search.cfm?labeltype=all&amp;query=fentanyl+citrate+injection" TargetMode="External"/><Relationship Id="rId1125" Type="http://schemas.openxmlformats.org/officeDocument/2006/relationships/hyperlink" Target="https://www.sahpra.org.za/wp-content/uploads/2020/02/Rapifen_PI_Piramal-Critical-Care_MCC-format-01-February-2010.pdf" TargetMode="External"/><Relationship Id="rId1126" Type="http://schemas.openxmlformats.org/officeDocument/2006/relationships/hyperlink" Target="https://dailymed.nlm.nih.gov/dailymed/search.cfm?labeltype=all&amp;query=remifentanil" TargetMode="External"/><Relationship Id="rId1127" Type="http://schemas.openxmlformats.org/officeDocument/2006/relationships/hyperlink" Target="https://www.ema.europa.eu/en/documents/other/article-57-product-data_en.xlsx" TargetMode="External"/><Relationship Id="rId1128" Type="http://schemas.openxmlformats.org/officeDocument/2006/relationships/hyperlink" Target="https://dailymed.nlm.nih.gov/dailymed/search.cfm?labeltype=all&amp;query=sugammadex" TargetMode="External"/><Relationship Id="rId1129" Type="http://schemas.openxmlformats.org/officeDocument/2006/relationships/hyperlink" Target="https://mhraproducts4853.blob.core.windows.net/docs/65c89059d784c50dab28071e95ac40d97f54368d" TargetMode="External"/><Relationship Id="rId1130" Type="http://schemas.openxmlformats.org/officeDocument/2006/relationships/hyperlink" Target="https://dailymed.nlm.nih.gov/dailymed/search.cfm?labeltype=all&amp;query=sugammadex" TargetMode="External"/><Relationship Id="rId1131" Type="http://schemas.openxmlformats.org/officeDocument/2006/relationships/hyperlink" Target="https://www.ema.europa.eu/en/medicines/human/EPAR/sugammadex-piramal" TargetMode="External"/><Relationship Id="rId1132" Type="http://schemas.openxmlformats.org/officeDocument/2006/relationships/hyperlink" Target="https://www.ema.europa.eu/en/documents/other/article-57-product-data_en.xlsx" TargetMode="External"/><Relationship Id="rId1133" Type="http://schemas.openxmlformats.org/officeDocument/2006/relationships/hyperlink" Target="https://dailymed.nlm.nih.gov/dailymed/search.cfm?labeltype=all&amp;query=sugammadex" TargetMode="External"/><Relationship Id="rId1134" Type="http://schemas.openxmlformats.org/officeDocument/2006/relationships/hyperlink" Target="https://www.ema.europa.eu/en/medicines/human/EPAR/sugammadex-piramal" TargetMode="External"/><Relationship Id="rId1135" Type="http://schemas.openxmlformats.org/officeDocument/2006/relationships/hyperlink" Target="https://www.ema.europa.eu/en/documents/other/article-57-product-data_en.xlsx" TargetMode="External"/><Relationship Id="rId1136" Type="http://schemas.openxmlformats.org/officeDocument/2006/relationships/hyperlink" Target="https://dailymed.nlm.nih.gov/dailymed/search.cfm?labeltype=all&amp;query=cefepime" TargetMode="External"/><Relationship Id="rId1137" Type="http://schemas.openxmlformats.org/officeDocument/2006/relationships/hyperlink" Target="https://www.healthdirect.gov.au/medicines/brand/amt%2C888961000168107/bindozef" TargetMode="External"/><Relationship Id="rId1138" Type="http://schemas.openxmlformats.org/officeDocument/2006/relationships/hyperlink" Target="https://dailymed.nlm.nih.gov/dailymed/search.cfm?labeltype=all&amp;query=ceftazidime" TargetMode="External"/><Relationship Id="rId1139" Type="http://schemas.openxmlformats.org/officeDocument/2006/relationships/hyperlink" Target="https://www.healthdirect.gov.au/medicines/brand/amt%2C933507581000036107/zetaf" TargetMode="External"/><Relationship Id="rId1140" Type="http://schemas.openxmlformats.org/officeDocument/2006/relationships/hyperlink" Target="https://dailymed.nlm.nih.gov/dailymed/search.cfm?labeltype=all&amp;query=hydrocortisone+sodium+succinate" TargetMode="External"/><Relationship Id="rId1141" Type="http://schemas.openxmlformats.org/officeDocument/2006/relationships/hyperlink" Target="https://medicineprices.org.za/" TargetMode="External"/><Relationship Id="rId1142" Type="http://schemas.openxmlformats.org/officeDocument/2006/relationships/hyperlink" Target="https://dailymed.nlm.nih.gov/dailymed/search.cfm?labeltype=all&amp;query=meropenem" TargetMode="External"/><Relationship Id="rId1143" Type="http://schemas.openxmlformats.org/officeDocument/2006/relationships/hyperlink" Target="https://dmd-browser.nhsbsa.nhs.uk/ampp/view/175452" TargetMode="External"/><Relationship Id="rId1144" Type="http://schemas.openxmlformats.org/officeDocument/2006/relationships/hyperlink" Target="https://dailymed.nlm.nih.gov/dailymed/search.cfm?labeltype=all&amp;query=meropenem" TargetMode="External"/><Relationship Id="rId1145" Type="http://schemas.openxmlformats.org/officeDocument/2006/relationships/hyperlink" Target="https://www.ema.europa.eu/en/documents/other/article-57-product-data_en.xlsx" TargetMode="External"/><Relationship Id="rId1146" Type="http://schemas.openxmlformats.org/officeDocument/2006/relationships/hyperlink" Target="https://dailymed.nlm.nih.gov/dailymed/search.cfm?labeltype=all&amp;query=piperacillin+and+tazobactam" TargetMode="External"/><Relationship Id="rId1147" Type="http://schemas.openxmlformats.org/officeDocument/2006/relationships/hyperlink" Target="https://www.healthdirect.gov.au/medicines/brand/amt%2C933703631000036101/piptaz-2-g-0.25-g-auro" TargetMode="External"/><Relationship Id="rId1148" Type="http://schemas.openxmlformats.org/officeDocument/2006/relationships/hyperlink" Target="https://dailymed.nlm.nih.gov/dailymed/search.cfm?labeltype=all&amp;query=aripiprazole" TargetMode="External"/><Relationship Id="rId1149" Type="http://schemas.openxmlformats.org/officeDocument/2006/relationships/hyperlink" Target="https://mhraproducts4853.blob.core.windows.net/docs/3f1e00ed4b97700f12503d40822ed0706e54eaed" TargetMode="External"/><Relationship Id="rId1150" Type="http://schemas.openxmlformats.org/officeDocument/2006/relationships/hyperlink" Target="https://dailymed.nlm.nih.gov/dailymed/search.cfm?labeltype=all&amp;query=aripiprazole" TargetMode="External"/><Relationship Id="rId1151" Type="http://schemas.openxmlformats.org/officeDocument/2006/relationships/hyperlink" Target="https://www.ebs.tga.gov.au/ebs/picmi/picmirepository.nsf/pdf?OpenAgent&amp;id=CP-2025-PI-01168-1" TargetMode="External"/><Relationship Id="rId1152" Type="http://schemas.openxmlformats.org/officeDocument/2006/relationships/hyperlink" Target="https://dailymed.nlm.nih.gov/dailymed/search.cfm?labeltype=all&amp;query=bortezomib" TargetMode="External"/><Relationship Id="rId1153" Type="http://schemas.openxmlformats.org/officeDocument/2006/relationships/hyperlink" Target="https://mhraproducts4853.blob.core.windows.net/docs/300ac5b7309146ded231acf96131c8ba8ea5dc2e" TargetMode="External"/><Relationship Id="rId1154" Type="http://schemas.openxmlformats.org/officeDocument/2006/relationships/hyperlink" Target="https://dailymed.nlm.nih.gov/dailymed/search.cfm?labeltype=all&amp;query=bortezomib" TargetMode="External"/><Relationship Id="rId1155" Type="http://schemas.openxmlformats.org/officeDocument/2006/relationships/hyperlink" Target="https://www.ema.europa.eu/en/medicines/human/EPAR/bortezomib-sun" TargetMode="External"/><Relationship Id="rId1156" Type="http://schemas.openxmlformats.org/officeDocument/2006/relationships/hyperlink" Target="https://www.ema.europa.eu/en/documents/other/article-57-product-data_en.xlsx" TargetMode="External"/><Relationship Id="rId1157" Type="http://schemas.openxmlformats.org/officeDocument/2006/relationships/hyperlink" Target="https://dailymed.nlm.nih.gov/dailymed/search.cfm?labeltype=all&amp;query=bortezomib" TargetMode="External"/><Relationship Id="rId1158" Type="http://schemas.openxmlformats.org/officeDocument/2006/relationships/hyperlink" Target="https://pdf.hres.ca/dpd_pm/00067579.PDF" TargetMode="External"/><Relationship Id="rId1159" Type="http://schemas.openxmlformats.org/officeDocument/2006/relationships/hyperlink" Target="https://dailymed.nlm.nih.gov/dailymed/search.cfm?labeltype=all&amp;query=bortezomib" TargetMode="External"/><Relationship Id="rId1160" Type="http://schemas.openxmlformats.org/officeDocument/2006/relationships/hyperlink" Target="https://www.ema.europa.eu/en/medicines/human/EPAR/bortezomib-sun" TargetMode="External"/><Relationship Id="rId1161" Type="http://schemas.openxmlformats.org/officeDocument/2006/relationships/hyperlink" Target="https://www.ema.europa.eu/en/documents/other/article-57-product-data_en.xlsx" TargetMode="External"/><Relationship Id="rId1162" Type="http://schemas.openxmlformats.org/officeDocument/2006/relationships/hyperlink" Target="https://dailymed.nlm.nih.gov/dailymed/search.cfm?labeltype=all&amp;query=bortezomib" TargetMode="External"/><Relationship Id="rId1163" Type="http://schemas.openxmlformats.org/officeDocument/2006/relationships/hyperlink" Target="https://pi-pil-repository.sahpra.org.za/wp-content/uploads/2026/02/Botigen-pil.pdf" TargetMode="External"/><Relationship Id="rId1164" Type="http://schemas.openxmlformats.org/officeDocument/2006/relationships/hyperlink" Target="https://dailymed.nlm.nih.gov/dailymed/search.cfm?labeltype=all&amp;query=chlorothiazide" TargetMode="External"/><Relationship Id="rId1165" Type="http://schemas.openxmlformats.org/officeDocument/2006/relationships/hyperlink" Target="https://dailymed.nlm.nih.gov/dailymed/drugInfo.cfm?setid=bf921935-9740-458e-b786-69f76d8ad139" TargetMode="External"/><Relationship Id="rId1166" Type="http://schemas.openxmlformats.org/officeDocument/2006/relationships/hyperlink" Target="https://dailymed.nlm.nih.gov/dailymed/search.cfm?labeltype=all&amp;query=doxorubicin" TargetMode="External"/><Relationship Id="rId1167" Type="http://schemas.openxmlformats.org/officeDocument/2006/relationships/hyperlink" Target="https://dailymed.nlm.nih.gov/dailymed/drugInfo.cfm?setid=6bcde92b-e584-4919-866a-68847ea201ba" TargetMode="External"/><Relationship Id="rId1168" Type="http://schemas.openxmlformats.org/officeDocument/2006/relationships/hyperlink" Target="https://dailymed.nlm.nih.gov/dailymed/search.cfm?labeltype=all&amp;query=doxorubicin" TargetMode="External"/><Relationship Id="rId1169" Type="http://schemas.openxmlformats.org/officeDocument/2006/relationships/hyperlink" Target="https://www.ema.europa.eu/en/documents/other/article-57-product-data_en.xlsx" TargetMode="External"/><Relationship Id="rId1170" Type="http://schemas.openxmlformats.org/officeDocument/2006/relationships/hyperlink" Target="https://dailymed.nlm.nih.gov/dailymed/search.cfm?labeltype=all&amp;query=esomeprazole+sodium" TargetMode="External"/><Relationship Id="rId1171" Type="http://schemas.openxmlformats.org/officeDocument/2006/relationships/hyperlink" Target="https://www.ema.europa.eu/en/documents/other/article-57-product-data_en.xlsx" TargetMode="External"/><Relationship Id="rId1172" Type="http://schemas.openxmlformats.org/officeDocument/2006/relationships/hyperlink" Target="https://dailymed.nlm.nih.gov/dailymed/search.cfm?labeltype=all&amp;query=esomeprazole+sodium" TargetMode="External"/><Relationship Id="rId1173" Type="http://schemas.openxmlformats.org/officeDocument/2006/relationships/hyperlink" Target="https://base-donnees-publique.medicaments.gouv.fr/index.php?page=1&amp;choixRecherche=medicament&amp;txtCaracteres=Esomeprazole%20Sun&amp;action=show" TargetMode="External"/><Relationship Id="rId1174" Type="http://schemas.openxmlformats.org/officeDocument/2006/relationships/hyperlink" Target="https://www.ema.europa.eu/en/documents/other/article-57-product-data_en.xlsx" TargetMode="External"/><Relationship Id="rId1175" Type="http://schemas.openxmlformats.org/officeDocument/2006/relationships/hyperlink" Target="https://dailymed.nlm.nih.gov/dailymed/search.cfm?labeltype=all&amp;query=esomeprazole+sodium" TargetMode="External"/><Relationship Id="rId1176" Type="http://schemas.openxmlformats.org/officeDocument/2006/relationships/hyperlink" Target="https://www.safetyandquality.gov.au/medicine-finder/esomeprazole-sun" TargetMode="External"/><Relationship Id="rId1177" Type="http://schemas.openxmlformats.org/officeDocument/2006/relationships/hyperlink" Target="https://dailymed.nlm.nih.gov/dailymed/search.cfm?labeltype=all&amp;query=fulvestrant" TargetMode="External"/><Relationship Id="rId1178" Type="http://schemas.openxmlformats.org/officeDocument/2006/relationships/hyperlink" Target="https://mhraproducts4853.blob.core.windows.net/docs/aecc2774280857fc21e451486124f7b54d8cd890" TargetMode="External"/><Relationship Id="rId1179" Type="http://schemas.openxmlformats.org/officeDocument/2006/relationships/hyperlink" Target="https://dailymed.nlm.nih.gov/dailymed/search.cfm?labeltype=all&amp;query=fulvestrant" TargetMode="External"/><Relationship Id="rId1180" Type="http://schemas.openxmlformats.org/officeDocument/2006/relationships/hyperlink" Target="https://www.ema.europa.eu/en/documents/other/article-57-product-data_en.xlsx" TargetMode="External"/><Relationship Id="rId1181" Type="http://schemas.openxmlformats.org/officeDocument/2006/relationships/hyperlink" Target="https://dailymed.nlm.nih.gov/dailymed/search.cfm?labeltype=all&amp;query=fulvestrant" TargetMode="External"/><Relationship Id="rId1182" Type="http://schemas.openxmlformats.org/officeDocument/2006/relationships/hyperlink" Target="https://www.ema.europa.eu/en/documents/other/article-57-product-data_en.xlsx" TargetMode="External"/><Relationship Id="rId1183" Type="http://schemas.openxmlformats.org/officeDocument/2006/relationships/hyperlink" Target="https://dailymed.nlm.nih.gov/dailymed/search.cfm?labeltype=all&amp;query=melphalan+hydrochloride" TargetMode="External"/><Relationship Id="rId1184" Type="http://schemas.openxmlformats.org/officeDocument/2006/relationships/hyperlink" Target="https://www.ema.europa.eu/en/documents/other/article-57-product-data_en.xlsx" TargetMode="External"/><Relationship Id="rId1185" Type="http://schemas.openxmlformats.org/officeDocument/2006/relationships/hyperlink" Target="https://dailymed.nlm.nih.gov/dailymed/search.cfm?labeltype=all&amp;query=melphalan+hydrochloride" TargetMode="External"/><Relationship Id="rId1186" Type="http://schemas.openxmlformats.org/officeDocument/2006/relationships/hyperlink" Target="https://health-products.canada.ca/dpd-bdpp/info?code=97057&amp;lang=eng" TargetMode="External"/><Relationship Id="rId1187" Type="http://schemas.openxmlformats.org/officeDocument/2006/relationships/hyperlink" Target="https://dailymed.nlm.nih.gov/dailymed/search.cfm?labeltype=all&amp;query=melphalan+hydrochloride" TargetMode="External"/><Relationship Id="rId1188" Type="http://schemas.openxmlformats.org/officeDocument/2006/relationships/hyperlink" Target="https://base-donnees-publique.medicaments.gouv.fr/index.php?page=1&amp;choixRecherche=medicament&amp;txtCaracteres=Melphalan%20Sun&amp;action=show" TargetMode="External"/><Relationship Id="rId1189" Type="http://schemas.openxmlformats.org/officeDocument/2006/relationships/hyperlink" Target="https://www.ema.europa.eu/en/documents/other/article-57-product-data_en.xlsx" TargetMode="External"/><Relationship Id="rId1190" Type="http://schemas.openxmlformats.org/officeDocument/2006/relationships/hyperlink" Target="https://dailymed.nlm.nih.gov/dailymed/search.cfm?labeltype=all&amp;query=meropenem" TargetMode="External"/><Relationship Id="rId1191" Type="http://schemas.openxmlformats.org/officeDocument/2006/relationships/hyperlink" Target="https://dmd-browser.nhsbsa.nhs.uk/ampp/view/175452" TargetMode="External"/><Relationship Id="rId1192" Type="http://schemas.openxmlformats.org/officeDocument/2006/relationships/hyperlink" Target="https://dailymed.nlm.nih.gov/dailymed/search.cfm?labeltype=all&amp;query=meropenem" TargetMode="External"/><Relationship Id="rId1193" Type="http://schemas.openxmlformats.org/officeDocument/2006/relationships/hyperlink" Target="https://www.ema.europa.eu/en/documents/other/article-57-product-data_en.xlsx" TargetMode="External"/><Relationship Id="rId1194" Type="http://schemas.openxmlformats.org/officeDocument/2006/relationships/hyperlink" Target="https://dailymed.nlm.nih.gov/dailymed/search.cfm?labeltype=all&amp;query=meropenem" TargetMode="External"/><Relationship Id="rId1195" Type="http://schemas.openxmlformats.org/officeDocument/2006/relationships/hyperlink" Target="https://health-products.canada.ca/dpd-bdpp/info?code=90612&amp;lang=eng" TargetMode="External"/><Relationship Id="rId1196" Type="http://schemas.openxmlformats.org/officeDocument/2006/relationships/hyperlink" Target="https://dailymed.nlm.nih.gov/dailymed/search.cfm?labeltype=all&amp;query=meropenem" TargetMode="External"/><Relationship Id="rId1197" Type="http://schemas.openxmlformats.org/officeDocument/2006/relationships/hyperlink" Target="https://www.ema.europa.eu/en/documents/other/article-57-product-data_en.xlsx" TargetMode="External"/><Relationship Id="rId1198" Type="http://schemas.openxmlformats.org/officeDocument/2006/relationships/hyperlink" Target="https://dailymed.nlm.nih.gov/dailymed/search.cfm?labeltype=all&amp;query=meropenem" TargetMode="External"/><Relationship Id="rId1199" Type="http://schemas.openxmlformats.org/officeDocument/2006/relationships/hyperlink" Target="https://www.tga.gov.au/resources/artg/167024" TargetMode="External"/><Relationship Id="rId1200" Type="http://schemas.openxmlformats.org/officeDocument/2006/relationships/hyperlink" Target="https://dailymed.nlm.nih.gov/dailymed/search.cfm?labeltype=all&amp;query=meropenem" TargetMode="External"/><Relationship Id="rId1201" Type="http://schemas.openxmlformats.org/officeDocument/2006/relationships/hyperlink" Target="https://medsinfoportal.sahpra.org.za/pil/0d412c0ea487c6e954a1603a1de0815a.pdf" TargetMode="External"/><Relationship Id="rId1202" Type="http://schemas.openxmlformats.org/officeDocument/2006/relationships/hyperlink" Target="https://dailymed.nlm.nih.gov/dailymed/search.cfm?labeltype=all&amp;query=octreotide" TargetMode="External"/><Relationship Id="rId1203" Type="http://schemas.openxmlformats.org/officeDocument/2006/relationships/hyperlink" Target="https://www.ema.europa.eu/en/documents/other/article-57-product-data_en.xlsx" TargetMode="External"/><Relationship Id="rId1204" Type="http://schemas.openxmlformats.org/officeDocument/2006/relationships/hyperlink" Target="https://dailymed.nlm.nih.gov/dailymed/search.cfm?labeltype=all&amp;query=octreotide" TargetMode="External"/><Relationship Id="rId1205" Type="http://schemas.openxmlformats.org/officeDocument/2006/relationships/hyperlink" Target="https://www.ema.europa.eu/en/documents/other/article-57-product-data_en.xlsx" TargetMode="External"/><Relationship Id="rId1206" Type="http://schemas.openxmlformats.org/officeDocument/2006/relationships/hyperlink" Target="https://dailymed.nlm.nih.gov/dailymed/search.cfm?labeltype=all&amp;query=octreotide" TargetMode="External"/><Relationship Id="rId1207" Type="http://schemas.openxmlformats.org/officeDocument/2006/relationships/hyperlink" Target="https://www.ebs.tga.gov.au/servlet/xmlmillr6?dbid=ebs/PublicHTML/pdfStore.nsf&amp;docid=311224&amp;agid=(PrintDetailsPublic)&amp;actionid=1" TargetMode="External"/><Relationship Id="rId1208" Type="http://schemas.openxmlformats.org/officeDocument/2006/relationships/hyperlink" Target="https://dailymed.nlm.nih.gov/dailymed/search.cfm?labeltype=all&amp;query=pantoprazole+sodium+for+injection" TargetMode="External"/><Relationship Id="rId1209" Type="http://schemas.openxmlformats.org/officeDocument/2006/relationships/hyperlink" Target="https://dmd-browser.nhsbsa.nhs.uk/ampp/view/96481" TargetMode="External"/><Relationship Id="rId1210" Type="http://schemas.openxmlformats.org/officeDocument/2006/relationships/hyperlink" Target="https://dailymed.nlm.nih.gov/dailymed/search.cfm?labeltype=all&amp;query=pantoprazole+sodium+for+injection" TargetMode="External"/><Relationship Id="rId1211" Type="http://schemas.openxmlformats.org/officeDocument/2006/relationships/hyperlink" Target="https://www.ema.europa.eu/en/documents/other/article-57-product-data_en.xlsx" TargetMode="External"/><Relationship Id="rId1212" Type="http://schemas.openxmlformats.org/officeDocument/2006/relationships/hyperlink" Target="https://dailymed.nlm.nih.gov/dailymed/search.cfm?labeltype=all&amp;query=pantoprazole+sodium+for+injection" TargetMode="External"/><Relationship Id="rId1213" Type="http://schemas.openxmlformats.org/officeDocument/2006/relationships/hyperlink" Target="https://base-donnees-publique.medicaments.gouv.fr/index.php?page=1&amp;choixRecherche=medicament&amp;txtCaracteres=Pantoprazole%20Sun&amp;action=show" TargetMode="External"/><Relationship Id="rId1214" Type="http://schemas.openxmlformats.org/officeDocument/2006/relationships/hyperlink" Target="https://www.ema.europa.eu/en/documents/other/article-57-product-data_en.xlsx" TargetMode="External"/><Relationship Id="rId1215" Type="http://schemas.openxmlformats.org/officeDocument/2006/relationships/hyperlink" Target="https://dailymed.nlm.nih.gov/dailymed/search.cfm?labeltype=all&amp;query=paricalcitol+injection" TargetMode="External"/><Relationship Id="rId1216" Type="http://schemas.openxmlformats.org/officeDocument/2006/relationships/hyperlink" Target="https://www.ema.europa.eu/en/documents/other/article-57-product-data_en.xlsx" TargetMode="External"/><Relationship Id="rId1217" Type="http://schemas.openxmlformats.org/officeDocument/2006/relationships/hyperlink" Target="https://dailymed.nlm.nih.gov/dailymed/search.cfm?labeltype=all&amp;query=sugammadex" TargetMode="External"/><Relationship Id="rId1218" Type="http://schemas.openxmlformats.org/officeDocument/2006/relationships/hyperlink" Target="https://dailymed.nlm.nih.gov/dailymed/drugInfo.cfm?setid=ab41ea1c-266f-421c-8fc4-6e7ff518a75d" TargetMode="External"/><Relationship Id="rId1219" Type="http://schemas.openxmlformats.org/officeDocument/2006/relationships/hyperlink" Target="https://dailymed.nlm.nih.gov/dailymed/search.cfm?labeltype=all&amp;query=sugammadex" TargetMode="External"/><Relationship Id="rId1220" Type="http://schemas.openxmlformats.org/officeDocument/2006/relationships/hyperlink" Target="https://dmd-browser.nhsbsa.nhs.uk/ampp/view/195579" TargetMode="External"/><Relationship Id="rId1221" Type="http://schemas.openxmlformats.org/officeDocument/2006/relationships/hyperlink" Target="https://dailymed.nlm.nih.gov/dailymed/search.cfm?labeltype=all&amp;query=sugammadex" TargetMode="External"/><Relationship Id="rId1222" Type="http://schemas.openxmlformats.org/officeDocument/2006/relationships/hyperlink" Target="https://www.ema.europa.eu/en/documents/other/article-57-product-data_en.xlsx" TargetMode="External"/><Relationship Id="rId1223" Type="http://schemas.openxmlformats.org/officeDocument/2006/relationships/hyperlink" Target="https://dailymed.nlm.nih.gov/dailymed/search.cfm?labeltype=all&amp;query=sugammadex" TargetMode="External"/><Relationship Id="rId1224" Type="http://schemas.openxmlformats.org/officeDocument/2006/relationships/hyperlink" Target="https://www.ema.europa.eu/en/documents/other/article-57-product-data_en.xlsx" TargetMode="External"/><Relationship Id="rId1225" Type="http://schemas.openxmlformats.org/officeDocument/2006/relationships/hyperlink" Target="https://dailymed.nlm.nih.gov/dailymed/search.cfm?labeltype=all&amp;query=sugammadex" TargetMode="External"/><Relationship Id="rId1226" Type="http://schemas.openxmlformats.org/officeDocument/2006/relationships/hyperlink" Target="https://pi-pil-repository.sahpra.org.za/wp-content/uploads/2022/08/Final_PIL_Sumabid_Applicant.pdf" TargetMode="External"/><Relationship Id="rId1227" Type="http://schemas.openxmlformats.org/officeDocument/2006/relationships/hyperlink" Target="https://www.medicines.org.uk/emc/search?q=teicoplanin" TargetMode="External"/><Relationship Id="rId1228" Type="http://schemas.openxmlformats.org/officeDocument/2006/relationships/hyperlink" Target="https://mhraproducts4853.blob.core.windows.net/docs/bb7e0f317f1d83fcc56a50c2ee7913094c687d19" TargetMode="External"/><Relationship Id="rId1229" Type="http://schemas.openxmlformats.org/officeDocument/2006/relationships/hyperlink" Target="https://www.medicines.org.uk/emc/search?q=teicoplanin" TargetMode="External"/><Relationship Id="rId1230" Type="http://schemas.openxmlformats.org/officeDocument/2006/relationships/hyperlink" Target="https://www.ema.europa.eu/en/documents/other/article-57-product-data_en.xlsx" TargetMode="External"/><Relationship Id="rId1231" Type="http://schemas.openxmlformats.org/officeDocument/2006/relationships/hyperlink" Target="https://www.medicines.org.uk/emc/search?q=teicoplanin" TargetMode="External"/><Relationship Id="rId1232" Type="http://schemas.openxmlformats.org/officeDocument/2006/relationships/hyperlink" Target="https://www.ema.europa.eu/en/documents/other/article-57-product-data_en.xlsx" TargetMode="External"/><Relationship Id="rId1233" Type="http://schemas.openxmlformats.org/officeDocument/2006/relationships/hyperlink" Target="https://dailymed.nlm.nih.gov/dailymed/search.cfm?labeltype=all&amp;query=terlipressin" TargetMode="External"/><Relationship Id="rId1234" Type="http://schemas.openxmlformats.org/officeDocument/2006/relationships/hyperlink" Target="https://mhraproducts4853.blob.core.windows.net/docs/87e83833753716c061280fd48b95d5801f88bfa9" TargetMode="External"/><Relationship Id="rId1235" Type="http://schemas.openxmlformats.org/officeDocument/2006/relationships/hyperlink" Target="https://dailymed.nlm.nih.gov/dailymed/search.cfm?labeltype=all&amp;query=terlipressin" TargetMode="External"/><Relationship Id="rId1236" Type="http://schemas.openxmlformats.org/officeDocument/2006/relationships/hyperlink" Target="https://www.ema.europa.eu/en/documents/other/article-57-product-data_en.xlsx" TargetMode="External"/><Relationship Id="rId1237" Type="http://schemas.openxmlformats.org/officeDocument/2006/relationships/hyperlink" Target="https://dailymed.nlm.nih.gov/dailymed/search.cfm?labeltype=all&amp;query=terlipressin" TargetMode="External"/><Relationship Id="rId1238" Type="http://schemas.openxmlformats.org/officeDocument/2006/relationships/hyperlink" Target="https://base-donnees-publique.medicaments.gouv.fr/index.php?page=1&amp;choixRecherche=medicament&amp;txtCaracteres=Terlipressine%20Sun&amp;action=show" TargetMode="External"/><Relationship Id="rId1239" Type="http://schemas.openxmlformats.org/officeDocument/2006/relationships/hyperlink" Target="https://www.ema.europa.eu/en/documents/other/article-57-product-data_en.xlsx" TargetMode="External"/><Relationship Id="rId1240" Type="http://schemas.openxmlformats.org/officeDocument/2006/relationships/hyperlink" Target="https://dailymed.nlm.nih.gov/dailymed/search.cfm?labeltype=all&amp;query=testosterone+cypionate" TargetMode="External"/><Relationship Id="rId1241" Type="http://schemas.openxmlformats.org/officeDocument/2006/relationships/hyperlink" Target="https://health-products.canada.ca/dpd-bdpp/info?code=98589&amp;lang=eng" TargetMode="External"/><Relationship Id="rId1242" Type="http://schemas.openxmlformats.org/officeDocument/2006/relationships/hyperlink" Target="https://dailymed.nlm.nih.gov/dailymed/search.cfm?labeltype=all&amp;query=testosterone+undecanoate" TargetMode="External"/><Relationship Id="rId1243" Type="http://schemas.openxmlformats.org/officeDocument/2006/relationships/hyperlink" Target="https://mhraproducts4853.blob.core.windows.net/docs/f8741f99ca6de4849059aed1dc8b234fa8b588e0" TargetMode="External"/><Relationship Id="rId1244" Type="http://schemas.openxmlformats.org/officeDocument/2006/relationships/hyperlink" Target="https://dailymed.nlm.nih.gov/dailymed/search.cfm?labeltype=all&amp;query=testosterone+undecanoate" TargetMode="External"/><Relationship Id="rId1245" Type="http://schemas.openxmlformats.org/officeDocument/2006/relationships/hyperlink" Target="https://base-donnees-publique.medicaments.gouv.fr/index.php?page=1&amp;choixRecherche=medicament&amp;txtCaracteres=Undecanoate&amp;action=show" TargetMode="External"/><Relationship Id="rId1246" Type="http://schemas.openxmlformats.org/officeDocument/2006/relationships/hyperlink" Target="https://www.ema.europa.eu/en/documents/other/article-57-product-data_en.xlsx" TargetMode="External"/><Relationship Id="rId1247" Type="http://schemas.openxmlformats.org/officeDocument/2006/relationships/hyperlink" Target="https://dailymed.nlm.nih.gov/dailymed/search.cfm?labeltype=all&amp;query=testosterone+undecanoate" TargetMode="External"/><Relationship Id="rId1248" Type="http://schemas.openxmlformats.org/officeDocument/2006/relationships/hyperlink" Target="https://www.tga.gov.au/resources/artg/414397" TargetMode="External"/><Relationship Id="rId1249" Type="http://schemas.openxmlformats.org/officeDocument/2006/relationships/hyperlink" Target="https://dailymed.nlm.nih.gov/dailymed/search.cfm?labeltype=all&amp;query=vecuronium" TargetMode="External"/><Relationship Id="rId1250" Type="http://schemas.openxmlformats.org/officeDocument/2006/relationships/hyperlink" Target="https://mhraproducts4853.blob.core.windows.net/docs/f13255972d04925e4d0ad2e36748738836fae19e" TargetMode="External"/><Relationship Id="rId1251" Type="http://schemas.openxmlformats.org/officeDocument/2006/relationships/hyperlink" Target="https://dailymed.nlm.nih.gov/dailymed/search.cfm?labeltype=all&amp;query=vecuronium" TargetMode="External"/><Relationship Id="rId1252" Type="http://schemas.openxmlformats.org/officeDocument/2006/relationships/hyperlink" Target="https://www.ema.europa.eu/en/documents/other/article-57-product-data_en.xlsx" TargetMode="External"/><Relationship Id="rId1253" Type="http://schemas.openxmlformats.org/officeDocument/2006/relationships/hyperlink" Target="https://dailymed.nlm.nih.gov/dailymed/search.cfm?labeltype=all&amp;query=vecuronium" TargetMode="External"/><Relationship Id="rId1254" Type="http://schemas.openxmlformats.org/officeDocument/2006/relationships/hyperlink" Target="https://www.ema.europa.eu/en/documents/other/article-57-product-data_en.xlsx" TargetMode="External"/><Relationship Id="rId1255" Type="http://schemas.openxmlformats.org/officeDocument/2006/relationships/hyperlink" Target="https://dailymed.nlm.nih.gov/dailymed/search.cfm?labeltype=all&amp;query=vecuronium" TargetMode="External"/><Relationship Id="rId1256" Type="http://schemas.openxmlformats.org/officeDocument/2006/relationships/hyperlink" Target="https://www.healthdirect.gov.au/medicines/brand/amt%2C1305051000168103/vecuronium-sun" TargetMode="External"/><Relationship Id="rId1257" Type="http://schemas.openxmlformats.org/officeDocument/2006/relationships/hyperlink" Target="https://dailymed.nlm.nih.gov/dailymed/search.cfm?labeltype=all&amp;query=vecuronium" TargetMode="External"/><Relationship Id="rId1258" Type="http://schemas.openxmlformats.org/officeDocument/2006/relationships/hyperlink" Target="https://pi-pil-repository.sahpra.org.za/wp-content/uploads/2024/01/2024-01-08-Muscuron-approved-pil.pdf" TargetMode="External"/><Relationship Id="rId1259" Type="http://schemas.openxmlformats.org/officeDocument/2006/relationships/hyperlink" Target="https://dailymed.nlm.nih.gov/dailymed/search.cfm?labeltype=all&amp;query=fulvestrant" TargetMode="External"/><Relationship Id="rId1260" Type="http://schemas.openxmlformats.org/officeDocument/2006/relationships/hyperlink" Target="https://www.ema.europa.eu/en/documents/other/article-57-product-data_en.xlsx" TargetMode="External"/><Relationship Id="rId1261" Type="http://schemas.openxmlformats.org/officeDocument/2006/relationships/hyperlink" Target="https://dailymed.nlm.nih.gov/dailymed/search.cfm?labeltype=all&amp;query=granisetron" TargetMode="External"/><Relationship Id="rId1262" Type="http://schemas.openxmlformats.org/officeDocument/2006/relationships/hyperlink" Target="https://mhraproducts4853.blob.core.windows.net/docs/e257ce9e9b4060c3c4a0c73cd7f61f9b6423679a" TargetMode="External"/><Relationship Id="rId1263" Type="http://schemas.openxmlformats.org/officeDocument/2006/relationships/hyperlink" Target="https://dailymed.nlm.nih.gov/dailymed/search.cfm?labeltype=all&amp;query=granisetron" TargetMode="External"/><Relationship Id="rId1264" Type="http://schemas.openxmlformats.org/officeDocument/2006/relationships/hyperlink" Target="https://www.ema.europa.eu/en/documents/other/article-57-product-data_en.xlsx" TargetMode="External"/><Relationship Id="rId1265" Type="http://schemas.openxmlformats.org/officeDocument/2006/relationships/hyperlink" Target="https://dailymed.nlm.nih.gov/dailymed/search.cfm?labeltype=all&amp;query=levetiracetam+injection" TargetMode="External"/><Relationship Id="rId1266" Type="http://schemas.openxmlformats.org/officeDocument/2006/relationships/hyperlink" Target="https://www.ema.europa.eu/en/documents/other/article-57-product-data_en.xlsx" TargetMode="External"/><Relationship Id="rId1267" Type="http://schemas.openxmlformats.org/officeDocument/2006/relationships/hyperlink" Target="https://dailymed.nlm.nih.gov/dailymed/search.cfm?labeltype=all&amp;query=meropenem" TargetMode="External"/><Relationship Id="rId1268" Type="http://schemas.openxmlformats.org/officeDocument/2006/relationships/hyperlink" Target="https://www.ema.europa.eu/en/documents/other/article-57-product-data_en.xlsx" TargetMode="External"/><Relationship Id="rId1269" Type="http://schemas.openxmlformats.org/officeDocument/2006/relationships/hyperlink" Target="https://dailymed.nlm.nih.gov/dailymed/search.cfm?labeltype=all&amp;query=paliperidone+palmitate" TargetMode="External"/><Relationship Id="rId1270" Type="http://schemas.openxmlformats.org/officeDocument/2006/relationships/hyperlink" Target="https://www.ema.europa.eu/en/documents/other/article-57-product-data_en.xlsx" TargetMode="External"/><Relationship Id="rId1271" Type="http://schemas.openxmlformats.org/officeDocument/2006/relationships/hyperlink" Target="https://dailymed.nlm.nih.gov/dailymed/search.cfm?labeltype=all&amp;query=rocuronium" TargetMode="External"/><Relationship Id="rId1272" Type="http://schemas.openxmlformats.org/officeDocument/2006/relationships/hyperlink" Target="https://medicineprices.org.za/" TargetMode="External"/><Relationship Id="rId1273" Type="http://schemas.openxmlformats.org/officeDocument/2006/relationships/hyperlink" Target="https://dailymed.nlm.nih.gov/dailymed/search.cfm?labeltype=all&amp;query=voriconazole" TargetMode="External"/><Relationship Id="rId1274" Type="http://schemas.openxmlformats.org/officeDocument/2006/relationships/hyperlink" Target="https://www.ema.europa.eu/en/documents/other/article-57-product-data_en.xlsx" TargetMode="External"/><Relationship Id="rId1275" Type="http://schemas.openxmlformats.org/officeDocument/2006/relationships/hyperlink" Target="https://dailymed.nlm.nih.gov/dailymed/search.cfm?labeltype=all&amp;query=bleomycin" TargetMode="External"/><Relationship Id="rId1276" Type="http://schemas.openxmlformats.org/officeDocument/2006/relationships/hyperlink" Target="https://mhraproducts4853.blob.core.windows.net/docs/bb8555ee31d8ac21ce7ea2481563ab908752699c" TargetMode="External"/><Relationship Id="rId1277" Type="http://schemas.openxmlformats.org/officeDocument/2006/relationships/hyperlink" Target="https://dailymed.nlm.nih.gov/dailymed/search.cfm?labeltype=all&amp;query=ceftazidime" TargetMode="External"/><Relationship Id="rId1278" Type="http://schemas.openxmlformats.org/officeDocument/2006/relationships/hyperlink" Target="https://dmd-browser.nhsbsa.nhs.uk/ampp/view/170191" TargetMode="External"/><Relationship Id="rId1279" Type="http://schemas.openxmlformats.org/officeDocument/2006/relationships/hyperlink" Target="https://dailymed.nlm.nih.gov/dailymed/search.cfm?labeltype=all&amp;query=ceftriaxone" TargetMode="External"/><Relationship Id="rId1280" Type="http://schemas.openxmlformats.org/officeDocument/2006/relationships/hyperlink" Target="https://mhraproducts4853.blob.core.windows.net/docs/620992012871d9e5a72bdb1e861678d5901cf630" TargetMode="External"/><Relationship Id="rId1281" Type="http://schemas.openxmlformats.org/officeDocument/2006/relationships/hyperlink" Target="https://dailymed.nlm.nih.gov/dailymed/search.cfm?labeltype=all&amp;query=meropenem" TargetMode="External"/><Relationship Id="rId1282" Type="http://schemas.openxmlformats.org/officeDocument/2006/relationships/hyperlink" Target="https://mhraproducts4853.blob.core.windows.net/docs/acbc6e7bb34bb7ce66320f7e651ff6f476c3ade3" TargetMode="External"/><Relationship Id="rId1283" Type="http://schemas.openxmlformats.org/officeDocument/2006/relationships/hyperlink" Target="https://dailymed.nlm.nih.gov/dailymed/search.cfm?labeltype=all&amp;query=meropenem" TargetMode="External"/><Relationship Id="rId1284" Type="http://schemas.openxmlformats.org/officeDocument/2006/relationships/hyperlink" Target="https://www.ema.europa.eu/en/documents/other/article-57-product-data_en.xlsx" TargetMode="External"/><Relationship Id="rId1285" Type="http://schemas.openxmlformats.org/officeDocument/2006/relationships/hyperlink" Target="https://dailymed.nlm.nih.gov/dailymed/search.cfm?labeltype=all&amp;query=meropenem" TargetMode="External"/><Relationship Id="rId1286" Type="http://schemas.openxmlformats.org/officeDocument/2006/relationships/hyperlink" Target="https://base-donnees-publique.medicaments.gouv.fr/index.php?page=1&amp;choixRecherche=medicament&amp;txtCaracteres=Meropenem%20Venus&amp;action=show" TargetMode="External"/><Relationship Id="rId1287" Type="http://schemas.openxmlformats.org/officeDocument/2006/relationships/hyperlink" Target="https://www.ema.europa.eu/en/documents/other/article-57-product-data_en.xlsx" TargetMode="External"/><Relationship Id="rId1288" Type="http://schemas.openxmlformats.org/officeDocument/2006/relationships/hyperlink" Target="https://dailymed.nlm.nih.gov/dailymed/search.cfm?labeltype=all&amp;query=adenosine" TargetMode="External"/><Relationship Id="rId1289" Type="http://schemas.openxmlformats.org/officeDocument/2006/relationships/hyperlink" Target="https://mhraproducts4853.blob.core.windows.net/docs/ce49908fa961f98a13c36c78620a967d33be1b8b" TargetMode="External"/><Relationship Id="rId1290" Type="http://schemas.openxmlformats.org/officeDocument/2006/relationships/hyperlink" Target="https://dailymed.nlm.nih.gov/dailymed/search.cfm?labeltype=all&amp;query=adenosine" TargetMode="External"/><Relationship Id="rId1291" Type="http://schemas.openxmlformats.org/officeDocument/2006/relationships/hyperlink" Target="https://www.ema.europa.eu/en/documents/other/article-57-product-data_en.xlsx" TargetMode="External"/><Relationship Id="rId1292" Type="http://schemas.openxmlformats.org/officeDocument/2006/relationships/hyperlink" Target="https://dailymed.nlm.nih.gov/dailymed/search.cfm?labeltype=all&amp;query=amikacin" TargetMode="External"/><Relationship Id="rId1293" Type="http://schemas.openxmlformats.org/officeDocument/2006/relationships/hyperlink" Target="https://www.ebs.tga.gov.au/ebs/picmi/picmirepository.nsf/pdf?OpenAgent&amp;id=CP-2018-PI-01293-1" TargetMode="External"/><Relationship Id="rId1294" Type="http://schemas.openxmlformats.org/officeDocument/2006/relationships/hyperlink" Target="https://dailymed.nlm.nih.gov/dailymed/search.cfm?labeltype=all&amp;query=caffeine+citrate" TargetMode="External"/><Relationship Id="rId1295" Type="http://schemas.openxmlformats.org/officeDocument/2006/relationships/hyperlink" Target="https://mhraproducts4853.blob.core.windows.net/docs/eadef0847539ae80277f0273fc908c29f79089c5" TargetMode="External"/><Relationship Id="rId1296" Type="http://schemas.openxmlformats.org/officeDocument/2006/relationships/hyperlink" Target="https://dailymed.nlm.nih.gov/dailymed/search.cfm?labeltype=all&amp;query=caffeine+citrate" TargetMode="External"/><Relationship Id="rId1297" Type="http://schemas.openxmlformats.org/officeDocument/2006/relationships/hyperlink" Target="https://www.ema.europa.eu/en/documents/other/article-57-product-data_en.xlsx" TargetMode="External"/><Relationship Id="rId1298" Type="http://schemas.openxmlformats.org/officeDocument/2006/relationships/hyperlink" Target="https://dailymed.nlm.nih.gov/dailymed/search.cfm?labeltype=all&amp;query=ceftazidime" TargetMode="External"/><Relationship Id="rId1299" Type="http://schemas.openxmlformats.org/officeDocument/2006/relationships/hyperlink" Target="https://dmd-browser.nhsbsa.nhs.uk/ampp/view/110863" TargetMode="External"/><Relationship Id="rId1300" Type="http://schemas.openxmlformats.org/officeDocument/2006/relationships/hyperlink" Target="https://dailymed.nlm.nih.gov/dailymed/search.cfm?labeltype=all&amp;query=ceftazidime" TargetMode="External"/><Relationship Id="rId1301" Type="http://schemas.openxmlformats.org/officeDocument/2006/relationships/hyperlink" Target="https://www.ema.europa.eu/en/documents/other/article-57-product-data_en.xlsx" TargetMode="External"/><Relationship Id="rId1302" Type="http://schemas.openxmlformats.org/officeDocument/2006/relationships/hyperlink" Target="https://dailymed.nlm.nih.gov/dailymed/search.cfm?labeltype=all&amp;query=ceftazidime" TargetMode="External"/><Relationship Id="rId1303" Type="http://schemas.openxmlformats.org/officeDocument/2006/relationships/hyperlink" Target="https://www.ema.europa.eu/en/documents/other/article-57-product-data_en.xlsx" TargetMode="External"/><Relationship Id="rId1304" Type="http://schemas.openxmlformats.org/officeDocument/2006/relationships/hyperlink" Target="https://dailymed.nlm.nih.gov/dailymed/search.cfm?labeltype=all&amp;query=ceftriaxone" TargetMode="External"/><Relationship Id="rId1305" Type="http://schemas.openxmlformats.org/officeDocument/2006/relationships/hyperlink" Target="https://dailymed.nlm.nih.gov/dailymed/drugInfo.cfm?setid=3b36beb7-db94-4b07-8c81-bd2b601a6601" TargetMode="External"/><Relationship Id="rId1306" Type="http://schemas.openxmlformats.org/officeDocument/2006/relationships/hyperlink" Target="https://dailymed.nlm.nih.gov/dailymed/search.cfm?labeltype=all&amp;query=ceftriaxone" TargetMode="External"/><Relationship Id="rId1307" Type="http://schemas.openxmlformats.org/officeDocument/2006/relationships/hyperlink" Target="https://dmd-browser.nhsbsa.nhs.uk/ampp/view/110861" TargetMode="External"/><Relationship Id="rId1308" Type="http://schemas.openxmlformats.org/officeDocument/2006/relationships/hyperlink" Target="https://dailymed.nlm.nih.gov/dailymed/search.cfm?labeltype=all&amp;query=ceftriaxone" TargetMode="External"/><Relationship Id="rId1309" Type="http://schemas.openxmlformats.org/officeDocument/2006/relationships/hyperlink" Target="https://www.ema.europa.eu/en/documents/other/article-57-product-data_en.xlsx" TargetMode="External"/><Relationship Id="rId1310" Type="http://schemas.openxmlformats.org/officeDocument/2006/relationships/hyperlink" Target="https://dailymed.nlm.nih.gov/dailymed/search.cfm?labeltype=all&amp;query=ceftriaxone" TargetMode="External"/><Relationship Id="rId1311" Type="http://schemas.openxmlformats.org/officeDocument/2006/relationships/hyperlink" Target="https://www.ema.europa.eu/en/documents/other/article-57-product-data_en.xlsx" TargetMode="External"/><Relationship Id="rId1312" Type="http://schemas.openxmlformats.org/officeDocument/2006/relationships/hyperlink" Target="https://www.medicines.org.uk/emc/search?q=chlorphenamine+injection" TargetMode="External"/><Relationship Id="rId1313" Type="http://schemas.openxmlformats.org/officeDocument/2006/relationships/hyperlink" Target="https://mhraproducts4853.blob.core.windows.net/docs/f4594f4c3cc23114acb072e65ac513664e1ab8d4" TargetMode="External"/><Relationship Id="rId1314" Type="http://schemas.openxmlformats.org/officeDocument/2006/relationships/hyperlink" Target="https://www.medicines.org.uk/emc/search?q=chlorphenamine+injection" TargetMode="External"/><Relationship Id="rId1315" Type="http://schemas.openxmlformats.org/officeDocument/2006/relationships/hyperlink" Target="https://www.ema.europa.eu/en/documents/other/article-57-product-data_en.xlsx" TargetMode="External"/><Relationship Id="rId1316" Type="http://schemas.openxmlformats.org/officeDocument/2006/relationships/hyperlink" Target="https://dailymed.nlm.nih.gov/dailymed/search.cfm?labeltype=all&amp;query=daptomycin" TargetMode="External"/><Relationship Id="rId1317" Type="http://schemas.openxmlformats.org/officeDocument/2006/relationships/hyperlink" Target="https://dmd-browser.nhsbsa.nhs.uk/ampp/view/197707" TargetMode="External"/><Relationship Id="rId1318" Type="http://schemas.openxmlformats.org/officeDocument/2006/relationships/hyperlink" Target="https://dailymed.nlm.nih.gov/dailymed/search.cfm?labeltype=all&amp;query=daptomycin" TargetMode="External"/><Relationship Id="rId1319" Type="http://schemas.openxmlformats.org/officeDocument/2006/relationships/hyperlink" Target="https://www.ema.europa.eu/en/documents/other/article-57-product-data_en.xlsx" TargetMode="External"/><Relationship Id="rId1320" Type="http://schemas.openxmlformats.org/officeDocument/2006/relationships/hyperlink" Target="https://dailymed.nlm.nih.gov/dailymed/search.cfm?labeltype=all&amp;query=daptomycin" TargetMode="External"/><Relationship Id="rId1321" Type="http://schemas.openxmlformats.org/officeDocument/2006/relationships/hyperlink" Target="https://www.ebs.tga.gov.au/ebs/picmi/picmirepository.nsf/pdf?OpenAgent&amp;id=CP-2023-PI-01384-1" TargetMode="External"/><Relationship Id="rId1322" Type="http://schemas.openxmlformats.org/officeDocument/2006/relationships/hyperlink" Target="https://dailymed.nlm.nih.gov/dailymed/search.cfm?labeltype=all&amp;query=haloperidol+lactate" TargetMode="External"/><Relationship Id="rId1323" Type="http://schemas.openxmlformats.org/officeDocument/2006/relationships/hyperlink" Target="https://mhraproducts4853.blob.core.windows.net/docs/c39d08ff0acc6dc6d5b1523ab09699a21e4f0137" TargetMode="External"/><Relationship Id="rId1324" Type="http://schemas.openxmlformats.org/officeDocument/2006/relationships/hyperlink" Target="https://dailymed.nlm.nih.gov/dailymed/search.cfm?labeltype=all&amp;query=haloperidol+lactate" TargetMode="External"/><Relationship Id="rId1325" Type="http://schemas.openxmlformats.org/officeDocument/2006/relationships/hyperlink" Target="https://www.ema.europa.eu/en/documents/other/article-57-product-data_en.xlsx" TargetMode="External"/><Relationship Id="rId1326" Type="http://schemas.openxmlformats.org/officeDocument/2006/relationships/hyperlink" Target="https://www.medicines.org.uk/emc/search?q=hyalase" TargetMode="External"/><Relationship Id="rId1327" Type="http://schemas.openxmlformats.org/officeDocument/2006/relationships/hyperlink" Target="https://www.ema.europa.eu/en/documents/other/article-57-product-data_en.xlsx" TargetMode="External"/><Relationship Id="rId1328" Type="http://schemas.openxmlformats.org/officeDocument/2006/relationships/hyperlink" Target="https://www.medicines.org.uk/emc/search?q=hyalase" TargetMode="External"/><Relationship Id="rId1329" Type="http://schemas.openxmlformats.org/officeDocument/2006/relationships/hyperlink" Target="https://www.ema.europa.eu/en/documents/other/article-57-product-data_en.xlsx" TargetMode="External"/><Relationship Id="rId1330" Type="http://schemas.openxmlformats.org/officeDocument/2006/relationships/hyperlink" Target="https://www.medicines.org.uk/emc/search?q=hyoscine+hydrobromide+injection" TargetMode="External"/><Relationship Id="rId1331" Type="http://schemas.openxmlformats.org/officeDocument/2006/relationships/hyperlink" Target="https://products.mhra.gov.uk/search/?search=hyoscine" TargetMode="External"/><Relationship Id="rId1332" Type="http://schemas.openxmlformats.org/officeDocument/2006/relationships/hyperlink" Target="https://www.medicines.org.uk/emc/search?q=hyoscine+hydrobromide+injection" TargetMode="External"/><Relationship Id="rId1333" Type="http://schemas.openxmlformats.org/officeDocument/2006/relationships/hyperlink" Target="https://www.ema.europa.eu/en/documents/other/article-57-product-data_en.xlsx" TargetMode="External"/><Relationship Id="rId1334" Type="http://schemas.openxmlformats.org/officeDocument/2006/relationships/hyperlink" Target="https://www.medicines.org.uk/emc/search?q=metaraminol" TargetMode="External"/><Relationship Id="rId1335" Type="http://schemas.openxmlformats.org/officeDocument/2006/relationships/hyperlink" Target="https://www.ema.europa.eu/en/documents/other/article-57-product-data_en.xlsx" TargetMode="External"/><Relationship Id="rId1336" Type="http://schemas.openxmlformats.org/officeDocument/2006/relationships/hyperlink" Target="https://www.medicines.org.uk/emc/search?q=metaraminol" TargetMode="External"/><Relationship Id="rId1337" Type="http://schemas.openxmlformats.org/officeDocument/2006/relationships/hyperlink" Target="https://www.ebs.tga.gov.au/ebs/picmi/picmirepository.nsf/pdf?OpenAgent&amp;id=CP-2023-PI-01637-1" TargetMode="External"/><Relationship Id="rId1338" Type="http://schemas.openxmlformats.org/officeDocument/2006/relationships/hyperlink" Target="https://dailymed.nlm.nih.gov/dailymed/search.cfm?labeltype=all&amp;query=milrinone" TargetMode="External"/><Relationship Id="rId1339" Type="http://schemas.openxmlformats.org/officeDocument/2006/relationships/hyperlink" Target="https://mhraproducts4853.blob.core.windows.net/docs/8d4555c20d185d4c32c594d228e76e53b76b0650" TargetMode="External"/><Relationship Id="rId1340" Type="http://schemas.openxmlformats.org/officeDocument/2006/relationships/hyperlink" Target="https://dailymed.nlm.nih.gov/dailymed/search.cfm?labeltype=all&amp;query=milrinone" TargetMode="External"/><Relationship Id="rId1341" Type="http://schemas.openxmlformats.org/officeDocument/2006/relationships/hyperlink" Target="https://www.ema.europa.eu/en/documents/other/article-57-product-data_en.xlsx" TargetMode="External"/><Relationship Id="rId1342" Type="http://schemas.openxmlformats.org/officeDocument/2006/relationships/hyperlink" Target="https://dailymed.nlm.nih.gov/dailymed/search.cfm?labeltype=all&amp;query=milrinone" TargetMode="External"/><Relationship Id="rId1343" Type="http://schemas.openxmlformats.org/officeDocument/2006/relationships/hyperlink" Target="https://www.ema.europa.eu/en/documents/other/article-57-product-data_en.xlsx" TargetMode="External"/><Relationship Id="rId1344" Type="http://schemas.openxmlformats.org/officeDocument/2006/relationships/hyperlink" Target="https://dailymed.nlm.nih.gov/dailymed/search.cfm?labeltype=all&amp;query=morphine+sulfate+injection" TargetMode="External"/><Relationship Id="rId1345" Type="http://schemas.openxmlformats.org/officeDocument/2006/relationships/hyperlink" Target="https://products.mhra.gov.uk/search/?search=morphine" TargetMode="External"/><Relationship Id="rId1346" Type="http://schemas.openxmlformats.org/officeDocument/2006/relationships/hyperlink" Target="https://dailymed.nlm.nih.gov/dailymed/search.cfm?labeltype=all&amp;query=morphine+sulfate+injection" TargetMode="External"/><Relationship Id="rId1347" Type="http://schemas.openxmlformats.org/officeDocument/2006/relationships/hyperlink" Target="https://www.ema.europa.eu/en/documents/other/article-57-product-data_en.xlsx" TargetMode="External"/><Relationship Id="rId1348" Type="http://schemas.openxmlformats.org/officeDocument/2006/relationships/hyperlink" Target="https://dailymed.nlm.nih.gov/dailymed/search.cfm?labeltype=all&amp;query=ondansetron+injection" TargetMode="External"/><Relationship Id="rId1349" Type="http://schemas.openxmlformats.org/officeDocument/2006/relationships/hyperlink" Target="https://www.ema.europa.eu/en/documents/other/article-57-product-data_en.xlsx" TargetMode="External"/><Relationship Id="rId1350" Type="http://schemas.openxmlformats.org/officeDocument/2006/relationships/hyperlink" Target="https://dailymed.nlm.nih.gov/dailymed/search.cfm?labeltype=all&amp;query=oxacillin" TargetMode="External"/><Relationship Id="rId1351" Type="http://schemas.openxmlformats.org/officeDocument/2006/relationships/hyperlink" Target="https://dailymed.nlm.nih.gov/dailymed/search.cfm?searchdb=ndc&amp;query=64679-698" TargetMode="External"/><Relationship Id="rId1352" Type="http://schemas.openxmlformats.org/officeDocument/2006/relationships/hyperlink" Target="https://dailymed.nlm.nih.gov/dailymed/search.cfm?labeltype=all&amp;query=protamine" TargetMode="External"/><Relationship Id="rId1353" Type="http://schemas.openxmlformats.org/officeDocument/2006/relationships/hyperlink" Target="https://dmd-browser.nhsbsa.nhs.uk/ampp/view/64125" TargetMode="External"/><Relationship Id="rId1354" Type="http://schemas.openxmlformats.org/officeDocument/2006/relationships/hyperlink" Target="https://dailymed.nlm.nih.gov/dailymed/search.cfm?labeltype=all&amp;query=protamine" TargetMode="External"/><Relationship Id="rId1355" Type="http://schemas.openxmlformats.org/officeDocument/2006/relationships/hyperlink" Target="https://www.ema.europa.eu/en/documents/other/article-57-product-data_en.xlsx" TargetMode="External"/><Relationship Id="rId1356" Type="http://schemas.openxmlformats.org/officeDocument/2006/relationships/hyperlink" Target="https://dailymed.nlm.nih.gov/dailymed/search.cfm?labeltype=all&amp;query=remifentanil" TargetMode="External"/><Relationship Id="rId1357" Type="http://schemas.openxmlformats.org/officeDocument/2006/relationships/hyperlink" Target="https://dmd-browser.nhsbsa.nhs.uk/ampp/view/87654" TargetMode="External"/><Relationship Id="rId1358" Type="http://schemas.openxmlformats.org/officeDocument/2006/relationships/hyperlink" Target="https://dailymed.nlm.nih.gov/dailymed/search.cfm?labeltype=all&amp;query=remifentanil" TargetMode="External"/><Relationship Id="rId1359" Type="http://schemas.openxmlformats.org/officeDocument/2006/relationships/hyperlink" Target="https://www.ema.europa.eu/en/documents/other/article-57-product-data_en.xlsx" TargetMode="External"/><Relationship Id="rId1360" Type="http://schemas.openxmlformats.org/officeDocument/2006/relationships/hyperlink" Target="https://dailymed.nlm.nih.gov/dailymed/search.cfm?labeltype=all&amp;query=valproate+sodium+injection" TargetMode="External"/><Relationship Id="rId1361" Type="http://schemas.openxmlformats.org/officeDocument/2006/relationships/hyperlink" Target="https://dmd-browser.nhsbsa.nhs.uk/ampp/view/102025" TargetMode="External"/><Relationship Id="rId1362" Type="http://schemas.openxmlformats.org/officeDocument/2006/relationships/hyperlink" Target="https://dailymed.nlm.nih.gov/dailymed/search.cfm?labeltype=all&amp;query=valproate+sodium+injection" TargetMode="External"/><Relationship Id="rId1363" Type="http://schemas.openxmlformats.org/officeDocument/2006/relationships/hyperlink" Target="https://www.ema.europa.eu/en/documents/other/article-57-product-data_en.xlsx" TargetMode="External"/><Relationship Id="rId1364" Type="http://schemas.openxmlformats.org/officeDocument/2006/relationships/hyperlink" Target="https://dailymed.nlm.nih.gov/dailymed/search.cfm?labeltype=all&amp;query=valproate+sodium+injection" TargetMode="External"/><Relationship Id="rId1365" Type="http://schemas.openxmlformats.org/officeDocument/2006/relationships/hyperlink" Target="https://www.tga.gov.au/resources/artg/279248" TargetMode="External"/><Relationship Id="rId1366" Type="http://schemas.openxmlformats.org/officeDocument/2006/relationships/hyperlink" Target="https://dailymed.nlm.nih.gov/dailymed/search.cfm?labeltype=all&amp;query=sugammadex" TargetMode="External"/><Relationship Id="rId1367" Type="http://schemas.openxmlformats.org/officeDocument/2006/relationships/hyperlink" Target="https://dmd-browser.nhsbsa.nhs.uk/ampp/view/197725" TargetMode="External"/><Relationship Id="rId1368" Type="http://schemas.openxmlformats.org/officeDocument/2006/relationships/hyperlink" Target="https://dailymed.nlm.nih.gov/dailymed/search.cfm?labeltype=all&amp;query=sugammadex" TargetMode="External"/><Relationship Id="rId1369" Type="http://schemas.openxmlformats.org/officeDocument/2006/relationships/hyperlink" Target="https://www.ema.europa.eu/en/documents/other/article-57-product-data_en.xlsx" TargetMode="External"/><Relationship Id="rId1370" Type="http://schemas.openxmlformats.org/officeDocument/2006/relationships/hyperlink" Target="https://dailymed.nlm.nih.gov/dailymed/search.cfm?labeltype=all&amp;query=vancomycin+injection" TargetMode="External"/><Relationship Id="rId1371" Type="http://schemas.openxmlformats.org/officeDocument/2006/relationships/hyperlink" Target="https://www.ema.europa.eu/en/documents/other/article-57-product-data_en.xlsx" TargetMode="External"/><Relationship Id="rId1372" Type="http://schemas.openxmlformats.org/officeDocument/2006/relationships/hyperlink" Target="https://dailymed.nlm.nih.gov/dailymed/search.cfm?labeltype=all&amp;query=acetazolamide" TargetMode="External"/><Relationship Id="rId1373" Type="http://schemas.openxmlformats.org/officeDocument/2006/relationships/hyperlink" Target="https://dailymed.nlm.nih.gov/dailymed/search.cfm?labeltype=all&amp;query=Acetazolamide+Sodium" TargetMode="External"/><Relationship Id="rId1374" Type="http://schemas.openxmlformats.org/officeDocument/2006/relationships/hyperlink" Target="https://dailymed.nlm.nih.gov/dailymed/search.cfm?labeltype=all&amp;query=bortezomib" TargetMode="External"/><Relationship Id="rId1375" Type="http://schemas.openxmlformats.org/officeDocument/2006/relationships/hyperlink" Target="https://dailymed.nlm.nih.gov/dailymed/drugInfo.cfm?setid=0eb8daef-18da-43bb-b7c6-38c4c8b5dd80" TargetMode="External"/><Relationship Id="rId1376" Type="http://schemas.openxmlformats.org/officeDocument/2006/relationships/hyperlink" Target="https://dailymed.nlm.nih.gov/dailymed/search.cfm?labeltype=all&amp;query=bortezomib" TargetMode="External"/><Relationship Id="rId1377" Type="http://schemas.openxmlformats.org/officeDocument/2006/relationships/hyperlink" Target="https://mhraproducts4853.blob.core.windows.net/docs/fd1559e1fe8ad5d4484aa5c74fde8d60c48452b0" TargetMode="External"/><Relationship Id="rId1378" Type="http://schemas.openxmlformats.org/officeDocument/2006/relationships/hyperlink" Target="https://dailymed.nlm.nih.gov/dailymed/search.cfm?labeltype=all&amp;query=bortezomib" TargetMode="External"/><Relationship Id="rId1379" Type="http://schemas.openxmlformats.org/officeDocument/2006/relationships/hyperlink" Target="https://www.ema.europa.eu/en/documents/other/article-57-product-data_en.xlsx" TargetMode="External"/><Relationship Id="rId1380" Type="http://schemas.openxmlformats.org/officeDocument/2006/relationships/hyperlink" Target="https://dailymed.nlm.nih.gov/dailymed/search.cfm?labeltype=all&amp;query=bortezomib" TargetMode="External"/><Relationship Id="rId1381" Type="http://schemas.openxmlformats.org/officeDocument/2006/relationships/hyperlink" Target="https://www.ema.europa.eu/en/documents/other/article-57-product-data_en.xlsx" TargetMode="External"/><Relationship Id="rId1382" Type="http://schemas.openxmlformats.org/officeDocument/2006/relationships/hyperlink" Target="https://dailymed.nlm.nih.gov/dailymed/search.cfm?labeltype=all&amp;query=bortezomib" TargetMode="External"/><Relationship Id="rId1383" Type="http://schemas.openxmlformats.org/officeDocument/2006/relationships/hyperlink" Target="https://pi-pil-repository.sahpra.org.za/wp-content/uploads/2025/01/1.3.2-Bortezomib-Zydus-PIL-for-repository.pdf" TargetMode="External"/><Relationship Id="rId1384" Type="http://schemas.openxmlformats.org/officeDocument/2006/relationships/hyperlink" Target="https://dailymed.nlm.nih.gov/dailymed/search.cfm?labeltype=all&amp;query=ceftriaxone" TargetMode="External"/><Relationship Id="rId1385" Type="http://schemas.openxmlformats.org/officeDocument/2006/relationships/hyperlink" Target="https://base-donnees-publique.medicaments.gouv.fr/index.php?page=1&amp;choixRecherche=medicament&amp;txtCaracteres=Ceftriaxone%20Zydus&amp;action=show" TargetMode="External"/><Relationship Id="rId1386" Type="http://schemas.openxmlformats.org/officeDocument/2006/relationships/hyperlink" Target="https://www.ema.europa.eu/en/documents/other/article-57-product-data_en.xlsx" TargetMode="External"/><Relationship Id="rId1387" Type="http://schemas.openxmlformats.org/officeDocument/2006/relationships/hyperlink" Target="https://dailymed.nlm.nih.gov/dailymed/search.cfm?labeltype=all&amp;query=chlorpromazine" TargetMode="External"/><Relationship Id="rId1388" Type="http://schemas.openxmlformats.org/officeDocument/2006/relationships/hyperlink" Target="https://dailymed.nlm.nih.gov/dailymed/lookup.cfm?setid=7cd6dc0d-e98d-40ae-80d4-c15f63056abf" TargetMode="External"/><Relationship Id="rId1389" Type="http://schemas.openxmlformats.org/officeDocument/2006/relationships/hyperlink" Target="https://dailymed.nlm.nih.gov/dailymed/search.cfm?labeltype=all&amp;query=cisatracurium" TargetMode="External"/><Relationship Id="rId1390" Type="http://schemas.openxmlformats.org/officeDocument/2006/relationships/hyperlink" Target="https://dailymed.nlm.nih.gov/dailymed/fda/fdaDrugXsl.cfm?setid=e145a40e-b046-4064-b35e-0da40ff3703e&amp;type=display" TargetMode="External"/><Relationship Id="rId1391" Type="http://schemas.openxmlformats.org/officeDocument/2006/relationships/hyperlink" Target="https://dailymed.nlm.nih.gov/dailymed/search.cfm?labeltype=all&amp;query=cyanocobalamin+injection" TargetMode="External"/><Relationship Id="rId1392" Type="http://schemas.openxmlformats.org/officeDocument/2006/relationships/hyperlink" Target="https://dailymed.nlm.nih.gov/dailymed/drugInfo.cfm?setid=e6712877-ace0-441c-99a9-adf567c0b9a2" TargetMode="External"/><Relationship Id="rId1393" Type="http://schemas.openxmlformats.org/officeDocument/2006/relationships/hyperlink" Target="https://dailymed.nlm.nih.gov/dailymed/search.cfm?labeltype=all&amp;query=ethacrynate+sodium" TargetMode="External"/><Relationship Id="rId1394" Type="http://schemas.openxmlformats.org/officeDocument/2006/relationships/hyperlink" Target="https://dailymed.nlm.nih.gov/dailymed/search.cfm?labeltype=all&amp;query=Ethacrynate+Sodium" TargetMode="External"/><Relationship Id="rId1395" Type="http://schemas.openxmlformats.org/officeDocument/2006/relationships/hyperlink" Target="https://dailymed.nlm.nih.gov/dailymed/search.cfm?labeltype=all&amp;query=etomidate" TargetMode="External"/><Relationship Id="rId1396" Type="http://schemas.openxmlformats.org/officeDocument/2006/relationships/hyperlink" Target="https://dailymed.nlm.nih.gov/dailymed/search.cfm?labeltype=all&amp;query=Etomidate" TargetMode="External"/><Relationship Id="rId1397" Type="http://schemas.openxmlformats.org/officeDocument/2006/relationships/hyperlink" Target="https://dailymed.nlm.nih.gov/dailymed/search.cfm?labeltype=all&amp;query=fluorescein" TargetMode="External"/><Relationship Id="rId1398" Type="http://schemas.openxmlformats.org/officeDocument/2006/relationships/hyperlink" Target="https://dailymed.nlm.nih.gov/dailymed/drugInfo.cfm?setid=19aea137-3f47-4b69-9884-3bff5f79b04a" TargetMode="External"/><Relationship Id="rId1399" Type="http://schemas.openxmlformats.org/officeDocument/2006/relationships/hyperlink" Target="https://dailymed.nlm.nih.gov/dailymed/search.cfm?labeltype=all&amp;query=fulvestrant" TargetMode="External"/><Relationship Id="rId1400" Type="http://schemas.openxmlformats.org/officeDocument/2006/relationships/hyperlink" Target="https://dailymed.nlm.nih.gov/dailymed/drugInfo.cfm?setid=994edf79-20a5-4e3a-bb35-c4fe3e65acba" TargetMode="External"/><Relationship Id="rId1401" Type="http://schemas.openxmlformats.org/officeDocument/2006/relationships/hyperlink" Target="https://dailymed.nlm.nih.gov/dailymed/search.cfm?labeltype=all&amp;query=haloperidol+decanoate" TargetMode="External"/><Relationship Id="rId1402" Type="http://schemas.openxmlformats.org/officeDocument/2006/relationships/hyperlink" Target="https://dailymed.nlm.nih.gov/dailymed/search.cfm?searchdb=ndc&amp;query=70710-1461" TargetMode="External"/><Relationship Id="rId1403" Type="http://schemas.openxmlformats.org/officeDocument/2006/relationships/hyperlink" Target="https://dailymed.nlm.nih.gov/dailymed/search.cfm?labeltype=all&amp;query=hydrocortisone+sodium+succinate" TargetMode="External"/><Relationship Id="rId1404" Type="http://schemas.openxmlformats.org/officeDocument/2006/relationships/hyperlink" Target="https://dailymed.nlm.nih.gov/dailymed/drugInfo.cfm?setid=37534164-9de5-4bb3-9f87-341dfcf90883" TargetMode="External"/><Relationship Id="rId1405" Type="http://schemas.openxmlformats.org/officeDocument/2006/relationships/hyperlink" Target="https://dailymed.nlm.nih.gov/dailymed/search.cfm?labeltype=all&amp;query=indocyanine+green" TargetMode="External"/><Relationship Id="rId1406" Type="http://schemas.openxmlformats.org/officeDocument/2006/relationships/hyperlink" Target="https://dailymed.nlm.nih.gov/dailymed/search.cfm?labeltype=all&amp;query=Indocyanine+Green" TargetMode="External"/><Relationship Id="rId1407" Type="http://schemas.openxmlformats.org/officeDocument/2006/relationships/hyperlink" Target="https://dailymed.nlm.nih.gov/dailymed/search.cfm?labeltype=all&amp;query=iron+sucrose" TargetMode="External"/><Relationship Id="rId1408" Type="http://schemas.openxmlformats.org/officeDocument/2006/relationships/hyperlink" Target="https://medicineprices.org.za/" TargetMode="External"/><Relationship Id="rId1409" Type="http://schemas.openxmlformats.org/officeDocument/2006/relationships/hyperlink" Target="https://dailymed.nlm.nih.gov/dailymed/search.cfm?labeltype=all&amp;query=ondansetron+injection" TargetMode="External"/><Relationship Id="rId1410" Type="http://schemas.openxmlformats.org/officeDocument/2006/relationships/hyperlink" Target="https://medicineprices.org.za/" TargetMode="External"/><Relationship Id="rId1411" Type="http://schemas.openxmlformats.org/officeDocument/2006/relationships/hyperlink" Target="https://dailymed.nlm.nih.gov/dailymed/search.cfm?labeltype=all&amp;query=succinylcholine" TargetMode="External"/><Relationship Id="rId1412" Type="http://schemas.openxmlformats.org/officeDocument/2006/relationships/hyperlink" Target="https://dailymed.nlm.nih.gov/dailymed/drugInfo.cfm?setid=017e5ad4-028e-4e34-ac09-d0c8d64c880a" TargetMode="External"/><Relationship Id="rId1413" Type="http://schemas.openxmlformats.org/officeDocument/2006/relationships/hyperlink" Target="https://dailymed.nlm.nih.gov/dailymed/search.cfm?labeltype=all&amp;query=sugammadex" TargetMode="External"/><Relationship Id="rId1414" Type="http://schemas.openxmlformats.org/officeDocument/2006/relationships/hyperlink" Target="https://dailymed.nlm.nih.gov/dailymed/drugInfo.cfm?setid=ab41ea1c-266f-421c-8fc4-6e7ff518a75d" TargetMode="External"/><Relationship Id="rId1415" Type="http://schemas.openxmlformats.org/officeDocument/2006/relationships/hyperlink" Target="https://dailymed.nlm.nih.gov/dailymed/search.cfm?labeltype=all&amp;query=verapamil+hydrochloride+injection" TargetMode="External"/><Relationship Id="rId1416" Type="http://schemas.openxmlformats.org/officeDocument/2006/relationships/hyperlink" Target="https://dailymed.nlm.nih.gov/dailymed/fda/fdaDrugXsl.cfm?setid=c87c7f7e-cdf5-42c7-a831-a7515d2d51d6&amp;type=display" TargetMode="External"/><Relationship Id="rId1417"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www.drugs.com/price-guide/carboprost" TargetMode="External"/><Relationship Id="rId2" Type="http://schemas.openxmlformats.org/officeDocument/2006/relationships/hyperlink" Target="https://www.medicinpriser.dk/Default.aspx?VirksomtStof=Carboprost&amp;lng=2" TargetMode="External"/><Relationship Id="rId3" Type="http://schemas.openxmlformats.org/officeDocument/2006/relationships/hyperlink" Target="https://www.cms.gov/files/zip/october-2026-medicare-part-b-payment-limit-files-final.zip" TargetMode="External"/><Relationship Id="rId4" Type="http://schemas.openxmlformats.org/officeDocument/2006/relationships/hyperlink" Target="https://www.drugs.com/price-guide/fulvestrant" TargetMode="External"/><Relationship Id="rId5" Type="http://schemas.openxmlformats.org/officeDocument/2006/relationships/hyperlink" Target="https://www.drugs.com/price-guide/methotrexate" TargetMode="External"/><Relationship Id="rId6" Type="http://schemas.openxmlformats.org/officeDocument/2006/relationships/hyperlink" Target="https://www.drugs.com/price-guide/methotrexate" TargetMode="External"/><Relationship Id="rId7" Type="http://schemas.openxmlformats.org/officeDocument/2006/relationships/hyperlink" Target="https://www.cms.gov/files/zip/october-2026-medicare-part-b-payment-limit-files-final.zip" TargetMode="External"/><Relationship Id="rId8" Type="http://schemas.openxmlformats.org/officeDocument/2006/relationships/hyperlink" Target="https://www.cms.gov/files/zip/october-2026-medicare-part-b-payment-limit-files-final.zip" TargetMode="External"/><Relationship Id="rId9" Type="http://schemas.openxmlformats.org/officeDocument/2006/relationships/hyperlink" Target="https://www.ab.bluecross.ca/dbl/pdfs/ABCDPL_2026_01_07.pdf" TargetMode="External"/><Relationship Id="rId10" Type="http://schemas.openxmlformats.org/officeDocument/2006/relationships/hyperlink" Target="https://www.ab.bluecross.ca/dbl/pdfs/ABCDPL_2026_01_07.pdf" TargetMode="External"/><Relationship Id="rId11" Type="http://schemas.openxmlformats.org/officeDocument/2006/relationships/hyperlink" Target="https://www.drugs.com/price-guide/argatroban" TargetMode="External"/><Relationship Id="rId12" Type="http://schemas.openxmlformats.org/officeDocument/2006/relationships/hyperlink" Target="https://dmd-browser.nhsbsa.nhs.uk/ampp/view/185061" TargetMode="External"/><Relationship Id="rId13" Type="http://schemas.openxmlformats.org/officeDocument/2006/relationships/hyperlink" Target="https://www.aifa.gov.it/documents/20142/3815901/Classe_H_per_principio_attivo_30-04-2026.csv" TargetMode="External"/><Relationship Id="rId14" Type="http://schemas.openxmlformats.org/officeDocument/2006/relationships/hyperlink" Target="https://www.pbs.gov.au/industry/pricing/ex-manufacturer-price/2026/09/ex-manufacturer-prices-non-efc-2026-09-01.XLSX" TargetMode="External"/><Relationship Id="rId15" Type="http://schemas.openxmlformats.org/officeDocument/2006/relationships/hyperlink" Target="https://www.drugs.com/price-guide/bortezomib" TargetMode="External"/><Relationship Id="rId16" Type="http://schemas.openxmlformats.org/officeDocument/2006/relationships/hyperlink" Target="https://dmd-browser.nhsbsa.nhs.uk/ampp/view/187562" TargetMode="External"/><Relationship Id="rId17" Type="http://schemas.openxmlformats.org/officeDocument/2006/relationships/hyperlink" Target="https://www.aifa.gov.it/documents/20142/3815901/Classe_H_per_principio_attivo_30-04-2026.csv" TargetMode="External"/><Relationship Id="rId18" Type="http://schemas.openxmlformats.org/officeDocument/2006/relationships/hyperlink" Target="https://www.pbs.gov.au/industry/pricing/ex-manufacturer-price/2026/09/ex-manufacturer-prices-efc-2026-09-01.XLSX" TargetMode="External"/><Relationship Id="rId19" Type="http://schemas.openxmlformats.org/officeDocument/2006/relationships/hyperlink" Target="https://www.aponeo.de/rx/12675950-bupivan-0-5-5-mg-ml-inj-l-25mg-5ml-glasamp.html" TargetMode="External"/><Relationship Id="rId20" Type="http://schemas.openxmlformats.org/officeDocument/2006/relationships/hyperlink" Target="https://www.drugs.com/price-guide/carboprost" TargetMode="External"/><Relationship Id="rId21" Type="http://schemas.openxmlformats.org/officeDocument/2006/relationships/hyperlink" Target="https://www.health.gov.za/nhi-pee/" TargetMode="External"/><Relationship Id="rId22" Type="http://schemas.openxmlformats.org/officeDocument/2006/relationships/hyperlink" Target="https://www.health.gov.za/nhi-pee/" TargetMode="External"/><Relationship Id="rId23" Type="http://schemas.openxmlformats.org/officeDocument/2006/relationships/hyperlink" Target="https://www.health.gov.za/nhi-pee/" TargetMode="External"/><Relationship Id="rId24" Type="http://schemas.openxmlformats.org/officeDocument/2006/relationships/hyperlink" Target="https://www.health.gov.za/nhi-pee/" TargetMode="External"/><Relationship Id="rId25" Type="http://schemas.openxmlformats.org/officeDocument/2006/relationships/hyperlink" Target="https://base-donnees-publique.medicaments.gouv.fr/medicament/64318859/extrait" TargetMode="External"/><Relationship Id="rId26" Type="http://schemas.openxmlformats.org/officeDocument/2006/relationships/hyperlink" Target="https://www.dovesalute.it/it/farmaci/med/36138/ceftriaxone-aurobindo" TargetMode="External"/><Relationship Id="rId27" Type="http://schemas.openxmlformats.org/officeDocument/2006/relationships/hyperlink" Target="https://www.aifa.gov.it/documents/20142/3815901/Classe_A_per_principio_attivo_30-04-2026.csv" TargetMode="External"/><Relationship Id="rId28" Type="http://schemas.openxmlformats.org/officeDocument/2006/relationships/hyperlink" Target="https://www.drugs.com/price-guide/chlorpromazine" TargetMode="External"/><Relationship Id="rId29" Type="http://schemas.openxmlformats.org/officeDocument/2006/relationships/hyperlink" Target="https://www.drugs.com/price-guide/cyclophosphamide" TargetMode="External"/><Relationship Id="rId30" Type="http://schemas.openxmlformats.org/officeDocument/2006/relationships/hyperlink" Target="https://www.drugs.com/price-guide/cyclophosphamide" TargetMode="External"/><Relationship Id="rId31" Type="http://schemas.openxmlformats.org/officeDocument/2006/relationships/hyperlink" Target="https://www.drugs.com/price-guide/cyclophosphamide" TargetMode="External"/><Relationship Id="rId32" Type="http://schemas.openxmlformats.org/officeDocument/2006/relationships/hyperlink" Target="https://www.drugs.com/price-guide/dactinomycin" TargetMode="External"/><Relationship Id="rId33" Type="http://schemas.openxmlformats.org/officeDocument/2006/relationships/hyperlink" Target="https://www.aifa.gov.it/documents/20142/3815901/Classe_H_per_principio_attivo_30-04-2026.csv" TargetMode="External"/><Relationship Id="rId34" Type="http://schemas.openxmlformats.org/officeDocument/2006/relationships/hyperlink" Target="https://www.aifa.gov.it/documents/20142/3815901/Classe_H_per_principio_attivo_30-04-2026.csv" TargetMode="External"/><Relationship Id="rId35" Type="http://schemas.openxmlformats.org/officeDocument/2006/relationships/hyperlink" Target="https://www.drugs.com/price-guide/ephedrine" TargetMode="External"/><Relationship Id="rId36" Type="http://schemas.openxmlformats.org/officeDocument/2006/relationships/hyperlink" Target="https://www.aifa.gov.it/documents/20142/3815901/Classe_H_per_principio_attivo_30-04-2026.csv" TargetMode="External"/><Relationship Id="rId37" Type="http://schemas.openxmlformats.org/officeDocument/2006/relationships/hyperlink" Target="https://www.drugs.com/price-guide/eptifibatide" TargetMode="External"/><Relationship Id="rId38" Type="http://schemas.openxmlformats.org/officeDocument/2006/relationships/hyperlink" Target="https://www.drugs.com/price-guide/ertapenem" TargetMode="External"/><Relationship Id="rId39" Type="http://schemas.openxmlformats.org/officeDocument/2006/relationships/hyperlink" Target="https://www.ab.bluecross.ca/dbl/pdfs/ABCDPL_2026_09_04.pdf" TargetMode="External"/><Relationship Id="rId40" Type="http://schemas.openxmlformats.org/officeDocument/2006/relationships/hyperlink" Target="https://www.ab.bluecross.ca/dbl/pdfs/ABCDPL_2026_09_04.pdf" TargetMode="External"/><Relationship Id="rId41" Type="http://schemas.openxmlformats.org/officeDocument/2006/relationships/hyperlink" Target="https://www.health.gov.za/nhi-pee/" TargetMode="External"/><Relationship Id="rId42" Type="http://schemas.openxmlformats.org/officeDocument/2006/relationships/hyperlink" Target="https://www.health.gov.za/nhi-pee/" TargetMode="External"/><Relationship Id="rId43" Type="http://schemas.openxmlformats.org/officeDocument/2006/relationships/hyperlink" Target="https://www.health.gov.za/nhi-pee/" TargetMode="External"/><Relationship Id="rId44" Type="http://schemas.openxmlformats.org/officeDocument/2006/relationships/hyperlink" Target="https://www.health.gov.za/nhi-pee/" TargetMode="External"/><Relationship Id="rId45" Type="http://schemas.openxmlformats.org/officeDocument/2006/relationships/hyperlink" Target="https://www.drugs.com/price-guide/esmolol" TargetMode="External"/><Relationship Id="rId46" Type="http://schemas.openxmlformats.org/officeDocument/2006/relationships/hyperlink" Target="https://dmd-browser.nhsbsa.nhs.uk/ampp/view/171701" TargetMode="External"/><Relationship Id="rId47" Type="http://schemas.openxmlformats.org/officeDocument/2006/relationships/hyperlink" Target="https://www.aifa.gov.it/documents/20142/3815901/Classe_H_per_principio_attivo_30-04-2026.csv" TargetMode="External"/><Relationship Id="rId48" Type="http://schemas.openxmlformats.org/officeDocument/2006/relationships/hyperlink" Target="https://www.drugs.com/price-guide/fluorouracil" TargetMode="External"/><Relationship Id="rId49" Type="http://schemas.openxmlformats.org/officeDocument/2006/relationships/hyperlink" Target="https://www.drugs.com/price-guide/fluphenazine" TargetMode="External"/><Relationship Id="rId50" Type="http://schemas.openxmlformats.org/officeDocument/2006/relationships/hyperlink" Target="https://www.medicinpriser.dk/Default.aspx?id=15&amp;vnr=540548" TargetMode="External"/><Relationship Id="rId51" Type="http://schemas.openxmlformats.org/officeDocument/2006/relationships/hyperlink" Target="https://www.nhsbsa.nhs.uk/sites/default/files/2026-08/Part%20VIIIA%20Sep%2026.xls.xlsx" TargetMode="External"/><Relationship Id="rId52" Type="http://schemas.openxmlformats.org/officeDocument/2006/relationships/hyperlink" Target="https://www.aifa.gov.it/documents/20142/3815901/Classe_H_per_principio_attivo_30-04-2026.csv" TargetMode="External"/><Relationship Id="rId53" Type="http://schemas.openxmlformats.org/officeDocument/2006/relationships/hyperlink" Target="https://www.pbs.gov.au/industry/pricing/ex-manufacturer-price/2026/09/ex-manufacturer-prices-non-efc-2026-09-01.XLSX" TargetMode="External"/><Relationship Id="rId54" Type="http://schemas.openxmlformats.org/officeDocument/2006/relationships/hyperlink" Target="https://www.formulary.health.gov.on.ca/formulary/detail.xhtml?drugId=02516160" TargetMode="External"/><Relationship Id="rId55" Type="http://schemas.openxmlformats.org/officeDocument/2006/relationships/hyperlink" Target="https://www.ab.bluecross.ca/dbl/pdfs/ABCDPL_2026_09_04.pdf" TargetMode="External"/><Relationship Id="rId56" Type="http://schemas.openxmlformats.org/officeDocument/2006/relationships/hyperlink" Target="https://www.drugs.com/price-guide/ibandronate" TargetMode="External"/><Relationship Id="rId57" Type="http://schemas.openxmlformats.org/officeDocument/2006/relationships/hyperlink" Target="https://www.drugs.com/price-guide/medroxyprogesterone" TargetMode="External"/><Relationship Id="rId58" Type="http://schemas.openxmlformats.org/officeDocument/2006/relationships/hyperlink" Target="https://www.mountainside-medical.com/products/medroxyprogesterone-acetate-injection-prefilled-syringe-150-mg-ml" TargetMode="External"/><Relationship Id="rId59" Type="http://schemas.openxmlformats.org/officeDocument/2006/relationships/hyperlink" Target="https://www.aifa.gov.it/documents/20142/3815901/Classe_H_per_principio_attivo_30-04-2026.csv" TargetMode="External"/><Relationship Id="rId60" Type="http://schemas.openxmlformats.org/officeDocument/2006/relationships/hyperlink" Target="https://www.aifa.gov.it/documents/20142/3815901/Classe_H_per_principio_attivo_30-04-2026.csv" TargetMode="External"/><Relationship Id="rId61" Type="http://schemas.openxmlformats.org/officeDocument/2006/relationships/hyperlink" Target="https://www.aifa.gov.it/documents/20142/3815901/Classe_H_per_principio_attivo_30-04-2026.csv" TargetMode="External"/><Relationship Id="rId62" Type="http://schemas.openxmlformats.org/officeDocument/2006/relationships/hyperlink" Target="https://www.aifa.gov.it/documents/20142/3815901/Classe_H_per_principio_attivo_30-04-2026.csv" TargetMode="External"/><Relationship Id="rId63" Type="http://schemas.openxmlformats.org/officeDocument/2006/relationships/hyperlink" Target="https://www.ab.bluecross.ca/dbl/pdfs/ABCDPL_2024_12_05.pdf" TargetMode="External"/><Relationship Id="rId64" Type="http://schemas.openxmlformats.org/officeDocument/2006/relationships/hyperlink" Target="https://www.ab.bluecross.ca/dbl/pdfs/ABCDPL_2024_12_05.pdf" TargetMode="External"/><Relationship Id="rId65" Type="http://schemas.openxmlformats.org/officeDocument/2006/relationships/hyperlink" Target="https://www.ab.bluecross.ca/dbl/pdfs/ABCDPL_2024_12_05.pdf" TargetMode="External"/><Relationship Id="rId66" Type="http://schemas.openxmlformats.org/officeDocument/2006/relationships/hyperlink" Target="https://www.ab.bluecross.ca/dbl/pdfs/ABCDPL_2024_12_05.pdf" TargetMode="External"/><Relationship Id="rId67" Type="http://schemas.openxmlformats.org/officeDocument/2006/relationships/hyperlink" Target="https://www.drugs.com/price-guide/mesna" TargetMode="External"/><Relationship Id="rId68" Type="http://schemas.openxmlformats.org/officeDocument/2006/relationships/hyperlink" Target="https://www.drugs.com/price-guide/methotrexate" TargetMode="External"/><Relationship Id="rId69" Type="http://schemas.openxmlformats.org/officeDocument/2006/relationships/hyperlink" Target="https://www.drugs.com/price-guide/methotrexate" TargetMode="External"/><Relationship Id="rId70" Type="http://schemas.openxmlformats.org/officeDocument/2006/relationships/hyperlink" Target="https://www.drugs.com/price-guide/methotrexate" TargetMode="External"/><Relationship Id="rId71" Type="http://schemas.openxmlformats.org/officeDocument/2006/relationships/hyperlink" Target="https://www.cms.gov/files/zip/october-2026-medicare-part-b-payment-limit-files-final.zip" TargetMode="External"/><Relationship Id="rId72" Type="http://schemas.openxmlformats.org/officeDocument/2006/relationships/hyperlink" Target="https://www.cms.gov/files/zip/october-2026-medicare-part-b-payment-limit-files-final.zip" TargetMode="External"/><Relationship Id="rId73" Type="http://schemas.openxmlformats.org/officeDocument/2006/relationships/hyperlink" Target="https://www.aifa.gov.it/documents/20142/3815901/Classe_H_per_principio_attivo_30-04-2026.csv" TargetMode="External"/><Relationship Id="rId74" Type="http://schemas.openxmlformats.org/officeDocument/2006/relationships/hyperlink" Target="https://www.drugs.com/price-guide/nafcillin" TargetMode="External"/><Relationship Id="rId75" Type="http://schemas.openxmlformats.org/officeDocument/2006/relationships/hyperlink" Target="https://www.drugs.com/price-guide/nafcillin" TargetMode="External"/><Relationship Id="rId76" Type="http://schemas.openxmlformats.org/officeDocument/2006/relationships/hyperlink" Target="https://www.drugs.com/price-guide/naloxone" TargetMode="External"/><Relationship Id="rId77" Type="http://schemas.openxmlformats.org/officeDocument/2006/relationships/hyperlink" Target="https://www.ab.bluecross.ca/dbl/pdfs/ABCDPL_2026_09_04.pdf" TargetMode="External"/><Relationship Id="rId78" Type="http://schemas.openxmlformats.org/officeDocument/2006/relationships/hyperlink" Target="https://dmd-browser.nhsbsa.nhs.uk/ampp/view/47382" TargetMode="External"/><Relationship Id="rId79" Type="http://schemas.openxmlformats.org/officeDocument/2006/relationships/hyperlink" Target="https://www.aifa.gov.it/documents/20142/3815901/Classe_H_per_principio_attivo_30-04-2026.csv" TargetMode="External"/><Relationship Id="rId80" Type="http://schemas.openxmlformats.org/officeDocument/2006/relationships/hyperlink" Target="https://www.formulary.health.gov.on.ca/formulary/detail.xhtml?drugId=02491524" TargetMode="External"/><Relationship Id="rId81" Type="http://schemas.openxmlformats.org/officeDocument/2006/relationships/hyperlink" Target="https://www.formulary.health.gov.on.ca/formulary/detail.xhtml?drugId=02491532" TargetMode="External"/><Relationship Id="rId82" Type="http://schemas.openxmlformats.org/officeDocument/2006/relationships/hyperlink" Target="https://www.ab.bluecross.ca/dbl/pdfs/ABCDPL_2026_09_04.pdf" TargetMode="External"/><Relationship Id="rId83" Type="http://schemas.openxmlformats.org/officeDocument/2006/relationships/hyperlink" Target="https://www.drugs.com/price-guide/oxacillin" TargetMode="External"/><Relationship Id="rId84" Type="http://schemas.openxmlformats.org/officeDocument/2006/relationships/hyperlink" Target="https://www.drugs.com/price-guide/palonosetron" TargetMode="External"/><Relationship Id="rId85" Type="http://schemas.openxmlformats.org/officeDocument/2006/relationships/hyperlink" Target="https://dmd-browser.nhsbsa.nhs.uk/ampp/view/194984" TargetMode="External"/><Relationship Id="rId86" Type="http://schemas.openxmlformats.org/officeDocument/2006/relationships/hyperlink" Target="https://www.ab.bluecross.ca/dbl/pdfs/ABCDPL_2026_03_03.pdf" TargetMode="External"/><Relationship Id="rId87" Type="http://schemas.openxmlformats.org/officeDocument/2006/relationships/hyperlink" Target="https://www.ab.bluecross.ca/dbl/pdfs/ABCDPL_2026_03_03.pdf" TargetMode="External"/><Relationship Id="rId88" Type="http://schemas.openxmlformats.org/officeDocument/2006/relationships/hyperlink" Target="https://www.drugs.com/price-guide/plerixafor" TargetMode="External"/><Relationship Id="rId89" Type="http://schemas.openxmlformats.org/officeDocument/2006/relationships/hyperlink" Target="https://dmd-browser.nhsbsa.nhs.uk/ampp/view/190293" TargetMode="External"/><Relationship Id="rId90" Type="http://schemas.openxmlformats.org/officeDocument/2006/relationships/hyperlink" Target="https://www.aifa.gov.it/documents/20142/3815901/Classe_H_per_principio_attivo_30-04-2026.csv" TargetMode="External"/><Relationship Id="rId91" Type="http://schemas.openxmlformats.org/officeDocument/2006/relationships/hyperlink" Target="https://www.ab.bluecross.ca/dbl/pdfs/ABCDPL_2026_09_04.pdf" TargetMode="External"/><Relationship Id="rId92" Type="http://schemas.openxmlformats.org/officeDocument/2006/relationships/hyperlink" Target="https://www.pbs.gov.au/industry/pricing/price-disclosure-spd/current-price-disclosure-cycle" TargetMode="External"/><Relationship Id="rId93" Type="http://schemas.openxmlformats.org/officeDocument/2006/relationships/hyperlink" Target="https://www.drugs.com/price-guide/progesterone" TargetMode="External"/><Relationship Id="rId94" Type="http://schemas.openxmlformats.org/officeDocument/2006/relationships/hyperlink" Target="https://www.cms.gov/files/zip/october-2026-medicare-part-b-payment-limit-files-final.zip" TargetMode="External"/><Relationship Id="rId95" Type="http://schemas.openxmlformats.org/officeDocument/2006/relationships/hyperlink" Target="https://www.medicinpriser.dk/Default.aspx?VirksomtStof=Remifentanil" TargetMode="External"/><Relationship Id="rId96" Type="http://schemas.openxmlformats.org/officeDocument/2006/relationships/hyperlink" Target="https://www.drugs.com/price-guide/ropivacaine" TargetMode="External"/><Relationship Id="rId97" Type="http://schemas.openxmlformats.org/officeDocument/2006/relationships/hyperlink" Target="https://www.drugs.com/price-guide/ropivacaine" TargetMode="External"/><Relationship Id="rId98" Type="http://schemas.openxmlformats.org/officeDocument/2006/relationships/hyperlink" Target="https://www.drugs.com/price-guide/ropivacaine" TargetMode="External"/><Relationship Id="rId99" Type="http://schemas.openxmlformats.org/officeDocument/2006/relationships/hyperlink" Target="https://www.drugs.com/price-guide/ropivacaine" TargetMode="External"/><Relationship Id="rId100" Type="http://schemas.openxmlformats.org/officeDocument/2006/relationships/hyperlink" Target="https://www.drugs.com/price-guide/ropivacaine" TargetMode="External"/><Relationship Id="rId101" Type="http://schemas.openxmlformats.org/officeDocument/2006/relationships/hyperlink" Target="https://www.drugs.com/price-guide/ropivacaine" TargetMode="External"/><Relationship Id="rId102" Type="http://schemas.openxmlformats.org/officeDocument/2006/relationships/hyperlink" Target="https://www.drugs.com/price-guide/sildenafil" TargetMode="External"/><Relationship Id="rId103" Type="http://schemas.openxmlformats.org/officeDocument/2006/relationships/hyperlink" Target="https://www.drugs.com/price-guide/testosterone" TargetMode="External"/><Relationship Id="rId104" Type="http://schemas.openxmlformats.org/officeDocument/2006/relationships/hyperlink" Target="https://www.drugs.com/price-guide/testosterone" TargetMode="External"/><Relationship Id="rId105" Type="http://schemas.openxmlformats.org/officeDocument/2006/relationships/hyperlink" Target="https://www.drugs.com/price-guide/testosterone" TargetMode="External"/><Relationship Id="rId106" Type="http://schemas.openxmlformats.org/officeDocument/2006/relationships/hyperlink" Target="https://www.drugs.com/price-guide/tirofiban" TargetMode="External"/><Relationship Id="rId107" Type="http://schemas.openxmlformats.org/officeDocument/2006/relationships/hyperlink" Target="https://www.drugs.com/price-guide/tirofiban" TargetMode="External"/><Relationship Id="rId108" Type="http://schemas.openxmlformats.org/officeDocument/2006/relationships/hyperlink" Target="https://www.ab.bluecross.ca/dbl/pdfs/ABCDPL_2026_04_07.pdf" TargetMode="External"/><Relationship Id="rId109" Type="http://schemas.openxmlformats.org/officeDocument/2006/relationships/hyperlink" Target="https://www.ab.bluecross.ca/dbl/pdfs/ABCDPL_2026_04_07.pdf" TargetMode="External"/><Relationship Id="rId110" Type="http://schemas.openxmlformats.org/officeDocument/2006/relationships/hyperlink" Target="https://www.ab.bluecross.ca/dbl/pdfs/ABCDPL_2026_09_04.pdf" TargetMode="External"/><Relationship Id="rId111" Type="http://schemas.openxmlformats.org/officeDocument/2006/relationships/hyperlink" Target="https://www.cms.gov/files/zip/october-2026-medicare-part-b-payment-limit-files-final.zip" TargetMode="External"/><Relationship Id="rId112" Type="http://schemas.openxmlformats.org/officeDocument/2006/relationships/hyperlink" Target="https://medicineprices.org.za/" TargetMode="External"/><Relationship Id="rId113" Type="http://schemas.openxmlformats.org/officeDocument/2006/relationships/hyperlink" Target="https://www.drugs.com/price-guide/verapamil" TargetMode="External"/><Relationship Id="rId114" Type="http://schemas.openxmlformats.org/officeDocument/2006/relationships/hyperlink" Target="https://www.aifa.gov.it/documents/20142/3815901/Classe_H_per_principio_attivo_30-04-2026.csv" TargetMode="External"/><Relationship Id="rId115" Type="http://schemas.openxmlformats.org/officeDocument/2006/relationships/hyperlink" Target="https://www.aifa.gov.it/documents/20142/3815901/Classe_H_per_principio_attivo_30-04-2026.csv" TargetMode="External"/><Relationship Id="rId116" Type="http://schemas.openxmlformats.org/officeDocument/2006/relationships/hyperlink" Target="https://www.pbs.gov.au/industry/pricing/ex-manufacturer-price/2026/09/ex-manufacturer-prices-non-efc-2026-09-01.XLSX" TargetMode="External"/><Relationship Id="rId117" Type="http://schemas.openxmlformats.org/officeDocument/2006/relationships/hyperlink" Target="https://www.pbs.gov.au/industry/pricing/ex-manufacturer-price/2026/09/ex-manufacturer-prices-efc-2026-09-01.XLSX" TargetMode="External"/><Relationship Id="rId118" Type="http://schemas.openxmlformats.org/officeDocument/2006/relationships/hyperlink" Target="https://www.health.gov.za/nhi-pee/" TargetMode="External"/><Relationship Id="rId119" Type="http://schemas.openxmlformats.org/officeDocument/2006/relationships/hyperlink" Target="https://www.health.gov.za/nhi-pee/" TargetMode="External"/><Relationship Id="rId120" Type="http://schemas.openxmlformats.org/officeDocument/2006/relationships/hyperlink" Target="https://medicineprices.org.za/" TargetMode="External"/><Relationship Id="rId121" Type="http://schemas.openxmlformats.org/officeDocument/2006/relationships/hyperlink" Target="https://medicineprices.org.za/" TargetMode="External"/><Relationship Id="rId122" Type="http://schemas.openxmlformats.org/officeDocument/2006/relationships/hyperlink" Target="https://dmd-browser.nhsbsa.nhs.uk/ampp/view/193506" TargetMode="External"/><Relationship Id="rId123" Type="http://schemas.openxmlformats.org/officeDocument/2006/relationships/hyperlink" Target="https://www.aifa.gov.it/documents/20142/3815901/Classe_H_per_principio_attivo_30-04-2026.csv" TargetMode="External"/><Relationship Id="rId124" Type="http://schemas.openxmlformats.org/officeDocument/2006/relationships/hyperlink" Target="https://www.health.gov.za/nhi-pee/" TargetMode="External"/><Relationship Id="rId125" Type="http://schemas.openxmlformats.org/officeDocument/2006/relationships/hyperlink" Target="https://www.health.gov.za/nhi-pee/" TargetMode="External"/><Relationship Id="rId126" Type="http://schemas.openxmlformats.org/officeDocument/2006/relationships/hyperlink" Target="https://www.aifa.gov.it/documents/20142/3815901/Classe_H_per_principio_attivo_30-04-2026.csv" TargetMode="External"/><Relationship Id="rId127" Type="http://schemas.openxmlformats.org/officeDocument/2006/relationships/hyperlink" Target="https://www.cms.gov/files/zip/october-2026-medicare-part-b-payment-limit-files-final.zip" TargetMode="External"/><Relationship Id="rId128" Type="http://schemas.openxmlformats.org/officeDocument/2006/relationships/hyperlink" Target="https://www.cms.gov/files/zip/october-2026-medicare-part-b-payment-limit-files-final.zip" TargetMode="External"/><Relationship Id="rId129" Type="http://schemas.openxmlformats.org/officeDocument/2006/relationships/hyperlink" Target="https://department.va.gov/procurement-acquisition-and-logistics/wp-content/uploads/sites/56/2026/10/TPharmPrices2026-10-01.xlsx" TargetMode="External"/><Relationship Id="rId130" Type="http://schemas.openxmlformats.org/officeDocument/2006/relationships/hyperlink" Target="https://department.va.gov/procurement-acquisition-and-logistics/wp-content/uploads/sites/56/2026/10/TPharmPrices2026-10-01.xlsx" TargetMode="External"/><Relationship Id="rId131" Type="http://schemas.openxmlformats.org/officeDocument/2006/relationships/hyperlink" Target="https://department.va.gov/procurement-acquisition-and-logistics/wp-content/uploads/sites/56/2026/10/TPharmPrices2026-10-01.xlsx" TargetMode="External"/><Relationship Id="rId132" Type="http://schemas.openxmlformats.org/officeDocument/2006/relationships/hyperlink" Target="https://www.drugs.com/price-guide/somatuline-depot" TargetMode="External"/><Relationship Id="rId133" Type="http://schemas.openxmlformats.org/officeDocument/2006/relationships/hyperlink" Target="https://www.drugs.com/price-guide/somatuline-depot" TargetMode="External"/><Relationship Id="rId134" Type="http://schemas.openxmlformats.org/officeDocument/2006/relationships/hyperlink" Target="https://www.drugs.com/price-guide/lanreotide" TargetMode="External"/><Relationship Id="rId135" Type="http://schemas.openxmlformats.org/officeDocument/2006/relationships/hyperlink" Target="https://www.health.gov.za/nhi-pee/" TargetMode="External"/><Relationship Id="rId136" Type="http://schemas.openxmlformats.org/officeDocument/2006/relationships/hyperlink" Target="https://www.health.gov.za/nhi-pee/" TargetMode="External"/><Relationship Id="rId137" Type="http://schemas.openxmlformats.org/officeDocument/2006/relationships/hyperlink" Target="https://www.pbs.gov.au/medicine/item/14160G" TargetMode="External"/><Relationship Id="rId138" Type="http://schemas.openxmlformats.org/officeDocument/2006/relationships/hyperlink" Target="https://www.pbs.gov.au/industry/pricing/ex-manufacturer-price/2026/09/ex-manufacturer-prices-non-efc-2026-09-01.XLSX" TargetMode="External"/><Relationship Id="rId139" Type="http://schemas.openxmlformats.org/officeDocument/2006/relationships/hyperlink" Target="https://www.cms.gov/files/zip/october-2026-medicare-part-b-payment-limit-files-final.zip" TargetMode="External"/><Relationship Id="rId140" Type="http://schemas.openxmlformats.org/officeDocument/2006/relationships/hyperlink" Target="https://www.cms.gov/files/zip/october-2026-medicare-part-b-payment-limit-files-final.zip" TargetMode="External"/><Relationship Id="rId141" Type="http://schemas.openxmlformats.org/officeDocument/2006/relationships/hyperlink" Target="https://www.cms.gov/files/zip/october-2026-medicare-part-b-payment-limit-files-final.zip" TargetMode="External"/><Relationship Id="rId142" Type="http://schemas.openxmlformats.org/officeDocument/2006/relationships/hyperlink" Target="https://medicineprices.org.za/" TargetMode="External"/><Relationship Id="rId143" Type="http://schemas.openxmlformats.org/officeDocument/2006/relationships/hyperlink" Target="https://medicineprices.org.za/" TargetMode="External"/><Relationship Id="rId144" Type="http://schemas.openxmlformats.org/officeDocument/2006/relationships/hyperlink" Target="https://www.aponeo.de/rx/18660518-sugammadex-amarox-100-mg-ml-injektionsloesung.html" TargetMode="External"/><Relationship Id="rId145" Type="http://schemas.openxmlformats.org/officeDocument/2006/relationships/hyperlink" Target="https://medicineprices.org.za/" TargetMode="External"/><Relationship Id="rId146" Type="http://schemas.openxmlformats.org/officeDocument/2006/relationships/hyperlink" Target="https://www.health.gov.za/nhi-pee/" TargetMode="External"/><Relationship Id="rId147" Type="http://schemas.openxmlformats.org/officeDocument/2006/relationships/hyperlink" Target="https://www.drugs.com/price-guide/testosterone" TargetMode="External"/><Relationship Id="rId148" Type="http://schemas.openxmlformats.org/officeDocument/2006/relationships/hyperlink" Target="https://www.drugs.com/price-guide/testosterone" TargetMode="External"/><Relationship Id="rId149" Type="http://schemas.openxmlformats.org/officeDocument/2006/relationships/hyperlink" Target="https://www.health.gov.za/nhi-pee/" TargetMode="External"/><Relationship Id="rId150" Type="http://schemas.openxmlformats.org/officeDocument/2006/relationships/hyperlink" Target="https://www.pbs.gov.au/industry/pricing/ex-manufacturer-price/2026/10/ex-manufacturer-prices-efc-2026-10-01.XLSX" TargetMode="External"/><Relationship Id="rId151" Type="http://schemas.openxmlformats.org/officeDocument/2006/relationships/hyperlink" Target="https://www.health.gov.za/nhi-pee/" TargetMode="External"/><Relationship Id="rId152" Type="http://schemas.openxmlformats.org/officeDocument/2006/relationships/hyperlink" Target="https://www.health.gov.za/nhi-pee/" TargetMode="External"/><Relationship Id="rId153" Type="http://schemas.openxmlformats.org/officeDocument/2006/relationships/hyperlink" Target="https://www.health.gov.za/nhi-pee/" TargetMode="External"/><Relationship Id="rId154" Type="http://schemas.openxmlformats.org/officeDocument/2006/relationships/hyperlink" Target="https://dmd-browser.nhsbsa.nhs.uk/ampp/view/185061" TargetMode="External"/><Relationship Id="rId155" Type="http://schemas.openxmlformats.org/officeDocument/2006/relationships/hyperlink" Target="https://www.aifa.gov.it/documents/20142/3815901/Classe_H_per_principio_attivo_30-04-2026.csv" TargetMode="External"/><Relationship Id="rId156" Type="http://schemas.openxmlformats.org/officeDocument/2006/relationships/hyperlink" Target="https://www.ab.bluecross.ca/dbl/pdfs/ABCDPL_2026_01_07.pdf" TargetMode="External"/><Relationship Id="rId157" Type="http://schemas.openxmlformats.org/officeDocument/2006/relationships/hyperlink" Target="https://www.pbs.gov.au/industry/pricing/ex-manufacturer-price/2026/09/ex-manufacturer-prices-non-efc-2026-09-01.XLSX" TargetMode="External"/><Relationship Id="rId158" Type="http://schemas.openxmlformats.org/officeDocument/2006/relationships/hyperlink" Target="https://www.health.gov.za/nhi-pee/" TargetMode="External"/><Relationship Id="rId159" Type="http://schemas.openxmlformats.org/officeDocument/2006/relationships/hyperlink" Target="https://www.drugs.com/price-guide/bivalirudin" TargetMode="External"/><Relationship Id="rId160" Type="http://schemas.openxmlformats.org/officeDocument/2006/relationships/hyperlink" Target="https://www.drugs.com/price-guide/bortezomib" TargetMode="External"/><Relationship Id="rId161" Type="http://schemas.openxmlformats.org/officeDocument/2006/relationships/hyperlink" Target="https://dmd-browser.nhsbsa.nhs.uk/ampp/view/175945" TargetMode="External"/><Relationship Id="rId162" Type="http://schemas.openxmlformats.org/officeDocument/2006/relationships/hyperlink" Target="https://www.aifa.gov.it/documents/20142/3815901/Classe_H_per_principio_attivo_30-04-2026.csv" TargetMode="External"/><Relationship Id="rId163" Type="http://schemas.openxmlformats.org/officeDocument/2006/relationships/hyperlink" Target="https://www.ab.bluecross.ca/dbl/pdfs/ABCDPL_2026_01_07.pdf" TargetMode="External"/><Relationship Id="rId164" Type="http://schemas.openxmlformats.org/officeDocument/2006/relationships/hyperlink" Target="https://medicineprices.org.za/" TargetMode="External"/><Relationship Id="rId165" Type="http://schemas.openxmlformats.org/officeDocument/2006/relationships/hyperlink" Target="https://department.va.gov/procurement-acquisition-and-logistics/wp-content/uploads/sites/56/2026/10/TPharmPrices2026-10-01.xlsx" TargetMode="External"/><Relationship Id="rId166" Type="http://schemas.openxmlformats.org/officeDocument/2006/relationships/hyperlink" Target="https://department.va.gov/procurement-acquisition-and-logistics/wp-content/uploads/sites/56/2026/10/TPharmPrices2026-10-01.xlsx" TargetMode="External"/><Relationship Id="rId167" Type="http://schemas.openxmlformats.org/officeDocument/2006/relationships/hyperlink" Target="https://www.drugs.com/price-guide/cyclophosphamide" TargetMode="External"/><Relationship Id="rId168" Type="http://schemas.openxmlformats.org/officeDocument/2006/relationships/hyperlink" Target="https://www.drugs.com/price-guide/cyclophosphamide" TargetMode="External"/><Relationship Id="rId169" Type="http://schemas.openxmlformats.org/officeDocument/2006/relationships/hyperlink" Target="https://www.drugs.com/price-guide/cyclophosphamide" TargetMode="External"/><Relationship Id="rId170" Type="http://schemas.openxmlformats.org/officeDocument/2006/relationships/hyperlink" Target="https://www.boe.es/boe/dias/2025/10/13/pdfs/BOE-A-2025-20356.pdf" TargetMode="External"/><Relationship Id="rId171" Type="http://schemas.openxmlformats.org/officeDocument/2006/relationships/hyperlink" Target="https://dmd-browser.nhsbsa.nhs.uk/ampp/view/169812" TargetMode="External"/><Relationship Id="rId172" Type="http://schemas.openxmlformats.org/officeDocument/2006/relationships/hyperlink" Target="https://www.formulary.health.gov.on.ca/formulary/detail.xhtml?drugId=02490463" TargetMode="External"/><Relationship Id="rId173" Type="http://schemas.openxmlformats.org/officeDocument/2006/relationships/hyperlink" Target="https://www.drugs.com/price-guide/desmopressin" TargetMode="External"/><Relationship Id="rId174" Type="http://schemas.openxmlformats.org/officeDocument/2006/relationships/hyperlink" Target="https://www.cms.gov/files/zip/october-2026-medicare-part-b-payment-limit-files-final.zip" TargetMode="External"/><Relationship Id="rId175" Type="http://schemas.openxmlformats.org/officeDocument/2006/relationships/hyperlink" Target="https://www.drugs.com/price-guide/ephedrine" TargetMode="External"/><Relationship Id="rId176" Type="http://schemas.openxmlformats.org/officeDocument/2006/relationships/hyperlink" Target="https://www.drugs.com/price-guide/eribulin" TargetMode="External"/><Relationship Id="rId177" Type="http://schemas.openxmlformats.org/officeDocument/2006/relationships/hyperlink" Target="https://dmd-browser.nhsbsa.nhs.uk/ampp/view/211180" TargetMode="External"/><Relationship Id="rId178" Type="http://schemas.openxmlformats.org/officeDocument/2006/relationships/hyperlink" Target="https://www.aifa.gov.it/documents/20142/3815901/Classe_H_per_principio_attivo_30-04-2026.csv" TargetMode="External"/><Relationship Id="rId179" Type="http://schemas.openxmlformats.org/officeDocument/2006/relationships/hyperlink" Target="https://www.ab.bluecross.ca/dbl/pdfs/ABCDPL_2026_09_04.pdf" TargetMode="External"/><Relationship Id="rId180" Type="http://schemas.openxmlformats.org/officeDocument/2006/relationships/hyperlink" Target="https://www.pbs.gov.au/industry/pricing/ex-manufacturer-price/2026/09/ex-manufacturer-prices-efc-2026-09-01.XLSX" TargetMode="External"/><Relationship Id="rId181" Type="http://schemas.openxmlformats.org/officeDocument/2006/relationships/hyperlink" Target="https://www.health.gov.za/nhi-pee/" TargetMode="External"/><Relationship Id="rId182" Type="http://schemas.openxmlformats.org/officeDocument/2006/relationships/hyperlink" Target="https://www.ab.bluecross.ca/dbl/pdfs/ABCDPL_2026_09_04.pdf" TargetMode="External"/><Relationship Id="rId183" Type="http://schemas.openxmlformats.org/officeDocument/2006/relationships/hyperlink" Target="https://www.pbs.gov.au/industry/pricing/ex-manufacturer-price/2026/09/ex-manufacturer-prices-non-efc-2026-09-01.XLSX" TargetMode="External"/><Relationship Id="rId184" Type="http://schemas.openxmlformats.org/officeDocument/2006/relationships/hyperlink" Target="https://www.pbs.gov.au/industry/pricing/ex-manufacturer-price/2026/09/ex-manufacturer-prices-non-efc-2026-09-01.XLSX" TargetMode="External"/><Relationship Id="rId185" Type="http://schemas.openxmlformats.org/officeDocument/2006/relationships/hyperlink" Target="https://www.pbs.gov.au/publication/schedule/2026/10/2026-10-01-PBS-API-CSV-files.zip?variant=3" TargetMode="External"/><Relationship Id="rId186" Type="http://schemas.openxmlformats.org/officeDocument/2006/relationships/hyperlink" Target="https://www.drugs.com/price-guide/fulvestrant" TargetMode="External"/><Relationship Id="rId187" Type="http://schemas.openxmlformats.org/officeDocument/2006/relationships/hyperlink" Target="https://dmd-browser.nhsbsa.nhs.uk/ampp/view/183157" TargetMode="External"/><Relationship Id="rId188" Type="http://schemas.openxmlformats.org/officeDocument/2006/relationships/hyperlink" Target="https://www.aifa.gov.it/documents/20142/3815901/Classe_H_per_principio_attivo_30-04-2026.csv" TargetMode="External"/><Relationship Id="rId189" Type="http://schemas.openxmlformats.org/officeDocument/2006/relationships/hyperlink" Target="https://medicineprices.org.za/" TargetMode="External"/><Relationship Id="rId190" Type="http://schemas.openxmlformats.org/officeDocument/2006/relationships/hyperlink" Target="https://www.docmorris.de/ibandronsaeure-beta-3-mg-injektionslsgfertigspr/08881520" TargetMode="External"/><Relationship Id="rId191" Type="http://schemas.openxmlformats.org/officeDocument/2006/relationships/hyperlink" Target="https://department.va.gov/procurement-acquisition-and-logistics/wp-content/uploads/sites/56/2026/10/TPharmPrices2026-10-01.xlsx" TargetMode="External"/><Relationship Id="rId192" Type="http://schemas.openxmlformats.org/officeDocument/2006/relationships/hyperlink" Target="https://www.drugs.com/price-guide/neostigmine" TargetMode="External"/><Relationship Id="rId193" Type="http://schemas.openxmlformats.org/officeDocument/2006/relationships/hyperlink" Target="https://www.drugs.com/price-guide/neostigmine" TargetMode="External"/><Relationship Id="rId194" Type="http://schemas.openxmlformats.org/officeDocument/2006/relationships/hyperlink" Target="https://www.drugs.com/price-guide/neostigmine" TargetMode="External"/><Relationship Id="rId195" Type="http://schemas.openxmlformats.org/officeDocument/2006/relationships/hyperlink" Target="https://www.drugs.com/price-guide/palonosetron" TargetMode="External"/><Relationship Id="rId196" Type="http://schemas.openxmlformats.org/officeDocument/2006/relationships/hyperlink" Target="https://www.aifa.gov.it/documents/20142/3815901/Classe_H_per_principio_attivo_30-04-2026.csv" TargetMode="External"/><Relationship Id="rId197" Type="http://schemas.openxmlformats.org/officeDocument/2006/relationships/hyperlink" Target="https://www.pbs.gov.au/industry/pricing/ex-manufacturer-price/2026/09/ex-manufacturer-prices-non-efc-2026-09-01.XLSX" TargetMode="External"/><Relationship Id="rId198" Type="http://schemas.openxmlformats.org/officeDocument/2006/relationships/hyperlink" Target="https://www.drugs.com/price-guide/phytonadione" TargetMode="External"/><Relationship Id="rId199" Type="http://schemas.openxmlformats.org/officeDocument/2006/relationships/hyperlink" Target="https://www.drugs.com/price-guide/plerixafor" TargetMode="External"/><Relationship Id="rId200" Type="http://schemas.openxmlformats.org/officeDocument/2006/relationships/hyperlink" Target="https://www.cms.gov/files/zip/october-2026-medicare-part-b-payment-limit-files-final.zip" TargetMode="External"/><Relationship Id="rId201" Type="http://schemas.openxmlformats.org/officeDocument/2006/relationships/hyperlink" Target="https://www.ab.bluecross.ca/dbl/pdfs/ABCDPL_2026_09_04.pdf" TargetMode="External"/><Relationship Id="rId202" Type="http://schemas.openxmlformats.org/officeDocument/2006/relationships/hyperlink" Target="https://www.drugs.com/price-guide/sugammadex" TargetMode="External"/><Relationship Id="rId203" Type="http://schemas.openxmlformats.org/officeDocument/2006/relationships/hyperlink" Target="https://www.drugs.com/price-guide/sugammadex" TargetMode="External"/><Relationship Id="rId204" Type="http://schemas.openxmlformats.org/officeDocument/2006/relationships/hyperlink" Target="https://dmd-browser.nhsbsa.nhs.uk/ampp/view/195075" TargetMode="External"/><Relationship Id="rId205" Type="http://schemas.openxmlformats.org/officeDocument/2006/relationships/hyperlink" Target="https://www.aifa.gov.it/documents/20142/3815901/Classe_H_per_principio_attivo_30-04-2026.csv" TargetMode="External"/><Relationship Id="rId206" Type="http://schemas.openxmlformats.org/officeDocument/2006/relationships/hyperlink" Target="https://www.aifa.gov.it/documents/20142/3815901/Classe_H_per_principio_attivo_30-04-2026.csv" TargetMode="External"/><Relationship Id="rId207" Type="http://schemas.openxmlformats.org/officeDocument/2006/relationships/hyperlink" Target="https://medicineprices.org.za/" TargetMode="External"/><Relationship Id="rId208" Type="http://schemas.openxmlformats.org/officeDocument/2006/relationships/hyperlink" Target="https://www.drugs.com/price-guide/thiotepa" TargetMode="External"/><Relationship Id="rId209" Type="http://schemas.openxmlformats.org/officeDocument/2006/relationships/hyperlink" Target="https://www.cms.gov/files/zip/october-2026-medicare-part-b-payment-limit-files-final.zip" TargetMode="External"/><Relationship Id="rId210" Type="http://schemas.openxmlformats.org/officeDocument/2006/relationships/hyperlink" Target="https://www.cms.gov/files/zip/october-2026-medicare-part-b-payment-limit-files-final.zip" TargetMode="External"/><Relationship Id="rId211" Type="http://schemas.openxmlformats.org/officeDocument/2006/relationships/hyperlink" Target="https://dmd-browser.nhsbsa.nhs.uk/ampp/view/210747" TargetMode="External"/><Relationship Id="rId212" Type="http://schemas.openxmlformats.org/officeDocument/2006/relationships/hyperlink" Target="https://www.medicijnkosten.nl/medicijn?artikel=DIAMOX+INJECTIEPOEDER+FLACON+500MG&amp;id=eccf17da767207477dcc6b1f5efd1f4a" TargetMode="External"/><Relationship Id="rId213" Type="http://schemas.openxmlformats.org/officeDocument/2006/relationships/hyperlink" Target="https://dmd-browser.nhsbsa.nhs.uk/ampp/view/184215" TargetMode="External"/><Relationship Id="rId214" Type="http://schemas.openxmlformats.org/officeDocument/2006/relationships/hyperlink" Target="https://www.aifa.gov.it/documents/20142/3815901/Classe_A_per_principio_attivo_30-04-2026.csv" TargetMode="External"/><Relationship Id="rId215" Type="http://schemas.openxmlformats.org/officeDocument/2006/relationships/hyperlink" Target="https://www.ab.bluecross.ca/dbl/pdfs/ABCDPL_2026_04_07.pdf" TargetMode="External"/><Relationship Id="rId216" Type="http://schemas.openxmlformats.org/officeDocument/2006/relationships/hyperlink" Target="https://mediately.co/it/drugs/EW7GuNfn2hkEMxRggSwwiF1PMll/ampicillina-tillomed-1-g-polvere-per-soluzione-iniettabile-per-infusione" TargetMode="External"/><Relationship Id="rId217" Type="http://schemas.openxmlformats.org/officeDocument/2006/relationships/hyperlink" Target="https://dmd-browser.nhsbsa.nhs.uk/ampp/view/190490" TargetMode="External"/><Relationship Id="rId218" Type="http://schemas.openxmlformats.org/officeDocument/2006/relationships/hyperlink" Target="https://www.aifa.gov.it/documents/20142/3815901/Classe_H_per_principio_attivo_30-04-2026.csv" TargetMode="External"/><Relationship Id="rId219" Type="http://schemas.openxmlformats.org/officeDocument/2006/relationships/hyperlink" Target="https://www.aifa.gov.it/documents/20142/3815901/Classe_H_per_principio_attivo_30-04-2026.csv" TargetMode="External"/><Relationship Id="rId220" Type="http://schemas.openxmlformats.org/officeDocument/2006/relationships/hyperlink" Target="https://www.ab.bluecross.ca/dbl/pdfs/ABCDPL_2026_09_04.pdf" TargetMode="External"/><Relationship Id="rId221" Type="http://schemas.openxmlformats.org/officeDocument/2006/relationships/hyperlink" Target="https://www.ab.bluecross.ca/dbl/pdfs/ABCDPL_2026_09_04.pdf" TargetMode="External"/><Relationship Id="rId222" Type="http://schemas.openxmlformats.org/officeDocument/2006/relationships/hyperlink" Target="https://www.ab.bluecross.ca/dbl/pdfs/ABCDPL_2026_09_04.pdf" TargetMode="External"/><Relationship Id="rId223" Type="http://schemas.openxmlformats.org/officeDocument/2006/relationships/hyperlink" Target="https://www.ab.bluecross.ca/dbl/pdfs/ABCDPL_2026_09_04.pdf" TargetMode="External"/><Relationship Id="rId224" Type="http://schemas.openxmlformats.org/officeDocument/2006/relationships/hyperlink" Target="https://dmd-browser.nhsbsa.nhs.uk/ampp/view/194983" TargetMode="External"/><Relationship Id="rId225" Type="http://schemas.openxmlformats.org/officeDocument/2006/relationships/hyperlink" Target="https://www.aifa.gov.it/documents/20142/3815901/Classe_H_per_principio_attivo_30-04-2026.csv" TargetMode="External"/><Relationship Id="rId226" Type="http://schemas.openxmlformats.org/officeDocument/2006/relationships/hyperlink" Target="https://www.medicinpriser.dk/Default.aspx?VirksomtStof=Eribulin" TargetMode="External"/><Relationship Id="rId227" Type="http://schemas.openxmlformats.org/officeDocument/2006/relationships/hyperlink" Target="https://www.aifa.gov.it/documents/20142/3815901/Classe_H_per_principio_attivo_30-04-2026.csv" TargetMode="External"/><Relationship Id="rId228" Type="http://schemas.openxmlformats.org/officeDocument/2006/relationships/hyperlink" Target="https://dmd-browser.nhsbsa.nhs.uk/ampp/view/169622" TargetMode="External"/><Relationship Id="rId229" Type="http://schemas.openxmlformats.org/officeDocument/2006/relationships/hyperlink" Target="https://www.aifa.gov.it/documents/20142/3815901/Classe_H_per_principio_attivo_30-04-2026.csv" TargetMode="External"/><Relationship Id="rId230" Type="http://schemas.openxmlformats.org/officeDocument/2006/relationships/hyperlink" Target="https://www.aifa.gov.it/documents/20142/3815901/Classe_H_per_principio_attivo_30-04-2026.csv" TargetMode="External"/><Relationship Id="rId231" Type="http://schemas.openxmlformats.org/officeDocument/2006/relationships/hyperlink" Target="https://www.ab.bluecross.ca/dbl/pdfs/ABCDPL_2026_09_04.pdf" TargetMode="External"/><Relationship Id="rId232" Type="http://schemas.openxmlformats.org/officeDocument/2006/relationships/hyperlink" Target="https://dmd-browser.nhsbsa.nhs.uk/ampp/view/190885" TargetMode="External"/><Relationship Id="rId233" Type="http://schemas.openxmlformats.org/officeDocument/2006/relationships/hyperlink" Target="https://mediately.co/de/drugs/2JLSD2rNCbtip2an1uWLKQBCmLc/milrinon-carinopharm-1-mg-ml-injektions-infusionslosung" TargetMode="External"/><Relationship Id="rId234" Type="http://schemas.openxmlformats.org/officeDocument/2006/relationships/hyperlink" Target="https://www.ab.bluecross.ca/dbl/pdfs/ABCDPL_2026_09_04.pdf" TargetMode="External"/><Relationship Id="rId235" Type="http://schemas.openxmlformats.org/officeDocument/2006/relationships/hyperlink" Target="https://www.ab.bluecross.ca/dbl/pdfs/ABCDPL_2026_09_04.pdf" TargetMode="External"/><Relationship Id="rId236" Type="http://schemas.openxmlformats.org/officeDocument/2006/relationships/hyperlink" Target="https://www.aifa.gov.it/documents/20142/3815901/Classe_H_per_principio_attivo_30-04-2026.csv" TargetMode="External"/><Relationship Id="rId237" Type="http://schemas.openxmlformats.org/officeDocument/2006/relationships/hyperlink" Target="https://dmd-browser.nhsbsa.nhs.uk/ampp/view/194984" TargetMode="External"/><Relationship Id="rId238" Type="http://schemas.openxmlformats.org/officeDocument/2006/relationships/hyperlink" Target="https://dmd-browser.nhsbsa.nhs.uk/ampp/view/197400" TargetMode="External"/><Relationship Id="rId239" Type="http://schemas.openxmlformats.org/officeDocument/2006/relationships/hyperlink" Target="https://base-donnees-publique.medicaments.gouv.fr/medicament/61094142/extrait" TargetMode="External"/><Relationship Id="rId240" Type="http://schemas.openxmlformats.org/officeDocument/2006/relationships/hyperlink" Target="https://www.ab.bluecross.ca/dbl/pdfs/ABCDPL_2026_09_04.pdf" TargetMode="External"/><Relationship Id="rId241" Type="http://schemas.openxmlformats.org/officeDocument/2006/relationships/hyperlink" Target="https://dmd-browser.nhsbsa.nhs.uk/ampp/view/198696" TargetMode="External"/><Relationship Id="rId242" Type="http://schemas.openxmlformats.org/officeDocument/2006/relationships/hyperlink" Target="https://www.aifa.gov.it/documents/20142/3815901/Classe_H_per_principio_attivo_30-04-2026.csv" TargetMode="External"/><Relationship Id="rId243" Type="http://schemas.openxmlformats.org/officeDocument/2006/relationships/hyperlink" Target="https://www.ab.bluecross.ca/dbl/pdfs/ABCDPL_2026_09_04.pdf" TargetMode="External"/><Relationship Id="rId244" Type="http://schemas.openxmlformats.org/officeDocument/2006/relationships/hyperlink" Target="https://dmd-browser.nhsbsa.nhs.uk/ampp/view/195295" TargetMode="External"/><Relationship Id="rId245" Type="http://schemas.openxmlformats.org/officeDocument/2006/relationships/hyperlink" Target="https://www.aifa.gov.it/documents/20142/3815901/Classe_H_per_principio_attivo_30-04-2026.csv" TargetMode="External"/><Relationship Id="rId246" Type="http://schemas.openxmlformats.org/officeDocument/2006/relationships/hyperlink" Target="https://www.aifa.gov.it/documents/20142/3815901/Classe_H_per_principio_attivo_30-04-2026.csv" TargetMode="External"/><Relationship Id="rId247" Type="http://schemas.openxmlformats.org/officeDocument/2006/relationships/hyperlink" Target="https://www.boe.es/boe/dias/2025/10/13/pdfs/BOE-A-2025-20356.pdf" TargetMode="External"/><Relationship Id="rId248" Type="http://schemas.openxmlformats.org/officeDocument/2006/relationships/hyperlink" Target="https://www.pbs.gov.au/industry/pricing/ex-manufacturer-price/2026/09/ex-manufacturer-prices-efc-2026-09-01.XLSX" TargetMode="External"/><Relationship Id="rId249" Type="http://schemas.openxmlformats.org/officeDocument/2006/relationships/hyperlink" Target="https://www.pbs.gov.au/industry/pricing/ex-manufacturer-price/2026/09/ex-manufacturer-prices-efc-2026-09-01.XLSX" TargetMode="External"/><Relationship Id="rId250" Type="http://schemas.openxmlformats.org/officeDocument/2006/relationships/hyperlink" Target="https://www.drugs.com/price-guide/eribulin" TargetMode="External"/><Relationship Id="rId251" Type="http://schemas.openxmlformats.org/officeDocument/2006/relationships/hyperlink" Target="https://dmd-browser.nhsbsa.nhs.uk/ampp/view/204041" TargetMode="External"/><Relationship Id="rId252" Type="http://schemas.openxmlformats.org/officeDocument/2006/relationships/hyperlink" Target="https://www.aifa.gov.it/documents/20142/3815901/Classe_H_per_principio_attivo_30-04-2026.csv" TargetMode="External"/><Relationship Id="rId253" Type="http://schemas.openxmlformats.org/officeDocument/2006/relationships/hyperlink" Target="https://www.drugs.com/price-guide/fulvestrant" TargetMode="External"/><Relationship Id="rId254" Type="http://schemas.openxmlformats.org/officeDocument/2006/relationships/hyperlink" Target="https://www.nhsbsa.nhs.uk/sites/default/files/2026-08/Part%20VIIIA%20Sep%2026.xls.xlsx" TargetMode="External"/><Relationship Id="rId255" Type="http://schemas.openxmlformats.org/officeDocument/2006/relationships/hyperlink" Target="https://www.aifa.gov.it/documents/20142/3815901/Classe_H_per_principio_attivo_30-04-2026.csv" TargetMode="External"/><Relationship Id="rId256" Type="http://schemas.openxmlformats.org/officeDocument/2006/relationships/hyperlink" Target="https://www.aifa.gov.it/documents/20142/3815901/Classe_H_per_principio_attivo_30-04-2026.csv" TargetMode="External"/><Relationship Id="rId257" Type="http://schemas.openxmlformats.org/officeDocument/2006/relationships/hyperlink" Target="https://dmd-browser.nhsbsa.nhs.uk/ampp/view/195045" TargetMode="External"/><Relationship Id="rId258" Type="http://schemas.openxmlformats.org/officeDocument/2006/relationships/hyperlink" Target="https://www.aifa.gov.it/documents/20142/3815901/Classe_H_per_principio_attivo_30-04-2026.csv" TargetMode="External"/><Relationship Id="rId259" Type="http://schemas.openxmlformats.org/officeDocument/2006/relationships/hyperlink" Target="https://dmd-browser.nhsbsa.nhs.uk/ampp/view/185061" TargetMode="External"/><Relationship Id="rId260" Type="http://schemas.openxmlformats.org/officeDocument/2006/relationships/hyperlink" Target="https://www.drugs.com/price-guide/bortezomib" TargetMode="External"/><Relationship Id="rId261" Type="http://schemas.openxmlformats.org/officeDocument/2006/relationships/hyperlink" Target="https://dmd-browser.nhsbsa.nhs.uk/ampp/view/174545" TargetMode="External"/><Relationship Id="rId262" Type="http://schemas.openxmlformats.org/officeDocument/2006/relationships/hyperlink" Target="https://www.aifa.gov.it/documents/20142/3815901/Classe_H_per_principio_attivo_30-04-2026.csv" TargetMode="External"/><Relationship Id="rId263" Type="http://schemas.openxmlformats.org/officeDocument/2006/relationships/hyperlink" Target="https://medicineprices.org.za/" TargetMode="External"/><Relationship Id="rId264" Type="http://schemas.openxmlformats.org/officeDocument/2006/relationships/hyperlink" Target="https://medicineprices.org.za/" TargetMode="External"/><Relationship Id="rId265" Type="http://schemas.openxmlformats.org/officeDocument/2006/relationships/hyperlink" Target="https://medicineprices.org.za/" TargetMode="External"/><Relationship Id="rId266" Type="http://schemas.openxmlformats.org/officeDocument/2006/relationships/hyperlink" Target="https://www.health.gov.za/nhi-pee/" TargetMode="External"/><Relationship Id="rId267" Type="http://schemas.openxmlformats.org/officeDocument/2006/relationships/hyperlink" Target="https://dmd-browser.nhsbsa.nhs.uk/ampp/view/148217" TargetMode="External"/><Relationship Id="rId268" Type="http://schemas.openxmlformats.org/officeDocument/2006/relationships/hyperlink" Target="https://www.medicijnkosten.nl/medicijn?artikel=BRIVIACT+INF%2FINJVLST+10MG%2FML+FLACON+5ML&amp;id=8aa63cad90cad7246d95c19b8f6d410d" TargetMode="External"/><Relationship Id="rId269" Type="http://schemas.openxmlformats.org/officeDocument/2006/relationships/hyperlink" Target="https://www.drugs.com/price-guide/chlorpromazine" TargetMode="External"/><Relationship Id="rId270" Type="http://schemas.openxmlformats.org/officeDocument/2006/relationships/hyperlink" Target="https://www.cms.gov/files/zip/october-2026-medicare-part-b-payment-limit-files-final.zip" TargetMode="External"/><Relationship Id="rId271" Type="http://schemas.openxmlformats.org/officeDocument/2006/relationships/hyperlink" Target="https://dmd-browser.nhsbsa.nhs.uk/ampp/view/210375" TargetMode="External"/><Relationship Id="rId272" Type="http://schemas.openxmlformats.org/officeDocument/2006/relationships/hyperlink" Target="https://www.aifa.gov.it/documents/20142/3815901/Classe_H_per_principio_attivo_30-04-2026.csv" TargetMode="External"/><Relationship Id="rId273" Type="http://schemas.openxmlformats.org/officeDocument/2006/relationships/hyperlink" Target="https://department.va.gov/procurement-acquisition-and-logistics/wp-content/uploads/sites/56/2026/10/TPharmPrices2026-10-01.xlsx" TargetMode="External"/><Relationship Id="rId274" Type="http://schemas.openxmlformats.org/officeDocument/2006/relationships/hyperlink" Target="https://department.va.gov/procurement-acquisition-and-logistics/wp-content/uploads/sites/56/2026/10/TPharmPrices2026-10-01.xlsx" TargetMode="External"/><Relationship Id="rId275" Type="http://schemas.openxmlformats.org/officeDocument/2006/relationships/hyperlink" Target="https://www.drugs.com/price-guide/magnesium-sulfate" TargetMode="External"/><Relationship Id="rId276" Type="http://schemas.openxmlformats.org/officeDocument/2006/relationships/hyperlink" Target="https://dmd-browser.nhsbsa.nhs.uk/ampp/view/101360" TargetMode="External"/><Relationship Id="rId277" Type="http://schemas.openxmlformats.org/officeDocument/2006/relationships/hyperlink" Target="https://www.medicijnkosten.nl/medicijn?artikel=MELFALAN+AMAROX+INJ%2FINFUSIEPOEDER+FL50MG%2BSV+10ML&amp;id=35352a89252a9fdd69fd915f3d070528" TargetMode="External"/><Relationship Id="rId278" Type="http://schemas.openxmlformats.org/officeDocument/2006/relationships/hyperlink" Target="https://www.aifa.gov.it/documents/20142/3815901/Classe_H_per_principio_attivo_30-04-2026.csv" TargetMode="External"/><Relationship Id="rId279" Type="http://schemas.openxmlformats.org/officeDocument/2006/relationships/hyperlink" Target="https://www.drugs.com/price-guide/methotrexate" TargetMode="External"/><Relationship Id="rId280" Type="http://schemas.openxmlformats.org/officeDocument/2006/relationships/hyperlink" Target="https://www.health.gov.za/nhi-pee/" TargetMode="External"/><Relationship Id="rId281" Type="http://schemas.openxmlformats.org/officeDocument/2006/relationships/hyperlink" Target="https://dmd-browser.nhsbsa.nhs.uk/ampp/view/194984" TargetMode="External"/><Relationship Id="rId282" Type="http://schemas.openxmlformats.org/officeDocument/2006/relationships/hyperlink" Target="https://www.aifa.gov.it/documents/20142/3815901/Classe_H_per_principio_attivo_30-04-2026.csv" TargetMode="External"/><Relationship Id="rId283" Type="http://schemas.openxmlformats.org/officeDocument/2006/relationships/hyperlink" Target="https://www.drugs.com/price-guide/plerixafor" TargetMode="External"/><Relationship Id="rId284" Type="http://schemas.openxmlformats.org/officeDocument/2006/relationships/hyperlink" Target="https://dmd-browser.nhsbsa.nhs.uk/ampp/view/190293" TargetMode="External"/><Relationship Id="rId285" Type="http://schemas.openxmlformats.org/officeDocument/2006/relationships/hyperlink" Target="https://www.aifa.gov.it/documents/20142/3815901/Classe_H_per_principio_attivo_30-04-2026.csv" TargetMode="External"/><Relationship Id="rId286" Type="http://schemas.openxmlformats.org/officeDocument/2006/relationships/hyperlink" Target="https://medicineprices.org.za/" TargetMode="External"/><Relationship Id="rId287" Type="http://schemas.openxmlformats.org/officeDocument/2006/relationships/hyperlink" Target="https://www.cms.gov/files/zip/october-2026-medicare-part-b-payment-limit-files-final.zip" TargetMode="External"/><Relationship Id="rId288" Type="http://schemas.openxmlformats.org/officeDocument/2006/relationships/hyperlink" Target="https://www.aifa.gov.it/documents/20142/3815901/Classe_H_per_principio_attivo_30-04-2026.csv" TargetMode="External"/><Relationship Id="rId289" Type="http://schemas.openxmlformats.org/officeDocument/2006/relationships/hyperlink" Target="https://www.drugs.com/price-guide/sodium-bicarbonate" TargetMode="External"/><Relationship Id="rId290" Type="http://schemas.openxmlformats.org/officeDocument/2006/relationships/hyperlink" Target="https://department.va.gov/procurement-acquisition-and-logistics/wp-content/uploads/sites/56/2026/10/TPharmPrices2026-10-01.xlsx" TargetMode="External"/><Relationship Id="rId291" Type="http://schemas.openxmlformats.org/officeDocument/2006/relationships/hyperlink" Target="https://www.drugs.com/price-guide/sugammadex" TargetMode="External"/><Relationship Id="rId292" Type="http://schemas.openxmlformats.org/officeDocument/2006/relationships/hyperlink" Target="https://www.drugs.com/price-guide/sugammadex" TargetMode="External"/><Relationship Id="rId293" Type="http://schemas.openxmlformats.org/officeDocument/2006/relationships/hyperlink" Target="https://dmd-browser.nhsbsa.nhs.uk/ampp/view/195045" TargetMode="External"/><Relationship Id="rId294" Type="http://schemas.openxmlformats.org/officeDocument/2006/relationships/hyperlink" Target="https://www.aponeo.de/rx/18660518-sugammadex-amarox-100-mg-ml-injektionsloesung.html" TargetMode="External"/><Relationship Id="rId295" Type="http://schemas.openxmlformats.org/officeDocument/2006/relationships/hyperlink" Target="https://medicineprices.org.za/" TargetMode="External"/><Relationship Id="rId296" Type="http://schemas.openxmlformats.org/officeDocument/2006/relationships/hyperlink" Target="https://www.nhsbsa.nhs.uk/sites/default/files/2026-08/Part%20VIIIA%20Sep%2026.xls.xlsx" TargetMode="External"/><Relationship Id="rId297" Type="http://schemas.openxmlformats.org/officeDocument/2006/relationships/hyperlink" Target="https://www.aifa.gov.it/documents/20142/3815901/Classe_H_per_principio_attivo_30-04-2026.csv" TargetMode="External"/><Relationship Id="rId298" Type="http://schemas.openxmlformats.org/officeDocument/2006/relationships/hyperlink" Target="https://department.va.gov/procurement-acquisition-and-logistics/wp-content/uploads/sites/56/2026/10/TPharmPrices2026-10-01.xlsx" TargetMode="External"/><Relationship Id="rId299" Type="http://schemas.openxmlformats.org/officeDocument/2006/relationships/hyperlink" Target="https://www.health.gov.za/nhi-pee/" TargetMode="External"/><Relationship Id="rId300" Type="http://schemas.openxmlformats.org/officeDocument/2006/relationships/hyperlink" Target="https://www.drugs.com/price-guide/argatroban" TargetMode="External"/><Relationship Id="rId301" Type="http://schemas.openxmlformats.org/officeDocument/2006/relationships/hyperlink" Target="https://www.aponeo.de/rx/04262642-atracurium-hikma-25-mg-2-5-ml-ampullen.html" TargetMode="External"/><Relationship Id="rId302" Type="http://schemas.openxmlformats.org/officeDocument/2006/relationships/hyperlink" Target="https://www.drugs.com/price-guide/atropine" TargetMode="External"/><Relationship Id="rId303" Type="http://schemas.openxmlformats.org/officeDocument/2006/relationships/hyperlink" Target="https://www.drugs.com/price-guide/atropine" TargetMode="External"/><Relationship Id="rId304" Type="http://schemas.openxmlformats.org/officeDocument/2006/relationships/hyperlink" Target="https://www.drugs.com/price-guide/atropine" TargetMode="External"/><Relationship Id="rId305" Type="http://schemas.openxmlformats.org/officeDocument/2006/relationships/hyperlink" Target="https://www.drugs.com/price-guide/atropine" TargetMode="External"/><Relationship Id="rId306" Type="http://schemas.openxmlformats.org/officeDocument/2006/relationships/hyperlink" Target="https://www.drugs.com/price-guide/atropine" TargetMode="External"/><Relationship Id="rId307" Type="http://schemas.openxmlformats.org/officeDocument/2006/relationships/hyperlink" Target="https://dmd-browser.nhsbsa.nhs.uk/ampp/view/190887" TargetMode="External"/><Relationship Id="rId308" Type="http://schemas.openxmlformats.org/officeDocument/2006/relationships/hyperlink" Target="https://www.aponeo.de/rx/17518273-atropin-accord-100-ug-ml-inj-lsg-i-e-fertigspr.html" TargetMode="External"/><Relationship Id="rId309" Type="http://schemas.openxmlformats.org/officeDocument/2006/relationships/hyperlink" Target="https://www.aponeo.de/rx/17518273-atropin-accord-100-ug-ml-inj-lsg-i-e-fertigspr.html" TargetMode="External"/><Relationship Id="rId310" Type="http://schemas.openxmlformats.org/officeDocument/2006/relationships/hyperlink" Target="https://dmd-browser.nhsbsa.nhs.uk/ampp/view/185061" TargetMode="External"/><Relationship Id="rId311" Type="http://schemas.openxmlformats.org/officeDocument/2006/relationships/hyperlink" Target="https://www.aifa.gov.it/documents/20142/3815901/Classe_H_per_principio_attivo_30-04-2026.csv" TargetMode="External"/><Relationship Id="rId312" Type="http://schemas.openxmlformats.org/officeDocument/2006/relationships/hyperlink" Target="https://www.pbs.gov.au/industry/pricing/ex-manufacturer-price/2026/09/ex-manufacturer-prices-non-efc-2026-09-01.XLSX" TargetMode="External"/><Relationship Id="rId313" Type="http://schemas.openxmlformats.org/officeDocument/2006/relationships/hyperlink" Target="https://www.drugs.com/price-guide/bivalirudin" TargetMode="External"/><Relationship Id="rId314" Type="http://schemas.openxmlformats.org/officeDocument/2006/relationships/hyperlink" Target="https://dmd-browser.nhsbsa.nhs.uk/ampp/view/173756" TargetMode="External"/><Relationship Id="rId315" Type="http://schemas.openxmlformats.org/officeDocument/2006/relationships/hyperlink" Target="https://www.aifa.gov.it/documents/20142/3815901/Classe_H_per_principio_attivo_30-04-2026.csv" TargetMode="External"/><Relationship Id="rId316" Type="http://schemas.openxmlformats.org/officeDocument/2006/relationships/hyperlink" Target="https://dmd-browser.nhsbsa.nhs.uk/ampp/view/197277" TargetMode="External"/><Relationship Id="rId317" Type="http://schemas.openxmlformats.org/officeDocument/2006/relationships/hyperlink" Target="https://www.kuchler-apotheken.de/bleomycin-accord-15.000-i.e.-p.z.h.e.inj.-inf.-l./15883146" TargetMode="External"/><Relationship Id="rId318" Type="http://schemas.openxmlformats.org/officeDocument/2006/relationships/hyperlink" Target="https://www.pbs.gov.au/industry/pricing/ex-manufacturer-price/2026/09/ex-manufacturer-prices-efc-2026-09-01.XLSX" TargetMode="External"/><Relationship Id="rId319" Type="http://schemas.openxmlformats.org/officeDocument/2006/relationships/hyperlink" Target="https://www.aifa.gov.it/documents/20142/3815901/Classe_H_per_principio_attivo_30-04-2026.csv" TargetMode="External"/><Relationship Id="rId320" Type="http://schemas.openxmlformats.org/officeDocument/2006/relationships/hyperlink" Target="https://medicineprices.org.za/" TargetMode="External"/><Relationship Id="rId321" Type="http://schemas.openxmlformats.org/officeDocument/2006/relationships/hyperlink" Target="https://www.health.gov.za/nhi-pee/" TargetMode="External"/><Relationship Id="rId322" Type="http://schemas.openxmlformats.org/officeDocument/2006/relationships/hyperlink" Target="https://www.aifa.gov.it/documents/20142/3815901/Classe_H_per_principio_attivo_30-04-2026.csv" TargetMode="External"/><Relationship Id="rId323" Type="http://schemas.openxmlformats.org/officeDocument/2006/relationships/hyperlink" Target="https://www.aifa.gov.it/documents/20142/3815901/Classe_H_per_principio_attivo_30-04-2026.csv" TargetMode="External"/><Relationship Id="rId324" Type="http://schemas.openxmlformats.org/officeDocument/2006/relationships/hyperlink" Target="https://www.cms.gov/files/zip/october-2026-medicare-part-b-payment-limit-files-final.zip" TargetMode="External"/><Relationship Id="rId325" Type="http://schemas.openxmlformats.org/officeDocument/2006/relationships/hyperlink" Target="https://dmd-browser.nhsbsa.nhs.uk/ampp/view/161747" TargetMode="External"/><Relationship Id="rId326" Type="http://schemas.openxmlformats.org/officeDocument/2006/relationships/hyperlink" Target="https://www.nhsbsa.nhs.uk/sites/default/files/2026-08/Part%20VIIIA%20Sep%2026.xls.xlsx" TargetMode="External"/><Relationship Id="rId327" Type="http://schemas.openxmlformats.org/officeDocument/2006/relationships/hyperlink" Target="https://www.medicinpriser.dk/Default.aspx?VirksomtStof=Colistin" TargetMode="External"/><Relationship Id="rId328" Type="http://schemas.openxmlformats.org/officeDocument/2006/relationships/hyperlink" Target="https://dmd-browser.nhsbsa.nhs.uk/ampp/view/209804" TargetMode="External"/><Relationship Id="rId329" Type="http://schemas.openxmlformats.org/officeDocument/2006/relationships/hyperlink" Target="https://dmd-browser.nhsbsa.nhs.uk/ampp/view/183004/" TargetMode="External"/><Relationship Id="rId330" Type="http://schemas.openxmlformats.org/officeDocument/2006/relationships/hyperlink" Target="https://www.pbs.gov.au/industry/pricing/ex-manufacturer-price/2026/09/ex-manufacturer-prices-efc-2026-09-01.XLSX" TargetMode="External"/><Relationship Id="rId331" Type="http://schemas.openxmlformats.org/officeDocument/2006/relationships/hyperlink" Target="https://dmd-browser.nhsbsa.nhs.uk/ampp/view/163290" TargetMode="External"/><Relationship Id="rId332" Type="http://schemas.openxmlformats.org/officeDocument/2006/relationships/hyperlink" Target="https://www.aifa.gov.it/documents/20142/3815901/Classe_H_per_principio_attivo_30-04-2026.csv" TargetMode="External"/><Relationship Id="rId333" Type="http://schemas.openxmlformats.org/officeDocument/2006/relationships/hyperlink" Target="https://medicineprices.org.za/" TargetMode="External"/><Relationship Id="rId334" Type="http://schemas.openxmlformats.org/officeDocument/2006/relationships/hyperlink" Target="https://dmd-browser.nhsbsa.nhs.uk/ampp/view/208291" TargetMode="External"/><Relationship Id="rId335" Type="http://schemas.openxmlformats.org/officeDocument/2006/relationships/hyperlink" Target="https://base-donnees-publique.medicaments.gouv.fr/medicament/65505947/extrait" TargetMode="External"/><Relationship Id="rId336" Type="http://schemas.openxmlformats.org/officeDocument/2006/relationships/hyperlink" Target="https://www.pbs.gov.au/industry/pricing/price-disclosure-spd/current-price-disclosure-cycle" TargetMode="External"/><Relationship Id="rId337" Type="http://schemas.openxmlformats.org/officeDocument/2006/relationships/hyperlink" Target="https://www.aifa.gov.it/documents/20142/3815901/Classe_H_per_principio_attivo_30-04-2026.csv" TargetMode="External"/><Relationship Id="rId338" Type="http://schemas.openxmlformats.org/officeDocument/2006/relationships/hyperlink" Target="https://www.ncbi.nlm.nih.gov/books/NBK611313/table/tr8269868067037182_ch02_t09/" TargetMode="External"/><Relationship Id="rId339" Type="http://schemas.openxmlformats.org/officeDocument/2006/relationships/hyperlink" Target="https://www.pbs.gov.au/industry/pricing/ex-manufacturer-price/2026/09/ex-manufacturer-prices-efc-2026-09-01.XLSX" TargetMode="External"/><Relationship Id="rId340" Type="http://schemas.openxmlformats.org/officeDocument/2006/relationships/hyperlink" Target="https://medicineprices.org.za/" TargetMode="External"/><Relationship Id="rId341" Type="http://schemas.openxmlformats.org/officeDocument/2006/relationships/hyperlink" Target="https://medicineprices.org.za/" TargetMode="External"/><Relationship Id="rId342" Type="http://schemas.openxmlformats.org/officeDocument/2006/relationships/hyperlink" Target="https://www.health.gov.za/nhi-pee/" TargetMode="External"/><Relationship Id="rId343" Type="http://schemas.openxmlformats.org/officeDocument/2006/relationships/hyperlink" Target="https://www.my-marien-apotheke.de/produkt/adrenalin-1-10-000-aguettant-inj-lsg-i-e-fert-s-11587497" TargetMode="External"/><Relationship Id="rId344" Type="http://schemas.openxmlformats.org/officeDocument/2006/relationships/hyperlink" Target="https://dmd-browser.nhsbsa.nhs.uk/ampp/view/90547" TargetMode="External"/><Relationship Id="rId345" Type="http://schemas.openxmlformats.org/officeDocument/2006/relationships/hyperlink" Target="https://www.aifa.gov.it/documents/20142/3815901/Classe_H_per_principio_attivo_30-04-2026.csv" TargetMode="External"/><Relationship Id="rId346" Type="http://schemas.openxmlformats.org/officeDocument/2006/relationships/hyperlink" Target="https://www.pbs.gov.au/industry/pricing/ex-manufacturer-price/2026/09/ex-manufacturer-prices-efc-2026-09-01.XLSX" TargetMode="External"/><Relationship Id="rId347" Type="http://schemas.openxmlformats.org/officeDocument/2006/relationships/hyperlink" Target="https://www.pbs.gov.au/industry/pricing/ex-manufacturer-price/2026/09/ex-manufacturer-prices-efc-2026-09-01.XLSX" TargetMode="External"/><Relationship Id="rId348" Type="http://schemas.openxmlformats.org/officeDocument/2006/relationships/hyperlink" Target="https://www.pbs.gov.au/industry/pricing/ex-manufacturer-price/2026/09/ex-manufacturer-prices-efc-2026-09-01.XLSX" TargetMode="External"/><Relationship Id="rId349" Type="http://schemas.openxmlformats.org/officeDocument/2006/relationships/hyperlink" Target="https://www.health.gov.za/nhi-pee/" TargetMode="External"/><Relationship Id="rId350" Type="http://schemas.openxmlformats.org/officeDocument/2006/relationships/hyperlink" Target="https://www.health.gov.za/nhi-pee/" TargetMode="External"/><Relationship Id="rId351" Type="http://schemas.openxmlformats.org/officeDocument/2006/relationships/hyperlink" Target="https://www.health.gov.za/nhi-pee/" TargetMode="External"/><Relationship Id="rId352" Type="http://schemas.openxmlformats.org/officeDocument/2006/relationships/hyperlink" Target="https://www.health.gov.za/nhi-pee/" TargetMode="External"/><Relationship Id="rId353" Type="http://schemas.openxmlformats.org/officeDocument/2006/relationships/hyperlink" Target="https://www.medicinpriser.dk/Default.aspx?VirksomtStof=Eptifibatid" TargetMode="External"/><Relationship Id="rId354" Type="http://schemas.openxmlformats.org/officeDocument/2006/relationships/hyperlink" Target="https://www.aifa.gov.it/documents/20142/3815901/Classe_H_per_principio_attivo_30-04-2026.csv" TargetMode="External"/><Relationship Id="rId355" Type="http://schemas.openxmlformats.org/officeDocument/2006/relationships/hyperlink" Target="https://dmd-browser.nhsbsa.nhs.uk/ampp/view/189948" TargetMode="External"/><Relationship Id="rId356" Type="http://schemas.openxmlformats.org/officeDocument/2006/relationships/hyperlink" Target="https://www.aifa.gov.it/documents/20142/3815901/Classe_H_per_principio_attivo_30-04-2026.csv" TargetMode="External"/><Relationship Id="rId357" Type="http://schemas.openxmlformats.org/officeDocument/2006/relationships/hyperlink" Target="https://www.aponeo.de/rx/08630485-staphylex-injektion-500-mg-plv-z-h-e-inj-inf-l.html" TargetMode="External"/><Relationship Id="rId358" Type="http://schemas.openxmlformats.org/officeDocument/2006/relationships/hyperlink" Target="https://dmd-browser.nhsbsa.nhs.uk/ampp/view/105990" TargetMode="External"/><Relationship Id="rId359" Type="http://schemas.openxmlformats.org/officeDocument/2006/relationships/hyperlink" Target="https://www.aifa.gov.it/documents/20142/3815901/Classe_H_per_principio_attivo_30-04-2026.csv" TargetMode="External"/><Relationship Id="rId360" Type="http://schemas.openxmlformats.org/officeDocument/2006/relationships/hyperlink" Target="https://dmd-browser.nhsbsa.nhs.uk/ampp/view/90576" TargetMode="External"/><Relationship Id="rId361" Type="http://schemas.openxmlformats.org/officeDocument/2006/relationships/hyperlink" Target="https://www.ncbi.nlm.nih.gov/books/NBK601789/table/tr826986112990278_ch02_t06/" TargetMode="External"/><Relationship Id="rId362" Type="http://schemas.openxmlformats.org/officeDocument/2006/relationships/hyperlink" Target="https://www.drugs.com/price-guide/fulvestrant" TargetMode="External"/><Relationship Id="rId363" Type="http://schemas.openxmlformats.org/officeDocument/2006/relationships/hyperlink" Target="https://www.nhsbsa.nhs.uk/sites/default/files/2026-08/Part%20VIIIA%20Sep%2026.xls.xlsx" TargetMode="External"/><Relationship Id="rId364" Type="http://schemas.openxmlformats.org/officeDocument/2006/relationships/hyperlink" Target="https://www.aifa.gov.it/documents/20142/3815901/Classe_H_per_principio_attivo_30-04-2026.csv" TargetMode="External"/><Relationship Id="rId365" Type="http://schemas.openxmlformats.org/officeDocument/2006/relationships/hyperlink" Target="https://www.health.gov.za/nhi-pee/" TargetMode="External"/><Relationship Id="rId366" Type="http://schemas.openxmlformats.org/officeDocument/2006/relationships/hyperlink" Target="https://www.nhsbsa.nhs.uk/sites/default/files/2026-09/Part%20VIIIA%20Oct%202026.xlsx" TargetMode="External"/><Relationship Id="rId367" Type="http://schemas.openxmlformats.org/officeDocument/2006/relationships/hyperlink" Target="https://www.apoteket.dk/medicin/laegemidler/hydroxocobalamin-alternova" TargetMode="External"/><Relationship Id="rId368" Type="http://schemas.openxmlformats.org/officeDocument/2006/relationships/hyperlink" Target="https://www.drugs.com/price-guide/ibandronate" TargetMode="External"/><Relationship Id="rId369" Type="http://schemas.openxmlformats.org/officeDocument/2006/relationships/hyperlink" Target="https://dmd-browser.nhsbsa.nhs.uk/amp/view/140839?ref=bmFtZT1sZXZvdGh5cm94aW5lK3NvZGl1bSZzaG93SW52YWxpZEl0ZW1zPWZhbHNlJnNvcnRPcmRlcj1hbHBoYSZwYWdlPTExOCZzaXplPTEwMA%3D%3D" TargetMode="External"/><Relationship Id="rId370" Type="http://schemas.openxmlformats.org/officeDocument/2006/relationships/hyperlink" Target="https://www.aifa.gov.it/documents/20142/3815901/Classe_H_per_principio_attivo_30-04-2026.csv" TargetMode="External"/><Relationship Id="rId371" Type="http://schemas.openxmlformats.org/officeDocument/2006/relationships/hyperlink" Target="https://www.aifa.gov.it/documents/20142/3815901/Classe_H_per_principio_attivo_30-04-2026.csv" TargetMode="External"/><Relationship Id="rId372" Type="http://schemas.openxmlformats.org/officeDocument/2006/relationships/hyperlink" Target="https://www.aponeo.de/rx/17518209-camcevi-21-mg-3-monats-depot-inj-susp-fertigspr.html" TargetMode="External"/><Relationship Id="rId373" Type="http://schemas.openxmlformats.org/officeDocument/2006/relationships/hyperlink" Target="https://www.nhsbsa.nhs.uk/sites/default/files/2026-09/Part%20VIIIA%20Oct%202026.xlsx" TargetMode="External"/><Relationship Id="rId374" Type="http://schemas.openxmlformats.org/officeDocument/2006/relationships/hyperlink" Target="https://www.nhsbsa.nhs.uk/sites/default/files/2026-09/Part%20VIIIA%20Oct%202026.xlsx" TargetMode="External"/><Relationship Id="rId375" Type="http://schemas.openxmlformats.org/officeDocument/2006/relationships/hyperlink" Target="https://www.nhsbsa.nhs.uk/sites/default/files/2026-09/Part%20VIIIA%20Oct%202026.xlsx" TargetMode="External"/><Relationship Id="rId376" Type="http://schemas.openxmlformats.org/officeDocument/2006/relationships/hyperlink" Target="https://www.nhsbsa.nhs.uk/sites/default/files/2026-09/Part%20VIIIA%20Oct%202026.xlsx" TargetMode="External"/><Relationship Id="rId377" Type="http://schemas.openxmlformats.org/officeDocument/2006/relationships/hyperlink" Target="https://www.medicijnkosten.nl/medicijn?artikel=MELFALAN+AMAROX+INJ%2FINFUSIEPOEDER+FL50MG%2BSV+10ML&amp;id=35352a89252a9fdd69fd915f3d070528" TargetMode="External"/><Relationship Id="rId378" Type="http://schemas.openxmlformats.org/officeDocument/2006/relationships/hyperlink" Target="https://dmd-browser.nhsbsa.nhs.uk/ampp/view/133567" TargetMode="External"/><Relationship Id="rId379" Type="http://schemas.openxmlformats.org/officeDocument/2006/relationships/hyperlink" Target="https://www.ab.bluecross.ca/dbl/pdfs/ABCDPL_2026_01_07.pdf" TargetMode="External"/><Relationship Id="rId380" Type="http://schemas.openxmlformats.org/officeDocument/2006/relationships/hyperlink" Target="https://www.formulary.health.gov.on.ca/formulary/detail.xhtml?drugId=02464365" TargetMode="External"/><Relationship Id="rId381" Type="http://schemas.openxmlformats.org/officeDocument/2006/relationships/hyperlink" Target="https://www.ab.bluecross.ca/dbl/pdfs/ABCDPL_2026_09_04.pdf" TargetMode="External"/><Relationship Id="rId382" Type="http://schemas.openxmlformats.org/officeDocument/2006/relationships/hyperlink" Target="https://www.ab.bluecross.ca/dbl/pdfs/ABCDPL_2026_09_04.pdf" TargetMode="External"/><Relationship Id="rId383" Type="http://schemas.openxmlformats.org/officeDocument/2006/relationships/hyperlink" Target="https://www.formulary.health.gov.on.ca/formulary/detail.xhtml?drugId=02491281" TargetMode="External"/><Relationship Id="rId384" Type="http://schemas.openxmlformats.org/officeDocument/2006/relationships/hyperlink" Target="https://www.formulary.health.gov.on.ca/formulary/detail.xhtml?drugId=02491303" TargetMode="External"/><Relationship Id="rId385" Type="http://schemas.openxmlformats.org/officeDocument/2006/relationships/hyperlink" Target="https://www.pbs.gov.au/industry/pricing/ex-manufacturer-price/2026/09/ex-manufacturer-prices-efc-2026-09-01.XLSX" TargetMode="External"/><Relationship Id="rId386" Type="http://schemas.openxmlformats.org/officeDocument/2006/relationships/hyperlink" Target="https://www.chemistwarehouse.com.au/buy/90218/midazolam-5mg-ml-injection-10-midazolam" TargetMode="External"/><Relationship Id="rId387" Type="http://schemas.openxmlformats.org/officeDocument/2006/relationships/hyperlink" Target="https://www.pbs.gov.au/industry/pricing/ex-manufacturer-price/2026/09/ex-manufacturer-prices-non-efc-2026-09-01.XLSX" TargetMode="External"/><Relationship Id="rId388" Type="http://schemas.openxmlformats.org/officeDocument/2006/relationships/hyperlink" Target="https://dmd-browser.nhsbsa.nhs.uk/ampp/view/180360" TargetMode="External"/><Relationship Id="rId389" Type="http://schemas.openxmlformats.org/officeDocument/2006/relationships/hyperlink" Target="https://www.aifa.gov.it/documents/20142/3815901/Classe_H_per_principio_attivo_30-04-2026.csv" TargetMode="External"/><Relationship Id="rId390" Type="http://schemas.openxmlformats.org/officeDocument/2006/relationships/hyperlink" Target="https://www.ab.bluecross.ca/dbl/pdfs/ABCDPL_2026_04_07.pdf" TargetMode="External"/><Relationship Id="rId391" Type="http://schemas.openxmlformats.org/officeDocument/2006/relationships/hyperlink" Target="https://www.aifa.gov.it/documents/20142/3815901/Classe_H_per_principio_attivo_30-04-2026.csv" TargetMode="External"/><Relationship Id="rId392" Type="http://schemas.openxmlformats.org/officeDocument/2006/relationships/hyperlink" Target="https://dmd-browser.nhsbsa.nhs.uk/ampp/view/47446" TargetMode="External"/><Relationship Id="rId393" Type="http://schemas.openxmlformats.org/officeDocument/2006/relationships/hyperlink" Target="https://www.drugs.com/price-guide/ondansetron" TargetMode="External"/><Relationship Id="rId394" Type="http://schemas.openxmlformats.org/officeDocument/2006/relationships/hyperlink" Target="https://dmd-browser.nhsbsa.nhs.uk/ampp/view/197033" TargetMode="External"/><Relationship Id="rId395" Type="http://schemas.openxmlformats.org/officeDocument/2006/relationships/hyperlink" Target="https://www.aifa.gov.it/documents/20142/3815901/Classe_H_per_principio_attivo_30-04-2026.csv" TargetMode="External"/><Relationship Id="rId396" Type="http://schemas.openxmlformats.org/officeDocument/2006/relationships/hyperlink" Target="https://www.aifa.gov.it/documents/20142/3815901/Classe_H_per_principio_attivo_30-04-2026.csv" TargetMode="External"/><Relationship Id="rId397" Type="http://schemas.openxmlformats.org/officeDocument/2006/relationships/hyperlink" Target="https://www.ab.bluecross.ca/dbl/pdfs/ABCDPL_2026_04_07.pdf" TargetMode="External"/><Relationship Id="rId398" Type="http://schemas.openxmlformats.org/officeDocument/2006/relationships/hyperlink" Target="https://dmd-browser.nhsbsa.nhs.uk/ampp/view/161756" TargetMode="External"/><Relationship Id="rId399" Type="http://schemas.openxmlformats.org/officeDocument/2006/relationships/hyperlink" Target="https://www.aifa.gov.it/documents/20142/3815901/Classe_H_per_principio_attivo_30-04-2026.csv" TargetMode="External"/><Relationship Id="rId400" Type="http://schemas.openxmlformats.org/officeDocument/2006/relationships/hyperlink" Target="https://www.health.gov.za/nhi-pee/" TargetMode="External"/><Relationship Id="rId401" Type="http://schemas.openxmlformats.org/officeDocument/2006/relationships/hyperlink" Target="https://dmd-browser.nhsbsa.nhs.uk/ampp/view/194984" TargetMode="External"/><Relationship Id="rId402" Type="http://schemas.openxmlformats.org/officeDocument/2006/relationships/hyperlink" Target="https://www.aifa.gov.it/documents/20142/3815901/Classe_H_per_principio_attivo_30-04-2026.csv" TargetMode="External"/><Relationship Id="rId403" Type="http://schemas.openxmlformats.org/officeDocument/2006/relationships/hyperlink" Target="https://www.drugs.com/price-guide/paricalcitol" TargetMode="External"/><Relationship Id="rId404" Type="http://schemas.openxmlformats.org/officeDocument/2006/relationships/hyperlink" Target="https://www.drugs.com/price-guide/paricalcitol" TargetMode="External"/><Relationship Id="rId405" Type="http://schemas.openxmlformats.org/officeDocument/2006/relationships/hyperlink" Target="https://medicineprices.org.za/" TargetMode="External"/><Relationship Id="rId406" Type="http://schemas.openxmlformats.org/officeDocument/2006/relationships/hyperlink" Target="https://openprescribing.net/dmd/ampp/23595411000001105" TargetMode="External"/><Relationship Id="rId407" Type="http://schemas.openxmlformats.org/officeDocument/2006/relationships/hyperlink" Target="https://dmd-browser.nhsbsa.nhs.uk/ampp/view/198886" TargetMode="External"/><Relationship Id="rId408" Type="http://schemas.openxmlformats.org/officeDocument/2006/relationships/hyperlink" Target="https://www.aifa.gov.it/documents/20142/3815901/Classe_H_per_principio_attivo_30-04-2026.csv" TargetMode="External"/><Relationship Id="rId409" Type="http://schemas.openxmlformats.org/officeDocument/2006/relationships/hyperlink" Target="https://www.pbs.gov.au/industry/pricing/price-disclosure-spd/current-price-disclosure-cycle" TargetMode="External"/><Relationship Id="rId410" Type="http://schemas.openxmlformats.org/officeDocument/2006/relationships/hyperlink" Target="https://www.cms.gov/files/zip/october-2026-medicare-part-b-payment-limit-files-final.zip" TargetMode="External"/><Relationship Id="rId411" Type="http://schemas.openxmlformats.org/officeDocument/2006/relationships/hyperlink" Target="https://www.cms.gov/files/zip/october-2026-medicare-part-b-payment-limit-files-final.zip" TargetMode="External"/><Relationship Id="rId412" Type="http://schemas.openxmlformats.org/officeDocument/2006/relationships/hyperlink" Target="https://www.aifa.gov.it/documents/20142/3815901/Classe_H_per_principio_attivo_30-04-2026.csv" TargetMode="External"/><Relationship Id="rId413" Type="http://schemas.openxmlformats.org/officeDocument/2006/relationships/hyperlink" Target="https://department.va.gov/procurement-acquisition-and-logistics/wp-content/uploads/sites/56/2026/10/TPharmPrices2026-10-01.xlsx" TargetMode="External"/><Relationship Id="rId414" Type="http://schemas.openxmlformats.org/officeDocument/2006/relationships/hyperlink" Target="https://dmd-browser.nhsbsa.nhs.uk/ampp/view/195045" TargetMode="External"/><Relationship Id="rId415" Type="http://schemas.openxmlformats.org/officeDocument/2006/relationships/hyperlink" Target="https://www.aifa.gov.it/documents/20142/3815901/Classe_H_per_principio_attivo_30-04-2026.csv" TargetMode="External"/><Relationship Id="rId416" Type="http://schemas.openxmlformats.org/officeDocument/2006/relationships/hyperlink" Target="https://www.aifa.gov.it/documents/20142/3815901/Classe_A_per_principio_attivo_30-04-2026.csv" TargetMode="External"/><Relationship Id="rId417" Type="http://schemas.openxmlformats.org/officeDocument/2006/relationships/hyperlink" Target="https://www.cms.gov/files/zip/october-2026-medicare-part-b-payment-limit-files-final.zip" TargetMode="External"/><Relationship Id="rId418" Type="http://schemas.openxmlformats.org/officeDocument/2006/relationships/hyperlink" Target="https://www.health.gov.za/nhi-pee/" TargetMode="External"/><Relationship Id="rId419" Type="http://schemas.openxmlformats.org/officeDocument/2006/relationships/hyperlink" Target="https://www.aifa.gov.it/documents/20142/3815901/Classe_H_per_principio_attivo_30-04-2026.csv" TargetMode="External"/><Relationship Id="rId420" Type="http://schemas.openxmlformats.org/officeDocument/2006/relationships/hyperlink" Target="https://www.aifa.gov.it/documents/20142/3815901/Classe_H_per_principio_attivo_30-04-2026.csv" TargetMode="External"/><Relationship Id="rId421" Type="http://schemas.openxmlformats.org/officeDocument/2006/relationships/hyperlink" Target="https://michaelschemist.com.au/products/rapifenalfentanil1mg2f2mlampx5" TargetMode="External"/><Relationship Id="rId422" Type="http://schemas.openxmlformats.org/officeDocument/2006/relationships/hyperlink" Target="https://www.pbs.gov.au/industry/pricing/ex-manufacturer-price/2026/10/ex-manufacturer-prices-non-efc-2026-10-01.XLSX" TargetMode="External"/><Relationship Id="rId423" Type="http://schemas.openxmlformats.org/officeDocument/2006/relationships/hyperlink" Target="https://department.va.gov/procurement-acquisition-and-logistics/wp-content/uploads/sites/56/2026/10/TPharmPrices2026-10-01.xlsx" TargetMode="External"/><Relationship Id="rId424" Type="http://schemas.openxmlformats.org/officeDocument/2006/relationships/hyperlink" Target="https://medicineprices.org.za/" TargetMode="External"/><Relationship Id="rId425" Type="http://schemas.openxmlformats.org/officeDocument/2006/relationships/hyperlink" Target="https://www.cms.gov/files/zip/october-2026-medicare-part-b-payment-limit-files-final.zip" TargetMode="External"/><Relationship Id="rId426" Type="http://schemas.openxmlformats.org/officeDocument/2006/relationships/hyperlink" Target="https://www.cms.gov/files/zip/october-2026-medicare-part-b-payment-limit-files-final.zip" TargetMode="External"/><Relationship Id="rId427" Type="http://schemas.openxmlformats.org/officeDocument/2006/relationships/hyperlink" Target="https://www.cms.gov/files/zip/october-2026-medicare-part-b-payment-limit-files-final.zip" TargetMode="External"/><Relationship Id="rId428" Type="http://schemas.openxmlformats.org/officeDocument/2006/relationships/hyperlink" Target="https://www.cms.gov/files/zip/october-2026-medicare-part-b-payment-limit-files-final.zip" TargetMode="External"/><Relationship Id="rId429" Type="http://schemas.openxmlformats.org/officeDocument/2006/relationships/hyperlink" Target="https://www.cms.gov/files/zip/october-2026-medicare-part-b-payment-limit-files-final.zip" TargetMode="External"/><Relationship Id="rId430" Type="http://schemas.openxmlformats.org/officeDocument/2006/relationships/hyperlink" Target="https://www.health.gov.za/nhi-pee/" TargetMode="External"/><Relationship Id="rId431" Type="http://schemas.openxmlformats.org/officeDocument/2006/relationships/hyperlink" Target="https://department.va.gov/procurement-acquisition-and-logistics/wp-content/uploads/sites/56/2026/10/TPharmPrices2026-10-01.xlsx" TargetMode="External"/><Relationship Id="rId432" Type="http://schemas.openxmlformats.org/officeDocument/2006/relationships/hyperlink" Target="https://www.health.gov.za/nhi-pee/" TargetMode="External"/><Relationship Id="rId433" Type="http://schemas.openxmlformats.org/officeDocument/2006/relationships/hyperlink" Target="https://www.cms.gov/files/zip/october-2026-medicare-part-b-payment-limit-files-final.zip" TargetMode="External"/><Relationship Id="rId434" Type="http://schemas.openxmlformats.org/officeDocument/2006/relationships/hyperlink" Target="https://www.cms.gov/files/zip/october-2026-medicare-part-b-payment-limit-files-final.zip" TargetMode="External"/><Relationship Id="rId435" Type="http://schemas.openxmlformats.org/officeDocument/2006/relationships/hyperlink" Target="https://www.cms.gov/files/zip/october-2026-medicare-part-b-payment-limit-files-final.zip" TargetMode="External"/><Relationship Id="rId436" Type="http://schemas.openxmlformats.org/officeDocument/2006/relationships/hyperlink" Target="https://michaelschemist.com.au/products/meropenemran500mginj5" TargetMode="External"/><Relationship Id="rId437" Type="http://schemas.openxmlformats.org/officeDocument/2006/relationships/hyperlink" Target="https://www.medshop.com.au/products/meropenem-ranbaxy-1g-vial-5-meropenem-1000mg-vial" TargetMode="External"/><Relationship Id="rId438" Type="http://schemas.openxmlformats.org/officeDocument/2006/relationships/hyperlink" Target="https://medicineprices.org.za/" TargetMode="External"/><Relationship Id="rId439" Type="http://schemas.openxmlformats.org/officeDocument/2006/relationships/hyperlink" Target="https://medicineprices.org.za/" TargetMode="External"/><Relationship Id="rId440" Type="http://schemas.openxmlformats.org/officeDocument/2006/relationships/hyperlink" Target="https://www.cms.gov/files/zip/october-2026-medicare-part-b-payment-limit-files-final.zip" TargetMode="External"/><Relationship Id="rId441" Type="http://schemas.openxmlformats.org/officeDocument/2006/relationships/hyperlink" Target="https://michaelschemist.com.au/products/zyprexavl10mg1" TargetMode="External"/><Relationship Id="rId442" Type="http://schemas.openxmlformats.org/officeDocument/2006/relationships/hyperlink" Target="https://www.healthylife.com.au/products/oxytocin-generic-10iu1ml-x-5-ampoules" TargetMode="External"/><Relationship Id="rId443" Type="http://schemas.openxmlformats.org/officeDocument/2006/relationships/hyperlink" Target="https://medicineprices.org.za/" TargetMode="External"/><Relationship Id="rId444" Type="http://schemas.openxmlformats.org/officeDocument/2006/relationships/hyperlink" Target="https://medicineprices.org.za/" TargetMode="External"/><Relationship Id="rId445" Type="http://schemas.openxmlformats.org/officeDocument/2006/relationships/hyperlink" Target="https://www.drugs.com/price-guide/sugammadex" TargetMode="External"/><Relationship Id="rId446" Type="http://schemas.openxmlformats.org/officeDocument/2006/relationships/hyperlink" Target="https://www.drugs.com/price-guide/sugammadex" TargetMode="External"/><Relationship Id="rId447" Type="http://schemas.openxmlformats.org/officeDocument/2006/relationships/hyperlink" Target="https://michaelschemist.com.au/products/teicoplaninpwdrforinj400mg1" TargetMode="External"/><Relationship Id="rId448" Type="http://schemas.openxmlformats.org/officeDocument/2006/relationships/hyperlink" Target="https://www.health.gov.za/nhi-pee/" TargetMode="External"/><Relationship Id="rId449" Type="http://schemas.openxmlformats.org/officeDocument/2006/relationships/hyperlink" Target="https://www.health.gov.za/nhi-pee/" TargetMode="External"/><Relationship Id="rId450" Type="http://schemas.openxmlformats.org/officeDocument/2006/relationships/hyperlink" Target="https://www.health.gov.za/nhi-pee/" TargetMode="External"/><Relationship Id="rId451" Type="http://schemas.openxmlformats.org/officeDocument/2006/relationships/hyperlink" Target="https://www.drugs.com/price-guide/bortezomib" TargetMode="External"/><Relationship Id="rId452" Type="http://schemas.openxmlformats.org/officeDocument/2006/relationships/hyperlink" Target="https://dmd-browser.nhsbsa.nhs.uk/ampp/view/203257" TargetMode="External"/><Relationship Id="rId453" Type="http://schemas.openxmlformats.org/officeDocument/2006/relationships/hyperlink" Target="https://zoek.officielebekendmakingen.nl/stcrt-2026-7257.html" TargetMode="External"/><Relationship Id="rId454" Type="http://schemas.openxmlformats.org/officeDocument/2006/relationships/hyperlink" Target="https://www.pbs.gov.au/industry/pricing/ex-manufacturer-price/2026/09/ex-manufacturer-prices-efc-2026-09-01.XLSX" TargetMode="External"/><Relationship Id="rId455" Type="http://schemas.openxmlformats.org/officeDocument/2006/relationships/hyperlink" Target="https://www.drugs.com/price-guide/brivaracetam" TargetMode="External"/><Relationship Id="rId456" Type="http://schemas.openxmlformats.org/officeDocument/2006/relationships/hyperlink" Target="https://www.drugs.com/price-guide/chlorpromazine" TargetMode="External"/><Relationship Id="rId457" Type="http://schemas.openxmlformats.org/officeDocument/2006/relationships/hyperlink" Target="https://www.drugs.com/price-guide/fluphenazine" TargetMode="External"/><Relationship Id="rId458" Type="http://schemas.openxmlformats.org/officeDocument/2006/relationships/hyperlink" Target="https://dmd-browser.nhsbsa.nhs.uk/ampp/view/204692" TargetMode="External"/><Relationship Id="rId459" Type="http://schemas.openxmlformats.org/officeDocument/2006/relationships/hyperlink" Target="https://www.drugs.com/price-guide/plerixafor" TargetMode="External"/><Relationship Id="rId460" Type="http://schemas.openxmlformats.org/officeDocument/2006/relationships/hyperlink" Target="https://www.drugs.com/price-guide/sugammadex" TargetMode="External"/><Relationship Id="rId461" Type="http://schemas.openxmlformats.org/officeDocument/2006/relationships/hyperlink" Target="https://www.drugs.com/price-guide/sugammadex" TargetMode="External"/><Relationship Id="rId462" Type="http://schemas.openxmlformats.org/officeDocument/2006/relationships/hyperlink" Target="https://dmd-browser.nhsbsa.nhs.uk/ampp/view/208635" TargetMode="External"/><Relationship Id="rId463" Type="http://schemas.openxmlformats.org/officeDocument/2006/relationships/hyperlink" Target="https://www.drugs.com/price-guide/brivaracetam" TargetMode="External"/><Relationship Id="rId464" Type="http://schemas.openxmlformats.org/officeDocument/2006/relationships/hyperlink" Target="https://www.medicinpriser.dk/Default.aspx?VirksomtStof=Caffein&amp;lng=2" TargetMode="External"/><Relationship Id="rId465" Type="http://schemas.openxmlformats.org/officeDocument/2006/relationships/hyperlink" Target="https://www.medicinpriser.dk/Default.aspx?VirksomtStof=Caffein&amp;lng=2" TargetMode="External"/><Relationship Id="rId466" Type="http://schemas.openxmlformats.org/officeDocument/2006/relationships/hyperlink" Target="https://www.drugs.com/price-guide/carboprost" TargetMode="External"/><Relationship Id="rId467" Type="http://schemas.openxmlformats.org/officeDocument/2006/relationships/hyperlink" Target="https://michaelschemist.com.au/products/valoidinj50mg2f1ml5" TargetMode="External"/><Relationship Id="rId468" Type="http://schemas.openxmlformats.org/officeDocument/2006/relationships/hyperlink" Target="https://www.mountainside-medical.com/products/diphenhydramine-injection-50-mg-ml-single-dose-vials-1-ml-x-25-pack" TargetMode="External"/><Relationship Id="rId469" Type="http://schemas.openxmlformats.org/officeDocument/2006/relationships/hyperlink" Target="https://www.drugs.com/price-guide/isoproterenol" TargetMode="External"/><Relationship Id="rId470" Type="http://schemas.openxmlformats.org/officeDocument/2006/relationships/hyperlink" Target="https://www.medshop.com.au/products/levetiracetam-500mg5ml-vial-10-levetiracetam-500mg5ml-vial" TargetMode="External"/><Relationship Id="rId471" Type="http://schemas.openxmlformats.org/officeDocument/2006/relationships/hyperlink" Target="https://www.drugs.com/price-guide/lincomycin" TargetMode="External"/><Relationship Id="rId472" Type="http://schemas.openxmlformats.org/officeDocument/2006/relationships/hyperlink" Target="https://department.va.gov/procurement-acquisition-and-logistics/wp-content/uploads/sites/56/2026/10/TPharmPrices2026-10-01.xlsx" TargetMode="External"/><Relationship Id="rId473" Type="http://schemas.openxmlformats.org/officeDocument/2006/relationships/hyperlink" Target="https://www.drugs.com/price-guide/verapamil" TargetMode="External"/><Relationship Id="rId474" Type="http://schemas.openxmlformats.org/officeDocument/2006/relationships/hyperlink" Target="https://www.drugs.com/price-guide/verapamil" TargetMode="External"/><Relationship Id="rId475" Type="http://schemas.openxmlformats.org/officeDocument/2006/relationships/hyperlink" Target="https://www.drugs.com/price-guide/bupivacaine" TargetMode="External"/><Relationship Id="rId476" Type="http://schemas.openxmlformats.org/officeDocument/2006/relationships/hyperlink" Target="https://www.drugs.com/price-guide/bupivacaine" TargetMode="External"/><Relationship Id="rId477" Type="http://schemas.openxmlformats.org/officeDocument/2006/relationships/hyperlink" Target="https://www.drugs.com/price-guide/carboprost" TargetMode="External"/><Relationship Id="rId478" Type="http://schemas.openxmlformats.org/officeDocument/2006/relationships/hyperlink" Target="https://www.aponeo.de/rx/19949801-meropenem-hexal-500-mg-plv-z-her-e-inj-o-inf-lsg.html" TargetMode="External"/><Relationship Id="rId479" Type="http://schemas.openxmlformats.org/officeDocument/2006/relationships/hyperlink" Target="https://www.aifa.gov.it/documents/20142/3815901/Classe_H_per_principio_attivo_30-04-2026.csv" TargetMode="External"/><Relationship Id="rId480" Type="http://schemas.openxmlformats.org/officeDocument/2006/relationships/hyperlink" Target="https://www.aponeo.de/rx/19949801-meropenem-hexal-500-mg-plv-z-her-e-inj-o-inf-lsg.html" TargetMode="External"/><Relationship Id="rId481" Type="http://schemas.openxmlformats.org/officeDocument/2006/relationships/hyperlink" Target="https://department.va.gov/procurement-acquisition-and-logistics/wp-content/uploads/sites/56/2026/10/TPharmPrices2026-10-01.xlsx" TargetMode="External"/><Relationship Id="rId482" Type="http://schemas.openxmlformats.org/officeDocument/2006/relationships/hyperlink" Target="https://www.drugs.com/price-guide/nafcillin" TargetMode="External"/><Relationship Id="rId483" Type="http://schemas.openxmlformats.org/officeDocument/2006/relationships/hyperlink" Target="https://www.drugs.com/price-guide/nafcillin" TargetMode="External"/><Relationship Id="rId484" Type="http://schemas.openxmlformats.org/officeDocument/2006/relationships/hyperlink" Target="https://medicineprices.org.za/" TargetMode="External"/><Relationship Id="rId485" Type="http://schemas.openxmlformats.org/officeDocument/2006/relationships/hyperlink" Target="https://mediately.co/it/drugs/3ytjMRFtaIbVwcIRVFvxl1oiBXA/alfentanil-piramal-5-fiale-ev-10-ml-0-5-mg-ml" TargetMode="External"/><Relationship Id="rId486" Type="http://schemas.openxmlformats.org/officeDocument/2006/relationships/hyperlink" Target="https://michaelschemist.com.au/products/rapifenalfentanil1mg2f2mlampx5" TargetMode="External"/><Relationship Id="rId487" Type="http://schemas.openxmlformats.org/officeDocument/2006/relationships/hyperlink" Target="https://medicineprices.org.za/" TargetMode="External"/><Relationship Id="rId488" Type="http://schemas.openxmlformats.org/officeDocument/2006/relationships/hyperlink" Target="https://department.va.gov/procurement-acquisition-and-logistics/wp-content/uploads/sites/56/2026/10/TPharmPrices2026-10-01.xlsx" TargetMode="External"/><Relationship Id="rId489" Type="http://schemas.openxmlformats.org/officeDocument/2006/relationships/hyperlink" Target="https://www.drugs.com/price-guide/cisatracurium" TargetMode="External"/><Relationship Id="rId490" Type="http://schemas.openxmlformats.org/officeDocument/2006/relationships/hyperlink" Target="https://www.drugs.com/price-guide/cisatracurium" TargetMode="External"/><Relationship Id="rId491" Type="http://schemas.openxmlformats.org/officeDocument/2006/relationships/hyperlink" Target="https://www.shop-apotheke.com/arzneimittel/1854738/hypnomidate-2-mg-ml.htm" TargetMode="External"/><Relationship Id="rId492" Type="http://schemas.openxmlformats.org/officeDocument/2006/relationships/hyperlink" Target="https://www.health.gov.za/nhi-pee/" TargetMode="External"/><Relationship Id="rId493" Type="http://schemas.openxmlformats.org/officeDocument/2006/relationships/hyperlink" Target="https://medicineprices.org.za/" TargetMode="External"/><Relationship Id="rId494" Type="http://schemas.openxmlformats.org/officeDocument/2006/relationships/hyperlink" Target="https://medicineprices.org.za/" TargetMode="External"/><Relationship Id="rId495" Type="http://schemas.openxmlformats.org/officeDocument/2006/relationships/hyperlink" Target="https://department.va.gov/procurement-acquisition-and-logistics/wp-content/uploads/sites/56/2026/10/TPharmPrices2026-10-01.xlsx" TargetMode="External"/><Relationship Id="rId496" Type="http://schemas.openxmlformats.org/officeDocument/2006/relationships/hyperlink" Target="https://dmd-browser.nhsbsa.nhs.uk/ampp/view/195045" TargetMode="External"/><Relationship Id="rId497" Type="http://schemas.openxmlformats.org/officeDocument/2006/relationships/hyperlink" Target="https://www.aifa.gov.it/documents/20142/3815901/Classe_H_per_principio_attivo_30-04-2026.csv" TargetMode="External"/><Relationship Id="rId498" Type="http://schemas.openxmlformats.org/officeDocument/2006/relationships/hyperlink" Target="https://michaelschemist.com.au/products/cefepimepwdrforinj1gvial1" TargetMode="External"/><Relationship Id="rId499" Type="http://schemas.openxmlformats.org/officeDocument/2006/relationships/hyperlink" Target="https://michaelschemist.com.au/collections/prescriptions/products/cefepimepwdrforinj2gvial1" TargetMode="External"/><Relationship Id="rId500" Type="http://schemas.openxmlformats.org/officeDocument/2006/relationships/hyperlink" Target="https://www.healthylife.com.au/products/ceftazidime-1g-x-1-vial" TargetMode="External"/><Relationship Id="rId501" Type="http://schemas.openxmlformats.org/officeDocument/2006/relationships/hyperlink" Target="https://www.healthylife.com.au/products/ceftazidime-1g-x-1-vial" TargetMode="External"/><Relationship Id="rId502" Type="http://schemas.openxmlformats.org/officeDocument/2006/relationships/hyperlink" Target="https://medicineprices.org.za/" TargetMode="External"/><Relationship Id="rId503" Type="http://schemas.openxmlformats.org/officeDocument/2006/relationships/hyperlink" Target="https://dmd-browser.nhsbsa.nhs.uk/ampp/view/175452" TargetMode="External"/><Relationship Id="rId504" Type="http://schemas.openxmlformats.org/officeDocument/2006/relationships/hyperlink" Target="https://www.aifa.gov.it/documents/20142/3815901/Classe_H_per_principio_attivo_30-04-2026.csv" TargetMode="External"/><Relationship Id="rId505" Type="http://schemas.openxmlformats.org/officeDocument/2006/relationships/hyperlink" Target="https://www.aifa.gov.it/documents/20142/3815901/Classe_H_per_principio_attivo_30-04-2026.csv" TargetMode="External"/><Relationship Id="rId506" Type="http://schemas.openxmlformats.org/officeDocument/2006/relationships/hyperlink" Target="https://michaelschemist.com.au/products/piperacillinsodium4gtazobactamsodium05gvial" TargetMode="External"/><Relationship Id="rId507" Type="http://schemas.openxmlformats.org/officeDocument/2006/relationships/hyperlink" Target="https://michaelschemist.com.au/products/piperacillinsodium4gtazobactamsodium05gvial" TargetMode="External"/><Relationship Id="rId508" Type="http://schemas.openxmlformats.org/officeDocument/2006/relationships/hyperlink" Target="https://www.pbs.gov.au/industry/pricing/ex-manufacturer-price/2026/09/ex-manufacturer-prices-non-efc-2026-09-01.XLSX" TargetMode="External"/><Relationship Id="rId509" Type="http://schemas.openxmlformats.org/officeDocument/2006/relationships/hyperlink" Target="https://www.pbs.gov.au/industry/pricing/ex-manufacturer-price/2026/09/ex-manufacturer-prices-non-efc-2026-09-01.XLSX" TargetMode="External"/><Relationship Id="rId510" Type="http://schemas.openxmlformats.org/officeDocument/2006/relationships/hyperlink" Target="https://dmd-browser.nhsbsa.nhs.uk/ampp/view/193706" TargetMode="External"/><Relationship Id="rId511" Type="http://schemas.openxmlformats.org/officeDocument/2006/relationships/hyperlink" Target="https://www.aifa.gov.it/documents/20142/3815901/Classe_H_per_principio_attivo_30-04-2026.csv" TargetMode="External"/><Relationship Id="rId512" Type="http://schemas.openxmlformats.org/officeDocument/2006/relationships/hyperlink" Target="https://www.ab.bluecross.ca/dbl/pdfs/ABCDPL_2026_09_04.pdf" TargetMode="External"/><Relationship Id="rId513" Type="http://schemas.openxmlformats.org/officeDocument/2006/relationships/hyperlink" Target="https://medicineprices.org.za/" TargetMode="External"/><Relationship Id="rId514" Type="http://schemas.openxmlformats.org/officeDocument/2006/relationships/hyperlink" Target="https://www.drugs.com/price-guide/chlorothiazide" TargetMode="External"/><Relationship Id="rId515" Type="http://schemas.openxmlformats.org/officeDocument/2006/relationships/hyperlink" Target="https://www.drugs.com/price-guide/doxorubicin" TargetMode="External"/><Relationship Id="rId516" Type="http://schemas.openxmlformats.org/officeDocument/2006/relationships/hyperlink" Target="https://www.aifa.gov.it/documents/20142/3815901/Classe_H_per_principio_attivo_30-04-2026.csv" TargetMode="External"/><Relationship Id="rId517" Type="http://schemas.openxmlformats.org/officeDocument/2006/relationships/hyperlink" Target="https://www.nhsbsa.nhs.uk/sites/default/files/2022-06/Drug%20Tariff%20Part%20VIIIA%20July%202022.pdf" TargetMode="External"/><Relationship Id="rId518" Type="http://schemas.openxmlformats.org/officeDocument/2006/relationships/hyperlink" Target="https://www.aifa.gov.it/documents/20142/3815901/Classe_H_per_principio_attivo_30-04-2026.csv" TargetMode="External"/><Relationship Id="rId519" Type="http://schemas.openxmlformats.org/officeDocument/2006/relationships/hyperlink" Target="https://www.aifa.gov.it/documents/20142/3815901/Classe_H_per_principio_attivo_30-04-2026.csv" TargetMode="External"/><Relationship Id="rId520" Type="http://schemas.openxmlformats.org/officeDocument/2006/relationships/hyperlink" Target="https://www.ab.bluecross.ca/dbl/pdfs/ABCDPL_2026_09_04.pdf" TargetMode="External"/><Relationship Id="rId521" Type="http://schemas.openxmlformats.org/officeDocument/2006/relationships/hyperlink" Target="https://dmd-browser.nhsbsa.nhs.uk/ampp/view/175452" TargetMode="External"/><Relationship Id="rId522" Type="http://schemas.openxmlformats.org/officeDocument/2006/relationships/hyperlink" Target="https://www.aifa.gov.it/documents/20142/3815901/Classe_H_per_principio_attivo_30-04-2026.csv" TargetMode="External"/><Relationship Id="rId523" Type="http://schemas.openxmlformats.org/officeDocument/2006/relationships/hyperlink" Target="https://www.aifa.gov.it/documents/20142/3815901/Classe_H_per_principio_attivo_30-04-2026.csv" TargetMode="External"/><Relationship Id="rId524" Type="http://schemas.openxmlformats.org/officeDocument/2006/relationships/hyperlink" Target="https://idbl.ab.bluecross.ca/idbl/drugsList?ptc=08120708" TargetMode="External"/><Relationship Id="rId525" Type="http://schemas.openxmlformats.org/officeDocument/2006/relationships/hyperlink" Target="https://idbl.ab.bluecross.ca/idbl/drugsList?ptc=08120708" TargetMode="External"/><Relationship Id="rId526" Type="http://schemas.openxmlformats.org/officeDocument/2006/relationships/hyperlink" Target="https://www.medshop.com.au/products/meropenem-ranbaxy-1g-vial-5-meropenem-1000mg-vial" TargetMode="External"/><Relationship Id="rId527" Type="http://schemas.openxmlformats.org/officeDocument/2006/relationships/hyperlink" Target="https://michaelschemist.com.au/products/meropenemran500mginj5" TargetMode="External"/><Relationship Id="rId528" Type="http://schemas.openxmlformats.org/officeDocument/2006/relationships/hyperlink" Target="https://medicineprices.org.za/" TargetMode="External"/><Relationship Id="rId529" Type="http://schemas.openxmlformats.org/officeDocument/2006/relationships/hyperlink" Target="https://www.pbs.gov.au/industry/pricing/ex-manufacturer-price/2026/09/ex-manufacturer-prices-non-efc-2026-09-01.XLSX" TargetMode="External"/><Relationship Id="rId530" Type="http://schemas.openxmlformats.org/officeDocument/2006/relationships/hyperlink" Target="https://dmd-browser.nhsbsa.nhs.uk/ampp/view/96481" TargetMode="External"/><Relationship Id="rId531" Type="http://schemas.openxmlformats.org/officeDocument/2006/relationships/hyperlink" Target="https://www.aifa.gov.it/documents/20142/3815901/Classe_H_per_principio_attivo_30-04-2026.csv" TargetMode="External"/><Relationship Id="rId532" Type="http://schemas.openxmlformats.org/officeDocument/2006/relationships/hyperlink" Target="https://www.aponeo.de/rx/10735547-paricalcitol-hexal-2-mikrogramm-ml-injektionslsg.html" TargetMode="External"/><Relationship Id="rId533" Type="http://schemas.openxmlformats.org/officeDocument/2006/relationships/hyperlink" Target="https://www.drugs.com/price-guide/sugammadex" TargetMode="External"/><Relationship Id="rId534" Type="http://schemas.openxmlformats.org/officeDocument/2006/relationships/hyperlink" Target="https://www.drugs.com/price-guide/sugammadex" TargetMode="External"/><Relationship Id="rId535" Type="http://schemas.openxmlformats.org/officeDocument/2006/relationships/hyperlink" Target="https://dmd-browser.nhsbsa.nhs.uk/ampp/view/195579" TargetMode="External"/><Relationship Id="rId536" Type="http://schemas.openxmlformats.org/officeDocument/2006/relationships/hyperlink" Target="https://medicineprices.org.za/" TargetMode="External"/><Relationship Id="rId537" Type="http://schemas.openxmlformats.org/officeDocument/2006/relationships/hyperlink" Target="https://dmd-browser.nhsbsa.nhs.uk/ampp/view/198278" TargetMode="External"/><Relationship Id="rId538" Type="http://schemas.openxmlformats.org/officeDocument/2006/relationships/hyperlink" Target="https://www.aifa.gov.it/documents/20142/3815901/Classe_H_per_principio_attivo_30-04-2026.csv" TargetMode="External"/><Relationship Id="rId539" Type="http://schemas.openxmlformats.org/officeDocument/2006/relationships/hyperlink" Target="https://dmd-browser.nhsbsa.nhs.uk/ampp/view/212956" TargetMode="External"/><Relationship Id="rId540" Type="http://schemas.openxmlformats.org/officeDocument/2006/relationships/hyperlink" Target="https://www.aifa.gov.it/documents/20142/3815901/Classe_H_per_principio_attivo_30-04-2026.csv" TargetMode="External"/><Relationship Id="rId541" Type="http://schemas.openxmlformats.org/officeDocument/2006/relationships/hyperlink" Target="https://www.formulary.health.gov.on.ca/formulary/detail.xhtml?drugId=02496003" TargetMode="External"/><Relationship Id="rId542" Type="http://schemas.openxmlformats.org/officeDocument/2006/relationships/hyperlink" Target="https://www.nhsbsa.nhs.uk/sites/default/files/2026-08/Part%20VIIIA%20Sep%2026.xls.xlsx" TargetMode="External"/><Relationship Id="rId543" Type="http://schemas.openxmlformats.org/officeDocument/2006/relationships/hyperlink" Target="https://base-donnees-publique.medicaments.gouv.fr/medicament/61614600/extrait" TargetMode="External"/><Relationship Id="rId544" Type="http://schemas.openxmlformats.org/officeDocument/2006/relationships/hyperlink" Target="https://www.pbs.gov.au/industry/pricing/ex-manufacturer-price/2026/09/ex-manufacturer-prices-non-efc-2026-09-01.XLSX" TargetMode="External"/><Relationship Id="rId545" Type="http://schemas.openxmlformats.org/officeDocument/2006/relationships/hyperlink" Target="https://dmd-browser.nhsbsa.nhs.uk/ampp/view/211689" TargetMode="External"/><Relationship Id="rId546" Type="http://schemas.openxmlformats.org/officeDocument/2006/relationships/hyperlink" Target="https://www.aliva.de/p/vecuronium-inresa-10-mg-pulver-z-herst-e-inj-lsg-10-pulver-zur-herstellung-einer-injektionsloesung-03379371" TargetMode="External"/><Relationship Id="rId547" Type="http://schemas.openxmlformats.org/officeDocument/2006/relationships/hyperlink" Target="https://www.health.gov.za/nhi-pee/" TargetMode="External"/><Relationship Id="rId548" Type="http://schemas.openxmlformats.org/officeDocument/2006/relationships/hyperlink" Target="https://www.health.gov.za/nhi-pee/" TargetMode="External"/><Relationship Id="rId549" Type="http://schemas.openxmlformats.org/officeDocument/2006/relationships/hyperlink" Target="https://www.aifa.gov.it/documents/20142/3815901/Classe_H_per_principio_attivo_30-04-2026.csv" TargetMode="External"/><Relationship Id="rId550" Type="http://schemas.openxmlformats.org/officeDocument/2006/relationships/hyperlink" Target="https://dmd-browser.nhsbsa.nhs.uk/ampp/view/168374" TargetMode="External"/><Relationship Id="rId551" Type="http://schemas.openxmlformats.org/officeDocument/2006/relationships/hyperlink" Target="https://www.aifa.gov.it/documents/20142/3815901/Classe_H_per_principio_attivo_30-04-2026.csv" TargetMode="External"/><Relationship Id="rId552" Type="http://schemas.openxmlformats.org/officeDocument/2006/relationships/hyperlink" Target="https://www.mycare.de/online-kaufen/levetiracetam-till100mgml-infusionsloesungs--konzentrat-15576734" TargetMode="External"/><Relationship Id="rId553" Type="http://schemas.openxmlformats.org/officeDocument/2006/relationships/hyperlink" Target="https://www.aifa.gov.it/documents/20142/3815901/Classe_H_per_principio_attivo_30-04-2026.csv" TargetMode="External"/><Relationship Id="rId554" Type="http://schemas.openxmlformats.org/officeDocument/2006/relationships/hyperlink" Target="https://www.sanidad.gob.es/profesionales/nomenclator.do?metodo=buscarProductos&amp;especialidad=XEPLION%25" TargetMode="External"/><Relationship Id="rId555" Type="http://schemas.openxmlformats.org/officeDocument/2006/relationships/hyperlink" Target="https://www.health.gov.za/nhi-pee/" TargetMode="External"/><Relationship Id="rId556" Type="http://schemas.openxmlformats.org/officeDocument/2006/relationships/hyperlink" Target="https://www.cms.gov/files/zip/october-2026-medicare-part-b-payment-limit-files-final.zip" TargetMode="External"/><Relationship Id="rId557" Type="http://schemas.openxmlformats.org/officeDocument/2006/relationships/hyperlink" Target="https://dmd-browser.nhsbsa.nhs.uk/ampp/view/208581" TargetMode="External"/><Relationship Id="rId558" Type="http://schemas.openxmlformats.org/officeDocument/2006/relationships/hyperlink" Target="https://dmd-browser.nhsbsa.nhs.uk/ampp/view/170191" TargetMode="External"/><Relationship Id="rId559" Type="http://schemas.openxmlformats.org/officeDocument/2006/relationships/hyperlink" Target="https://dmd-browser.nhsbsa.nhs.uk/ampp/view/190496" TargetMode="External"/><Relationship Id="rId560" Type="http://schemas.openxmlformats.org/officeDocument/2006/relationships/hyperlink" Target="https://dmd-browser.nhsbsa.nhs.uk/ampp/view/175452" TargetMode="External"/><Relationship Id="rId561" Type="http://schemas.openxmlformats.org/officeDocument/2006/relationships/hyperlink" Target="https://www.aifa.gov.it/documents/20142/3815901/Classe_H_per_principio_attivo_30-04-2026.csv" TargetMode="External"/><Relationship Id="rId562" Type="http://schemas.openxmlformats.org/officeDocument/2006/relationships/hyperlink" Target="https://www.aifa.gov.it/documents/20142/3815901/Classe_H_per_principio_attivo_30-04-2026.csv" TargetMode="External"/><Relationship Id="rId563" Type="http://schemas.openxmlformats.org/officeDocument/2006/relationships/hyperlink" Target="https://dmd-browser.nhsbsa.nhs.uk/ampp/view/87667" TargetMode="External"/><Relationship Id="rId564" Type="http://schemas.openxmlformats.org/officeDocument/2006/relationships/hyperlink" Target="https://www.aponeo.de/rx/17923772-adenosin-baxter-6-mg-2-ml-injektionsloesung.html" TargetMode="External"/><Relationship Id="rId565" Type="http://schemas.openxmlformats.org/officeDocument/2006/relationships/hyperlink" Target="https://www.cms.gov/files/zip/october-2026-medicare-part-b-payment-limit-files-final.zip" TargetMode="External"/><Relationship Id="rId566" Type="http://schemas.openxmlformats.org/officeDocument/2006/relationships/hyperlink" Target="https://dmd-browser.nhsbsa.nhs.uk/ampp/view/59566" TargetMode="External"/><Relationship Id="rId567" Type="http://schemas.openxmlformats.org/officeDocument/2006/relationships/hyperlink" Target="https://dmd-browser.nhsbsa.nhs.uk/ampp/view/110863" TargetMode="External"/><Relationship Id="rId568" Type="http://schemas.openxmlformats.org/officeDocument/2006/relationships/hyperlink" Target="https://www.aifa.gov.it/documents/20142/3815901/Classe_H_per_principio_attivo_30-04-2026.csv" TargetMode="External"/><Relationship Id="rId569" Type="http://schemas.openxmlformats.org/officeDocument/2006/relationships/hyperlink" Target="https://www.drugs.com/price-guide/ceftriaxone" TargetMode="External"/><Relationship Id="rId570" Type="http://schemas.openxmlformats.org/officeDocument/2006/relationships/hyperlink" Target="https://www.drugs.com/price-guide/ceftriaxone" TargetMode="External"/><Relationship Id="rId571" Type="http://schemas.openxmlformats.org/officeDocument/2006/relationships/hyperlink" Target="https://dmd-browser.nhsbsa.nhs.uk/ampp/view/110861" TargetMode="External"/><Relationship Id="rId572" Type="http://schemas.openxmlformats.org/officeDocument/2006/relationships/hyperlink" Target="https://www.nhsbsa.nhs.uk/sites/default/files/2026-08/Part%20VIIIA%20Sep%2026.xls.xlsx" TargetMode="External"/><Relationship Id="rId573" Type="http://schemas.openxmlformats.org/officeDocument/2006/relationships/hyperlink" Target="https://dmd-browser.nhsbsa.nhs.uk/ampp/view/197707" TargetMode="External"/><Relationship Id="rId574" Type="http://schemas.openxmlformats.org/officeDocument/2006/relationships/hyperlink" Target="https://www.aifa.gov.it/documents/20142/3815901/Classe_H_per_principio_attivo_30-04-2026.csv" TargetMode="External"/><Relationship Id="rId575" Type="http://schemas.openxmlformats.org/officeDocument/2006/relationships/hyperlink" Target="https://dmd-browser.nhsbsa.nhs.uk/ampp/view/210923" TargetMode="External"/><Relationship Id="rId576" Type="http://schemas.openxmlformats.org/officeDocument/2006/relationships/hyperlink" Target="https://www.medicijnkosten.nl/medicijn?artikel=HYALURONIDASE+INJ%2FINFUSIEPOEDER+AMPUL+1500IE&amp;id=b89726bfa881dc7b75ae7c2517d4b5b7" TargetMode="External"/><Relationship Id="rId577" Type="http://schemas.openxmlformats.org/officeDocument/2006/relationships/hyperlink" Target="https://www.nhsbsa.nhs.uk/sites/default/files/2026-08/Part%20VIIIA%20Sep%2026.xls.xlsx" TargetMode="External"/><Relationship Id="rId578" Type="http://schemas.openxmlformats.org/officeDocument/2006/relationships/hyperlink" Target="https://mediately.co/gr/drugs/YCsx3j2n2qawnnaJDmFwug8Ahhz/metaraminol-so-inj-inf-10mg-ml" TargetMode="External"/><Relationship Id="rId579" Type="http://schemas.openxmlformats.org/officeDocument/2006/relationships/hyperlink" Target="https://dmd-browser.nhsbsa.nhs.uk/ampp/view/162030" TargetMode="External"/><Relationship Id="rId580" Type="http://schemas.openxmlformats.org/officeDocument/2006/relationships/hyperlink" Target="https://mediately.co/de/drugs/2JLSD2rNCbtip2an1uWLKQBCmLc/milrinon-carinopharm-1-mg-ml-injektions-infusionslosung" TargetMode="External"/><Relationship Id="rId581" Type="http://schemas.openxmlformats.org/officeDocument/2006/relationships/hyperlink" Target="https://www.nhsbsa.nhs.uk/sites/default/files/2026-08/Part%20VIIIA%20Sep%2026.xls.xlsx" TargetMode="External"/><Relationship Id="rId582" Type="http://schemas.openxmlformats.org/officeDocument/2006/relationships/hyperlink" Target="https://www.aifa.gov.it/documents/20142/3815901/Classe_H_per_principio_attivo_30-04-2026.csv" TargetMode="External"/><Relationship Id="rId583" Type="http://schemas.openxmlformats.org/officeDocument/2006/relationships/hyperlink" Target="https://www.drugs.com/price-guide/oxacillin" TargetMode="External"/><Relationship Id="rId584" Type="http://schemas.openxmlformats.org/officeDocument/2006/relationships/hyperlink" Target="https://dmd-browser.nhsbsa.nhs.uk/ampp/view/64125" TargetMode="External"/><Relationship Id="rId585" Type="http://schemas.openxmlformats.org/officeDocument/2006/relationships/hyperlink" Target="https://www.medicinpriser.dk/Default.aspx?VirksomtStof=Protamin" TargetMode="External"/><Relationship Id="rId586" Type="http://schemas.openxmlformats.org/officeDocument/2006/relationships/hyperlink" Target="https://dmd-browser.nhsbsa.nhs.uk/ampp/view/87654" TargetMode="External"/><Relationship Id="rId587" Type="http://schemas.openxmlformats.org/officeDocument/2006/relationships/hyperlink" Target="https://www.medicinpriser.dk/Default.aspx?VirksomtStof=Remifentanil" TargetMode="External"/><Relationship Id="rId588" Type="http://schemas.openxmlformats.org/officeDocument/2006/relationships/hyperlink" Target="https://dmd-browser.nhsbsa.nhs.uk/ampp/view/102025" TargetMode="External"/><Relationship Id="rId589" Type="http://schemas.openxmlformats.org/officeDocument/2006/relationships/hyperlink" Target="https://www.aifa.gov.it/documents/20142/3815901/Classe_H_per_principio_attivo_30-04-2026.csv" TargetMode="External"/><Relationship Id="rId590" Type="http://schemas.openxmlformats.org/officeDocument/2006/relationships/hyperlink" Target="https://www.medshop.com.au/products/sodium-valproate-juno-400mg-4ml" TargetMode="External"/><Relationship Id="rId591" Type="http://schemas.openxmlformats.org/officeDocument/2006/relationships/hyperlink" Target="https://dmd-browser.nhsbsa.nhs.uk/ampp/view/197725" TargetMode="External"/><Relationship Id="rId592" Type="http://schemas.openxmlformats.org/officeDocument/2006/relationships/hyperlink" Target="https://www.aifa.gov.it/documents/20142/3815901/Classe_H_per_principio_attivo_30-04-2026.csv" TargetMode="External"/><Relationship Id="rId593" Type="http://schemas.openxmlformats.org/officeDocument/2006/relationships/hyperlink" Target="https://www.aifa.gov.it/documents/20142/3815901/Classe_H_per_principio_attivo_30-04-2026.csv" TargetMode="External"/><Relationship Id="rId594" Type="http://schemas.openxmlformats.org/officeDocument/2006/relationships/hyperlink" Target="https://www.drugs.com/price-guide/acetazolamide" TargetMode="External"/><Relationship Id="rId595" Type="http://schemas.openxmlformats.org/officeDocument/2006/relationships/hyperlink" Target="https://www.drugs.com/price-guide/bortezomib" TargetMode="External"/><Relationship Id="rId596" Type="http://schemas.openxmlformats.org/officeDocument/2006/relationships/hyperlink" Target="https://dmd-browser.nhsbsa.nhs.uk/ampp/view/187562" TargetMode="External"/><Relationship Id="rId597" Type="http://schemas.openxmlformats.org/officeDocument/2006/relationships/hyperlink" Target="https://www.aifa.gov.it/documents/20142/3815901/Classe_H_per_principio_attivo_30-04-2026.csv" TargetMode="External"/><Relationship Id="rId598" Type="http://schemas.openxmlformats.org/officeDocument/2006/relationships/hyperlink" Target="https://www.health.gov.za/nhi-pee/" TargetMode="External"/><Relationship Id="rId599" Type="http://schemas.openxmlformats.org/officeDocument/2006/relationships/hyperlink" Target="https://base-donnees-publique.medicaments.gouv.fr/medicament/66127233/extrait" TargetMode="External"/><Relationship Id="rId600" Type="http://schemas.openxmlformats.org/officeDocument/2006/relationships/hyperlink" Target="https://www.drugs.com/price-guide/chlorpromazine" TargetMode="External"/><Relationship Id="rId601" Type="http://schemas.openxmlformats.org/officeDocument/2006/relationships/hyperlink" Target="https://www.drugs.com/price-guide/cisatracurium" TargetMode="External"/><Relationship Id="rId602" Type="http://schemas.openxmlformats.org/officeDocument/2006/relationships/hyperlink" Target="https://www.drugs.com/price-guide/cisatracurium" TargetMode="External"/><Relationship Id="rId603" Type="http://schemas.openxmlformats.org/officeDocument/2006/relationships/hyperlink" Target="https://www.drugs.com/price-guide/cyanocobalamin" TargetMode="External"/><Relationship Id="rId604" Type="http://schemas.openxmlformats.org/officeDocument/2006/relationships/hyperlink" Target="https://www.drugs.com/price-guide/sodium-edecrin" TargetMode="External"/><Relationship Id="rId605" Type="http://schemas.openxmlformats.org/officeDocument/2006/relationships/hyperlink" Target="https://department.va.gov/procurement-acquisition-and-logistics/wp-content/uploads/sites/56/2026/10/TPharmPrices2026-10-01.xlsx" TargetMode="External"/><Relationship Id="rId606" Type="http://schemas.openxmlformats.org/officeDocument/2006/relationships/hyperlink" Target="https://www.drugs.com/price-guide/fluorescein" TargetMode="External"/><Relationship Id="rId607" Type="http://schemas.openxmlformats.org/officeDocument/2006/relationships/hyperlink" Target="https://www.drugs.com/price-guide/fulvestrant" TargetMode="External"/><Relationship Id="rId608" Type="http://schemas.openxmlformats.org/officeDocument/2006/relationships/hyperlink" Target="https://www.drugs.com/price-guide/haloperidol" TargetMode="External"/><Relationship Id="rId609" Type="http://schemas.openxmlformats.org/officeDocument/2006/relationships/hyperlink" Target="https://www.drugs.com/price-guide/haloperidol" TargetMode="External"/><Relationship Id="rId610" Type="http://schemas.openxmlformats.org/officeDocument/2006/relationships/hyperlink" Target="https://www.cms.gov/files/zip/october-2026-medicare-part-b-payment-limit-files-final.zip" TargetMode="External"/><Relationship Id="rId611" Type="http://schemas.openxmlformats.org/officeDocument/2006/relationships/hyperlink" Target="https://www.drugs.com/price-guide/indocyanine-green" TargetMode="External"/><Relationship Id="rId612" Type="http://schemas.openxmlformats.org/officeDocument/2006/relationships/hyperlink" Target="https://www.health.gov.za/nhi-pee/" TargetMode="External"/><Relationship Id="rId613" Type="http://schemas.openxmlformats.org/officeDocument/2006/relationships/hyperlink" Target="https://www.health.gov.za/nhi-pee/" TargetMode="External"/><Relationship Id="rId614" Type="http://schemas.openxmlformats.org/officeDocument/2006/relationships/hyperlink" Target="https://department.va.gov/procurement-acquisition-and-logistics/wp-content/uploads/sites/56/2026/10/TPharmPrices2026-10-01.xlsx" TargetMode="External"/><Relationship Id="rId615" Type="http://schemas.openxmlformats.org/officeDocument/2006/relationships/hyperlink" Target="https://www.drugs.com/price-guide/sugammadex" TargetMode="External"/><Relationship Id="rId616" Type="http://schemas.openxmlformats.org/officeDocument/2006/relationships/hyperlink" Target="https://www.drugs.com/price-guide/sugammadex" TargetMode="External"/><Relationship Id="rId617" Type="http://schemas.openxmlformats.org/officeDocument/2006/relationships/hyperlink" Target="https://department.va.gov/procurement-acquisition-and-logistics/wp-content/uploads/sites/56/2026/10/TPharmPrices2026-10-01.xlsx" TargetMode="External"/><Relationship Id="rId618"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0"/>
    <col collapsed="false" customWidth="true" hidden="false" outlineLevel="0" max="4" min="4" style="0" width="8"/>
    <col collapsed="false" customWidth="true" hidden="false" outlineLevel="0" max="5" min="5" style="0" width="70"/>
    <col collapsed="false" customWidth="true" hidden="false" outlineLevel="0" max="6" min="6" style="0" width="11"/>
    <col collapsed="false" customWidth="true" hidden="false" outlineLevel="0" max="7" min="7" style="0" width="14"/>
    <col collapsed="false" customWidth="true" hidden="false" outlineLevel="0" max="8" min="8" style="0" width="9"/>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5" t="s">
        <v>4</v>
      </c>
      <c r="C5" s="5"/>
      <c r="D5" s="5"/>
      <c r="E5" s="5"/>
      <c r="F5" s="5"/>
      <c r="G5" s="5"/>
      <c r="H5" s="5"/>
      <c r="I5" s="5"/>
    </row>
    <row r="6" customFormat="false" ht="30" hidden="false" customHeight="true" outlineLevel="0" collapsed="false">
      <c r="A6" s="4" t="s">
        <v>3</v>
      </c>
      <c r="B6" s="5" t="s">
        <v>5</v>
      </c>
      <c r="C6" s="5"/>
      <c r="D6" s="5"/>
      <c r="E6" s="5"/>
      <c r="F6" s="5"/>
      <c r="G6" s="5"/>
      <c r="H6" s="5"/>
      <c r="I6" s="5"/>
    </row>
    <row r="7" customFormat="false" ht="30" hidden="false" customHeight="true" outlineLevel="0" collapsed="false">
      <c r="A7" s="4" t="s">
        <v>3</v>
      </c>
      <c r="B7" s="5" t="s">
        <v>6</v>
      </c>
      <c r="C7" s="5"/>
      <c r="D7" s="5"/>
      <c r="E7" s="5"/>
      <c r="F7" s="5"/>
      <c r="G7" s="5"/>
      <c r="H7" s="5"/>
      <c r="I7" s="5"/>
    </row>
    <row r="8" customFormat="false" ht="30" hidden="false" customHeight="true" outlineLevel="0" collapsed="false">
      <c r="A8" s="4" t="s">
        <v>3</v>
      </c>
      <c r="B8" s="5" t="s">
        <v>7</v>
      </c>
      <c r="C8" s="5"/>
      <c r="D8" s="5"/>
      <c r="E8" s="5"/>
      <c r="F8" s="5"/>
      <c r="G8" s="5"/>
      <c r="H8" s="5"/>
      <c r="I8" s="5"/>
    </row>
    <row r="9" customFormat="false" ht="30" hidden="false" customHeight="true" outlineLevel="0" collapsed="false">
      <c r="A9" s="4" t="s">
        <v>3</v>
      </c>
      <c r="B9" s="5" t="s">
        <v>8</v>
      </c>
      <c r="C9" s="5"/>
      <c r="D9" s="5"/>
      <c r="E9" s="5"/>
      <c r="F9" s="5"/>
      <c r="G9" s="5"/>
      <c r="H9" s="5"/>
      <c r="I9" s="5"/>
    </row>
    <row r="10" customFormat="false" ht="30" hidden="false" customHeight="true" outlineLevel="0" collapsed="false">
      <c r="A10" s="4" t="s">
        <v>3</v>
      </c>
      <c r="B10" s="5" t="s">
        <v>9</v>
      </c>
      <c r="C10" s="5"/>
      <c r="D10" s="5"/>
      <c r="E10" s="5"/>
      <c r="F10" s="5"/>
      <c r="G10" s="5"/>
      <c r="H10" s="5"/>
      <c r="I10" s="5"/>
    </row>
    <row r="12" customFormat="false" ht="15" hidden="false" customHeight="false" outlineLevel="0" collapsed="false">
      <c r="A12" s="3" t="s">
        <v>10</v>
      </c>
    </row>
    <row r="13" customFormat="false" ht="42" hidden="false" customHeight="true" outlineLevel="0" collapsed="false">
      <c r="A13" s="6" t="s">
        <v>11</v>
      </c>
      <c r="B13" s="6" t="s">
        <v>12</v>
      </c>
      <c r="C13" s="6" t="s">
        <v>13</v>
      </c>
      <c r="D13" s="6" t="s">
        <v>14</v>
      </c>
      <c r="E13" s="6" t="s">
        <v>15</v>
      </c>
      <c r="F13" s="6" t="s">
        <v>16</v>
      </c>
      <c r="G13" s="6" t="s">
        <v>17</v>
      </c>
      <c r="H13" s="6" t="s">
        <v>18</v>
      </c>
    </row>
    <row r="14" customFormat="false" ht="15" hidden="false" customHeight="false" outlineLevel="0" collapsed="false">
      <c r="A14" s="7" t="n">
        <v>1</v>
      </c>
      <c r="B14" s="8" t="s">
        <v>19</v>
      </c>
      <c r="C14" s="9" t="n">
        <v>4.33850162554982</v>
      </c>
      <c r="D14" s="7" t="n">
        <v>5</v>
      </c>
      <c r="E14" s="10" t="s">
        <v>20</v>
      </c>
      <c r="F14" s="11" t="n">
        <v>498.6425</v>
      </c>
      <c r="G14" s="11" t="n">
        <v>153054.9</v>
      </c>
      <c r="H14" s="7" t="n">
        <v>57</v>
      </c>
    </row>
    <row r="15" customFormat="false" ht="15" hidden="false" customHeight="false" outlineLevel="0" collapsed="false">
      <c r="A15" s="7" t="n">
        <v>2</v>
      </c>
      <c r="B15" s="8" t="s">
        <v>21</v>
      </c>
      <c r="C15" s="9" t="n">
        <v>4.24111206731689</v>
      </c>
      <c r="D15" s="7" t="n">
        <v>5</v>
      </c>
      <c r="E15" s="10" t="s">
        <v>22</v>
      </c>
      <c r="F15" s="11" t="n">
        <v>1591.814</v>
      </c>
      <c r="G15" s="11" t="n">
        <v>170837.2</v>
      </c>
      <c r="H15" s="7" t="n">
        <v>20</v>
      </c>
    </row>
    <row r="16" customFormat="false" ht="15" hidden="false" customHeight="false" outlineLevel="0" collapsed="false">
      <c r="A16" s="7" t="n">
        <v>3</v>
      </c>
      <c r="B16" s="8" t="s">
        <v>23</v>
      </c>
      <c r="C16" s="9" t="n">
        <v>4.23532702237522</v>
      </c>
      <c r="D16" s="7" t="n">
        <v>5</v>
      </c>
      <c r="E16" s="10" t="s">
        <v>24</v>
      </c>
      <c r="F16" s="11" t="n">
        <v>990.498</v>
      </c>
      <c r="G16" s="11" t="n">
        <v>149373.1</v>
      </c>
      <c r="H16" s="7" t="n">
        <v>51</v>
      </c>
    </row>
    <row r="17" customFormat="false" ht="15" hidden="false" customHeight="false" outlineLevel="0" collapsed="false">
      <c r="A17" s="7" t="n">
        <v>4</v>
      </c>
      <c r="B17" s="8" t="s">
        <v>25</v>
      </c>
      <c r="C17" s="9" t="n">
        <v>4.19564448269268</v>
      </c>
      <c r="D17" s="7" t="n">
        <v>5</v>
      </c>
      <c r="E17" s="10" t="s">
        <v>26</v>
      </c>
      <c r="F17" s="11" t="n">
        <v>332.418</v>
      </c>
      <c r="G17" s="11" t="n">
        <v>149373.1</v>
      </c>
      <c r="H17" s="7" t="n">
        <v>23</v>
      </c>
    </row>
    <row r="18" customFormat="false" ht="15" hidden="false" customHeight="false" outlineLevel="0" collapsed="false">
      <c r="A18" s="7" t="n">
        <v>5</v>
      </c>
      <c r="B18" s="8" t="s">
        <v>27</v>
      </c>
      <c r="C18" s="9" t="n">
        <v>4.15655000956206</v>
      </c>
      <c r="D18" s="7" t="n">
        <v>5</v>
      </c>
      <c r="E18" s="10" t="s">
        <v>28</v>
      </c>
      <c r="F18" s="11" t="n">
        <v>181.838</v>
      </c>
      <c r="G18" s="11" t="n">
        <v>590094.3</v>
      </c>
      <c r="H18" s="7" t="n">
        <v>23</v>
      </c>
    </row>
    <row r="19" customFormat="false" ht="15" hidden="false" customHeight="false" outlineLevel="0" collapsed="false">
      <c r="A19" s="7" t="n">
        <v>6</v>
      </c>
      <c r="B19" s="8" t="s">
        <v>29</v>
      </c>
      <c r="C19" s="9" t="n">
        <v>4.13317555938038</v>
      </c>
      <c r="D19" s="7" t="n">
        <v>5</v>
      </c>
      <c r="E19" s="10" t="s">
        <v>30</v>
      </c>
      <c r="F19" s="11" t="n">
        <v>1014.458</v>
      </c>
      <c r="G19" s="11" t="n">
        <v>170837.2</v>
      </c>
      <c r="H19" s="7" t="n">
        <v>18</v>
      </c>
    </row>
    <row r="20" customFormat="false" ht="15" hidden="false" customHeight="false" outlineLevel="0" collapsed="false">
      <c r="A20" s="7" t="n">
        <v>7</v>
      </c>
      <c r="B20" s="12" t="s">
        <v>31</v>
      </c>
      <c r="C20" s="9" t="n">
        <v>4.04207783515012</v>
      </c>
      <c r="D20" s="7" t="n">
        <v>5</v>
      </c>
      <c r="E20" s="10" t="s">
        <v>32</v>
      </c>
      <c r="F20" s="11" t="n">
        <v>1633.332</v>
      </c>
      <c r="G20" s="11" t="n">
        <v>122376.1</v>
      </c>
      <c r="H20" s="7" t="n">
        <v>6</v>
      </c>
    </row>
    <row r="21" customFormat="false" ht="15" hidden="false" customHeight="false" outlineLevel="0" collapsed="false">
      <c r="A21" s="7" t="n">
        <v>8</v>
      </c>
      <c r="B21" s="12" t="s">
        <v>33</v>
      </c>
      <c r="C21" s="9" t="n">
        <v>3.63626888506407</v>
      </c>
      <c r="D21" s="7" t="n">
        <v>5</v>
      </c>
      <c r="E21" s="10" t="s">
        <v>34</v>
      </c>
      <c r="F21" s="11" t="n">
        <v>278.784</v>
      </c>
      <c r="G21" s="11" t="n">
        <v>172713.3</v>
      </c>
      <c r="H21" s="7" t="n">
        <v>17</v>
      </c>
    </row>
    <row r="22" customFormat="false" ht="15" hidden="false" customHeight="false" outlineLevel="0" collapsed="false">
      <c r="A22" s="7" t="n">
        <v>9</v>
      </c>
      <c r="B22" s="12" t="s">
        <v>35</v>
      </c>
      <c r="C22" s="9" t="n">
        <v>3.32340791738382</v>
      </c>
      <c r="D22" s="7" t="n">
        <v>5</v>
      </c>
      <c r="E22" s="10" t="s">
        <v>36</v>
      </c>
      <c r="F22" s="11" t="n">
        <v>56.136</v>
      </c>
      <c r="G22" s="11" t="n">
        <v>233377.9</v>
      </c>
      <c r="H22" s="7" t="n">
        <v>20</v>
      </c>
    </row>
    <row r="23" customFormat="false" ht="15" hidden="false" customHeight="false" outlineLevel="0" collapsed="false">
      <c r="A23" s="7" t="n">
        <v>10</v>
      </c>
      <c r="B23" s="12" t="s">
        <v>37</v>
      </c>
      <c r="C23" s="9" t="n">
        <v>3.26405144387072</v>
      </c>
      <c r="D23" s="7" t="n">
        <v>5</v>
      </c>
      <c r="E23" s="10" t="s">
        <v>38</v>
      </c>
      <c r="F23" s="11" t="n">
        <v>173.414</v>
      </c>
      <c r="G23" s="11" t="n">
        <v>72370.9</v>
      </c>
      <c r="H23" s="7" t="n">
        <v>7</v>
      </c>
    </row>
    <row r="24" customFormat="false" ht="15" hidden="false" customHeight="false" outlineLevel="0" collapsed="false">
      <c r="A24" s="7" t="n">
        <v>11</v>
      </c>
      <c r="B24" s="12" t="s">
        <v>39</v>
      </c>
      <c r="C24" s="9" t="n">
        <v>3.2561388410786</v>
      </c>
      <c r="D24" s="7" t="n">
        <v>5</v>
      </c>
      <c r="E24" s="10" t="s">
        <v>40</v>
      </c>
      <c r="F24" s="11" t="n">
        <v>1196.336</v>
      </c>
      <c r="G24" s="11" t="n">
        <v>165556.1</v>
      </c>
      <c r="H24" s="7" t="n">
        <v>16</v>
      </c>
    </row>
    <row r="25" customFormat="false" ht="15" hidden="false" customHeight="false" outlineLevel="0" collapsed="false">
      <c r="A25" s="7" t="n">
        <v>12</v>
      </c>
      <c r="B25" s="12" t="s">
        <v>41</v>
      </c>
      <c r="C25" s="9" t="n">
        <v>3.16722604704532</v>
      </c>
      <c r="D25" s="7" t="n">
        <v>5</v>
      </c>
      <c r="E25" s="10" t="s">
        <v>42</v>
      </c>
      <c r="F25" s="11" t="n">
        <v>138.132</v>
      </c>
      <c r="G25" s="11" t="n">
        <v>115222.8</v>
      </c>
      <c r="H25" s="7" t="n">
        <v>7</v>
      </c>
    </row>
    <row r="26" customFormat="false" ht="15" hidden="false" customHeight="false" outlineLevel="0" collapsed="false">
      <c r="A26" s="7" t="n">
        <v>13</v>
      </c>
      <c r="B26" s="12" t="s">
        <v>43</v>
      </c>
      <c r="C26" s="9" t="n">
        <v>3.15507745266781</v>
      </c>
      <c r="D26" s="7" t="n">
        <v>5</v>
      </c>
      <c r="E26" s="10" t="s">
        <v>44</v>
      </c>
      <c r="F26" s="11" t="n">
        <v>22.268</v>
      </c>
      <c r="G26" s="11" t="n">
        <v>211750.3</v>
      </c>
      <c r="H26" s="7" t="n">
        <v>17</v>
      </c>
    </row>
    <row r="27" customFormat="false" ht="15" hidden="false" customHeight="false" outlineLevel="0" collapsed="false">
      <c r="A27" s="7" t="n">
        <v>14</v>
      </c>
      <c r="B27" s="12" t="s">
        <v>45</v>
      </c>
      <c r="C27" s="9" t="n">
        <v>2.6206397016638</v>
      </c>
      <c r="D27" s="7" t="n">
        <v>5</v>
      </c>
      <c r="E27" s="10" t="s">
        <v>46</v>
      </c>
      <c r="F27" s="11" t="n">
        <v>54.224</v>
      </c>
      <c r="G27" s="11" t="n">
        <v>28979.4</v>
      </c>
      <c r="H27" s="7" t="n">
        <v>10</v>
      </c>
    </row>
    <row r="28" customFormat="false" ht="15" hidden="false" customHeight="false" outlineLevel="0" collapsed="false">
      <c r="A28" s="7" t="n">
        <v>15</v>
      </c>
      <c r="B28" s="12" t="s">
        <v>47</v>
      </c>
      <c r="C28" s="9" t="n">
        <v>2.51636068081851</v>
      </c>
      <c r="D28" s="7" t="n">
        <v>4</v>
      </c>
      <c r="E28" s="10" t="s">
        <v>48</v>
      </c>
      <c r="F28" s="11" t="n">
        <v>38.4025</v>
      </c>
      <c r="G28" s="11" t="n">
        <v>161726.9</v>
      </c>
      <c r="H28" s="7" t="n">
        <v>4</v>
      </c>
    </row>
    <row r="29" customFormat="false" ht="15" hidden="false" customHeight="false" outlineLevel="0" collapsed="false">
      <c r="A29" s="7" t="n">
        <v>16</v>
      </c>
      <c r="B29" s="12" t="s">
        <v>49</v>
      </c>
      <c r="C29" s="9" t="n">
        <v>2.49407630522088</v>
      </c>
      <c r="D29" s="7" t="n">
        <v>5</v>
      </c>
      <c r="E29" s="10" t="s">
        <v>50</v>
      </c>
      <c r="F29" s="11" t="n">
        <v>14.992</v>
      </c>
      <c r="G29" s="11" t="n">
        <v>107923.9</v>
      </c>
      <c r="H29" s="7" t="n">
        <v>5</v>
      </c>
    </row>
    <row r="30" customFormat="false" ht="15" hidden="false" customHeight="false" outlineLevel="0" collapsed="false">
      <c r="A30" s="7" t="n">
        <v>17</v>
      </c>
      <c r="B30" s="12" t="s">
        <v>51</v>
      </c>
      <c r="C30" s="9" t="n">
        <v>2.49343564735131</v>
      </c>
      <c r="D30" s="7" t="n">
        <v>5</v>
      </c>
      <c r="E30" s="10" t="s">
        <v>52</v>
      </c>
      <c r="F30" s="11" t="n">
        <v>73.388</v>
      </c>
      <c r="G30" s="11" t="n">
        <v>40542.1</v>
      </c>
      <c r="H30" s="7" t="n">
        <v>7</v>
      </c>
    </row>
    <row r="31" customFormat="false" ht="15" hidden="false" customHeight="false" outlineLevel="0" collapsed="false">
      <c r="A31" s="7" t="n">
        <v>18</v>
      </c>
      <c r="B31" s="12" t="s">
        <v>53</v>
      </c>
      <c r="C31" s="9" t="n">
        <v>2.07624306750813</v>
      </c>
      <c r="D31" s="7" t="n">
        <v>5</v>
      </c>
      <c r="E31" s="10" t="s">
        <v>54</v>
      </c>
      <c r="F31" s="11" t="n">
        <v>24.504</v>
      </c>
      <c r="G31" s="11" t="n">
        <v>79592.2</v>
      </c>
      <c r="H31" s="7" t="n">
        <v>5</v>
      </c>
    </row>
    <row r="32" customFormat="false" ht="15" hidden="false" customHeight="false" outlineLevel="0" collapsed="false">
      <c r="A32" s="7" t="n">
        <v>19</v>
      </c>
      <c r="B32" s="12" t="s">
        <v>55</v>
      </c>
      <c r="C32" s="9" t="n">
        <v>1.82983362019507</v>
      </c>
      <c r="D32" s="7" t="n">
        <v>4</v>
      </c>
      <c r="E32" s="10" t="s">
        <v>56</v>
      </c>
      <c r="F32" s="11" t="n">
        <v>25.7225</v>
      </c>
      <c r="G32" s="11" t="n">
        <v>29090.6</v>
      </c>
      <c r="H32" s="7" t="n">
        <v>4</v>
      </c>
    </row>
    <row r="34" customFormat="false" ht="15" hidden="false" customHeight="false" outlineLevel="0" collapsed="false">
      <c r="A34" s="2" t="s">
        <v>57</v>
      </c>
    </row>
  </sheetData>
  <mergeCells count="6">
    <mergeCell ref="B5:I5"/>
    <mergeCell ref="B6:I6"/>
    <mergeCell ref="B7:I7"/>
    <mergeCell ref="B8:I8"/>
    <mergeCell ref="B9:I9"/>
    <mergeCell ref="B10:I1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O1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4"/>
    <col collapsed="false" customWidth="true" hidden="false" outlineLevel="0" max="4" min="4" style="0" width="22"/>
    <col collapsed="false" customWidth="true" hidden="false" outlineLevel="0" max="5" min="5" style="0" width="40"/>
    <col collapsed="false" customWidth="true" hidden="false" outlineLevel="0" max="6" min="6" style="0" width="9"/>
    <col collapsed="false" customWidth="true" hidden="false" outlineLevel="0" max="7" min="7" style="0" width="10"/>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8"/>
    <col collapsed="false" customWidth="true" hidden="false" outlineLevel="0" max="12" min="12" style="0" width="18"/>
    <col collapsed="false" customWidth="true" hidden="false" outlineLevel="0" max="13" min="13" style="0" width="14"/>
    <col collapsed="false" customWidth="true" hidden="false" outlineLevel="0" max="14" min="14" style="0" width="26"/>
    <col collapsed="false" customWidth="true" hidden="false" outlineLevel="0" max="15" min="15" style="0" width="30"/>
  </cols>
  <sheetData>
    <row r="1" customFormat="false" ht="17.35" hidden="false" customHeight="false" outlineLevel="0" collapsed="false">
      <c r="A1" s="1" t="s">
        <v>58</v>
      </c>
    </row>
    <row r="2" customFormat="false" ht="15" hidden="false" customHeight="false" outlineLevel="0" collapsed="false">
      <c r="A2" s="2" t="s">
        <v>59</v>
      </c>
    </row>
    <row r="4" customFormat="false" ht="42" hidden="false" customHeight="true" outlineLevel="0" collapsed="false">
      <c r="A4" s="6" t="s">
        <v>12</v>
      </c>
      <c r="B4" s="6" t="s">
        <v>60</v>
      </c>
      <c r="C4" s="6" t="s">
        <v>61</v>
      </c>
      <c r="D4" s="6" t="s">
        <v>62</v>
      </c>
      <c r="E4" s="6" t="s">
        <v>63</v>
      </c>
      <c r="F4" s="6" t="s">
        <v>64</v>
      </c>
      <c r="G4" s="6" t="s">
        <v>65</v>
      </c>
      <c r="H4" s="6" t="s">
        <v>66</v>
      </c>
      <c r="I4" s="6" t="s">
        <v>67</v>
      </c>
      <c r="J4" s="6" t="s">
        <v>68</v>
      </c>
      <c r="K4" s="6" t="s">
        <v>69</v>
      </c>
      <c r="L4" s="6" t="s">
        <v>70</v>
      </c>
      <c r="M4" s="6" t="s">
        <v>71</v>
      </c>
      <c r="N4" s="6" t="s">
        <v>72</v>
      </c>
      <c r="O4" s="6" t="s">
        <v>73</v>
      </c>
    </row>
    <row r="5" customFormat="false" ht="23.85" hidden="false" customHeight="false" outlineLevel="0" collapsed="false">
      <c r="A5" s="13" t="s">
        <v>19</v>
      </c>
      <c r="B5" s="14" t="s">
        <v>74</v>
      </c>
      <c r="C5" s="15" t="n">
        <v>1</v>
      </c>
      <c r="D5" s="14" t="s">
        <v>75</v>
      </c>
      <c r="E5" s="16" t="s">
        <v>76</v>
      </c>
      <c r="F5" s="17" t="n">
        <v>0.888477720405431</v>
      </c>
      <c r="G5" s="18" t="n">
        <v>256.12</v>
      </c>
      <c r="H5" s="14" t="s">
        <v>77</v>
      </c>
      <c r="I5" s="19" t="n">
        <v>42181.7</v>
      </c>
      <c r="J5" s="16" t="s">
        <v>78</v>
      </c>
      <c r="K5" s="15" t="n">
        <v>32</v>
      </c>
      <c r="L5" s="14" t="s">
        <v>79</v>
      </c>
      <c r="M5" s="14" t="s">
        <v>80</v>
      </c>
      <c r="N5" s="16" t="s">
        <v>81</v>
      </c>
      <c r="O5" s="16" t="s">
        <v>82</v>
      </c>
    </row>
    <row r="6" customFormat="false" ht="23.85" hidden="false" customHeight="false" outlineLevel="0" collapsed="false">
      <c r="A6" s="12"/>
      <c r="B6" s="20" t="s">
        <v>74</v>
      </c>
      <c r="C6" s="21" t="n">
        <v>2</v>
      </c>
      <c r="D6" s="20" t="s">
        <v>83</v>
      </c>
      <c r="E6" s="22" t="s">
        <v>84</v>
      </c>
      <c r="F6" s="23" t="n">
        <v>0.877280550774527</v>
      </c>
      <c r="G6" s="24" t="n">
        <v>907.38</v>
      </c>
      <c r="H6" s="20" t="s">
        <v>77</v>
      </c>
      <c r="I6" s="25" t="n">
        <v>22036.1</v>
      </c>
      <c r="J6" s="22" t="s">
        <v>78</v>
      </c>
      <c r="K6" s="21" t="n">
        <v>31</v>
      </c>
      <c r="L6" s="20" t="s">
        <v>85</v>
      </c>
      <c r="M6" s="20" t="s">
        <v>86</v>
      </c>
      <c r="N6" s="22" t="s">
        <v>87</v>
      </c>
      <c r="O6" s="22" t="s">
        <v>88</v>
      </c>
    </row>
    <row r="7" customFormat="false" ht="23.85" hidden="false" customHeight="false" outlineLevel="0" collapsed="false">
      <c r="A7" s="12"/>
      <c r="B7" s="20" t="s">
        <v>74</v>
      </c>
      <c r="C7" s="21" t="n">
        <v>3</v>
      </c>
      <c r="D7" s="20" t="s">
        <v>89</v>
      </c>
      <c r="E7" s="22" t="s">
        <v>90</v>
      </c>
      <c r="F7" s="23" t="n">
        <v>0.872274813539874</v>
      </c>
      <c r="G7" s="24" t="n">
        <v>569.27</v>
      </c>
      <c r="H7" s="20" t="s">
        <v>77</v>
      </c>
      <c r="I7" s="25" t="n">
        <v>28093.4</v>
      </c>
      <c r="J7" s="22" t="s">
        <v>91</v>
      </c>
      <c r="K7" s="21" t="n">
        <v>34</v>
      </c>
      <c r="L7" s="20" t="s">
        <v>92</v>
      </c>
      <c r="M7" s="20" t="s">
        <v>86</v>
      </c>
      <c r="N7" s="22" t="s">
        <v>81</v>
      </c>
      <c r="O7" s="22" t="s">
        <v>82</v>
      </c>
    </row>
    <row r="8" customFormat="false" ht="23.85" hidden="false" customHeight="false" outlineLevel="0" collapsed="false">
      <c r="A8" s="12"/>
      <c r="B8" s="20" t="s">
        <v>74</v>
      </c>
      <c r="C8" s="21" t="n">
        <v>4</v>
      </c>
      <c r="D8" s="20" t="s">
        <v>93</v>
      </c>
      <c r="E8" s="22" t="s">
        <v>94</v>
      </c>
      <c r="F8" s="23" t="n">
        <v>0.86144578313253</v>
      </c>
      <c r="G8" s="24"/>
      <c r="H8" s="20" t="s">
        <v>95</v>
      </c>
      <c r="I8" s="25" t="n">
        <v>33794.9</v>
      </c>
      <c r="J8" s="22" t="s">
        <v>96</v>
      </c>
      <c r="K8" s="21" t="n">
        <v>2</v>
      </c>
      <c r="L8" s="20" t="s">
        <v>97</v>
      </c>
      <c r="M8" s="20" t="s">
        <v>97</v>
      </c>
      <c r="N8" s="22" t="s">
        <v>98</v>
      </c>
      <c r="O8" s="22" t="s">
        <v>99</v>
      </c>
    </row>
    <row r="9" customFormat="false" ht="23.85" hidden="false" customHeight="false" outlineLevel="0" collapsed="false">
      <c r="A9" s="12"/>
      <c r="B9" s="20" t="s">
        <v>74</v>
      </c>
      <c r="C9" s="21" t="n">
        <v>5</v>
      </c>
      <c r="D9" s="20" t="s">
        <v>100</v>
      </c>
      <c r="E9" s="22" t="s">
        <v>101</v>
      </c>
      <c r="F9" s="23" t="n">
        <v>0.839022757697457</v>
      </c>
      <c r="G9" s="24" t="n">
        <v>261.8</v>
      </c>
      <c r="H9" s="20" t="s">
        <v>102</v>
      </c>
      <c r="I9" s="25" t="n">
        <v>26948.8</v>
      </c>
      <c r="J9" s="22" t="s">
        <v>103</v>
      </c>
      <c r="K9" s="21" t="n">
        <v>32</v>
      </c>
      <c r="L9" s="20" t="s">
        <v>79</v>
      </c>
      <c r="M9" s="20" t="s">
        <v>86</v>
      </c>
      <c r="N9" s="22" t="s">
        <v>104</v>
      </c>
      <c r="O9" s="22" t="s">
        <v>105</v>
      </c>
    </row>
    <row r="10" customFormat="false" ht="23.85" hidden="false" customHeight="false" outlineLevel="0" collapsed="false">
      <c r="A10" s="12"/>
      <c r="B10" s="12" t="s">
        <v>106</v>
      </c>
      <c r="C10" s="7" t="n">
        <v>6</v>
      </c>
      <c r="D10" s="12" t="s">
        <v>107</v>
      </c>
      <c r="E10" s="10" t="s">
        <v>108</v>
      </c>
      <c r="F10" s="9" t="n">
        <v>0.829709313444253</v>
      </c>
      <c r="G10" s="26" t="n">
        <v>66.76</v>
      </c>
      <c r="H10" s="12" t="s">
        <v>77</v>
      </c>
      <c r="I10" s="11" t="n">
        <v>59827.2</v>
      </c>
      <c r="J10" s="10" t="s">
        <v>109</v>
      </c>
      <c r="K10" s="7" t="n">
        <v>21</v>
      </c>
      <c r="L10" s="12" t="s">
        <v>79</v>
      </c>
      <c r="M10" s="12" t="s">
        <v>110</v>
      </c>
      <c r="N10" s="10" t="s">
        <v>111</v>
      </c>
      <c r="O10" s="10" t="s">
        <v>82</v>
      </c>
    </row>
    <row r="11" customFormat="false" ht="23.85" hidden="false" customHeight="false" outlineLevel="0" collapsed="false">
      <c r="A11" s="12"/>
      <c r="B11" s="12" t="s">
        <v>106</v>
      </c>
      <c r="C11" s="7" t="n">
        <v>7</v>
      </c>
      <c r="D11" s="12" t="s">
        <v>112</v>
      </c>
      <c r="E11" s="10" t="s">
        <v>113</v>
      </c>
      <c r="F11" s="9" t="n">
        <v>0.818951998470071</v>
      </c>
      <c r="G11" s="26" t="n">
        <v>4779</v>
      </c>
      <c r="H11" s="12" t="s">
        <v>77</v>
      </c>
      <c r="I11" s="11" t="n">
        <v>7904.7</v>
      </c>
      <c r="J11" s="10" t="s">
        <v>78</v>
      </c>
      <c r="K11" s="7" t="n">
        <v>32</v>
      </c>
      <c r="L11" s="12" t="s">
        <v>79</v>
      </c>
      <c r="M11" s="12" t="s">
        <v>86</v>
      </c>
      <c r="N11" s="10"/>
      <c r="O11" s="10" t="s">
        <v>82</v>
      </c>
    </row>
    <row r="12" customFormat="false" ht="23.85" hidden="false" customHeight="false" outlineLevel="0" collapsed="false">
      <c r="A12" s="12"/>
      <c r="B12" s="12" t="s">
        <v>106</v>
      </c>
      <c r="C12" s="7" t="n">
        <v>8</v>
      </c>
      <c r="D12" s="12" t="s">
        <v>114</v>
      </c>
      <c r="E12" s="10" t="s">
        <v>115</v>
      </c>
      <c r="F12" s="9" t="n">
        <v>0.778294128896539</v>
      </c>
      <c r="G12" s="26" t="n">
        <v>246.46</v>
      </c>
      <c r="H12" s="12" t="s">
        <v>77</v>
      </c>
      <c r="I12" s="11" t="n">
        <v>11366.1</v>
      </c>
      <c r="J12" s="10" t="s">
        <v>116</v>
      </c>
      <c r="K12" s="7" t="n">
        <v>30</v>
      </c>
      <c r="L12" s="12" t="s">
        <v>85</v>
      </c>
      <c r="M12" s="12" t="s">
        <v>86</v>
      </c>
      <c r="N12" s="10" t="s">
        <v>87</v>
      </c>
      <c r="O12" s="10" t="s">
        <v>88</v>
      </c>
    </row>
    <row r="13" customFormat="false" ht="23.85" hidden="false" customHeight="false" outlineLevel="0" collapsed="false">
      <c r="A13" s="12"/>
      <c r="B13" s="12" t="s">
        <v>106</v>
      </c>
      <c r="C13" s="7" t="n">
        <v>9</v>
      </c>
      <c r="D13" s="12" t="s">
        <v>117</v>
      </c>
      <c r="E13" s="10" t="s">
        <v>118</v>
      </c>
      <c r="F13" s="9" t="n">
        <v>0.772968062727099</v>
      </c>
      <c r="G13" s="26" t="n">
        <v>79.53</v>
      </c>
      <c r="H13" s="12" t="s">
        <v>77</v>
      </c>
      <c r="I13" s="11" t="n">
        <v>32830.2</v>
      </c>
      <c r="J13" s="10" t="s">
        <v>119</v>
      </c>
      <c r="K13" s="7" t="n">
        <v>21</v>
      </c>
      <c r="L13" s="12" t="s">
        <v>79</v>
      </c>
      <c r="M13" s="12" t="s">
        <v>86</v>
      </c>
      <c r="N13" s="10"/>
      <c r="O13" s="10" t="s">
        <v>82</v>
      </c>
    </row>
    <row r="14" customFormat="false" ht="23.85" hidden="false" customHeight="false" outlineLevel="0" collapsed="false">
      <c r="A14" s="12"/>
      <c r="B14" s="12" t="s">
        <v>106</v>
      </c>
      <c r="C14" s="7" t="n">
        <v>10</v>
      </c>
      <c r="D14" s="12" t="s">
        <v>120</v>
      </c>
      <c r="E14" s="10" t="s">
        <v>121</v>
      </c>
      <c r="F14" s="9" t="n">
        <v>0.745945687511953</v>
      </c>
      <c r="G14" s="26" t="n">
        <v>41.32</v>
      </c>
      <c r="H14" s="12" t="s">
        <v>77</v>
      </c>
      <c r="I14" s="11" t="n">
        <v>41503.2</v>
      </c>
      <c r="J14" s="10" t="s">
        <v>103</v>
      </c>
      <c r="K14" s="7" t="n">
        <v>34</v>
      </c>
      <c r="L14" s="12" t="s">
        <v>79</v>
      </c>
      <c r="M14" s="12" t="s">
        <v>86</v>
      </c>
      <c r="N14" s="10" t="s">
        <v>104</v>
      </c>
      <c r="O14" s="10" t="s">
        <v>82</v>
      </c>
    </row>
    <row r="15" customFormat="false" ht="23.85" hidden="false" customHeight="false" outlineLevel="0" collapsed="false">
      <c r="A15" s="13" t="s">
        <v>21</v>
      </c>
      <c r="B15" s="14" t="s">
        <v>74</v>
      </c>
      <c r="C15" s="15" t="n">
        <v>1</v>
      </c>
      <c r="D15" s="14" t="s">
        <v>75</v>
      </c>
      <c r="E15" s="16" t="s">
        <v>76</v>
      </c>
      <c r="F15" s="17" t="n">
        <v>0.913874545802257</v>
      </c>
      <c r="G15" s="18" t="n">
        <v>410.89</v>
      </c>
      <c r="H15" s="14" t="s">
        <v>77</v>
      </c>
      <c r="I15" s="19" t="n">
        <v>42181.7</v>
      </c>
      <c r="J15" s="16" t="s">
        <v>109</v>
      </c>
      <c r="K15" s="15" t="n">
        <v>11</v>
      </c>
      <c r="L15" s="14" t="s">
        <v>79</v>
      </c>
      <c r="M15" s="14" t="s">
        <v>80</v>
      </c>
      <c r="N15" s="16" t="s">
        <v>81</v>
      </c>
      <c r="O15" s="16" t="s">
        <v>82</v>
      </c>
    </row>
    <row r="16" customFormat="false" ht="23.85" hidden="false" customHeight="false" outlineLevel="0" collapsed="false">
      <c r="A16" s="12"/>
      <c r="B16" s="20" t="s">
        <v>74</v>
      </c>
      <c r="C16" s="21" t="n">
        <v>2</v>
      </c>
      <c r="D16" s="20" t="s">
        <v>89</v>
      </c>
      <c r="E16" s="22" t="s">
        <v>90</v>
      </c>
      <c r="F16" s="23" t="n">
        <v>0.883385924650985</v>
      </c>
      <c r="G16" s="24" t="n">
        <v>1212.91</v>
      </c>
      <c r="H16" s="20" t="s">
        <v>102</v>
      </c>
      <c r="I16" s="25" t="n">
        <v>28093.4</v>
      </c>
      <c r="J16" s="22" t="s">
        <v>122</v>
      </c>
      <c r="K16" s="21" t="n">
        <v>4</v>
      </c>
      <c r="L16" s="20" t="s">
        <v>79</v>
      </c>
      <c r="M16" s="20" t="s">
        <v>86</v>
      </c>
      <c r="N16" s="22" t="s">
        <v>81</v>
      </c>
      <c r="O16" s="22" t="s">
        <v>82</v>
      </c>
    </row>
    <row r="17" customFormat="false" ht="23.85" hidden="false" customHeight="false" outlineLevel="0" collapsed="false">
      <c r="A17" s="12"/>
      <c r="B17" s="20" t="s">
        <v>74</v>
      </c>
      <c r="C17" s="21" t="n">
        <v>3</v>
      </c>
      <c r="D17" s="20" t="s">
        <v>107</v>
      </c>
      <c r="E17" s="22" t="s">
        <v>108</v>
      </c>
      <c r="F17" s="23" t="n">
        <v>0.848756932491872</v>
      </c>
      <c r="G17" s="24" t="n">
        <v>87.85</v>
      </c>
      <c r="H17" s="20" t="s">
        <v>77</v>
      </c>
      <c r="I17" s="25" t="n">
        <v>59827.2</v>
      </c>
      <c r="J17" s="22" t="s">
        <v>123</v>
      </c>
      <c r="K17" s="21" t="n">
        <v>5</v>
      </c>
      <c r="L17" s="20" t="s">
        <v>79</v>
      </c>
      <c r="M17" s="20" t="s">
        <v>80</v>
      </c>
      <c r="N17" s="22" t="s">
        <v>111</v>
      </c>
      <c r="O17" s="22" t="s">
        <v>82</v>
      </c>
    </row>
    <row r="18" customFormat="false" ht="23.85" hidden="false" customHeight="false" outlineLevel="0" collapsed="false">
      <c r="A18" s="12"/>
      <c r="B18" s="20" t="s">
        <v>74</v>
      </c>
      <c r="C18" s="21" t="n">
        <v>4</v>
      </c>
      <c r="D18" s="20" t="s">
        <v>112</v>
      </c>
      <c r="E18" s="22" t="s">
        <v>113</v>
      </c>
      <c r="F18" s="23" t="n">
        <v>0.823713903231976</v>
      </c>
      <c r="G18" s="24" t="n">
        <v>6173.01</v>
      </c>
      <c r="H18" s="20" t="s">
        <v>77</v>
      </c>
      <c r="I18" s="25" t="n">
        <v>7904.7</v>
      </c>
      <c r="J18" s="22" t="s">
        <v>123</v>
      </c>
      <c r="K18" s="21" t="n">
        <v>4</v>
      </c>
      <c r="L18" s="20" t="s">
        <v>79</v>
      </c>
      <c r="M18" s="20" t="s">
        <v>86</v>
      </c>
      <c r="N18" s="22"/>
      <c r="O18" s="22" t="s">
        <v>82</v>
      </c>
    </row>
    <row r="19" customFormat="false" ht="23.85" hidden="false" customHeight="false" outlineLevel="0" collapsed="false">
      <c r="A19" s="12"/>
      <c r="B19" s="20" t="s">
        <v>74</v>
      </c>
      <c r="C19" s="21" t="n">
        <v>5</v>
      </c>
      <c r="D19" s="20" t="s">
        <v>117</v>
      </c>
      <c r="E19" s="22" t="s">
        <v>118</v>
      </c>
      <c r="F19" s="23" t="n">
        <v>0.771380761139797</v>
      </c>
      <c r="G19" s="24" t="n">
        <v>74.41</v>
      </c>
      <c r="H19" s="20" t="s">
        <v>77</v>
      </c>
      <c r="I19" s="25" t="n">
        <v>32830.2</v>
      </c>
      <c r="J19" s="22" t="s">
        <v>109</v>
      </c>
      <c r="K19" s="21" t="n">
        <v>7</v>
      </c>
      <c r="L19" s="20" t="s">
        <v>79</v>
      </c>
      <c r="M19" s="20" t="s">
        <v>86</v>
      </c>
      <c r="N19" s="22"/>
      <c r="O19" s="22" t="s">
        <v>82</v>
      </c>
    </row>
    <row r="20" customFormat="false" ht="23.85" hidden="false" customHeight="false" outlineLevel="0" collapsed="false">
      <c r="A20" s="12"/>
      <c r="B20" s="12" t="s">
        <v>106</v>
      </c>
      <c r="C20" s="7" t="n">
        <v>6</v>
      </c>
      <c r="D20" s="12" t="s">
        <v>124</v>
      </c>
      <c r="E20" s="10" t="s">
        <v>125</v>
      </c>
      <c r="F20" s="9" t="n">
        <v>0.6220787913559</v>
      </c>
      <c r="G20" s="26" t="n">
        <v>92.75</v>
      </c>
      <c r="H20" s="12" t="s">
        <v>102</v>
      </c>
      <c r="I20" s="11" t="n">
        <v>3871.2</v>
      </c>
      <c r="J20" s="10" t="s">
        <v>126</v>
      </c>
      <c r="K20" s="7" t="n">
        <v>1</v>
      </c>
      <c r="L20" s="12" t="s">
        <v>79</v>
      </c>
      <c r="M20" s="12" t="s">
        <v>127</v>
      </c>
      <c r="N20" s="10" t="s">
        <v>104</v>
      </c>
      <c r="O20" s="10" t="s">
        <v>82</v>
      </c>
    </row>
    <row r="21" customFormat="false" ht="23.85" hidden="false" customHeight="false" outlineLevel="0" collapsed="false">
      <c r="A21" s="12"/>
      <c r="B21" s="12" t="s">
        <v>106</v>
      </c>
      <c r="C21" s="7" t="n">
        <v>7</v>
      </c>
      <c r="D21" s="12" t="s">
        <v>128</v>
      </c>
      <c r="E21" s="10" t="s">
        <v>129</v>
      </c>
      <c r="F21" s="9" t="n">
        <v>0.613731114935934</v>
      </c>
      <c r="G21" s="26" t="n">
        <v>195.71</v>
      </c>
      <c r="H21" s="12" t="s">
        <v>77</v>
      </c>
      <c r="I21" s="11" t="n">
        <v>2886</v>
      </c>
      <c r="J21" s="10" t="s">
        <v>130</v>
      </c>
      <c r="K21" s="7" t="n">
        <v>18</v>
      </c>
      <c r="L21" s="12" t="s">
        <v>79</v>
      </c>
      <c r="M21" s="12" t="s">
        <v>86</v>
      </c>
      <c r="N21" s="10" t="s">
        <v>81</v>
      </c>
      <c r="O21" s="10" t="s">
        <v>82</v>
      </c>
    </row>
    <row r="22" customFormat="false" ht="23.85" hidden="false" customHeight="false" outlineLevel="0" collapsed="false">
      <c r="A22" s="12"/>
      <c r="B22" s="12" t="s">
        <v>106</v>
      </c>
      <c r="C22" s="7" t="n">
        <v>8</v>
      </c>
      <c r="D22" s="12" t="s">
        <v>131</v>
      </c>
      <c r="E22" s="10" t="s">
        <v>132</v>
      </c>
      <c r="F22" s="9" t="n">
        <v>0.585480015299292</v>
      </c>
      <c r="G22" s="26" t="n">
        <v>404.59</v>
      </c>
      <c r="H22" s="12" t="s">
        <v>102</v>
      </c>
      <c r="I22" s="11" t="n">
        <v>1874.6</v>
      </c>
      <c r="J22" s="10" t="s">
        <v>133</v>
      </c>
      <c r="K22" s="7" t="n">
        <v>7</v>
      </c>
      <c r="L22" s="12" t="s">
        <v>79</v>
      </c>
      <c r="M22" s="12" t="s">
        <v>86</v>
      </c>
      <c r="N22" s="10" t="s">
        <v>104</v>
      </c>
      <c r="O22" s="10" t="s">
        <v>82</v>
      </c>
    </row>
    <row r="23" customFormat="false" ht="23.85" hidden="false" customHeight="false" outlineLevel="0" collapsed="false">
      <c r="A23" s="12"/>
      <c r="B23" s="12" t="s">
        <v>106</v>
      </c>
      <c r="C23" s="7" t="n">
        <v>9</v>
      </c>
      <c r="D23" s="12" t="s">
        <v>134</v>
      </c>
      <c r="E23" s="10" t="s">
        <v>135</v>
      </c>
      <c r="F23" s="9" t="n">
        <v>0.581793842034806</v>
      </c>
      <c r="G23" s="26" t="n">
        <v>27.98</v>
      </c>
      <c r="H23" s="12" t="s">
        <v>77</v>
      </c>
      <c r="I23" s="11" t="n">
        <v>8433.6</v>
      </c>
      <c r="J23" s="10" t="s">
        <v>136</v>
      </c>
      <c r="K23" s="7" t="n">
        <v>5</v>
      </c>
      <c r="L23" s="12" t="s">
        <v>79</v>
      </c>
      <c r="M23" s="12" t="s">
        <v>86</v>
      </c>
      <c r="N23" s="10"/>
      <c r="O23" s="10" t="s">
        <v>105</v>
      </c>
    </row>
    <row r="24" customFormat="false" ht="23.85" hidden="false" customHeight="false" outlineLevel="0" collapsed="false">
      <c r="A24" s="12"/>
      <c r="B24" s="12" t="s">
        <v>106</v>
      </c>
      <c r="C24" s="7" t="n">
        <v>10</v>
      </c>
      <c r="D24" s="12" t="s">
        <v>137</v>
      </c>
      <c r="E24" s="10" t="s">
        <v>138</v>
      </c>
      <c r="F24" s="9" t="n">
        <v>0.536842608529356</v>
      </c>
      <c r="G24" s="26" t="n">
        <v>186.04</v>
      </c>
      <c r="H24" s="12" t="s">
        <v>77</v>
      </c>
      <c r="I24" s="11" t="n">
        <v>1652</v>
      </c>
      <c r="J24" s="10" t="s">
        <v>139</v>
      </c>
      <c r="K24" s="7" t="n">
        <v>12</v>
      </c>
      <c r="L24" s="12" t="s">
        <v>79</v>
      </c>
      <c r="M24" s="12" t="s">
        <v>110</v>
      </c>
      <c r="N24" s="10" t="s">
        <v>111</v>
      </c>
      <c r="O24" s="10" t="s">
        <v>105</v>
      </c>
    </row>
    <row r="25" customFormat="false" ht="23.85" hidden="false" customHeight="false" outlineLevel="0" collapsed="false">
      <c r="A25" s="13" t="s">
        <v>23</v>
      </c>
      <c r="B25" s="14" t="s">
        <v>74</v>
      </c>
      <c r="C25" s="15" t="n">
        <v>1</v>
      </c>
      <c r="D25" s="14" t="s">
        <v>75</v>
      </c>
      <c r="E25" s="16" t="s">
        <v>76</v>
      </c>
      <c r="F25" s="17" t="n">
        <v>0.888477720405431</v>
      </c>
      <c r="G25" s="18" t="n">
        <v>256.12</v>
      </c>
      <c r="H25" s="14" t="s">
        <v>77</v>
      </c>
      <c r="I25" s="19" t="n">
        <v>42181.7</v>
      </c>
      <c r="J25" s="16" t="s">
        <v>91</v>
      </c>
      <c r="K25" s="15" t="n">
        <v>11</v>
      </c>
      <c r="L25" s="14" t="s">
        <v>79</v>
      </c>
      <c r="M25" s="14" t="s">
        <v>80</v>
      </c>
      <c r="N25" s="16" t="s">
        <v>81</v>
      </c>
      <c r="O25" s="16" t="s">
        <v>82</v>
      </c>
    </row>
    <row r="26" customFormat="false" ht="23.85" hidden="false" customHeight="false" outlineLevel="0" collapsed="false">
      <c r="A26" s="12"/>
      <c r="B26" s="20" t="s">
        <v>74</v>
      </c>
      <c r="C26" s="21" t="n">
        <v>2</v>
      </c>
      <c r="D26" s="20" t="s">
        <v>89</v>
      </c>
      <c r="E26" s="22" t="s">
        <v>90</v>
      </c>
      <c r="F26" s="23" t="n">
        <v>0.873862115127175</v>
      </c>
      <c r="G26" s="24" t="n">
        <v>584.34</v>
      </c>
      <c r="H26" s="20" t="s">
        <v>77</v>
      </c>
      <c r="I26" s="25" t="n">
        <v>28093.4</v>
      </c>
      <c r="J26" s="22" t="s">
        <v>116</v>
      </c>
      <c r="K26" s="21" t="n">
        <v>12</v>
      </c>
      <c r="L26" s="20" t="s">
        <v>79</v>
      </c>
      <c r="M26" s="20" t="s">
        <v>80</v>
      </c>
      <c r="N26" s="22" t="s">
        <v>81</v>
      </c>
      <c r="O26" s="22" t="s">
        <v>82</v>
      </c>
    </row>
    <row r="27" customFormat="false" ht="23.85" hidden="false" customHeight="false" outlineLevel="0" collapsed="false">
      <c r="A27" s="12"/>
      <c r="B27" s="20" t="s">
        <v>74</v>
      </c>
      <c r="C27" s="21" t="n">
        <v>3</v>
      </c>
      <c r="D27" s="20" t="s">
        <v>107</v>
      </c>
      <c r="E27" s="22" t="s">
        <v>108</v>
      </c>
      <c r="F27" s="23" t="n">
        <v>0.864629948364888</v>
      </c>
      <c r="G27" s="24" t="n">
        <v>93.73</v>
      </c>
      <c r="H27" s="20" t="s">
        <v>102</v>
      </c>
      <c r="I27" s="25" t="n">
        <v>59827.2</v>
      </c>
      <c r="J27" s="22" t="s">
        <v>140</v>
      </c>
      <c r="K27" s="21" t="n">
        <v>5</v>
      </c>
      <c r="L27" s="20" t="s">
        <v>79</v>
      </c>
      <c r="M27" s="20" t="s">
        <v>80</v>
      </c>
      <c r="N27" s="22" t="s">
        <v>111</v>
      </c>
      <c r="O27" s="22" t="s">
        <v>82</v>
      </c>
    </row>
    <row r="28" customFormat="false" ht="23.85" hidden="false" customHeight="false" outlineLevel="0" collapsed="false">
      <c r="A28" s="12"/>
      <c r="B28" s="20" t="s">
        <v>74</v>
      </c>
      <c r="C28" s="21" t="n">
        <v>4</v>
      </c>
      <c r="D28" s="20" t="s">
        <v>112</v>
      </c>
      <c r="E28" s="22" t="s">
        <v>113</v>
      </c>
      <c r="F28" s="23" t="n">
        <v>0.815777395295468</v>
      </c>
      <c r="G28" s="24" t="n">
        <v>3710.2</v>
      </c>
      <c r="H28" s="20" t="s">
        <v>77</v>
      </c>
      <c r="I28" s="25" t="n">
        <v>7904.7</v>
      </c>
      <c r="J28" s="22" t="s">
        <v>141</v>
      </c>
      <c r="K28" s="21" t="n">
        <v>10</v>
      </c>
      <c r="L28" s="20" t="s">
        <v>79</v>
      </c>
      <c r="M28" s="20" t="s">
        <v>86</v>
      </c>
      <c r="N28" s="22"/>
      <c r="O28" s="22" t="s">
        <v>82</v>
      </c>
    </row>
    <row r="29" customFormat="false" ht="23.85" hidden="false" customHeight="false" outlineLevel="0" collapsed="false">
      <c r="A29" s="12"/>
      <c r="B29" s="20" t="s">
        <v>74</v>
      </c>
      <c r="C29" s="21" t="n">
        <v>5</v>
      </c>
      <c r="D29" s="20" t="s">
        <v>114</v>
      </c>
      <c r="E29" s="22" t="s">
        <v>115</v>
      </c>
      <c r="F29" s="23" t="n">
        <v>0.792579843182253</v>
      </c>
      <c r="G29" s="24" t="n">
        <v>308.1</v>
      </c>
      <c r="H29" s="20" t="s">
        <v>77</v>
      </c>
      <c r="I29" s="25" t="n">
        <v>11366.1</v>
      </c>
      <c r="J29" s="22" t="s">
        <v>78</v>
      </c>
      <c r="K29" s="21" t="n">
        <v>10</v>
      </c>
      <c r="L29" s="20" t="s">
        <v>85</v>
      </c>
      <c r="M29" s="20" t="s">
        <v>86</v>
      </c>
      <c r="N29" s="22" t="s">
        <v>87</v>
      </c>
      <c r="O29" s="22" t="s">
        <v>88</v>
      </c>
    </row>
    <row r="30" customFormat="false" ht="23.85" hidden="false" customHeight="false" outlineLevel="0" collapsed="false">
      <c r="A30" s="12"/>
      <c r="B30" s="12" t="s">
        <v>106</v>
      </c>
      <c r="C30" s="7" t="n">
        <v>6</v>
      </c>
      <c r="D30" s="12" t="s">
        <v>142</v>
      </c>
      <c r="E30" s="10" t="s">
        <v>143</v>
      </c>
      <c r="F30" s="9" t="n">
        <v>0.729489386115892</v>
      </c>
      <c r="G30" s="26" t="n">
        <v>343.8</v>
      </c>
      <c r="H30" s="12" t="s">
        <v>102</v>
      </c>
      <c r="I30" s="11" t="n">
        <v>5178.3</v>
      </c>
      <c r="J30" s="10" t="s">
        <v>144</v>
      </c>
      <c r="K30" s="7" t="n">
        <v>1</v>
      </c>
      <c r="L30" s="12" t="s">
        <v>79</v>
      </c>
      <c r="M30" s="12" t="s">
        <v>86</v>
      </c>
      <c r="N30" s="10"/>
      <c r="O30" s="10" t="s">
        <v>105</v>
      </c>
    </row>
    <row r="31" customFormat="false" ht="23.85" hidden="false" customHeight="false" outlineLevel="0" collapsed="false">
      <c r="A31" s="12"/>
      <c r="B31" s="12" t="s">
        <v>106</v>
      </c>
      <c r="C31" s="7" t="n">
        <v>7</v>
      </c>
      <c r="D31" s="12" t="s">
        <v>145</v>
      </c>
      <c r="E31" s="10" t="s">
        <v>146</v>
      </c>
      <c r="F31" s="9" t="n">
        <v>0.706875119525722</v>
      </c>
      <c r="G31" s="26" t="n">
        <v>28.55</v>
      </c>
      <c r="H31" s="12" t="s">
        <v>77</v>
      </c>
      <c r="I31" s="11" t="n">
        <v>53539.9</v>
      </c>
      <c r="J31" s="10" t="s">
        <v>147</v>
      </c>
      <c r="K31" s="7" t="n">
        <v>10</v>
      </c>
      <c r="L31" s="12" t="s">
        <v>79</v>
      </c>
      <c r="M31" s="12" t="s">
        <v>110</v>
      </c>
      <c r="N31" s="10" t="s">
        <v>111</v>
      </c>
      <c r="O31" s="10" t="s">
        <v>82</v>
      </c>
    </row>
    <row r="32" customFormat="false" ht="23.85" hidden="false" customHeight="false" outlineLevel="0" collapsed="false">
      <c r="A32" s="12"/>
      <c r="B32" s="12" t="s">
        <v>106</v>
      </c>
      <c r="C32" s="7" t="n">
        <v>8</v>
      </c>
      <c r="D32" s="12" t="s">
        <v>124</v>
      </c>
      <c r="E32" s="10" t="s">
        <v>125</v>
      </c>
      <c r="F32" s="9" t="n">
        <v>0.669697838974947</v>
      </c>
      <c r="G32" s="26" t="n">
        <v>234.04</v>
      </c>
      <c r="H32" s="12" t="s">
        <v>102</v>
      </c>
      <c r="I32" s="11" t="n">
        <v>3871.2</v>
      </c>
      <c r="J32" s="10" t="s">
        <v>144</v>
      </c>
      <c r="K32" s="7" t="n">
        <v>1</v>
      </c>
      <c r="L32" s="12" t="s">
        <v>79</v>
      </c>
      <c r="M32" s="12" t="s">
        <v>86</v>
      </c>
      <c r="N32" s="10" t="s">
        <v>104</v>
      </c>
      <c r="O32" s="10" t="s">
        <v>82</v>
      </c>
    </row>
    <row r="33" customFormat="false" ht="23.85" hidden="false" customHeight="false" outlineLevel="0" collapsed="false">
      <c r="A33" s="12"/>
      <c r="B33" s="12" t="s">
        <v>106</v>
      </c>
      <c r="C33" s="7" t="n">
        <v>9</v>
      </c>
      <c r="D33" s="12" t="s">
        <v>148</v>
      </c>
      <c r="E33" s="10" t="s">
        <v>149</v>
      </c>
      <c r="F33" s="9" t="n">
        <v>0.663611589213999</v>
      </c>
      <c r="G33" s="26" t="n">
        <v>20.14</v>
      </c>
      <c r="H33" s="12" t="s">
        <v>77</v>
      </c>
      <c r="I33" s="11" t="n">
        <v>58920.4</v>
      </c>
      <c r="J33" s="10" t="s">
        <v>150</v>
      </c>
      <c r="K33" s="7" t="n">
        <v>10</v>
      </c>
      <c r="L33" s="12" t="s">
        <v>79</v>
      </c>
      <c r="M33" s="12" t="s">
        <v>110</v>
      </c>
      <c r="N33" s="10" t="s">
        <v>111</v>
      </c>
      <c r="O33" s="10" t="s">
        <v>82</v>
      </c>
    </row>
    <row r="34" customFormat="false" ht="23.85" hidden="false" customHeight="false" outlineLevel="0" collapsed="false">
      <c r="A34" s="12"/>
      <c r="B34" s="12" t="s">
        <v>106</v>
      </c>
      <c r="C34" s="7" t="n">
        <v>10</v>
      </c>
      <c r="D34" s="12" t="s">
        <v>151</v>
      </c>
      <c r="E34" s="10" t="s">
        <v>152</v>
      </c>
      <c r="F34" s="9" t="n">
        <v>0.643411742206923</v>
      </c>
      <c r="G34" s="26" t="n">
        <v>55.89</v>
      </c>
      <c r="H34" s="12" t="s">
        <v>153</v>
      </c>
      <c r="I34" s="11" t="n">
        <v>6754.2</v>
      </c>
      <c r="J34" s="10"/>
      <c r="K34" s="7" t="n">
        <v>2</v>
      </c>
      <c r="L34" s="12" t="s">
        <v>79</v>
      </c>
      <c r="M34" s="12" t="s">
        <v>80</v>
      </c>
      <c r="N34" s="10" t="s">
        <v>81</v>
      </c>
      <c r="O34" s="10" t="s">
        <v>105</v>
      </c>
    </row>
    <row r="35" customFormat="false" ht="23.85" hidden="false" customHeight="false" outlineLevel="0" collapsed="false">
      <c r="A35" s="13" t="s">
        <v>25</v>
      </c>
      <c r="B35" s="14" t="s">
        <v>74</v>
      </c>
      <c r="C35" s="15" t="n">
        <v>1</v>
      </c>
      <c r="D35" s="14" t="s">
        <v>75</v>
      </c>
      <c r="E35" s="16" t="s">
        <v>76</v>
      </c>
      <c r="F35" s="17" t="n">
        <v>0.891652323580034</v>
      </c>
      <c r="G35" s="18" t="n">
        <v>259.25</v>
      </c>
      <c r="H35" s="14" t="s">
        <v>77</v>
      </c>
      <c r="I35" s="19" t="n">
        <v>42181.7</v>
      </c>
      <c r="J35" s="16" t="s">
        <v>154</v>
      </c>
      <c r="K35" s="15" t="n">
        <v>34</v>
      </c>
      <c r="L35" s="14" t="s">
        <v>79</v>
      </c>
      <c r="M35" s="14" t="s">
        <v>110</v>
      </c>
      <c r="N35" s="16" t="s">
        <v>81</v>
      </c>
      <c r="O35" s="16" t="s">
        <v>82</v>
      </c>
    </row>
    <row r="36" customFormat="false" ht="23.85" hidden="false" customHeight="false" outlineLevel="0" collapsed="false">
      <c r="A36" s="12"/>
      <c r="B36" s="20" t="s">
        <v>74</v>
      </c>
      <c r="C36" s="21" t="n">
        <v>2</v>
      </c>
      <c r="D36" s="20" t="s">
        <v>89</v>
      </c>
      <c r="E36" s="22" t="s">
        <v>90</v>
      </c>
      <c r="F36" s="23" t="n">
        <v>0.87862401988908</v>
      </c>
      <c r="G36" s="24" t="n">
        <v>711.76</v>
      </c>
      <c r="H36" s="20" t="s">
        <v>77</v>
      </c>
      <c r="I36" s="25" t="n">
        <v>28093.4</v>
      </c>
      <c r="J36" s="22" t="s">
        <v>155</v>
      </c>
      <c r="K36" s="21" t="n">
        <v>18</v>
      </c>
      <c r="L36" s="20" t="s">
        <v>79</v>
      </c>
      <c r="M36" s="20" t="s">
        <v>86</v>
      </c>
      <c r="N36" s="22" t="s">
        <v>81</v>
      </c>
      <c r="O36" s="22" t="s">
        <v>82</v>
      </c>
    </row>
    <row r="37" customFormat="false" ht="23.85" hidden="false" customHeight="false" outlineLevel="0" collapsed="false">
      <c r="A37" s="12"/>
      <c r="B37" s="20" t="s">
        <v>74</v>
      </c>
      <c r="C37" s="21" t="n">
        <v>3</v>
      </c>
      <c r="D37" s="20" t="s">
        <v>107</v>
      </c>
      <c r="E37" s="22" t="s">
        <v>108</v>
      </c>
      <c r="F37" s="23" t="n">
        <v>0.867804551539491</v>
      </c>
      <c r="G37" s="24" t="n">
        <v>98.68</v>
      </c>
      <c r="H37" s="20" t="s">
        <v>77</v>
      </c>
      <c r="I37" s="25" t="n">
        <v>59827.2</v>
      </c>
      <c r="J37" s="22" t="s">
        <v>156</v>
      </c>
      <c r="K37" s="21" t="n">
        <v>15</v>
      </c>
      <c r="L37" s="20" t="s">
        <v>79</v>
      </c>
      <c r="M37" s="20" t="s">
        <v>80</v>
      </c>
      <c r="N37" s="22" t="s">
        <v>111</v>
      </c>
      <c r="O37" s="22" t="s">
        <v>82</v>
      </c>
    </row>
    <row r="38" customFormat="false" ht="23.85" hidden="false" customHeight="false" outlineLevel="0" collapsed="false">
      <c r="A38" s="12"/>
      <c r="B38" s="20" t="s">
        <v>74</v>
      </c>
      <c r="C38" s="21" t="n">
        <v>4</v>
      </c>
      <c r="D38" s="20" t="s">
        <v>114</v>
      </c>
      <c r="E38" s="22" t="s">
        <v>115</v>
      </c>
      <c r="F38" s="23" t="n">
        <v>0.77988143048384</v>
      </c>
      <c r="G38" s="24" t="n">
        <v>248.6</v>
      </c>
      <c r="H38" s="20" t="s">
        <v>77</v>
      </c>
      <c r="I38" s="25" t="n">
        <v>11366.1</v>
      </c>
      <c r="J38" s="22" t="s">
        <v>157</v>
      </c>
      <c r="K38" s="21" t="n">
        <v>14</v>
      </c>
      <c r="L38" s="20" t="s">
        <v>85</v>
      </c>
      <c r="M38" s="20" t="s">
        <v>86</v>
      </c>
      <c r="N38" s="22" t="s">
        <v>87</v>
      </c>
      <c r="O38" s="22" t="s">
        <v>88</v>
      </c>
    </row>
    <row r="39" customFormat="false" ht="23.85" hidden="false" customHeight="false" outlineLevel="0" collapsed="false">
      <c r="A39" s="12"/>
      <c r="B39" s="20" t="s">
        <v>74</v>
      </c>
      <c r="C39" s="21" t="n">
        <v>5</v>
      </c>
      <c r="D39" s="20" t="s">
        <v>112</v>
      </c>
      <c r="E39" s="22" t="s">
        <v>113</v>
      </c>
      <c r="F39" s="23" t="n">
        <v>0.77768215720023</v>
      </c>
      <c r="G39" s="24" t="n">
        <v>343.8</v>
      </c>
      <c r="H39" s="20" t="s">
        <v>102</v>
      </c>
      <c r="I39" s="25" t="n">
        <v>7904.7</v>
      </c>
      <c r="J39" s="22" t="s">
        <v>144</v>
      </c>
      <c r="K39" s="21" t="n">
        <v>1</v>
      </c>
      <c r="L39" s="20" t="s">
        <v>79</v>
      </c>
      <c r="M39" s="20" t="s">
        <v>86</v>
      </c>
      <c r="N39" s="22"/>
      <c r="O39" s="22" t="s">
        <v>82</v>
      </c>
    </row>
    <row r="40" customFormat="false" ht="23.85" hidden="false" customHeight="false" outlineLevel="0" collapsed="false">
      <c r="A40" s="12"/>
      <c r="B40" s="12" t="s">
        <v>106</v>
      </c>
      <c r="C40" s="7" t="n">
        <v>6</v>
      </c>
      <c r="D40" s="12" t="s">
        <v>158</v>
      </c>
      <c r="E40" s="10" t="s">
        <v>159</v>
      </c>
      <c r="F40" s="9" t="n">
        <v>0.754565882577931</v>
      </c>
      <c r="G40" s="26" t="n">
        <v>154.8</v>
      </c>
      <c r="H40" s="12" t="s">
        <v>102</v>
      </c>
      <c r="I40" s="11" t="n">
        <v>11040.9</v>
      </c>
      <c r="J40" s="10" t="s">
        <v>144</v>
      </c>
      <c r="K40" s="7" t="n">
        <v>1</v>
      </c>
      <c r="L40" s="12" t="s">
        <v>79</v>
      </c>
      <c r="M40" s="12" t="s">
        <v>80</v>
      </c>
      <c r="N40" s="10" t="s">
        <v>81</v>
      </c>
      <c r="O40" s="10" t="s">
        <v>105</v>
      </c>
    </row>
    <row r="41" customFormat="false" ht="23.85" hidden="false" customHeight="false" outlineLevel="0" collapsed="false">
      <c r="A41" s="12"/>
      <c r="B41" s="12" t="s">
        <v>106</v>
      </c>
      <c r="C41" s="7" t="n">
        <v>7</v>
      </c>
      <c r="D41" s="12" t="s">
        <v>145</v>
      </c>
      <c r="E41" s="10" t="s">
        <v>146</v>
      </c>
      <c r="F41" s="9" t="n">
        <v>0.751319563970166</v>
      </c>
      <c r="G41" s="26" t="n">
        <v>36.59</v>
      </c>
      <c r="H41" s="12" t="s">
        <v>77</v>
      </c>
      <c r="I41" s="11" t="n">
        <v>53539.9</v>
      </c>
      <c r="J41" s="10" t="s">
        <v>126</v>
      </c>
      <c r="K41" s="7" t="n">
        <v>1</v>
      </c>
      <c r="L41" s="12" t="s">
        <v>79</v>
      </c>
      <c r="M41" s="12" t="s">
        <v>97</v>
      </c>
      <c r="N41" s="10"/>
      <c r="O41" s="10" t="s">
        <v>82</v>
      </c>
    </row>
    <row r="42" customFormat="false" ht="23.85" hidden="false" customHeight="false" outlineLevel="0" collapsed="false">
      <c r="A42" s="12"/>
      <c r="B42" s="12" t="s">
        <v>106</v>
      </c>
      <c r="C42" s="7" t="n">
        <v>8</v>
      </c>
      <c r="D42" s="12" t="s">
        <v>117</v>
      </c>
      <c r="E42" s="10" t="s">
        <v>118</v>
      </c>
      <c r="F42" s="9" t="n">
        <v>0.745983935742972</v>
      </c>
      <c r="G42" s="26" t="n">
        <v>56.65</v>
      </c>
      <c r="H42" s="12" t="s">
        <v>77</v>
      </c>
      <c r="I42" s="11" t="n">
        <v>32830.2</v>
      </c>
      <c r="J42" s="10" t="s">
        <v>160</v>
      </c>
      <c r="K42" s="7" t="n">
        <v>21</v>
      </c>
      <c r="L42" s="12" t="s">
        <v>79</v>
      </c>
      <c r="M42" s="12" t="s">
        <v>86</v>
      </c>
      <c r="N42" s="10"/>
      <c r="O42" s="10" t="s">
        <v>82</v>
      </c>
    </row>
    <row r="43" customFormat="false" ht="23.85" hidden="false" customHeight="false" outlineLevel="0" collapsed="false">
      <c r="A43" s="12"/>
      <c r="B43" s="12" t="s">
        <v>106</v>
      </c>
      <c r="C43" s="7" t="n">
        <v>9</v>
      </c>
      <c r="D43" s="12" t="s">
        <v>124</v>
      </c>
      <c r="E43" s="10" t="s">
        <v>125</v>
      </c>
      <c r="F43" s="9" t="n">
        <v>0.669697838974947</v>
      </c>
      <c r="G43" s="26" t="n">
        <v>234.04</v>
      </c>
      <c r="H43" s="12" t="s">
        <v>77</v>
      </c>
      <c r="I43" s="11" t="n">
        <v>3871.2</v>
      </c>
      <c r="J43" s="10" t="s">
        <v>161</v>
      </c>
      <c r="K43" s="7" t="n">
        <v>5</v>
      </c>
      <c r="L43" s="12" t="s">
        <v>79</v>
      </c>
      <c r="M43" s="12" t="s">
        <v>86</v>
      </c>
      <c r="N43" s="10" t="s">
        <v>104</v>
      </c>
      <c r="O43" s="10" t="s">
        <v>82</v>
      </c>
    </row>
    <row r="44" customFormat="false" ht="23.85" hidden="false" customHeight="false" outlineLevel="0" collapsed="false">
      <c r="A44" s="12"/>
      <c r="B44" s="12" t="s">
        <v>106</v>
      </c>
      <c r="C44" s="7" t="n">
        <v>10</v>
      </c>
      <c r="D44" s="12" t="s">
        <v>162</v>
      </c>
      <c r="E44" s="10" t="s">
        <v>163</v>
      </c>
      <c r="F44" s="9" t="n">
        <v>0.628996940141519</v>
      </c>
      <c r="G44" s="26" t="n">
        <v>127.38</v>
      </c>
      <c r="H44" s="12" t="s">
        <v>102</v>
      </c>
      <c r="I44" s="11" t="n">
        <v>3625.3</v>
      </c>
      <c r="J44" s="10" t="s">
        <v>144</v>
      </c>
      <c r="K44" s="7" t="n">
        <v>2</v>
      </c>
      <c r="L44" s="12" t="s">
        <v>92</v>
      </c>
      <c r="M44" s="12" t="s">
        <v>86</v>
      </c>
      <c r="N44" s="10"/>
      <c r="O44" s="10" t="s">
        <v>82</v>
      </c>
    </row>
    <row r="45" customFormat="false" ht="23.85" hidden="false" customHeight="false" outlineLevel="0" collapsed="false">
      <c r="A45" s="13" t="s">
        <v>27</v>
      </c>
      <c r="B45" s="14" t="s">
        <v>74</v>
      </c>
      <c r="C45" s="15" t="n">
        <v>1</v>
      </c>
      <c r="D45" s="14" t="s">
        <v>164</v>
      </c>
      <c r="E45" s="16" t="s">
        <v>165</v>
      </c>
      <c r="F45" s="17" t="n">
        <v>0.855636833046472</v>
      </c>
      <c r="G45" s="18" t="n">
        <v>73.63</v>
      </c>
      <c r="H45" s="14" t="s">
        <v>102</v>
      </c>
      <c r="I45" s="19" t="n">
        <v>132723.1</v>
      </c>
      <c r="J45" s="16"/>
      <c r="K45" s="15" t="n">
        <v>1</v>
      </c>
      <c r="L45" s="14" t="s">
        <v>79</v>
      </c>
      <c r="M45" s="14" t="s">
        <v>80</v>
      </c>
      <c r="N45" s="16" t="s">
        <v>111</v>
      </c>
      <c r="O45" s="16" t="s">
        <v>105</v>
      </c>
    </row>
    <row r="46" customFormat="false" ht="23.85" hidden="false" customHeight="false" outlineLevel="0" collapsed="false">
      <c r="A46" s="12"/>
      <c r="B46" s="20" t="s">
        <v>74</v>
      </c>
      <c r="C46" s="21" t="n">
        <v>2</v>
      </c>
      <c r="D46" s="20" t="s">
        <v>107</v>
      </c>
      <c r="E46" s="22" t="s">
        <v>108</v>
      </c>
      <c r="F46" s="23" t="n">
        <v>0.848756932491872</v>
      </c>
      <c r="G46" s="24" t="n">
        <v>87.85</v>
      </c>
      <c r="H46" s="20" t="s">
        <v>77</v>
      </c>
      <c r="I46" s="25" t="n">
        <v>59827.2</v>
      </c>
      <c r="J46" s="22" t="s">
        <v>166</v>
      </c>
      <c r="K46" s="21" t="n">
        <v>5</v>
      </c>
      <c r="L46" s="20" t="s">
        <v>79</v>
      </c>
      <c r="M46" s="20" t="s">
        <v>86</v>
      </c>
      <c r="N46" s="22" t="s">
        <v>111</v>
      </c>
      <c r="O46" s="22" t="s">
        <v>82</v>
      </c>
    </row>
    <row r="47" customFormat="false" ht="15" hidden="false" customHeight="false" outlineLevel="0" collapsed="false">
      <c r="A47" s="12"/>
      <c r="B47" s="20" t="s">
        <v>74</v>
      </c>
      <c r="C47" s="21" t="n">
        <v>3</v>
      </c>
      <c r="D47" s="20" t="s">
        <v>167</v>
      </c>
      <c r="E47" s="22" t="s">
        <v>168</v>
      </c>
      <c r="F47" s="23" t="n">
        <v>0.822222222222222</v>
      </c>
      <c r="G47" s="24" t="n">
        <v>52.55</v>
      </c>
      <c r="H47" s="20" t="s">
        <v>77</v>
      </c>
      <c r="I47" s="25" t="n">
        <v>358084.5</v>
      </c>
      <c r="J47" s="22"/>
      <c r="K47" s="21" t="n">
        <v>1</v>
      </c>
      <c r="L47" s="20" t="s">
        <v>79</v>
      </c>
      <c r="M47" s="20" t="s">
        <v>86</v>
      </c>
      <c r="N47" s="22"/>
      <c r="O47" s="22" t="s">
        <v>105</v>
      </c>
    </row>
    <row r="48" customFormat="false" ht="23.85" hidden="false" customHeight="false" outlineLevel="0" collapsed="false">
      <c r="A48" s="12"/>
      <c r="B48" s="20" t="s">
        <v>74</v>
      </c>
      <c r="C48" s="21" t="n">
        <v>4</v>
      </c>
      <c r="D48" s="20" t="s">
        <v>114</v>
      </c>
      <c r="E48" s="22" t="s">
        <v>115</v>
      </c>
      <c r="F48" s="23" t="n">
        <v>0.816389366991777</v>
      </c>
      <c r="G48" s="24" t="n">
        <v>531.87</v>
      </c>
      <c r="H48" s="20" t="s">
        <v>153</v>
      </c>
      <c r="I48" s="25" t="n">
        <v>11366.1</v>
      </c>
      <c r="J48" s="22" t="s">
        <v>169</v>
      </c>
      <c r="K48" s="21" t="n">
        <v>1</v>
      </c>
      <c r="L48" s="20" t="s">
        <v>85</v>
      </c>
      <c r="M48" s="20" t="s">
        <v>86</v>
      </c>
      <c r="N48" s="22" t="s">
        <v>87</v>
      </c>
      <c r="O48" s="22" t="s">
        <v>88</v>
      </c>
    </row>
    <row r="49" customFormat="false" ht="23.85" hidden="false" customHeight="false" outlineLevel="0" collapsed="false">
      <c r="A49" s="12"/>
      <c r="B49" s="20" t="s">
        <v>74</v>
      </c>
      <c r="C49" s="21" t="n">
        <v>5</v>
      </c>
      <c r="D49" s="20" t="s">
        <v>89</v>
      </c>
      <c r="E49" s="22" t="s">
        <v>90</v>
      </c>
      <c r="F49" s="23" t="n">
        <v>0.813544654809715</v>
      </c>
      <c r="G49" s="24" t="n">
        <v>163.29</v>
      </c>
      <c r="H49" s="20" t="s">
        <v>77</v>
      </c>
      <c r="I49" s="25" t="n">
        <v>28093.4</v>
      </c>
      <c r="J49" s="22"/>
      <c r="K49" s="21" t="n">
        <v>1</v>
      </c>
      <c r="L49" s="20" t="s">
        <v>79</v>
      </c>
      <c r="M49" s="20" t="s">
        <v>86</v>
      </c>
      <c r="N49" s="22" t="s">
        <v>104</v>
      </c>
      <c r="O49" s="22" t="s">
        <v>82</v>
      </c>
    </row>
    <row r="50" customFormat="false" ht="23.85" hidden="false" customHeight="false" outlineLevel="0" collapsed="false">
      <c r="A50" s="12"/>
      <c r="B50" s="12" t="s">
        <v>106</v>
      </c>
      <c r="C50" s="7" t="n">
        <v>6</v>
      </c>
      <c r="D50" s="12" t="s">
        <v>117</v>
      </c>
      <c r="E50" s="10" t="s">
        <v>118</v>
      </c>
      <c r="F50" s="9" t="n">
        <v>0.709475999235036</v>
      </c>
      <c r="G50" s="26" t="n">
        <v>39.42</v>
      </c>
      <c r="H50" s="12" t="s">
        <v>77</v>
      </c>
      <c r="I50" s="11" t="n">
        <v>32830.2</v>
      </c>
      <c r="J50" s="10" t="s">
        <v>169</v>
      </c>
      <c r="K50" s="7" t="n">
        <v>4</v>
      </c>
      <c r="L50" s="12" t="s">
        <v>79</v>
      </c>
      <c r="M50" s="12" t="s">
        <v>86</v>
      </c>
      <c r="N50" s="10"/>
      <c r="O50" s="10" t="s">
        <v>82</v>
      </c>
    </row>
    <row r="51" customFormat="false" ht="23.85" hidden="false" customHeight="false" outlineLevel="0" collapsed="false">
      <c r="A51" s="12"/>
      <c r="B51" s="12" t="s">
        <v>106</v>
      </c>
      <c r="C51" s="7" t="n">
        <v>7</v>
      </c>
      <c r="D51" s="12" t="s">
        <v>120</v>
      </c>
      <c r="E51" s="10" t="s">
        <v>121</v>
      </c>
      <c r="F51" s="9" t="n">
        <v>0.634834576400842</v>
      </c>
      <c r="G51" s="26" t="n">
        <v>18.93</v>
      </c>
      <c r="H51" s="12" t="s">
        <v>77</v>
      </c>
      <c r="I51" s="11" t="n">
        <v>41503.2</v>
      </c>
      <c r="J51" s="10"/>
      <c r="K51" s="7" t="n">
        <v>1</v>
      </c>
      <c r="L51" s="12" t="s">
        <v>79</v>
      </c>
      <c r="M51" s="12" t="s">
        <v>86</v>
      </c>
      <c r="N51" s="10" t="s">
        <v>81</v>
      </c>
      <c r="O51" s="10" t="s">
        <v>82</v>
      </c>
    </row>
    <row r="52" customFormat="false" ht="23.85" hidden="false" customHeight="false" outlineLevel="0" collapsed="false">
      <c r="A52" s="12"/>
      <c r="B52" s="12" t="s">
        <v>106</v>
      </c>
      <c r="C52" s="7" t="n">
        <v>8</v>
      </c>
      <c r="D52" s="12" t="s">
        <v>75</v>
      </c>
      <c r="E52" s="10" t="s">
        <v>76</v>
      </c>
      <c r="F52" s="9" t="n">
        <v>0.575779307707019</v>
      </c>
      <c r="G52" s="26" t="n">
        <v>10.24</v>
      </c>
      <c r="H52" s="12" t="s">
        <v>102</v>
      </c>
      <c r="I52" s="11" t="n">
        <v>42181.7</v>
      </c>
      <c r="J52" s="10"/>
      <c r="K52" s="7" t="n">
        <v>1</v>
      </c>
      <c r="L52" s="12" t="s">
        <v>79</v>
      </c>
      <c r="M52" s="12" t="s">
        <v>80</v>
      </c>
      <c r="N52" s="10" t="s">
        <v>81</v>
      </c>
      <c r="O52" s="10" t="s">
        <v>82</v>
      </c>
    </row>
    <row r="53" customFormat="false" ht="23.85" hidden="false" customHeight="false" outlineLevel="0" collapsed="false">
      <c r="A53" s="12"/>
      <c r="B53" s="12" t="s">
        <v>106</v>
      </c>
      <c r="C53" s="7" t="n">
        <v>9</v>
      </c>
      <c r="D53" s="12" t="s">
        <v>170</v>
      </c>
      <c r="E53" s="10" t="s">
        <v>171</v>
      </c>
      <c r="F53" s="9" t="n">
        <v>0.563955823293173</v>
      </c>
      <c r="G53" s="26" t="n">
        <v>82.51</v>
      </c>
      <c r="H53" s="12" t="s">
        <v>153</v>
      </c>
      <c r="I53" s="11" t="n">
        <v>2931.4</v>
      </c>
      <c r="J53" s="10"/>
      <c r="K53" s="7" t="n">
        <v>1</v>
      </c>
      <c r="L53" s="12" t="s">
        <v>172</v>
      </c>
      <c r="M53" s="12" t="s">
        <v>86</v>
      </c>
      <c r="N53" s="10"/>
      <c r="O53" s="10" t="s">
        <v>82</v>
      </c>
    </row>
    <row r="54" customFormat="false" ht="23.85" hidden="false" customHeight="false" outlineLevel="0" collapsed="false">
      <c r="A54" s="12"/>
      <c r="B54" s="12" t="s">
        <v>106</v>
      </c>
      <c r="C54" s="7" t="n">
        <v>10</v>
      </c>
      <c r="D54" s="12" t="s">
        <v>173</v>
      </c>
      <c r="E54" s="10" t="s">
        <v>174</v>
      </c>
      <c r="F54" s="9" t="n">
        <v>0.548575253394531</v>
      </c>
      <c r="G54" s="26" t="n">
        <v>41.27</v>
      </c>
      <c r="H54" s="12" t="s">
        <v>77</v>
      </c>
      <c r="I54" s="11" t="n">
        <v>3973.7</v>
      </c>
      <c r="J54" s="10"/>
      <c r="K54" s="7" t="n">
        <v>2</v>
      </c>
      <c r="L54" s="12" t="s">
        <v>79</v>
      </c>
      <c r="M54" s="12" t="s">
        <v>86</v>
      </c>
      <c r="N54" s="10" t="s">
        <v>81</v>
      </c>
      <c r="O54" s="10" t="s">
        <v>82</v>
      </c>
    </row>
    <row r="55" customFormat="false" ht="23.85" hidden="false" customHeight="false" outlineLevel="0" collapsed="false">
      <c r="A55" s="13" t="s">
        <v>29</v>
      </c>
      <c r="B55" s="14" t="s">
        <v>74</v>
      </c>
      <c r="C55" s="15" t="n">
        <v>1</v>
      </c>
      <c r="D55" s="14" t="s">
        <v>75</v>
      </c>
      <c r="E55" s="16" t="s">
        <v>76</v>
      </c>
      <c r="F55" s="17" t="n">
        <v>0.90752533945305</v>
      </c>
      <c r="G55" s="18" t="n">
        <v>360.71</v>
      </c>
      <c r="H55" s="14" t="s">
        <v>102</v>
      </c>
      <c r="I55" s="19" t="n">
        <v>42181.7</v>
      </c>
      <c r="J55" s="16" t="s">
        <v>175</v>
      </c>
      <c r="K55" s="15" t="n">
        <v>2</v>
      </c>
      <c r="L55" s="14" t="s">
        <v>79</v>
      </c>
      <c r="M55" s="14" t="s">
        <v>80</v>
      </c>
      <c r="N55" s="16" t="s">
        <v>81</v>
      </c>
      <c r="O55" s="16" t="s">
        <v>82</v>
      </c>
    </row>
    <row r="56" customFormat="false" ht="23.85" hidden="false" customHeight="false" outlineLevel="0" collapsed="false">
      <c r="A56" s="12"/>
      <c r="B56" s="20" t="s">
        <v>74</v>
      </c>
      <c r="C56" s="21" t="n">
        <v>2</v>
      </c>
      <c r="D56" s="20" t="s">
        <v>107</v>
      </c>
      <c r="E56" s="22" t="s">
        <v>108</v>
      </c>
      <c r="F56" s="23" t="n">
        <v>0.847169630904571</v>
      </c>
      <c r="G56" s="24" t="n">
        <v>83.75</v>
      </c>
      <c r="H56" s="20" t="s">
        <v>102</v>
      </c>
      <c r="I56" s="25" t="n">
        <v>59827.2</v>
      </c>
      <c r="J56" s="22" t="s">
        <v>176</v>
      </c>
      <c r="K56" s="21" t="n">
        <v>5</v>
      </c>
      <c r="L56" s="20" t="s">
        <v>79</v>
      </c>
      <c r="M56" s="20" t="s">
        <v>80</v>
      </c>
      <c r="N56" s="22" t="s">
        <v>111</v>
      </c>
      <c r="O56" s="22" t="s">
        <v>82</v>
      </c>
    </row>
    <row r="57" customFormat="false" ht="23.85" hidden="false" customHeight="false" outlineLevel="0" collapsed="false">
      <c r="A57" s="12"/>
      <c r="B57" s="20" t="s">
        <v>74</v>
      </c>
      <c r="C57" s="21" t="n">
        <v>3</v>
      </c>
      <c r="D57" s="20" t="s">
        <v>89</v>
      </c>
      <c r="E57" s="22" t="s">
        <v>90</v>
      </c>
      <c r="F57" s="23" t="n">
        <v>0.842116083381144</v>
      </c>
      <c r="G57" s="24" t="n">
        <v>295.75</v>
      </c>
      <c r="H57" s="20" t="s">
        <v>77</v>
      </c>
      <c r="I57" s="25" t="n">
        <v>28093.4</v>
      </c>
      <c r="J57" s="22" t="s">
        <v>177</v>
      </c>
      <c r="K57" s="21" t="n">
        <v>8</v>
      </c>
      <c r="L57" s="20" t="s">
        <v>79</v>
      </c>
      <c r="M57" s="20" t="s">
        <v>86</v>
      </c>
      <c r="N57" s="22" t="s">
        <v>81</v>
      </c>
      <c r="O57" s="22" t="s">
        <v>82</v>
      </c>
    </row>
    <row r="58" customFormat="false" ht="23.85" hidden="false" customHeight="false" outlineLevel="0" collapsed="false">
      <c r="A58" s="12"/>
      <c r="B58" s="20" t="s">
        <v>74</v>
      </c>
      <c r="C58" s="21" t="n">
        <v>4</v>
      </c>
      <c r="D58" s="20" t="s">
        <v>112</v>
      </c>
      <c r="E58" s="22" t="s">
        <v>113</v>
      </c>
      <c r="F58" s="23" t="n">
        <v>0.817364696882769</v>
      </c>
      <c r="G58" s="24" t="n">
        <v>4289.93</v>
      </c>
      <c r="H58" s="20" t="s">
        <v>77</v>
      </c>
      <c r="I58" s="25" t="n">
        <v>7904.7</v>
      </c>
      <c r="J58" s="22" t="s">
        <v>177</v>
      </c>
      <c r="K58" s="21" t="n">
        <v>7</v>
      </c>
      <c r="L58" s="20" t="s">
        <v>79</v>
      </c>
      <c r="M58" s="20" t="s">
        <v>86</v>
      </c>
      <c r="N58" s="22"/>
      <c r="O58" s="22" t="s">
        <v>82</v>
      </c>
    </row>
    <row r="59" customFormat="false" ht="23.85" hidden="false" customHeight="false" outlineLevel="0" collapsed="false">
      <c r="A59" s="12"/>
      <c r="B59" s="20" t="s">
        <v>74</v>
      </c>
      <c r="C59" s="21" t="n">
        <v>5</v>
      </c>
      <c r="D59" s="20" t="s">
        <v>117</v>
      </c>
      <c r="E59" s="22" t="s">
        <v>118</v>
      </c>
      <c r="F59" s="23" t="n">
        <v>0.718999808758845</v>
      </c>
      <c r="G59" s="24" t="n">
        <v>42.15</v>
      </c>
      <c r="H59" s="20" t="s">
        <v>77</v>
      </c>
      <c r="I59" s="25" t="n">
        <v>32830.2</v>
      </c>
      <c r="J59" s="22" t="s">
        <v>177</v>
      </c>
      <c r="K59" s="21" t="n">
        <v>7</v>
      </c>
      <c r="L59" s="20" t="s">
        <v>79</v>
      </c>
      <c r="M59" s="20" t="s">
        <v>86</v>
      </c>
      <c r="N59" s="22"/>
      <c r="O59" s="22" t="s">
        <v>82</v>
      </c>
    </row>
    <row r="60" customFormat="false" ht="23.85" hidden="false" customHeight="false" outlineLevel="0" collapsed="false">
      <c r="A60" s="12"/>
      <c r="B60" s="12" t="s">
        <v>106</v>
      </c>
      <c r="C60" s="7" t="n">
        <v>6</v>
      </c>
      <c r="D60" s="12" t="s">
        <v>178</v>
      </c>
      <c r="E60" s="10" t="s">
        <v>179</v>
      </c>
      <c r="F60" s="9" t="n">
        <v>0.593024478867852</v>
      </c>
      <c r="G60" s="26" t="n">
        <v>36.53</v>
      </c>
      <c r="H60" s="12" t="s">
        <v>102</v>
      </c>
      <c r="I60" s="11" t="n">
        <v>6632.6</v>
      </c>
      <c r="J60" s="10" t="s">
        <v>175</v>
      </c>
      <c r="K60" s="7" t="n">
        <v>2</v>
      </c>
      <c r="L60" s="12" t="s">
        <v>79</v>
      </c>
      <c r="M60" s="12" t="s">
        <v>86</v>
      </c>
      <c r="N60" s="10" t="s">
        <v>111</v>
      </c>
      <c r="O60" s="10" t="s">
        <v>82</v>
      </c>
    </row>
    <row r="61" customFormat="false" ht="23.85" hidden="false" customHeight="false" outlineLevel="0" collapsed="false">
      <c r="A61" s="12"/>
      <c r="B61" s="12" t="s">
        <v>106</v>
      </c>
      <c r="C61" s="7" t="n">
        <v>7</v>
      </c>
      <c r="D61" s="12" t="s">
        <v>128</v>
      </c>
      <c r="E61" s="10" t="s">
        <v>129</v>
      </c>
      <c r="F61" s="9" t="n">
        <v>0.56928667049149</v>
      </c>
      <c r="G61" s="26" t="n">
        <v>92.74</v>
      </c>
      <c r="H61" s="12" t="s">
        <v>77</v>
      </c>
      <c r="I61" s="11" t="n">
        <v>2886</v>
      </c>
      <c r="J61" s="10" t="s">
        <v>176</v>
      </c>
      <c r="K61" s="7" t="n">
        <v>5</v>
      </c>
      <c r="L61" s="12" t="s">
        <v>79</v>
      </c>
      <c r="M61" s="12" t="s">
        <v>86</v>
      </c>
      <c r="N61" s="10" t="s">
        <v>81</v>
      </c>
      <c r="O61" s="10" t="s">
        <v>82</v>
      </c>
    </row>
    <row r="62" customFormat="false" ht="15" hidden="false" customHeight="false" outlineLevel="0" collapsed="false">
      <c r="A62" s="12"/>
      <c r="B62" s="12" t="s">
        <v>106</v>
      </c>
      <c r="C62" s="7" t="n">
        <v>8</v>
      </c>
      <c r="D62" s="12" t="s">
        <v>170</v>
      </c>
      <c r="E62" s="10" t="s">
        <v>171</v>
      </c>
      <c r="F62" s="9" t="n">
        <v>0.55125741059476</v>
      </c>
      <c r="G62" s="26" t="n">
        <v>69.18</v>
      </c>
      <c r="H62" s="12" t="s">
        <v>102</v>
      </c>
      <c r="I62" s="11" t="n">
        <v>2931.4</v>
      </c>
      <c r="J62" s="10" t="s">
        <v>144</v>
      </c>
      <c r="K62" s="7" t="n">
        <v>1</v>
      </c>
      <c r="L62" s="12" t="s">
        <v>97</v>
      </c>
      <c r="M62" s="12" t="s">
        <v>97</v>
      </c>
      <c r="N62" s="10"/>
      <c r="O62" s="10" t="s">
        <v>99</v>
      </c>
    </row>
    <row r="63" customFormat="false" ht="23.85" hidden="false" customHeight="false" outlineLevel="0" collapsed="false">
      <c r="A63" s="12"/>
      <c r="B63" s="12" t="s">
        <v>106</v>
      </c>
      <c r="C63" s="7" t="n">
        <v>9</v>
      </c>
      <c r="D63" s="12" t="s">
        <v>180</v>
      </c>
      <c r="E63" s="10" t="s">
        <v>181</v>
      </c>
      <c r="F63" s="9" t="n">
        <v>0.468574297188755</v>
      </c>
      <c r="G63" s="26" t="n">
        <v>6.08</v>
      </c>
      <c r="H63" s="12" t="s">
        <v>102</v>
      </c>
      <c r="I63" s="11" t="n">
        <v>35276.7</v>
      </c>
      <c r="J63" s="10" t="s">
        <v>176</v>
      </c>
      <c r="K63" s="7" t="n">
        <v>5</v>
      </c>
      <c r="L63" s="12" t="s">
        <v>79</v>
      </c>
      <c r="M63" s="12" t="s">
        <v>80</v>
      </c>
      <c r="N63" s="10" t="s">
        <v>111</v>
      </c>
      <c r="O63" s="10" t="s">
        <v>82</v>
      </c>
    </row>
    <row r="64" customFormat="false" ht="23.85" hidden="false" customHeight="false" outlineLevel="0" collapsed="false">
      <c r="A64" s="12"/>
      <c r="B64" s="12" t="s">
        <v>106</v>
      </c>
      <c r="C64" s="7" t="n">
        <v>10</v>
      </c>
      <c r="D64" s="12" t="s">
        <v>182</v>
      </c>
      <c r="E64" s="10" t="s">
        <v>183</v>
      </c>
      <c r="F64" s="9" t="n">
        <v>0.456927710843374</v>
      </c>
      <c r="G64" s="26" t="n">
        <v>9.12</v>
      </c>
      <c r="H64" s="12" t="s">
        <v>102</v>
      </c>
      <c r="I64" s="11" t="n">
        <v>11544.4</v>
      </c>
      <c r="J64" s="10" t="s">
        <v>144</v>
      </c>
      <c r="K64" s="7" t="n">
        <v>1</v>
      </c>
      <c r="L64" s="12" t="s">
        <v>79</v>
      </c>
      <c r="M64" s="12" t="s">
        <v>127</v>
      </c>
      <c r="N64" s="10"/>
      <c r="O64" s="10" t="s">
        <v>105</v>
      </c>
    </row>
    <row r="65" customFormat="false" ht="23.85" hidden="false" customHeight="false" outlineLevel="0" collapsed="false">
      <c r="A65" s="13" t="s">
        <v>31</v>
      </c>
      <c r="B65" s="14" t="s">
        <v>74</v>
      </c>
      <c r="C65" s="15" t="n">
        <v>1</v>
      </c>
      <c r="D65" s="14" t="s">
        <v>75</v>
      </c>
      <c r="E65" s="16" t="s">
        <v>76</v>
      </c>
      <c r="F65" s="17" t="n">
        <v>0.909112641040352</v>
      </c>
      <c r="G65" s="18" t="n">
        <v>397.42</v>
      </c>
      <c r="H65" s="14" t="s">
        <v>153</v>
      </c>
      <c r="I65" s="19" t="n">
        <v>42181.7</v>
      </c>
      <c r="J65" s="16"/>
      <c r="K65" s="15" t="n">
        <v>3</v>
      </c>
      <c r="L65" s="14" t="s">
        <v>79</v>
      </c>
      <c r="M65" s="14" t="s">
        <v>80</v>
      </c>
      <c r="N65" s="16" t="s">
        <v>81</v>
      </c>
      <c r="O65" s="16" t="s">
        <v>82</v>
      </c>
    </row>
    <row r="66" customFormat="false" ht="23.85" hidden="false" customHeight="false" outlineLevel="0" collapsed="false">
      <c r="A66" s="12"/>
      <c r="B66" s="20" t="s">
        <v>74</v>
      </c>
      <c r="C66" s="21" t="n">
        <v>2</v>
      </c>
      <c r="D66" s="20" t="s">
        <v>112</v>
      </c>
      <c r="E66" s="22" t="s">
        <v>113</v>
      </c>
      <c r="F66" s="23" t="n">
        <v>0.825301204819277</v>
      </c>
      <c r="G66" s="24" t="n">
        <v>7322.42</v>
      </c>
      <c r="H66" s="20" t="s">
        <v>153</v>
      </c>
      <c r="I66" s="25" t="n">
        <v>7904.7</v>
      </c>
      <c r="J66" s="22"/>
      <c r="K66" s="21" t="n">
        <v>1</v>
      </c>
      <c r="L66" s="20" t="s">
        <v>79</v>
      </c>
      <c r="M66" s="20" t="s">
        <v>86</v>
      </c>
      <c r="N66" s="22"/>
      <c r="O66" s="22" t="s">
        <v>82</v>
      </c>
    </row>
    <row r="67" customFormat="false" ht="23.85" hidden="false" customHeight="false" outlineLevel="0" collapsed="false">
      <c r="A67" s="12"/>
      <c r="B67" s="20" t="s">
        <v>74</v>
      </c>
      <c r="C67" s="21" t="n">
        <v>3</v>
      </c>
      <c r="D67" s="20" t="s">
        <v>114</v>
      </c>
      <c r="E67" s="22" t="s">
        <v>115</v>
      </c>
      <c r="F67" s="23" t="n">
        <v>0.790992541594951</v>
      </c>
      <c r="G67" s="24" t="n">
        <v>302.38</v>
      </c>
      <c r="H67" s="20" t="s">
        <v>102</v>
      </c>
      <c r="I67" s="25" t="n">
        <v>11366.1</v>
      </c>
      <c r="J67" s="22" t="s">
        <v>177</v>
      </c>
      <c r="K67" s="21" t="n">
        <v>8</v>
      </c>
      <c r="L67" s="20" t="s">
        <v>85</v>
      </c>
      <c r="M67" s="20" t="s">
        <v>86</v>
      </c>
      <c r="N67" s="22" t="s">
        <v>87</v>
      </c>
      <c r="O67" s="22" t="s">
        <v>88</v>
      </c>
    </row>
    <row r="68" customFormat="false" ht="23.85" hidden="false" customHeight="false" outlineLevel="0" collapsed="false">
      <c r="A68" s="12"/>
      <c r="B68" s="20" t="s">
        <v>74</v>
      </c>
      <c r="C68" s="21" t="n">
        <v>4</v>
      </c>
      <c r="D68" s="20" t="s">
        <v>117</v>
      </c>
      <c r="E68" s="22" t="s">
        <v>118</v>
      </c>
      <c r="F68" s="23" t="n">
        <v>0.772968062727099</v>
      </c>
      <c r="G68" s="24" t="n">
        <v>79.53</v>
      </c>
      <c r="H68" s="20" t="s">
        <v>102</v>
      </c>
      <c r="I68" s="25" t="n">
        <v>32830.2</v>
      </c>
      <c r="J68" s="22" t="s">
        <v>184</v>
      </c>
      <c r="K68" s="21" t="n">
        <v>9</v>
      </c>
      <c r="L68" s="20" t="s">
        <v>79</v>
      </c>
      <c r="M68" s="20" t="s">
        <v>86</v>
      </c>
      <c r="N68" s="22"/>
      <c r="O68" s="22" t="s">
        <v>82</v>
      </c>
    </row>
    <row r="69" customFormat="false" ht="23.85" hidden="false" customHeight="false" outlineLevel="0" collapsed="false">
      <c r="A69" s="12"/>
      <c r="B69" s="20" t="s">
        <v>74</v>
      </c>
      <c r="C69" s="21" t="n">
        <v>5</v>
      </c>
      <c r="D69" s="20" t="s">
        <v>89</v>
      </c>
      <c r="E69" s="22" t="s">
        <v>90</v>
      </c>
      <c r="F69" s="23" t="n">
        <v>0.743703384968445</v>
      </c>
      <c r="G69" s="24" t="n">
        <v>64.91</v>
      </c>
      <c r="H69" s="20" t="s">
        <v>77</v>
      </c>
      <c r="I69" s="25" t="n">
        <v>28093.4</v>
      </c>
      <c r="J69" s="22" t="s">
        <v>185</v>
      </c>
      <c r="K69" s="21" t="n">
        <v>12</v>
      </c>
      <c r="L69" s="20" t="s">
        <v>79</v>
      </c>
      <c r="M69" s="20" t="s">
        <v>86</v>
      </c>
      <c r="N69" s="22" t="s">
        <v>81</v>
      </c>
      <c r="O69" s="22" t="s">
        <v>82</v>
      </c>
    </row>
    <row r="70" customFormat="false" ht="23.85" hidden="false" customHeight="false" outlineLevel="0" collapsed="false">
      <c r="A70" s="12"/>
      <c r="B70" s="12" t="s">
        <v>106</v>
      </c>
      <c r="C70" s="7" t="n">
        <v>6</v>
      </c>
      <c r="D70" s="12" t="s">
        <v>131</v>
      </c>
      <c r="E70" s="10" t="s">
        <v>132</v>
      </c>
      <c r="F70" s="9" t="n">
        <v>0.583892713711991</v>
      </c>
      <c r="G70" s="26" t="n">
        <v>400.86</v>
      </c>
      <c r="H70" s="12" t="s">
        <v>77</v>
      </c>
      <c r="I70" s="11" t="n">
        <v>1874.6</v>
      </c>
      <c r="J70" s="10" t="s">
        <v>186</v>
      </c>
      <c r="K70" s="7" t="n">
        <v>9</v>
      </c>
      <c r="L70" s="12" t="s">
        <v>79</v>
      </c>
      <c r="M70" s="12" t="s">
        <v>86</v>
      </c>
      <c r="N70" s="10" t="s">
        <v>104</v>
      </c>
      <c r="O70" s="10" t="s">
        <v>82</v>
      </c>
    </row>
    <row r="71" customFormat="false" ht="23.85" hidden="false" customHeight="false" outlineLevel="0" collapsed="false">
      <c r="A71" s="13" t="s">
        <v>33</v>
      </c>
      <c r="B71" s="14" t="s">
        <v>74</v>
      </c>
      <c r="C71" s="15" t="n">
        <v>1</v>
      </c>
      <c r="D71" s="14" t="s">
        <v>89</v>
      </c>
      <c r="E71" s="16" t="s">
        <v>90</v>
      </c>
      <c r="F71" s="17" t="n">
        <v>0.880211321476382</v>
      </c>
      <c r="G71" s="18" t="n">
        <v>887.33</v>
      </c>
      <c r="H71" s="14" t="s">
        <v>77</v>
      </c>
      <c r="I71" s="19" t="n">
        <v>28093.4</v>
      </c>
      <c r="J71" s="16" t="s">
        <v>130</v>
      </c>
      <c r="K71" s="15" t="n">
        <v>34</v>
      </c>
      <c r="L71" s="14" t="s">
        <v>79</v>
      </c>
      <c r="M71" s="14" t="s">
        <v>86</v>
      </c>
      <c r="N71" s="16" t="s">
        <v>81</v>
      </c>
      <c r="O71" s="16" t="s">
        <v>82</v>
      </c>
    </row>
    <row r="72" customFormat="false" ht="23.85" hidden="false" customHeight="false" outlineLevel="0" collapsed="false">
      <c r="A72" s="12"/>
      <c r="B72" s="20" t="s">
        <v>74</v>
      </c>
      <c r="C72" s="21" t="n">
        <v>2</v>
      </c>
      <c r="D72" s="20" t="s">
        <v>114</v>
      </c>
      <c r="E72" s="22" t="s">
        <v>115</v>
      </c>
      <c r="F72" s="23" t="n">
        <v>0.813214763817173</v>
      </c>
      <c r="G72" s="24" t="n">
        <v>438.59</v>
      </c>
      <c r="H72" s="20" t="s">
        <v>102</v>
      </c>
      <c r="I72" s="25" t="n">
        <v>11366.1</v>
      </c>
      <c r="J72" s="22" t="s">
        <v>187</v>
      </c>
      <c r="K72" s="21" t="n">
        <v>7</v>
      </c>
      <c r="L72" s="20" t="s">
        <v>85</v>
      </c>
      <c r="M72" s="20" t="s">
        <v>86</v>
      </c>
      <c r="N72" s="22" t="s">
        <v>87</v>
      </c>
      <c r="O72" s="22" t="s">
        <v>88</v>
      </c>
    </row>
    <row r="73" customFormat="false" ht="23.85" hidden="false" customHeight="false" outlineLevel="0" collapsed="false">
      <c r="A73" s="12"/>
      <c r="B73" s="20" t="s">
        <v>74</v>
      </c>
      <c r="C73" s="21" t="n">
        <v>3</v>
      </c>
      <c r="D73" s="20" t="s">
        <v>117</v>
      </c>
      <c r="E73" s="22" t="s">
        <v>118</v>
      </c>
      <c r="F73" s="23" t="n">
        <v>0.712650602409639</v>
      </c>
      <c r="G73" s="24" t="n">
        <v>40.14</v>
      </c>
      <c r="H73" s="20" t="s">
        <v>77</v>
      </c>
      <c r="I73" s="25" t="n">
        <v>32830.2</v>
      </c>
      <c r="J73" s="22" t="s">
        <v>188</v>
      </c>
      <c r="K73" s="21" t="n">
        <v>7</v>
      </c>
      <c r="L73" s="20" t="s">
        <v>79</v>
      </c>
      <c r="M73" s="20" t="s">
        <v>86</v>
      </c>
      <c r="N73" s="22"/>
      <c r="O73" s="22" t="s">
        <v>82</v>
      </c>
    </row>
    <row r="74" customFormat="false" ht="23.85" hidden="false" customHeight="false" outlineLevel="0" collapsed="false">
      <c r="A74" s="12"/>
      <c r="B74" s="20" t="s">
        <v>74</v>
      </c>
      <c r="C74" s="21" t="n">
        <v>4</v>
      </c>
      <c r="D74" s="20" t="s">
        <v>120</v>
      </c>
      <c r="E74" s="22" t="s">
        <v>121</v>
      </c>
      <c r="F74" s="23" t="n">
        <v>0.618961560527826</v>
      </c>
      <c r="G74" s="24" t="n">
        <v>15.95</v>
      </c>
      <c r="H74" s="20" t="s">
        <v>102</v>
      </c>
      <c r="I74" s="25" t="n">
        <v>41503.2</v>
      </c>
      <c r="J74" s="22" t="s">
        <v>189</v>
      </c>
      <c r="K74" s="21" t="n">
        <v>2</v>
      </c>
      <c r="L74" s="20" t="s">
        <v>79</v>
      </c>
      <c r="M74" s="20" t="s">
        <v>127</v>
      </c>
      <c r="N74" s="22" t="s">
        <v>104</v>
      </c>
      <c r="O74" s="22" t="s">
        <v>82</v>
      </c>
    </row>
    <row r="75" customFormat="false" ht="23.85" hidden="false" customHeight="false" outlineLevel="0" collapsed="false">
      <c r="A75" s="12"/>
      <c r="B75" s="20" t="s">
        <v>74</v>
      </c>
      <c r="C75" s="21" t="n">
        <v>5</v>
      </c>
      <c r="D75" s="20" t="s">
        <v>148</v>
      </c>
      <c r="E75" s="22" t="s">
        <v>149</v>
      </c>
      <c r="F75" s="23" t="n">
        <v>0.611230636833047</v>
      </c>
      <c r="G75" s="24" t="n">
        <v>11.91</v>
      </c>
      <c r="H75" s="20" t="s">
        <v>77</v>
      </c>
      <c r="I75" s="25" t="n">
        <v>58920.4</v>
      </c>
      <c r="J75" s="22" t="s">
        <v>190</v>
      </c>
      <c r="K75" s="21" t="n">
        <v>18</v>
      </c>
      <c r="L75" s="20" t="s">
        <v>79</v>
      </c>
      <c r="M75" s="20" t="s">
        <v>110</v>
      </c>
      <c r="N75" s="22" t="s">
        <v>111</v>
      </c>
      <c r="O75" s="22" t="s">
        <v>82</v>
      </c>
    </row>
    <row r="76" customFormat="false" ht="23.85" hidden="false" customHeight="false" outlineLevel="0" collapsed="false">
      <c r="A76" s="12"/>
      <c r="B76" s="12" t="s">
        <v>106</v>
      </c>
      <c r="C76" s="7" t="n">
        <v>6</v>
      </c>
      <c r="D76" s="12" t="s">
        <v>128</v>
      </c>
      <c r="E76" s="10" t="s">
        <v>129</v>
      </c>
      <c r="F76" s="9" t="n">
        <v>0.610556511761331</v>
      </c>
      <c r="G76" s="26" t="n">
        <v>180.42</v>
      </c>
      <c r="H76" s="12" t="s">
        <v>77</v>
      </c>
      <c r="I76" s="11" t="n">
        <v>2886</v>
      </c>
      <c r="J76" s="10" t="s">
        <v>191</v>
      </c>
      <c r="K76" s="7" t="n">
        <v>9</v>
      </c>
      <c r="L76" s="12" t="s">
        <v>79</v>
      </c>
      <c r="M76" s="12" t="s">
        <v>86</v>
      </c>
      <c r="N76" s="10" t="s">
        <v>81</v>
      </c>
      <c r="O76" s="10" t="s">
        <v>82</v>
      </c>
    </row>
    <row r="77" customFormat="false" ht="23.85" hidden="false" customHeight="false" outlineLevel="0" collapsed="false">
      <c r="A77" s="12"/>
      <c r="B77" s="12" t="s">
        <v>106</v>
      </c>
      <c r="C77" s="7" t="n">
        <v>7</v>
      </c>
      <c r="D77" s="12" t="s">
        <v>178</v>
      </c>
      <c r="E77" s="10" t="s">
        <v>179</v>
      </c>
      <c r="F77" s="9" t="n">
        <v>0.593024478867852</v>
      </c>
      <c r="G77" s="26" t="n">
        <v>36.53</v>
      </c>
      <c r="H77" s="12" t="s">
        <v>102</v>
      </c>
      <c r="I77" s="11" t="n">
        <v>6632.6</v>
      </c>
      <c r="J77" s="10" t="s">
        <v>187</v>
      </c>
      <c r="K77" s="7" t="n">
        <v>4</v>
      </c>
      <c r="L77" s="12" t="s">
        <v>79</v>
      </c>
      <c r="M77" s="12" t="s">
        <v>86</v>
      </c>
      <c r="N77" s="10" t="s">
        <v>111</v>
      </c>
      <c r="O77" s="10" t="s">
        <v>82</v>
      </c>
    </row>
    <row r="78" customFormat="false" ht="23.85" hidden="false" customHeight="false" outlineLevel="0" collapsed="false">
      <c r="A78" s="12"/>
      <c r="B78" s="12" t="s">
        <v>106</v>
      </c>
      <c r="C78" s="7" t="n">
        <v>8</v>
      </c>
      <c r="D78" s="12" t="s">
        <v>192</v>
      </c>
      <c r="E78" s="10" t="s">
        <v>193</v>
      </c>
      <c r="F78" s="9" t="n">
        <v>0.559595524956971</v>
      </c>
      <c r="G78" s="26" t="n">
        <v>198.74</v>
      </c>
      <c r="H78" s="12" t="s">
        <v>77</v>
      </c>
      <c r="I78" s="11" t="n">
        <v>1976.6</v>
      </c>
      <c r="J78" s="10" t="s">
        <v>194</v>
      </c>
      <c r="K78" s="7" t="n">
        <v>2</v>
      </c>
      <c r="L78" s="12" t="s">
        <v>79</v>
      </c>
      <c r="M78" s="12" t="s">
        <v>86</v>
      </c>
      <c r="N78" s="10" t="s">
        <v>111</v>
      </c>
      <c r="O78" s="10" t="s">
        <v>105</v>
      </c>
    </row>
    <row r="79" customFormat="false" ht="23.85" hidden="false" customHeight="false" outlineLevel="0" collapsed="false">
      <c r="A79" s="12"/>
      <c r="B79" s="12" t="s">
        <v>106</v>
      </c>
      <c r="C79" s="7" t="n">
        <v>9</v>
      </c>
      <c r="D79" s="12" t="s">
        <v>195</v>
      </c>
      <c r="E79" s="10" t="s">
        <v>196</v>
      </c>
      <c r="F79" s="9" t="n">
        <v>0.549598393574297</v>
      </c>
      <c r="G79" s="26" t="n">
        <v>24.41</v>
      </c>
      <c r="H79" s="12" t="s">
        <v>77</v>
      </c>
      <c r="I79" s="11" t="n">
        <v>6893.7</v>
      </c>
      <c r="J79" s="10" t="s">
        <v>126</v>
      </c>
      <c r="K79" s="7" t="n">
        <v>1</v>
      </c>
      <c r="L79" s="12" t="s">
        <v>79</v>
      </c>
      <c r="M79" s="12" t="s">
        <v>86</v>
      </c>
      <c r="N79" s="10"/>
      <c r="O79" s="10" t="s">
        <v>82</v>
      </c>
    </row>
    <row r="80" customFormat="false" ht="23.85" hidden="false" customHeight="false" outlineLevel="0" collapsed="false">
      <c r="A80" s="12"/>
      <c r="B80" s="12" t="s">
        <v>106</v>
      </c>
      <c r="C80" s="7" t="n">
        <v>10</v>
      </c>
      <c r="D80" s="12" t="s">
        <v>197</v>
      </c>
      <c r="E80" s="10" t="s">
        <v>198</v>
      </c>
      <c r="F80" s="9" t="n">
        <v>0.503853509275196</v>
      </c>
      <c r="G80" s="26" t="n">
        <v>14.55</v>
      </c>
      <c r="H80" s="12" t="s">
        <v>77</v>
      </c>
      <c r="I80" s="11" t="n">
        <v>8594.3</v>
      </c>
      <c r="J80" s="10" t="s">
        <v>199</v>
      </c>
      <c r="K80" s="7" t="n">
        <v>7</v>
      </c>
      <c r="L80" s="12" t="s">
        <v>172</v>
      </c>
      <c r="M80" s="12" t="s">
        <v>86</v>
      </c>
      <c r="N80" s="10"/>
      <c r="O80" s="10" t="s">
        <v>105</v>
      </c>
    </row>
    <row r="81" customFormat="false" ht="23.85" hidden="false" customHeight="false" outlineLevel="0" collapsed="false">
      <c r="A81" s="13" t="s">
        <v>35</v>
      </c>
      <c r="B81" s="14" t="s">
        <v>74</v>
      </c>
      <c r="C81" s="15" t="n">
        <v>1</v>
      </c>
      <c r="D81" s="14" t="s">
        <v>107</v>
      </c>
      <c r="E81" s="16" t="s">
        <v>108</v>
      </c>
      <c r="F81" s="17" t="n">
        <v>0.848756932491872</v>
      </c>
      <c r="G81" s="18" t="n">
        <v>87.85</v>
      </c>
      <c r="H81" s="14" t="s">
        <v>77</v>
      </c>
      <c r="I81" s="19" t="n">
        <v>59827.2</v>
      </c>
      <c r="J81" s="16" t="s">
        <v>175</v>
      </c>
      <c r="K81" s="15" t="n">
        <v>3</v>
      </c>
      <c r="L81" s="14" t="s">
        <v>79</v>
      </c>
      <c r="M81" s="14" t="s">
        <v>80</v>
      </c>
      <c r="N81" s="16" t="s">
        <v>111</v>
      </c>
      <c r="O81" s="16" t="s">
        <v>82</v>
      </c>
    </row>
    <row r="82" customFormat="false" ht="23.85" hidden="false" customHeight="false" outlineLevel="0" collapsed="false">
      <c r="A82" s="12"/>
      <c r="B82" s="20" t="s">
        <v>74</v>
      </c>
      <c r="C82" s="21" t="n">
        <v>2</v>
      </c>
      <c r="D82" s="20" t="s">
        <v>117</v>
      </c>
      <c r="E82" s="22" t="s">
        <v>118</v>
      </c>
      <c r="F82" s="23" t="n">
        <v>0.820587110346147</v>
      </c>
      <c r="G82" s="24" t="n">
        <v>140.09</v>
      </c>
      <c r="H82" s="20" t="s">
        <v>77</v>
      </c>
      <c r="I82" s="25" t="n">
        <v>32830.2</v>
      </c>
      <c r="J82" s="22" t="s">
        <v>175</v>
      </c>
      <c r="K82" s="21" t="n">
        <v>2</v>
      </c>
      <c r="L82" s="20" t="s">
        <v>200</v>
      </c>
      <c r="M82" s="20" t="s">
        <v>86</v>
      </c>
      <c r="N82" s="22"/>
      <c r="O82" s="22" t="s">
        <v>82</v>
      </c>
    </row>
    <row r="83" customFormat="false" ht="23.85" hidden="false" customHeight="false" outlineLevel="0" collapsed="false">
      <c r="A83" s="12"/>
      <c r="B83" s="20" t="s">
        <v>74</v>
      </c>
      <c r="C83" s="21" t="n">
        <v>3</v>
      </c>
      <c r="D83" s="20" t="s">
        <v>201</v>
      </c>
      <c r="E83" s="22" t="s">
        <v>202</v>
      </c>
      <c r="F83" s="23" t="n">
        <v>0.638582903040734</v>
      </c>
      <c r="G83" s="24" t="n">
        <v>12.3</v>
      </c>
      <c r="H83" s="20" t="s">
        <v>77</v>
      </c>
      <c r="I83" s="25" t="n">
        <v>93119.2</v>
      </c>
      <c r="J83" s="22" t="s">
        <v>186</v>
      </c>
      <c r="K83" s="21" t="n">
        <v>5</v>
      </c>
      <c r="L83" s="20" t="s">
        <v>79</v>
      </c>
      <c r="M83" s="20" t="s">
        <v>80</v>
      </c>
      <c r="N83" s="22" t="s">
        <v>111</v>
      </c>
      <c r="O83" s="22" t="s">
        <v>82</v>
      </c>
    </row>
    <row r="84" customFormat="false" ht="23.85" hidden="false" customHeight="false" outlineLevel="0" collapsed="false">
      <c r="A84" s="12"/>
      <c r="B84" s="20" t="s">
        <v>74</v>
      </c>
      <c r="C84" s="21" t="n">
        <v>4</v>
      </c>
      <c r="D84" s="20" t="s">
        <v>203</v>
      </c>
      <c r="E84" s="22" t="s">
        <v>179</v>
      </c>
      <c r="F84" s="23" t="n">
        <v>0.514892904953146</v>
      </c>
      <c r="G84" s="24" t="n">
        <v>6.73</v>
      </c>
      <c r="H84" s="20" t="s">
        <v>153</v>
      </c>
      <c r="I84" s="25" t="n">
        <v>44038.9</v>
      </c>
      <c r="J84" s="22" t="s">
        <v>96</v>
      </c>
      <c r="K84" s="21" t="n">
        <v>1</v>
      </c>
      <c r="L84" s="20" t="s">
        <v>79</v>
      </c>
      <c r="M84" s="20" t="s">
        <v>80</v>
      </c>
      <c r="N84" s="22" t="s">
        <v>111</v>
      </c>
      <c r="O84" s="22" t="s">
        <v>105</v>
      </c>
    </row>
    <row r="85" customFormat="false" ht="23.85" hidden="false" customHeight="false" outlineLevel="0" collapsed="false">
      <c r="A85" s="12"/>
      <c r="B85" s="20" t="s">
        <v>74</v>
      </c>
      <c r="C85" s="21" t="n">
        <v>5</v>
      </c>
      <c r="D85" s="20" t="s">
        <v>204</v>
      </c>
      <c r="E85" s="22" t="s">
        <v>205</v>
      </c>
      <c r="F85" s="23" t="n">
        <v>0.500588066551922</v>
      </c>
      <c r="G85" s="24" t="n">
        <v>33.71</v>
      </c>
      <c r="H85" s="20" t="s">
        <v>77</v>
      </c>
      <c r="I85" s="25" t="n">
        <v>3562.4</v>
      </c>
      <c r="J85" s="22" t="s">
        <v>175</v>
      </c>
      <c r="K85" s="21" t="n">
        <v>3</v>
      </c>
      <c r="L85" s="20" t="s">
        <v>200</v>
      </c>
      <c r="M85" s="20" t="s">
        <v>86</v>
      </c>
      <c r="N85" s="22"/>
      <c r="O85" s="22" t="s">
        <v>105</v>
      </c>
    </row>
    <row r="86" customFormat="false" ht="23.85" hidden="false" customHeight="false" outlineLevel="0" collapsed="false">
      <c r="A86" s="12"/>
      <c r="B86" s="12" t="s">
        <v>106</v>
      </c>
      <c r="C86" s="7" t="n">
        <v>6</v>
      </c>
      <c r="D86" s="12" t="s">
        <v>206</v>
      </c>
      <c r="E86" s="10" t="s">
        <v>207</v>
      </c>
      <c r="F86" s="9" t="n">
        <v>0.483051252629566</v>
      </c>
      <c r="G86" s="26" t="n">
        <v>20.27</v>
      </c>
      <c r="H86" s="12" t="s">
        <v>77</v>
      </c>
      <c r="I86" s="11" t="n">
        <v>5713.6</v>
      </c>
      <c r="J86" s="10" t="s">
        <v>175</v>
      </c>
      <c r="K86" s="7" t="n">
        <v>4</v>
      </c>
      <c r="L86" s="12" t="s">
        <v>79</v>
      </c>
      <c r="M86" s="12" t="s">
        <v>80</v>
      </c>
      <c r="N86" s="10" t="s">
        <v>111</v>
      </c>
      <c r="O86" s="10" t="s">
        <v>82</v>
      </c>
    </row>
    <row r="87" customFormat="false" ht="23.85" hidden="false" customHeight="false" outlineLevel="0" collapsed="false">
      <c r="A87" s="12"/>
      <c r="B87" s="12" t="s">
        <v>106</v>
      </c>
      <c r="C87" s="7" t="n">
        <v>7</v>
      </c>
      <c r="D87" s="12" t="s">
        <v>208</v>
      </c>
      <c r="E87" s="10" t="s">
        <v>209</v>
      </c>
      <c r="F87" s="9" t="n">
        <v>0.475315547905909</v>
      </c>
      <c r="G87" s="26" t="n">
        <v>23.71</v>
      </c>
      <c r="H87" s="12" t="s">
        <v>77</v>
      </c>
      <c r="I87" s="11" t="n">
        <v>4036.6</v>
      </c>
      <c r="J87" s="10" t="s">
        <v>175</v>
      </c>
      <c r="K87" s="7" t="n">
        <v>3</v>
      </c>
      <c r="L87" s="12" t="s">
        <v>172</v>
      </c>
      <c r="M87" s="12" t="s">
        <v>86</v>
      </c>
      <c r="N87" s="10"/>
      <c r="O87" s="10" t="s">
        <v>82</v>
      </c>
    </row>
    <row r="88" customFormat="false" ht="23.85" hidden="false" customHeight="false" outlineLevel="0" collapsed="false">
      <c r="A88" s="12"/>
      <c r="B88" s="12" t="s">
        <v>106</v>
      </c>
      <c r="C88" s="7" t="n">
        <v>8</v>
      </c>
      <c r="D88" s="12" t="s">
        <v>210</v>
      </c>
      <c r="E88" s="10" t="s">
        <v>211</v>
      </c>
      <c r="F88" s="9" t="n">
        <v>0.386192388602027</v>
      </c>
      <c r="G88" s="26" t="n">
        <v>5.32</v>
      </c>
      <c r="H88" s="12" t="s">
        <v>153</v>
      </c>
      <c r="I88" s="11" t="n">
        <v>17590.5</v>
      </c>
      <c r="J88" s="10" t="s">
        <v>96</v>
      </c>
      <c r="K88" s="7" t="n">
        <v>1</v>
      </c>
      <c r="L88" s="12" t="s">
        <v>172</v>
      </c>
      <c r="M88" s="12" t="s">
        <v>86</v>
      </c>
      <c r="N88" s="10"/>
      <c r="O88" s="10" t="s">
        <v>82</v>
      </c>
    </row>
    <row r="89" customFormat="false" ht="23.85" hidden="false" customHeight="false" outlineLevel="0" collapsed="false">
      <c r="A89" s="12"/>
      <c r="B89" s="12" t="s">
        <v>106</v>
      </c>
      <c r="C89" s="7" t="n">
        <v>9</v>
      </c>
      <c r="D89" s="12" t="s">
        <v>212</v>
      </c>
      <c r="E89" s="10" t="s">
        <v>213</v>
      </c>
      <c r="F89" s="9" t="n">
        <v>0.360523044559189</v>
      </c>
      <c r="G89" s="26" t="n">
        <v>59.12</v>
      </c>
      <c r="H89" s="12" t="s">
        <v>153</v>
      </c>
      <c r="I89" s="11" t="n">
        <v>163.6</v>
      </c>
      <c r="J89" s="10" t="s">
        <v>96</v>
      </c>
      <c r="K89" s="7" t="n">
        <v>3</v>
      </c>
      <c r="L89" s="12" t="s">
        <v>172</v>
      </c>
      <c r="M89" s="12" t="s">
        <v>80</v>
      </c>
      <c r="N89" s="10" t="s">
        <v>111</v>
      </c>
      <c r="O89" s="10" t="s">
        <v>105</v>
      </c>
    </row>
    <row r="90" customFormat="false" ht="15" hidden="false" customHeight="false" outlineLevel="0" collapsed="false">
      <c r="A90" s="12"/>
      <c r="B90" s="12" t="s">
        <v>106</v>
      </c>
      <c r="C90" s="7" t="n">
        <v>10</v>
      </c>
      <c r="D90" s="12" t="s">
        <v>214</v>
      </c>
      <c r="E90" s="10" t="s">
        <v>215</v>
      </c>
      <c r="F90" s="9" t="n">
        <v>0.35728628800918</v>
      </c>
      <c r="G90" s="26" t="n">
        <v>8.98</v>
      </c>
      <c r="H90" s="12" t="s">
        <v>77</v>
      </c>
      <c r="I90" s="11" t="n">
        <v>4492.8</v>
      </c>
      <c r="J90" s="10" t="s">
        <v>175</v>
      </c>
      <c r="K90" s="7" t="n">
        <v>2</v>
      </c>
      <c r="L90" s="12" t="s">
        <v>172</v>
      </c>
      <c r="M90" s="12" t="s">
        <v>86</v>
      </c>
      <c r="N90" s="10"/>
      <c r="O90" s="10" t="s">
        <v>105</v>
      </c>
    </row>
    <row r="91" customFormat="false" ht="23.85" hidden="false" customHeight="false" outlineLevel="0" collapsed="false">
      <c r="A91" s="13" t="s">
        <v>37</v>
      </c>
      <c r="B91" s="14" t="s">
        <v>74</v>
      </c>
      <c r="C91" s="15" t="n">
        <v>1</v>
      </c>
      <c r="D91" s="14" t="s">
        <v>89</v>
      </c>
      <c r="E91" s="16" t="s">
        <v>90</v>
      </c>
      <c r="F91" s="17" t="n">
        <v>0.853227194492255</v>
      </c>
      <c r="G91" s="18" t="n">
        <v>360.02</v>
      </c>
      <c r="H91" s="14" t="s">
        <v>77</v>
      </c>
      <c r="I91" s="19" t="n">
        <v>28093.4</v>
      </c>
      <c r="J91" s="16" t="s">
        <v>186</v>
      </c>
      <c r="K91" s="15" t="n">
        <v>5</v>
      </c>
      <c r="L91" s="14" t="s">
        <v>79</v>
      </c>
      <c r="M91" s="14" t="s">
        <v>80</v>
      </c>
      <c r="N91" s="16" t="s">
        <v>81</v>
      </c>
      <c r="O91" s="16" t="s">
        <v>82</v>
      </c>
    </row>
    <row r="92" customFormat="false" ht="23.85" hidden="false" customHeight="false" outlineLevel="0" collapsed="false">
      <c r="A92" s="12"/>
      <c r="B92" s="20" t="s">
        <v>74</v>
      </c>
      <c r="C92" s="21" t="n">
        <v>2</v>
      </c>
      <c r="D92" s="20" t="s">
        <v>112</v>
      </c>
      <c r="E92" s="22" t="s">
        <v>113</v>
      </c>
      <c r="F92" s="23" t="n">
        <v>0.77768215720023</v>
      </c>
      <c r="G92" s="24" t="n">
        <v>343.8</v>
      </c>
      <c r="H92" s="20" t="s">
        <v>102</v>
      </c>
      <c r="I92" s="25" t="n">
        <v>7904.7</v>
      </c>
      <c r="J92" s="22" t="s">
        <v>144</v>
      </c>
      <c r="K92" s="21" t="n">
        <v>9</v>
      </c>
      <c r="L92" s="20" t="s">
        <v>79</v>
      </c>
      <c r="M92" s="20" t="s">
        <v>86</v>
      </c>
      <c r="N92" s="22"/>
      <c r="O92" s="22" t="s">
        <v>82</v>
      </c>
    </row>
    <row r="93" customFormat="false" ht="23.85" hidden="false" customHeight="false" outlineLevel="0" collapsed="false">
      <c r="A93" s="12"/>
      <c r="B93" s="20" t="s">
        <v>74</v>
      </c>
      <c r="C93" s="21" t="n">
        <v>3</v>
      </c>
      <c r="D93" s="20" t="s">
        <v>117</v>
      </c>
      <c r="E93" s="22" t="s">
        <v>118</v>
      </c>
      <c r="F93" s="23" t="n">
        <v>0.717412507171543</v>
      </c>
      <c r="G93" s="24" t="n">
        <v>41.77</v>
      </c>
      <c r="H93" s="20" t="s">
        <v>77</v>
      </c>
      <c r="I93" s="25" t="n">
        <v>32830.2</v>
      </c>
      <c r="J93" s="22" t="s">
        <v>216</v>
      </c>
      <c r="K93" s="21" t="n">
        <v>11</v>
      </c>
      <c r="L93" s="20" t="s">
        <v>79</v>
      </c>
      <c r="M93" s="20" t="s">
        <v>86</v>
      </c>
      <c r="N93" s="22"/>
      <c r="O93" s="22" t="s">
        <v>82</v>
      </c>
    </row>
    <row r="94" customFormat="false" ht="23.85" hidden="false" customHeight="false" outlineLevel="0" collapsed="false">
      <c r="A94" s="12"/>
      <c r="B94" s="20" t="s">
        <v>74</v>
      </c>
      <c r="C94" s="21" t="n">
        <v>4</v>
      </c>
      <c r="D94" s="20" t="s">
        <v>217</v>
      </c>
      <c r="E94" s="22" t="s">
        <v>218</v>
      </c>
      <c r="F94" s="23" t="n">
        <v>0.543770319372729</v>
      </c>
      <c r="G94" s="24" t="n">
        <v>54.55</v>
      </c>
      <c r="H94" s="20" t="s">
        <v>102</v>
      </c>
      <c r="I94" s="25" t="n">
        <v>3407.5</v>
      </c>
      <c r="J94" s="22" t="s">
        <v>144</v>
      </c>
      <c r="K94" s="21" t="n">
        <v>1</v>
      </c>
      <c r="L94" s="20" t="s">
        <v>79</v>
      </c>
      <c r="M94" s="20" t="s">
        <v>86</v>
      </c>
      <c r="N94" s="22"/>
      <c r="O94" s="22" t="s">
        <v>105</v>
      </c>
    </row>
    <row r="95" customFormat="false" ht="15" hidden="false" customHeight="false" outlineLevel="0" collapsed="false">
      <c r="A95" s="12"/>
      <c r="B95" s="20" t="s">
        <v>74</v>
      </c>
      <c r="C95" s="21" t="n">
        <v>5</v>
      </c>
      <c r="D95" s="20" t="s">
        <v>219</v>
      </c>
      <c r="E95" s="22" t="s">
        <v>220</v>
      </c>
      <c r="F95" s="23" t="n">
        <v>0.371959265633965</v>
      </c>
      <c r="G95" s="24" t="n">
        <v>66.93</v>
      </c>
      <c r="H95" s="20" t="s">
        <v>102</v>
      </c>
      <c r="I95" s="25" t="n">
        <v>135.1</v>
      </c>
      <c r="J95" s="22" t="s">
        <v>175</v>
      </c>
      <c r="K95" s="21" t="n">
        <v>2</v>
      </c>
      <c r="L95" s="20" t="s">
        <v>79</v>
      </c>
      <c r="M95" s="20" t="s">
        <v>86</v>
      </c>
      <c r="N95" s="22"/>
      <c r="O95" s="22" t="s">
        <v>105</v>
      </c>
    </row>
    <row r="96" customFormat="false" ht="23.85" hidden="false" customHeight="false" outlineLevel="0" collapsed="false">
      <c r="A96" s="12"/>
      <c r="B96" s="12" t="s">
        <v>106</v>
      </c>
      <c r="C96" s="7" t="n">
        <v>6</v>
      </c>
      <c r="D96" s="12" t="s">
        <v>221</v>
      </c>
      <c r="E96" s="10" t="s">
        <v>222</v>
      </c>
      <c r="F96" s="9" t="n">
        <v>0.32348441384586</v>
      </c>
      <c r="G96" s="26" t="n">
        <v>51.79</v>
      </c>
      <c r="H96" s="12" t="s">
        <v>102</v>
      </c>
      <c r="I96" s="11" t="n">
        <v>21.8</v>
      </c>
      <c r="J96" s="10" t="s">
        <v>144</v>
      </c>
      <c r="K96" s="7" t="n">
        <v>1</v>
      </c>
      <c r="L96" s="12" t="s">
        <v>79</v>
      </c>
      <c r="M96" s="12" t="s">
        <v>86</v>
      </c>
      <c r="N96" s="10"/>
      <c r="O96" s="10" t="s">
        <v>82</v>
      </c>
    </row>
    <row r="97" customFormat="false" ht="23.85" hidden="false" customHeight="false" outlineLevel="0" collapsed="false">
      <c r="A97" s="12"/>
      <c r="B97" s="12" t="s">
        <v>106</v>
      </c>
      <c r="C97" s="7" t="n">
        <v>7</v>
      </c>
      <c r="D97" s="12" t="s">
        <v>223</v>
      </c>
      <c r="E97" s="10" t="s">
        <v>224</v>
      </c>
      <c r="F97" s="9" t="n">
        <v>0.261546184738956</v>
      </c>
      <c r="G97" s="26" t="n">
        <v>14.96</v>
      </c>
      <c r="H97" s="12" t="s">
        <v>102</v>
      </c>
      <c r="I97" s="11" t="n">
        <v>1352.6</v>
      </c>
      <c r="J97" s="10" t="s">
        <v>144</v>
      </c>
      <c r="K97" s="7" t="n">
        <v>1</v>
      </c>
      <c r="L97" s="12" t="s">
        <v>79</v>
      </c>
      <c r="M97" s="12" t="s">
        <v>86</v>
      </c>
      <c r="N97" s="10"/>
      <c r="O97" s="10" t="s">
        <v>82</v>
      </c>
    </row>
    <row r="98" customFormat="false" ht="23.85" hidden="false" customHeight="false" outlineLevel="0" collapsed="false">
      <c r="A98" s="13" t="s">
        <v>39</v>
      </c>
      <c r="B98" s="14" t="s">
        <v>74</v>
      </c>
      <c r="C98" s="15" t="n">
        <v>1</v>
      </c>
      <c r="D98" s="14" t="s">
        <v>89</v>
      </c>
      <c r="E98" s="16" t="s">
        <v>90</v>
      </c>
      <c r="F98" s="17" t="n">
        <v>0.875449416714477</v>
      </c>
      <c r="G98" s="18" t="n">
        <v>618.92</v>
      </c>
      <c r="H98" s="14" t="s">
        <v>77</v>
      </c>
      <c r="I98" s="19" t="n">
        <v>28093.4</v>
      </c>
      <c r="J98" s="16" t="s">
        <v>225</v>
      </c>
      <c r="K98" s="15" t="n">
        <v>6</v>
      </c>
      <c r="L98" s="14" t="s">
        <v>79</v>
      </c>
      <c r="M98" s="14" t="s">
        <v>86</v>
      </c>
      <c r="N98" s="16" t="s">
        <v>81</v>
      </c>
      <c r="O98" s="16" t="s">
        <v>82</v>
      </c>
    </row>
    <row r="99" customFormat="false" ht="23.85" hidden="false" customHeight="false" outlineLevel="0" collapsed="false">
      <c r="A99" s="12"/>
      <c r="B99" s="20" t="s">
        <v>74</v>
      </c>
      <c r="C99" s="21" t="n">
        <v>2</v>
      </c>
      <c r="D99" s="20" t="s">
        <v>117</v>
      </c>
      <c r="E99" s="22" t="s">
        <v>118</v>
      </c>
      <c r="F99" s="23" t="n">
        <v>0.692015681774718</v>
      </c>
      <c r="G99" s="24" t="n">
        <v>35.03</v>
      </c>
      <c r="H99" s="20" t="s">
        <v>102</v>
      </c>
      <c r="I99" s="25" t="n">
        <v>32830.2</v>
      </c>
      <c r="J99" s="22" t="s">
        <v>144</v>
      </c>
      <c r="K99" s="21" t="n">
        <v>1</v>
      </c>
      <c r="L99" s="20" t="s">
        <v>79</v>
      </c>
      <c r="M99" s="20" t="s">
        <v>86</v>
      </c>
      <c r="N99" s="22"/>
      <c r="O99" s="22" t="s">
        <v>82</v>
      </c>
    </row>
    <row r="100" customFormat="false" ht="23.85" hidden="false" customHeight="false" outlineLevel="0" collapsed="false">
      <c r="A100" s="12"/>
      <c r="B100" s="20" t="s">
        <v>74</v>
      </c>
      <c r="C100" s="21" t="n">
        <v>3</v>
      </c>
      <c r="D100" s="20" t="s">
        <v>114</v>
      </c>
      <c r="E100" s="22" t="s">
        <v>115</v>
      </c>
      <c r="F100" s="23" t="n">
        <v>0.595754446356856</v>
      </c>
      <c r="G100" s="24" t="n">
        <v>29.97</v>
      </c>
      <c r="H100" s="20" t="s">
        <v>102</v>
      </c>
      <c r="I100" s="25" t="n">
        <v>11366.1</v>
      </c>
      <c r="J100" s="22" t="s">
        <v>144</v>
      </c>
      <c r="K100" s="21" t="n">
        <v>1</v>
      </c>
      <c r="L100" s="20" t="s">
        <v>85</v>
      </c>
      <c r="M100" s="20" t="s">
        <v>86</v>
      </c>
      <c r="N100" s="22" t="s">
        <v>87</v>
      </c>
      <c r="O100" s="22" t="s">
        <v>88</v>
      </c>
    </row>
    <row r="101" customFormat="false" ht="23.85" hidden="false" customHeight="false" outlineLevel="0" collapsed="false">
      <c r="A101" s="12"/>
      <c r="B101" s="20" t="s">
        <v>74</v>
      </c>
      <c r="C101" s="21" t="n">
        <v>4</v>
      </c>
      <c r="D101" s="20" t="s">
        <v>201</v>
      </c>
      <c r="E101" s="22" t="s">
        <v>202</v>
      </c>
      <c r="F101" s="23" t="n">
        <v>0.575090839548671</v>
      </c>
      <c r="G101" s="24" t="n">
        <v>7.82</v>
      </c>
      <c r="H101" s="20" t="s">
        <v>77</v>
      </c>
      <c r="I101" s="25" t="n">
        <v>93119.2</v>
      </c>
      <c r="J101" s="22" t="s">
        <v>226</v>
      </c>
      <c r="K101" s="21" t="n">
        <v>1</v>
      </c>
      <c r="L101" s="20" t="s">
        <v>79</v>
      </c>
      <c r="M101" s="20" t="s">
        <v>86</v>
      </c>
      <c r="N101" s="22" t="s">
        <v>111</v>
      </c>
      <c r="O101" s="22" t="s">
        <v>82</v>
      </c>
    </row>
    <row r="102" customFormat="false" ht="23.85" hidden="false" customHeight="false" outlineLevel="0" collapsed="false">
      <c r="A102" s="12"/>
      <c r="B102" s="20" t="s">
        <v>74</v>
      </c>
      <c r="C102" s="21" t="n">
        <v>5</v>
      </c>
      <c r="D102" s="20" t="s">
        <v>227</v>
      </c>
      <c r="E102" s="22" t="s">
        <v>228</v>
      </c>
      <c r="F102" s="23" t="n">
        <v>0.517828456683878</v>
      </c>
      <c r="G102" s="24" t="n">
        <v>5289.94</v>
      </c>
      <c r="H102" s="20" t="s">
        <v>102</v>
      </c>
      <c r="I102" s="25" t="n">
        <v>147.2</v>
      </c>
      <c r="J102" s="22" t="s">
        <v>144</v>
      </c>
      <c r="K102" s="21" t="n">
        <v>1</v>
      </c>
      <c r="L102" s="20" t="s">
        <v>97</v>
      </c>
      <c r="M102" s="20" t="s">
        <v>97</v>
      </c>
      <c r="N102" s="22"/>
      <c r="O102" s="22" t="s">
        <v>99</v>
      </c>
    </row>
    <row r="103" customFormat="false" ht="23.85" hidden="false" customHeight="false" outlineLevel="0" collapsed="false">
      <c r="A103" s="12"/>
      <c r="B103" s="12" t="s">
        <v>106</v>
      </c>
      <c r="C103" s="7" t="n">
        <v>6</v>
      </c>
      <c r="D103" s="12" t="s">
        <v>229</v>
      </c>
      <c r="E103" s="10" t="s">
        <v>230</v>
      </c>
      <c r="F103" s="9" t="n">
        <v>0.487201185695162</v>
      </c>
      <c r="G103" s="26" t="n">
        <v>23.15</v>
      </c>
      <c r="H103" s="12" t="s">
        <v>102</v>
      </c>
      <c r="I103" s="11" t="n">
        <v>4790.5</v>
      </c>
      <c r="J103" s="10" t="s">
        <v>144</v>
      </c>
      <c r="K103" s="7" t="n">
        <v>1</v>
      </c>
      <c r="L103" s="12" t="s">
        <v>79</v>
      </c>
      <c r="M103" s="12" t="s">
        <v>86</v>
      </c>
      <c r="N103" s="10"/>
      <c r="O103" s="10" t="s">
        <v>82</v>
      </c>
    </row>
    <row r="104" customFormat="false" ht="23.85" hidden="false" customHeight="false" outlineLevel="0" collapsed="false">
      <c r="A104" s="12"/>
      <c r="B104" s="12" t="s">
        <v>106</v>
      </c>
      <c r="C104" s="7" t="n">
        <v>7</v>
      </c>
      <c r="D104" s="12" t="s">
        <v>231</v>
      </c>
      <c r="E104" s="10" t="s">
        <v>232</v>
      </c>
      <c r="F104" s="9" t="n">
        <v>0.455354752342704</v>
      </c>
      <c r="G104" s="26" t="n">
        <v>179.58</v>
      </c>
      <c r="H104" s="12" t="s">
        <v>102</v>
      </c>
      <c r="I104" s="11" t="n">
        <v>214.1</v>
      </c>
      <c r="J104" s="10" t="s">
        <v>144</v>
      </c>
      <c r="K104" s="7" t="n">
        <v>1</v>
      </c>
      <c r="L104" s="12" t="s">
        <v>97</v>
      </c>
      <c r="M104" s="12" t="s">
        <v>97</v>
      </c>
      <c r="N104" s="10"/>
      <c r="O104" s="10" t="s">
        <v>99</v>
      </c>
    </row>
    <row r="105" customFormat="false" ht="23.85" hidden="false" customHeight="false" outlineLevel="0" collapsed="false">
      <c r="A105" s="12"/>
      <c r="B105" s="12" t="s">
        <v>106</v>
      </c>
      <c r="C105" s="7" t="n">
        <v>8</v>
      </c>
      <c r="D105" s="12" t="s">
        <v>233</v>
      </c>
      <c r="E105" s="10" t="s">
        <v>234</v>
      </c>
      <c r="F105" s="9" t="n">
        <v>0.436211512717537</v>
      </c>
      <c r="G105" s="26" t="n">
        <v>7.58</v>
      </c>
      <c r="H105" s="12" t="s">
        <v>77</v>
      </c>
      <c r="I105" s="11" t="n">
        <v>11957.9</v>
      </c>
      <c r="J105" s="10"/>
      <c r="K105" s="7" t="n">
        <v>1</v>
      </c>
      <c r="L105" s="12" t="s">
        <v>79</v>
      </c>
      <c r="M105" s="12" t="s">
        <v>86</v>
      </c>
      <c r="N105" s="10"/>
      <c r="O105" s="10" t="s">
        <v>105</v>
      </c>
    </row>
    <row r="106" customFormat="false" ht="23.85" hidden="false" customHeight="false" outlineLevel="0" collapsed="false">
      <c r="A106" s="12"/>
      <c r="B106" s="12" t="s">
        <v>106</v>
      </c>
      <c r="C106" s="7" t="n">
        <v>9</v>
      </c>
      <c r="D106" s="12" t="s">
        <v>210</v>
      </c>
      <c r="E106" s="10" t="s">
        <v>211</v>
      </c>
      <c r="F106" s="9" t="n">
        <v>0.414763817173456</v>
      </c>
      <c r="G106" s="26" t="n">
        <v>6.29</v>
      </c>
      <c r="H106" s="12" t="s">
        <v>77</v>
      </c>
      <c r="I106" s="11" t="n">
        <v>17590.5</v>
      </c>
      <c r="J106" s="10"/>
      <c r="K106" s="7" t="n">
        <v>1</v>
      </c>
      <c r="L106" s="12" t="s">
        <v>79</v>
      </c>
      <c r="M106" s="12" t="s">
        <v>97</v>
      </c>
      <c r="N106" s="10"/>
      <c r="O106" s="10" t="s">
        <v>82</v>
      </c>
    </row>
    <row r="107" customFormat="false" ht="23.85" hidden="false" customHeight="false" outlineLevel="0" collapsed="false">
      <c r="A107" s="12"/>
      <c r="B107" s="12" t="s">
        <v>106</v>
      </c>
      <c r="C107" s="7" t="n">
        <v>10</v>
      </c>
      <c r="D107" s="12" t="s">
        <v>235</v>
      </c>
      <c r="E107" s="10" t="s">
        <v>236</v>
      </c>
      <c r="F107" s="9" t="n">
        <v>0.409820233314209</v>
      </c>
      <c r="G107" s="26" t="n">
        <v>31.25</v>
      </c>
      <c r="H107" s="12" t="s">
        <v>102</v>
      </c>
      <c r="I107" s="11" t="n">
        <v>2405.4</v>
      </c>
      <c r="J107" s="10" t="s">
        <v>144</v>
      </c>
      <c r="K107" s="7" t="n">
        <v>1</v>
      </c>
      <c r="L107" s="12" t="s">
        <v>79</v>
      </c>
      <c r="M107" s="12" t="s">
        <v>86</v>
      </c>
      <c r="N107" s="10"/>
      <c r="O107" s="10" t="s">
        <v>105</v>
      </c>
    </row>
    <row r="108" customFormat="false" ht="23.85" hidden="false" customHeight="false" outlineLevel="0" collapsed="false">
      <c r="A108" s="13" t="s">
        <v>41</v>
      </c>
      <c r="B108" s="14" t="s">
        <v>74</v>
      </c>
      <c r="C108" s="15" t="n">
        <v>1</v>
      </c>
      <c r="D108" s="14" t="s">
        <v>114</v>
      </c>
      <c r="E108" s="16" t="s">
        <v>115</v>
      </c>
      <c r="F108" s="17" t="n">
        <v>0.816389366991777</v>
      </c>
      <c r="G108" s="18" t="n">
        <v>531.87</v>
      </c>
      <c r="H108" s="14" t="s">
        <v>153</v>
      </c>
      <c r="I108" s="19" t="n">
        <v>11366.1</v>
      </c>
      <c r="J108" s="16" t="s">
        <v>169</v>
      </c>
      <c r="K108" s="15" t="n">
        <v>1</v>
      </c>
      <c r="L108" s="14" t="s">
        <v>85</v>
      </c>
      <c r="M108" s="14" t="s">
        <v>86</v>
      </c>
      <c r="N108" s="16" t="s">
        <v>87</v>
      </c>
      <c r="O108" s="16" t="s">
        <v>88</v>
      </c>
    </row>
    <row r="109" customFormat="false" ht="23.85" hidden="false" customHeight="false" outlineLevel="0" collapsed="false">
      <c r="A109" s="12"/>
      <c r="B109" s="20" t="s">
        <v>74</v>
      </c>
      <c r="C109" s="21" t="n">
        <v>2</v>
      </c>
      <c r="D109" s="20" t="s">
        <v>237</v>
      </c>
      <c r="E109" s="22" t="s">
        <v>238</v>
      </c>
      <c r="F109" s="23" t="n">
        <v>0.685819468349589</v>
      </c>
      <c r="G109" s="24" t="n">
        <v>118.34</v>
      </c>
      <c r="H109" s="20" t="s">
        <v>153</v>
      </c>
      <c r="I109" s="25" t="n">
        <v>6183.2</v>
      </c>
      <c r="J109" s="22" t="s">
        <v>169</v>
      </c>
      <c r="K109" s="21" t="n">
        <v>2</v>
      </c>
      <c r="L109" s="20" t="s">
        <v>85</v>
      </c>
      <c r="M109" s="20" t="s">
        <v>86</v>
      </c>
      <c r="N109" s="22" t="s">
        <v>87</v>
      </c>
      <c r="O109" s="22" t="s">
        <v>88</v>
      </c>
    </row>
    <row r="110" customFormat="false" ht="23.85" hidden="false" customHeight="false" outlineLevel="0" collapsed="false">
      <c r="A110" s="12"/>
      <c r="B110" s="20" t="s">
        <v>74</v>
      </c>
      <c r="C110" s="21" t="n">
        <v>3</v>
      </c>
      <c r="D110" s="20" t="s">
        <v>148</v>
      </c>
      <c r="E110" s="22" t="s">
        <v>149</v>
      </c>
      <c r="F110" s="23" t="n">
        <v>0.612817938420348</v>
      </c>
      <c r="G110" s="24" t="n">
        <v>12.08</v>
      </c>
      <c r="H110" s="20" t="s">
        <v>153</v>
      </c>
      <c r="I110" s="25" t="n">
        <v>58920.4</v>
      </c>
      <c r="J110" s="22" t="s">
        <v>169</v>
      </c>
      <c r="K110" s="21" t="n">
        <v>1</v>
      </c>
      <c r="L110" s="20" t="s">
        <v>79</v>
      </c>
      <c r="M110" s="20" t="s">
        <v>80</v>
      </c>
      <c r="N110" s="22" t="s">
        <v>111</v>
      </c>
      <c r="O110" s="22" t="s">
        <v>82</v>
      </c>
    </row>
    <row r="111" customFormat="false" ht="23.85" hidden="false" customHeight="false" outlineLevel="0" collapsed="false">
      <c r="A111" s="12"/>
      <c r="B111" s="20" t="s">
        <v>74</v>
      </c>
      <c r="C111" s="21" t="n">
        <v>4</v>
      </c>
      <c r="D111" s="20" t="s">
        <v>239</v>
      </c>
      <c r="E111" s="22" t="s">
        <v>205</v>
      </c>
      <c r="F111" s="23" t="n">
        <v>0.584198699560145</v>
      </c>
      <c r="G111" s="24" t="n">
        <v>20.65</v>
      </c>
      <c r="H111" s="20" t="s">
        <v>102</v>
      </c>
      <c r="I111" s="25" t="n">
        <v>18568.8</v>
      </c>
      <c r="J111" s="22" t="s">
        <v>169</v>
      </c>
      <c r="K111" s="21" t="n">
        <v>1</v>
      </c>
      <c r="L111" s="20" t="s">
        <v>97</v>
      </c>
      <c r="M111" s="20" t="s">
        <v>97</v>
      </c>
      <c r="N111" s="22"/>
      <c r="O111" s="22" t="s">
        <v>99</v>
      </c>
    </row>
    <row r="112" customFormat="false" ht="23.85" hidden="false" customHeight="false" outlineLevel="0" collapsed="false">
      <c r="A112" s="12"/>
      <c r="B112" s="20" t="s">
        <v>74</v>
      </c>
      <c r="C112" s="21" t="n">
        <v>5</v>
      </c>
      <c r="D112" s="20" t="s">
        <v>240</v>
      </c>
      <c r="E112" s="22" t="s">
        <v>241</v>
      </c>
      <c r="F112" s="23" t="n">
        <v>0.468000573723465</v>
      </c>
      <c r="G112" s="24" t="n">
        <v>7.72</v>
      </c>
      <c r="H112" s="20" t="s">
        <v>77</v>
      </c>
      <c r="I112" s="25" t="n">
        <v>20184.3</v>
      </c>
      <c r="J112" s="22"/>
      <c r="K112" s="21" t="n">
        <v>1</v>
      </c>
      <c r="L112" s="20" t="s">
        <v>79</v>
      </c>
      <c r="M112" s="20" t="s">
        <v>86</v>
      </c>
      <c r="N112" s="22"/>
      <c r="O112" s="22" t="s">
        <v>82</v>
      </c>
    </row>
    <row r="113" customFormat="false" ht="23.85" hidden="false" customHeight="false" outlineLevel="0" collapsed="false">
      <c r="A113" s="12"/>
      <c r="B113" s="12" t="s">
        <v>106</v>
      </c>
      <c r="C113" s="7" t="n">
        <v>6</v>
      </c>
      <c r="D113" s="12" t="s">
        <v>242</v>
      </c>
      <c r="E113" s="10" t="s">
        <v>243</v>
      </c>
      <c r="F113" s="9" t="n">
        <v>0.455622489959839</v>
      </c>
      <c r="G113" s="26" t="n">
        <v>10.96</v>
      </c>
      <c r="H113" s="12" t="s">
        <v>153</v>
      </c>
      <c r="I113" s="11" t="n">
        <v>7260.1</v>
      </c>
      <c r="J113" s="10" t="s">
        <v>169</v>
      </c>
      <c r="K113" s="7" t="n">
        <v>1</v>
      </c>
      <c r="L113" s="12" t="s">
        <v>97</v>
      </c>
      <c r="M113" s="12" t="s">
        <v>97</v>
      </c>
      <c r="N113" s="10"/>
      <c r="O113" s="10" t="s">
        <v>99</v>
      </c>
    </row>
    <row r="114" customFormat="false" ht="23.85" hidden="false" customHeight="false" outlineLevel="0" collapsed="false">
      <c r="A114" s="12"/>
      <c r="B114" s="12" t="s">
        <v>106</v>
      </c>
      <c r="C114" s="7" t="n">
        <v>7</v>
      </c>
      <c r="D114" s="12" t="s">
        <v>244</v>
      </c>
      <c r="E114" s="10" t="s">
        <v>211</v>
      </c>
      <c r="F114" s="9" t="n">
        <v>0.21229680627271</v>
      </c>
      <c r="G114" s="26" t="n">
        <v>12.21</v>
      </c>
      <c r="H114" s="12" t="s">
        <v>102</v>
      </c>
      <c r="I114" s="11" t="n">
        <v>701.3</v>
      </c>
      <c r="J114" s="10" t="s">
        <v>175</v>
      </c>
      <c r="K114" s="7" t="n">
        <v>2</v>
      </c>
      <c r="L114" s="12" t="s">
        <v>172</v>
      </c>
      <c r="M114" s="12" t="s">
        <v>86</v>
      </c>
      <c r="N114" s="10"/>
      <c r="O114" s="10" t="s">
        <v>105</v>
      </c>
    </row>
    <row r="115" customFormat="false" ht="23.85" hidden="false" customHeight="false" outlineLevel="0" collapsed="false">
      <c r="A115" s="13" t="s">
        <v>43</v>
      </c>
      <c r="B115" s="14" t="s">
        <v>74</v>
      </c>
      <c r="C115" s="15" t="n">
        <v>1</v>
      </c>
      <c r="D115" s="14" t="s">
        <v>117</v>
      </c>
      <c r="E115" s="16" t="s">
        <v>118</v>
      </c>
      <c r="F115" s="17" t="n">
        <v>0.692015681774718</v>
      </c>
      <c r="G115" s="18" t="n">
        <v>35.03</v>
      </c>
      <c r="H115" s="14" t="s">
        <v>102</v>
      </c>
      <c r="I115" s="19" t="n">
        <v>32830.2</v>
      </c>
      <c r="J115" s="16" t="s">
        <v>144</v>
      </c>
      <c r="K115" s="15" t="n">
        <v>2</v>
      </c>
      <c r="L115" s="14" t="s">
        <v>79</v>
      </c>
      <c r="M115" s="14" t="s">
        <v>86</v>
      </c>
      <c r="N115" s="16"/>
      <c r="O115" s="16" t="s">
        <v>82</v>
      </c>
    </row>
    <row r="116" customFormat="false" ht="23.85" hidden="false" customHeight="false" outlineLevel="0" collapsed="false">
      <c r="A116" s="12"/>
      <c r="B116" s="20" t="s">
        <v>74</v>
      </c>
      <c r="C116" s="21" t="n">
        <v>2</v>
      </c>
      <c r="D116" s="20" t="s">
        <v>145</v>
      </c>
      <c r="E116" s="22" t="s">
        <v>146</v>
      </c>
      <c r="F116" s="23" t="n">
        <v>0.667192579843182</v>
      </c>
      <c r="G116" s="24" t="n">
        <v>21.3</v>
      </c>
      <c r="H116" s="20" t="s">
        <v>77</v>
      </c>
      <c r="I116" s="25" t="n">
        <v>53539.9</v>
      </c>
      <c r="J116" s="22"/>
      <c r="K116" s="21" t="n">
        <v>1</v>
      </c>
      <c r="L116" s="20" t="s">
        <v>79</v>
      </c>
      <c r="M116" s="20" t="s">
        <v>110</v>
      </c>
      <c r="N116" s="22" t="s">
        <v>111</v>
      </c>
      <c r="O116" s="22" t="s">
        <v>82</v>
      </c>
    </row>
    <row r="117" customFormat="false" ht="23.85" hidden="false" customHeight="false" outlineLevel="0" collapsed="false">
      <c r="A117" s="12"/>
      <c r="B117" s="20" t="s">
        <v>74</v>
      </c>
      <c r="C117" s="21" t="n">
        <v>3</v>
      </c>
      <c r="D117" s="20" t="s">
        <v>107</v>
      </c>
      <c r="E117" s="22" t="s">
        <v>108</v>
      </c>
      <c r="F117" s="23" t="n">
        <v>0.617010900745841</v>
      </c>
      <c r="G117" s="24" t="n">
        <v>11.48</v>
      </c>
      <c r="H117" s="20" t="s">
        <v>153</v>
      </c>
      <c r="I117" s="25" t="n">
        <v>59827.2</v>
      </c>
      <c r="J117" s="22"/>
      <c r="K117" s="21" t="n">
        <v>1</v>
      </c>
      <c r="L117" s="20" t="s">
        <v>79</v>
      </c>
      <c r="M117" s="20" t="s">
        <v>80</v>
      </c>
      <c r="N117" s="22" t="s">
        <v>111</v>
      </c>
      <c r="O117" s="22" t="s">
        <v>82</v>
      </c>
    </row>
    <row r="118" customFormat="false" ht="23.85" hidden="false" customHeight="false" outlineLevel="0" collapsed="false">
      <c r="A118" s="12"/>
      <c r="B118" s="20" t="s">
        <v>74</v>
      </c>
      <c r="C118" s="21" t="n">
        <v>4</v>
      </c>
      <c r="D118" s="20" t="s">
        <v>148</v>
      </c>
      <c r="E118" s="22" t="s">
        <v>149</v>
      </c>
      <c r="F118" s="23" t="n">
        <v>0.603294128896539</v>
      </c>
      <c r="G118" s="24" t="n">
        <v>11.1</v>
      </c>
      <c r="H118" s="20" t="s">
        <v>77</v>
      </c>
      <c r="I118" s="25" t="n">
        <v>58920.4</v>
      </c>
      <c r="J118" s="22"/>
      <c r="K118" s="21" t="n">
        <v>2</v>
      </c>
      <c r="L118" s="20" t="s">
        <v>79</v>
      </c>
      <c r="M118" s="20" t="s">
        <v>110</v>
      </c>
      <c r="N118" s="22" t="s">
        <v>111</v>
      </c>
      <c r="O118" s="22" t="s">
        <v>82</v>
      </c>
    </row>
    <row r="119" customFormat="false" ht="23.85" hidden="false" customHeight="false" outlineLevel="0" collapsed="false">
      <c r="A119" s="12"/>
      <c r="B119" s="20" t="s">
        <v>74</v>
      </c>
      <c r="C119" s="21" t="n">
        <v>5</v>
      </c>
      <c r="D119" s="20" t="s">
        <v>178</v>
      </c>
      <c r="E119" s="22" t="s">
        <v>179</v>
      </c>
      <c r="F119" s="23" t="n">
        <v>0.575564161407535</v>
      </c>
      <c r="G119" s="24" t="n">
        <v>32.43</v>
      </c>
      <c r="H119" s="20" t="s">
        <v>77</v>
      </c>
      <c r="I119" s="25" t="n">
        <v>6632.6</v>
      </c>
      <c r="J119" s="22"/>
      <c r="K119" s="21" t="n">
        <v>2</v>
      </c>
      <c r="L119" s="20" t="s">
        <v>79</v>
      </c>
      <c r="M119" s="20" t="s">
        <v>86</v>
      </c>
      <c r="N119" s="22" t="s">
        <v>111</v>
      </c>
      <c r="O119" s="22" t="s">
        <v>82</v>
      </c>
    </row>
    <row r="120" customFormat="false" ht="23.85" hidden="false" customHeight="false" outlineLevel="0" collapsed="false">
      <c r="A120" s="12"/>
      <c r="B120" s="12" t="s">
        <v>106</v>
      </c>
      <c r="C120" s="7" t="n">
        <v>6</v>
      </c>
      <c r="D120" s="12" t="s">
        <v>245</v>
      </c>
      <c r="E120" s="10" t="s">
        <v>246</v>
      </c>
      <c r="F120" s="9" t="n">
        <v>0.429642379039969</v>
      </c>
      <c r="G120" s="26" t="n">
        <v>32.88</v>
      </c>
      <c r="H120" s="12" t="s">
        <v>153</v>
      </c>
      <c r="I120" s="11" t="n">
        <v>2508.1</v>
      </c>
      <c r="J120" s="10"/>
      <c r="K120" s="7" t="n">
        <v>1</v>
      </c>
      <c r="L120" s="12" t="s">
        <v>79</v>
      </c>
      <c r="M120" s="12" t="s">
        <v>86</v>
      </c>
      <c r="N120" s="10"/>
      <c r="O120" s="10" t="s">
        <v>82</v>
      </c>
    </row>
    <row r="121" customFormat="false" ht="23.85" hidden="false" customHeight="false" outlineLevel="0" collapsed="false">
      <c r="A121" s="12"/>
      <c r="B121" s="12" t="s">
        <v>106</v>
      </c>
      <c r="C121" s="7" t="n">
        <v>7</v>
      </c>
      <c r="D121" s="12" t="s">
        <v>247</v>
      </c>
      <c r="E121" s="10" t="s">
        <v>248</v>
      </c>
      <c r="F121" s="9" t="n">
        <v>0.428614457831325</v>
      </c>
      <c r="G121" s="26" t="n">
        <v>125.38</v>
      </c>
      <c r="H121" s="12" t="s">
        <v>77</v>
      </c>
      <c r="I121" s="11" t="n">
        <v>184.9</v>
      </c>
      <c r="J121" s="10"/>
      <c r="K121" s="7" t="n">
        <v>1</v>
      </c>
      <c r="L121" s="12" t="s">
        <v>79</v>
      </c>
      <c r="M121" s="12" t="s">
        <v>86</v>
      </c>
      <c r="N121" s="10"/>
      <c r="O121" s="10" t="s">
        <v>82</v>
      </c>
    </row>
    <row r="122" customFormat="false" ht="23.85" hidden="false" customHeight="false" outlineLevel="0" collapsed="false">
      <c r="A122" s="12"/>
      <c r="B122" s="12" t="s">
        <v>106</v>
      </c>
      <c r="C122" s="7" t="n">
        <v>8</v>
      </c>
      <c r="D122" s="12" t="s">
        <v>249</v>
      </c>
      <c r="E122" s="10" t="s">
        <v>250</v>
      </c>
      <c r="F122" s="9" t="n">
        <v>0.409672021419009</v>
      </c>
      <c r="G122" s="26" t="n">
        <v>8.11</v>
      </c>
      <c r="H122" s="12" t="s">
        <v>102</v>
      </c>
      <c r="I122" s="11" t="n">
        <v>7218.2</v>
      </c>
      <c r="J122" s="10"/>
      <c r="K122" s="7" t="n">
        <v>1</v>
      </c>
      <c r="L122" s="12" t="s">
        <v>172</v>
      </c>
      <c r="M122" s="12" t="s">
        <v>86</v>
      </c>
      <c r="N122" s="10"/>
      <c r="O122" s="10" t="s">
        <v>105</v>
      </c>
    </row>
    <row r="123" customFormat="false" ht="23.85" hidden="false" customHeight="false" outlineLevel="0" collapsed="false">
      <c r="A123" s="12"/>
      <c r="B123" s="12" t="s">
        <v>106</v>
      </c>
      <c r="C123" s="7" t="n">
        <v>9</v>
      </c>
      <c r="D123" s="12" t="s">
        <v>251</v>
      </c>
      <c r="E123" s="10" t="s">
        <v>252</v>
      </c>
      <c r="F123" s="9" t="n">
        <v>0.350286861732645</v>
      </c>
      <c r="G123" s="26" t="n">
        <v>7.55</v>
      </c>
      <c r="H123" s="12" t="s">
        <v>77</v>
      </c>
      <c r="I123" s="11" t="n">
        <v>4930.6</v>
      </c>
      <c r="J123" s="10"/>
      <c r="K123" s="7" t="n">
        <v>1</v>
      </c>
      <c r="L123" s="12" t="s">
        <v>79</v>
      </c>
      <c r="M123" s="12" t="s">
        <v>86</v>
      </c>
      <c r="N123" s="10"/>
      <c r="O123" s="10" t="s">
        <v>105</v>
      </c>
    </row>
    <row r="124" customFormat="false" ht="23.85" hidden="false" customHeight="false" outlineLevel="0" collapsed="false">
      <c r="A124" s="12"/>
      <c r="B124" s="12" t="s">
        <v>106</v>
      </c>
      <c r="C124" s="7" t="n">
        <v>10</v>
      </c>
      <c r="D124" s="12" t="s">
        <v>253</v>
      </c>
      <c r="E124" s="10" t="s">
        <v>254</v>
      </c>
      <c r="F124" s="9" t="n">
        <v>0.277825588066552</v>
      </c>
      <c r="G124" s="26" t="n">
        <v>18.28</v>
      </c>
      <c r="H124" s="12" t="s">
        <v>102</v>
      </c>
      <c r="I124" s="11" t="n">
        <v>1223.2</v>
      </c>
      <c r="J124" s="10"/>
      <c r="K124" s="7" t="n">
        <v>1</v>
      </c>
      <c r="L124" s="12" t="s">
        <v>79</v>
      </c>
      <c r="M124" s="12" t="s">
        <v>80</v>
      </c>
      <c r="N124" s="10" t="s">
        <v>111</v>
      </c>
      <c r="O124" s="10" t="s">
        <v>105</v>
      </c>
    </row>
    <row r="125" customFormat="false" ht="23.85" hidden="false" customHeight="false" outlineLevel="0" collapsed="false">
      <c r="A125" s="13" t="s">
        <v>45</v>
      </c>
      <c r="B125" s="14" t="s">
        <v>74</v>
      </c>
      <c r="C125" s="15" t="n">
        <v>1</v>
      </c>
      <c r="D125" s="14" t="s">
        <v>239</v>
      </c>
      <c r="E125" s="16" t="s">
        <v>205</v>
      </c>
      <c r="F125" s="17" t="n">
        <v>0.755627270988717</v>
      </c>
      <c r="G125" s="18" t="n">
        <v>90.21</v>
      </c>
      <c r="H125" s="14" t="s">
        <v>102</v>
      </c>
      <c r="I125" s="19" t="n">
        <v>18568.8</v>
      </c>
      <c r="J125" s="16" t="s">
        <v>169</v>
      </c>
      <c r="K125" s="15" t="n">
        <v>3</v>
      </c>
      <c r="L125" s="14" t="s">
        <v>79</v>
      </c>
      <c r="M125" s="14" t="s">
        <v>86</v>
      </c>
      <c r="N125" s="16"/>
      <c r="O125" s="16" t="s">
        <v>105</v>
      </c>
    </row>
    <row r="126" customFormat="false" ht="15" hidden="false" customHeight="false" outlineLevel="0" collapsed="false">
      <c r="A126" s="12"/>
      <c r="B126" s="20" t="s">
        <v>74</v>
      </c>
      <c r="C126" s="21" t="n">
        <v>2</v>
      </c>
      <c r="D126" s="20" t="s">
        <v>255</v>
      </c>
      <c r="E126" s="22" t="s">
        <v>256</v>
      </c>
      <c r="F126" s="23" t="n">
        <v>0.518206157965194</v>
      </c>
      <c r="G126" s="24" t="n">
        <v>69.37</v>
      </c>
      <c r="H126" s="20" t="s">
        <v>153</v>
      </c>
      <c r="I126" s="25" t="n">
        <v>2557.1</v>
      </c>
      <c r="J126" s="22" t="s">
        <v>96</v>
      </c>
      <c r="K126" s="21" t="n">
        <v>1</v>
      </c>
      <c r="L126" s="20" t="s">
        <v>79</v>
      </c>
      <c r="M126" s="20" t="s">
        <v>86</v>
      </c>
      <c r="N126" s="22"/>
      <c r="O126" s="22" t="s">
        <v>105</v>
      </c>
    </row>
    <row r="127" customFormat="false" ht="23.85" hidden="false" customHeight="false" outlineLevel="0" collapsed="false">
      <c r="A127" s="12"/>
      <c r="B127" s="20" t="s">
        <v>74</v>
      </c>
      <c r="C127" s="21" t="n">
        <v>3</v>
      </c>
      <c r="D127" s="20" t="s">
        <v>170</v>
      </c>
      <c r="E127" s="22" t="s">
        <v>171</v>
      </c>
      <c r="F127" s="23" t="n">
        <v>0.51157487091222</v>
      </c>
      <c r="G127" s="24" t="n">
        <v>51.18</v>
      </c>
      <c r="H127" s="20" t="s">
        <v>102</v>
      </c>
      <c r="I127" s="25" t="n">
        <v>2931.4</v>
      </c>
      <c r="J127" s="22" t="s">
        <v>144</v>
      </c>
      <c r="K127" s="21" t="n">
        <v>2</v>
      </c>
      <c r="L127" s="20" t="s">
        <v>172</v>
      </c>
      <c r="M127" s="20" t="s">
        <v>86</v>
      </c>
      <c r="N127" s="22"/>
      <c r="O127" s="22" t="s">
        <v>82</v>
      </c>
    </row>
    <row r="128" customFormat="false" ht="23.85" hidden="false" customHeight="false" outlineLevel="0" collapsed="false">
      <c r="A128" s="12"/>
      <c r="B128" s="20" t="s">
        <v>74</v>
      </c>
      <c r="C128" s="21" t="n">
        <v>4</v>
      </c>
      <c r="D128" s="20" t="s">
        <v>162</v>
      </c>
      <c r="E128" s="22" t="s">
        <v>163</v>
      </c>
      <c r="F128" s="23" t="n">
        <v>0.482965194109772</v>
      </c>
      <c r="G128" s="24" t="n">
        <v>30.01</v>
      </c>
      <c r="H128" s="20" t="s">
        <v>102</v>
      </c>
      <c r="I128" s="25" t="n">
        <v>3625.3</v>
      </c>
      <c r="J128" s="22" t="s">
        <v>144</v>
      </c>
      <c r="K128" s="21" t="n">
        <v>1</v>
      </c>
      <c r="L128" s="20" t="s">
        <v>79</v>
      </c>
      <c r="M128" s="20" t="s">
        <v>86</v>
      </c>
      <c r="N128" s="22"/>
      <c r="O128" s="22" t="s">
        <v>82</v>
      </c>
    </row>
    <row r="129" customFormat="false" ht="23.85" hidden="false" customHeight="false" outlineLevel="0" collapsed="false">
      <c r="A129" s="12"/>
      <c r="B129" s="20" t="s">
        <v>74</v>
      </c>
      <c r="C129" s="21" t="n">
        <v>5</v>
      </c>
      <c r="D129" s="20" t="s">
        <v>257</v>
      </c>
      <c r="E129" s="22" t="s">
        <v>258</v>
      </c>
      <c r="F129" s="23" t="n">
        <v>0.352266207687895</v>
      </c>
      <c r="G129" s="24" t="n">
        <v>30.35</v>
      </c>
      <c r="H129" s="20" t="s">
        <v>102</v>
      </c>
      <c r="I129" s="25" t="n">
        <v>1296.8</v>
      </c>
      <c r="J129" s="22" t="s">
        <v>96</v>
      </c>
      <c r="K129" s="21" t="n">
        <v>2</v>
      </c>
      <c r="L129" s="20" t="s">
        <v>172</v>
      </c>
      <c r="M129" s="20" t="s">
        <v>86</v>
      </c>
      <c r="N129" s="22"/>
      <c r="O129" s="22" t="s">
        <v>105</v>
      </c>
    </row>
    <row r="130" customFormat="false" ht="23.85" hidden="false" customHeight="false" outlineLevel="0" collapsed="false">
      <c r="A130" s="12"/>
      <c r="B130" s="12" t="s">
        <v>106</v>
      </c>
      <c r="C130" s="7" t="n">
        <v>6</v>
      </c>
      <c r="D130" s="12" t="s">
        <v>221</v>
      </c>
      <c r="E130" s="10" t="s">
        <v>222</v>
      </c>
      <c r="F130" s="9" t="n">
        <v>0.32348441384586</v>
      </c>
      <c r="G130" s="26" t="n">
        <v>51.79</v>
      </c>
      <c r="H130" s="12" t="s">
        <v>102</v>
      </c>
      <c r="I130" s="11" t="n">
        <v>21.8</v>
      </c>
      <c r="J130" s="10" t="s">
        <v>144</v>
      </c>
      <c r="K130" s="7" t="n">
        <v>1</v>
      </c>
      <c r="L130" s="12" t="s">
        <v>79</v>
      </c>
      <c r="M130" s="12" t="s">
        <v>86</v>
      </c>
      <c r="N130" s="10"/>
      <c r="O130" s="10" t="s">
        <v>82</v>
      </c>
    </row>
    <row r="131" customFormat="false" ht="23.85" hidden="false" customHeight="false" outlineLevel="0" collapsed="false">
      <c r="A131" s="12"/>
      <c r="B131" s="12" t="s">
        <v>106</v>
      </c>
      <c r="C131" s="7" t="n">
        <v>7</v>
      </c>
      <c r="D131" s="12" t="s">
        <v>259</v>
      </c>
      <c r="E131" s="10" t="s">
        <v>260</v>
      </c>
      <c r="F131" s="9" t="n">
        <v>0.29569229298145</v>
      </c>
      <c r="G131" s="26" t="n">
        <v>22.55</v>
      </c>
      <c r="H131" s="12" t="s">
        <v>102</v>
      </c>
      <c r="I131" s="11" t="n">
        <v>1076.1</v>
      </c>
      <c r="J131" s="10" t="s">
        <v>144</v>
      </c>
      <c r="K131" s="7" t="n">
        <v>1</v>
      </c>
      <c r="L131" s="12" t="s">
        <v>79</v>
      </c>
      <c r="M131" s="12" t="s">
        <v>86</v>
      </c>
      <c r="N131" s="10"/>
      <c r="O131" s="10" t="s">
        <v>105</v>
      </c>
    </row>
    <row r="132" customFormat="false" ht="23.85" hidden="false" customHeight="false" outlineLevel="0" collapsed="false">
      <c r="A132" s="12"/>
      <c r="B132" s="12" t="s">
        <v>106</v>
      </c>
      <c r="C132" s="7" t="n">
        <v>8</v>
      </c>
      <c r="D132" s="12" t="s">
        <v>261</v>
      </c>
      <c r="E132" s="10" t="s">
        <v>262</v>
      </c>
      <c r="F132" s="9" t="n">
        <v>0.268225282080704</v>
      </c>
      <c r="G132" s="26" t="n">
        <v>10.13</v>
      </c>
      <c r="H132" s="12" t="s">
        <v>102</v>
      </c>
      <c r="I132" s="11" t="n">
        <v>2476.9</v>
      </c>
      <c r="J132" s="10" t="s">
        <v>144</v>
      </c>
      <c r="K132" s="7" t="n">
        <v>1</v>
      </c>
      <c r="L132" s="12" t="s">
        <v>79</v>
      </c>
      <c r="M132" s="12" t="s">
        <v>86</v>
      </c>
      <c r="N132" s="10"/>
      <c r="O132" s="10" t="s">
        <v>82</v>
      </c>
    </row>
    <row r="133" customFormat="false" ht="23.85" hidden="false" customHeight="false" outlineLevel="0" collapsed="false">
      <c r="A133" s="12"/>
      <c r="B133" s="12" t="s">
        <v>106</v>
      </c>
      <c r="C133" s="7" t="n">
        <v>9</v>
      </c>
      <c r="D133" s="12" t="s">
        <v>263</v>
      </c>
      <c r="E133" s="10" t="s">
        <v>264</v>
      </c>
      <c r="F133" s="9" t="n">
        <v>0.241599732262383</v>
      </c>
      <c r="G133" s="26" t="n">
        <v>18</v>
      </c>
      <c r="H133" s="12" t="s">
        <v>102</v>
      </c>
      <c r="I133" s="11" t="n">
        <v>513.2</v>
      </c>
      <c r="J133" s="10" t="s">
        <v>144</v>
      </c>
      <c r="K133" s="7" t="n">
        <v>1</v>
      </c>
      <c r="L133" s="12" t="s">
        <v>79</v>
      </c>
      <c r="M133" s="12" t="s">
        <v>86</v>
      </c>
      <c r="N133" s="10"/>
      <c r="O133" s="10" t="s">
        <v>105</v>
      </c>
    </row>
    <row r="134" customFormat="false" ht="23.85" hidden="false" customHeight="false" outlineLevel="0" collapsed="false">
      <c r="A134" s="12"/>
      <c r="B134" s="12" t="s">
        <v>106</v>
      </c>
      <c r="C134" s="7" t="n">
        <v>10</v>
      </c>
      <c r="D134" s="12" t="s">
        <v>265</v>
      </c>
      <c r="E134" s="10" t="s">
        <v>266</v>
      </c>
      <c r="F134" s="9" t="n">
        <v>0.233146873207114</v>
      </c>
      <c r="G134" s="26" t="n">
        <v>5.56</v>
      </c>
      <c r="H134" s="12" t="s">
        <v>102</v>
      </c>
      <c r="I134" s="11" t="n">
        <v>3067.4</v>
      </c>
      <c r="J134" s="10" t="s">
        <v>144</v>
      </c>
      <c r="K134" s="7" t="n">
        <v>1</v>
      </c>
      <c r="L134" s="12" t="s">
        <v>79</v>
      </c>
      <c r="M134" s="12" t="s">
        <v>86</v>
      </c>
      <c r="N134" s="10"/>
      <c r="O134" s="10" t="s">
        <v>82</v>
      </c>
    </row>
    <row r="135" customFormat="false" ht="23.85" hidden="false" customHeight="false" outlineLevel="0" collapsed="false">
      <c r="A135" s="13" t="s">
        <v>47</v>
      </c>
      <c r="B135" s="14" t="s">
        <v>74</v>
      </c>
      <c r="C135" s="15" t="n">
        <v>1</v>
      </c>
      <c r="D135" s="14" t="s">
        <v>201</v>
      </c>
      <c r="E135" s="16" t="s">
        <v>202</v>
      </c>
      <c r="F135" s="17" t="n">
        <v>0.73382099827883</v>
      </c>
      <c r="G135" s="18" t="n">
        <v>25.36</v>
      </c>
      <c r="H135" s="14" t="s">
        <v>102</v>
      </c>
      <c r="I135" s="19" t="n">
        <v>93119.2</v>
      </c>
      <c r="J135" s="16" t="s">
        <v>194</v>
      </c>
      <c r="K135" s="15" t="n">
        <v>1</v>
      </c>
      <c r="L135" s="14" t="s">
        <v>79</v>
      </c>
      <c r="M135" s="14" t="s">
        <v>80</v>
      </c>
      <c r="N135" s="16" t="s">
        <v>111</v>
      </c>
      <c r="O135" s="16" t="s">
        <v>82</v>
      </c>
    </row>
    <row r="136" customFormat="false" ht="23.85" hidden="false" customHeight="false" outlineLevel="0" collapsed="false">
      <c r="A136" s="12"/>
      <c r="B136" s="20" t="s">
        <v>74</v>
      </c>
      <c r="C136" s="21" t="n">
        <v>2</v>
      </c>
      <c r="D136" s="20" t="s">
        <v>173</v>
      </c>
      <c r="E136" s="22" t="s">
        <v>174</v>
      </c>
      <c r="F136" s="23" t="n">
        <v>0.612067316886594</v>
      </c>
      <c r="G136" s="24" t="n">
        <v>81.96</v>
      </c>
      <c r="H136" s="20" t="s">
        <v>102</v>
      </c>
      <c r="I136" s="25" t="n">
        <v>3973.7</v>
      </c>
      <c r="J136" s="22" t="s">
        <v>194</v>
      </c>
      <c r="K136" s="21" t="n">
        <v>1</v>
      </c>
      <c r="L136" s="20" t="s">
        <v>79</v>
      </c>
      <c r="M136" s="20" t="s">
        <v>80</v>
      </c>
      <c r="N136" s="22" t="s">
        <v>81</v>
      </c>
      <c r="O136" s="22" t="s">
        <v>82</v>
      </c>
    </row>
    <row r="137" customFormat="false" ht="23.85" hidden="false" customHeight="false" outlineLevel="0" collapsed="false">
      <c r="A137" s="12"/>
      <c r="B137" s="20" t="s">
        <v>74</v>
      </c>
      <c r="C137" s="21" t="n">
        <v>3</v>
      </c>
      <c r="D137" s="20" t="s">
        <v>148</v>
      </c>
      <c r="E137" s="22" t="s">
        <v>149</v>
      </c>
      <c r="F137" s="23" t="n">
        <v>0.608056033658443</v>
      </c>
      <c r="G137" s="24" t="n">
        <v>11.71</v>
      </c>
      <c r="H137" s="20" t="s">
        <v>77</v>
      </c>
      <c r="I137" s="25" t="n">
        <v>58920.4</v>
      </c>
      <c r="J137" s="22" t="s">
        <v>91</v>
      </c>
      <c r="K137" s="21" t="n">
        <v>10</v>
      </c>
      <c r="L137" s="20" t="s">
        <v>79</v>
      </c>
      <c r="M137" s="20" t="s">
        <v>80</v>
      </c>
      <c r="N137" s="22" t="s">
        <v>111</v>
      </c>
      <c r="O137" s="22" t="s">
        <v>82</v>
      </c>
    </row>
    <row r="138" customFormat="false" ht="23.85" hidden="false" customHeight="false" outlineLevel="0" collapsed="false">
      <c r="A138" s="12"/>
      <c r="B138" s="20" t="s">
        <v>74</v>
      </c>
      <c r="C138" s="21" t="n">
        <v>4</v>
      </c>
      <c r="D138" s="20" t="s">
        <v>206</v>
      </c>
      <c r="E138" s="22" t="s">
        <v>207</v>
      </c>
      <c r="F138" s="23" t="n">
        <v>0.562416331994645</v>
      </c>
      <c r="G138" s="24" t="n">
        <v>34.58</v>
      </c>
      <c r="H138" s="20" t="s">
        <v>102</v>
      </c>
      <c r="I138" s="25" t="n">
        <v>5713.6</v>
      </c>
      <c r="J138" s="22" t="s">
        <v>194</v>
      </c>
      <c r="K138" s="21" t="n">
        <v>1</v>
      </c>
      <c r="L138" s="20" t="s">
        <v>79</v>
      </c>
      <c r="M138" s="20" t="s">
        <v>97</v>
      </c>
      <c r="N138" s="22"/>
      <c r="O138" s="22" t="s">
        <v>82</v>
      </c>
    </row>
    <row r="139" customFormat="false" ht="23.85" hidden="false" customHeight="false" outlineLevel="0" collapsed="false">
      <c r="A139" s="13" t="s">
        <v>49</v>
      </c>
      <c r="B139" s="14" t="s">
        <v>74</v>
      </c>
      <c r="C139" s="15" t="n">
        <v>1</v>
      </c>
      <c r="D139" s="14" t="s">
        <v>148</v>
      </c>
      <c r="E139" s="16" t="s">
        <v>149</v>
      </c>
      <c r="F139" s="17" t="n">
        <v>0.608056033658443</v>
      </c>
      <c r="G139" s="18" t="n">
        <v>11.71</v>
      </c>
      <c r="H139" s="14" t="s">
        <v>102</v>
      </c>
      <c r="I139" s="19" t="n">
        <v>58920.4</v>
      </c>
      <c r="J139" s="16" t="s">
        <v>175</v>
      </c>
      <c r="K139" s="15" t="n">
        <v>2</v>
      </c>
      <c r="L139" s="14" t="s">
        <v>79</v>
      </c>
      <c r="M139" s="14" t="s">
        <v>80</v>
      </c>
      <c r="N139" s="16" t="s">
        <v>111</v>
      </c>
      <c r="O139" s="16" t="s">
        <v>82</v>
      </c>
    </row>
    <row r="140" customFormat="false" ht="23.85" hidden="false" customHeight="false" outlineLevel="0" collapsed="false">
      <c r="A140" s="12"/>
      <c r="B140" s="20" t="s">
        <v>74</v>
      </c>
      <c r="C140" s="21" t="n">
        <v>2</v>
      </c>
      <c r="D140" s="20" t="s">
        <v>267</v>
      </c>
      <c r="E140" s="22" t="s">
        <v>268</v>
      </c>
      <c r="F140" s="23" t="n">
        <v>0.60796997513865</v>
      </c>
      <c r="G140" s="24" t="n">
        <v>20.23</v>
      </c>
      <c r="H140" s="20" t="s">
        <v>102</v>
      </c>
      <c r="I140" s="25" t="n">
        <v>32204.5</v>
      </c>
      <c r="J140" s="22"/>
      <c r="K140" s="21" t="n">
        <v>1</v>
      </c>
      <c r="L140" s="20" t="s">
        <v>79</v>
      </c>
      <c r="M140" s="20" t="s">
        <v>80</v>
      </c>
      <c r="N140" s="22" t="s">
        <v>111</v>
      </c>
      <c r="O140" s="22" t="s">
        <v>105</v>
      </c>
    </row>
    <row r="141" customFormat="false" ht="23.85" hidden="false" customHeight="false" outlineLevel="0" collapsed="false">
      <c r="A141" s="12"/>
      <c r="B141" s="20" t="s">
        <v>74</v>
      </c>
      <c r="C141" s="21" t="n">
        <v>3</v>
      </c>
      <c r="D141" s="20" t="s">
        <v>206</v>
      </c>
      <c r="E141" s="22" t="s">
        <v>207</v>
      </c>
      <c r="F141" s="23" t="n">
        <v>0.503686173264487</v>
      </c>
      <c r="G141" s="24" t="n">
        <v>23.05</v>
      </c>
      <c r="H141" s="20" t="s">
        <v>102</v>
      </c>
      <c r="I141" s="25" t="n">
        <v>5713.6</v>
      </c>
      <c r="J141" s="22"/>
      <c r="K141" s="21" t="n">
        <v>1</v>
      </c>
      <c r="L141" s="20" t="s">
        <v>79</v>
      </c>
      <c r="M141" s="20" t="s">
        <v>80</v>
      </c>
      <c r="N141" s="22" t="s">
        <v>111</v>
      </c>
      <c r="O141" s="22" t="s">
        <v>82</v>
      </c>
    </row>
    <row r="142" customFormat="false" ht="35.05" hidden="false" customHeight="false" outlineLevel="0" collapsed="false">
      <c r="A142" s="12"/>
      <c r="B142" s="20" t="s">
        <v>74</v>
      </c>
      <c r="C142" s="21" t="n">
        <v>4</v>
      </c>
      <c r="D142" s="20" t="s">
        <v>269</v>
      </c>
      <c r="E142" s="22" t="s">
        <v>270</v>
      </c>
      <c r="F142" s="23" t="n">
        <v>0.445893096194301</v>
      </c>
      <c r="G142" s="24" t="n">
        <v>13.03</v>
      </c>
      <c r="H142" s="20" t="s">
        <v>102</v>
      </c>
      <c r="I142" s="25" t="n">
        <v>6294.9</v>
      </c>
      <c r="J142" s="22"/>
      <c r="K142" s="21" t="n">
        <v>1</v>
      </c>
      <c r="L142" s="20" t="s">
        <v>79</v>
      </c>
      <c r="M142" s="20" t="s">
        <v>80</v>
      </c>
      <c r="N142" s="22" t="s">
        <v>111</v>
      </c>
      <c r="O142" s="22" t="s">
        <v>82</v>
      </c>
    </row>
    <row r="143" customFormat="false" ht="23.85" hidden="false" customHeight="false" outlineLevel="0" collapsed="false">
      <c r="A143" s="12"/>
      <c r="B143" s="20" t="s">
        <v>74</v>
      </c>
      <c r="C143" s="21" t="n">
        <v>5</v>
      </c>
      <c r="D143" s="20" t="s">
        <v>229</v>
      </c>
      <c r="E143" s="22" t="s">
        <v>230</v>
      </c>
      <c r="F143" s="23" t="n">
        <v>0.328471026965003</v>
      </c>
      <c r="G143" s="24" t="n">
        <v>6.94</v>
      </c>
      <c r="H143" s="20" t="s">
        <v>77</v>
      </c>
      <c r="I143" s="25" t="n">
        <v>4790.5</v>
      </c>
      <c r="J143" s="22"/>
      <c r="K143" s="21" t="n">
        <v>1</v>
      </c>
      <c r="L143" s="20" t="s">
        <v>79</v>
      </c>
      <c r="M143" s="20" t="s">
        <v>86</v>
      </c>
      <c r="N143" s="22"/>
      <c r="O143" s="22" t="s">
        <v>82</v>
      </c>
    </row>
    <row r="144" customFormat="false" ht="23.85" hidden="false" customHeight="false" outlineLevel="0" collapsed="false">
      <c r="A144" s="13" t="s">
        <v>51</v>
      </c>
      <c r="B144" s="14" t="s">
        <v>74</v>
      </c>
      <c r="C144" s="15" t="n">
        <v>1</v>
      </c>
      <c r="D144" s="14" t="s">
        <v>117</v>
      </c>
      <c r="E144" s="16" t="s">
        <v>118</v>
      </c>
      <c r="F144" s="17" t="n">
        <v>0.772968062727099</v>
      </c>
      <c r="G144" s="18" t="n">
        <v>79.53</v>
      </c>
      <c r="H144" s="14" t="s">
        <v>102</v>
      </c>
      <c r="I144" s="19" t="n">
        <v>32830.2</v>
      </c>
      <c r="J144" s="16" t="s">
        <v>91</v>
      </c>
      <c r="K144" s="15" t="n">
        <v>32</v>
      </c>
      <c r="L144" s="14" t="s">
        <v>79</v>
      </c>
      <c r="M144" s="14" t="s">
        <v>86</v>
      </c>
      <c r="N144" s="16"/>
      <c r="O144" s="16" t="s">
        <v>82</v>
      </c>
    </row>
    <row r="145" customFormat="false" ht="23.85" hidden="false" customHeight="false" outlineLevel="0" collapsed="false">
      <c r="A145" s="12"/>
      <c r="B145" s="20" t="s">
        <v>74</v>
      </c>
      <c r="C145" s="21" t="n">
        <v>2</v>
      </c>
      <c r="D145" s="20" t="s">
        <v>271</v>
      </c>
      <c r="E145" s="22" t="s">
        <v>272</v>
      </c>
      <c r="F145" s="23" t="n">
        <v>0.612110346146491</v>
      </c>
      <c r="G145" s="24" t="n">
        <v>59.3</v>
      </c>
      <c r="H145" s="20" t="s">
        <v>77</v>
      </c>
      <c r="I145" s="25" t="n">
        <v>5118.1</v>
      </c>
      <c r="J145" s="22" t="s">
        <v>116</v>
      </c>
      <c r="K145" s="21" t="n">
        <v>9</v>
      </c>
      <c r="L145" s="20" t="s">
        <v>85</v>
      </c>
      <c r="M145" s="20" t="s">
        <v>86</v>
      </c>
      <c r="N145" s="22" t="s">
        <v>87</v>
      </c>
      <c r="O145" s="22" t="s">
        <v>88</v>
      </c>
    </row>
    <row r="146" customFormat="false" ht="23.85" hidden="false" customHeight="false" outlineLevel="0" collapsed="false">
      <c r="A146" s="12"/>
      <c r="B146" s="20" t="s">
        <v>74</v>
      </c>
      <c r="C146" s="21" t="n">
        <v>3</v>
      </c>
      <c r="D146" s="20" t="s">
        <v>273</v>
      </c>
      <c r="E146" s="22" t="s">
        <v>274</v>
      </c>
      <c r="F146" s="23" t="n">
        <v>0.420553643144005</v>
      </c>
      <c r="G146" s="24" t="n">
        <v>163.51</v>
      </c>
      <c r="H146" s="20" t="s">
        <v>77</v>
      </c>
      <c r="I146" s="25" t="n">
        <v>14.3</v>
      </c>
      <c r="J146" s="22" t="s">
        <v>91</v>
      </c>
      <c r="K146" s="21" t="n">
        <v>19</v>
      </c>
      <c r="L146" s="20" t="s">
        <v>172</v>
      </c>
      <c r="M146" s="20" t="s">
        <v>86</v>
      </c>
      <c r="N146" s="22"/>
      <c r="O146" s="22" t="s">
        <v>105</v>
      </c>
    </row>
    <row r="147" customFormat="false" ht="23.85" hidden="false" customHeight="false" outlineLevel="0" collapsed="false">
      <c r="A147" s="12"/>
      <c r="B147" s="20" t="s">
        <v>74</v>
      </c>
      <c r="C147" s="21" t="n">
        <v>4</v>
      </c>
      <c r="D147" s="20" t="s">
        <v>245</v>
      </c>
      <c r="E147" s="22" t="s">
        <v>246</v>
      </c>
      <c r="F147" s="23" t="n">
        <v>0.369324918722509</v>
      </c>
      <c r="G147" s="24" t="n">
        <v>22.39</v>
      </c>
      <c r="H147" s="20" t="s">
        <v>102</v>
      </c>
      <c r="I147" s="25" t="n">
        <v>2508.1</v>
      </c>
      <c r="J147" s="22" t="s">
        <v>144</v>
      </c>
      <c r="K147" s="21" t="n">
        <v>1</v>
      </c>
      <c r="L147" s="20" t="s">
        <v>79</v>
      </c>
      <c r="M147" s="20" t="s">
        <v>86</v>
      </c>
      <c r="N147" s="22"/>
      <c r="O147" s="22" t="s">
        <v>82</v>
      </c>
    </row>
    <row r="148" customFormat="false" ht="23.85" hidden="false" customHeight="false" outlineLevel="0" collapsed="false">
      <c r="A148" s="12"/>
      <c r="B148" s="20" t="s">
        <v>74</v>
      </c>
      <c r="C148" s="21" t="n">
        <v>5</v>
      </c>
      <c r="D148" s="20" t="s">
        <v>275</v>
      </c>
      <c r="E148" s="22" t="s">
        <v>276</v>
      </c>
      <c r="F148" s="23" t="n">
        <v>0.318478676611207</v>
      </c>
      <c r="G148" s="24" t="n">
        <v>42.21</v>
      </c>
      <c r="H148" s="20" t="s">
        <v>153</v>
      </c>
      <c r="I148" s="25" t="n">
        <v>71.4</v>
      </c>
      <c r="J148" s="22" t="s">
        <v>226</v>
      </c>
      <c r="K148" s="21" t="n">
        <v>1</v>
      </c>
      <c r="L148" s="20" t="s">
        <v>97</v>
      </c>
      <c r="M148" s="20" t="s">
        <v>97</v>
      </c>
      <c r="N148" s="22"/>
      <c r="O148" s="22" t="s">
        <v>99</v>
      </c>
    </row>
    <row r="149" customFormat="false" ht="23.85" hidden="false" customHeight="false" outlineLevel="0" collapsed="false">
      <c r="A149" s="12"/>
      <c r="B149" s="12" t="s">
        <v>106</v>
      </c>
      <c r="C149" s="7" t="n">
        <v>6</v>
      </c>
      <c r="D149" s="12" t="s">
        <v>277</v>
      </c>
      <c r="E149" s="10" t="s">
        <v>278</v>
      </c>
      <c r="F149" s="9" t="n">
        <v>0.212253777012813</v>
      </c>
      <c r="G149" s="26" t="n">
        <v>15.8</v>
      </c>
      <c r="H149" s="12" t="s">
        <v>77</v>
      </c>
      <c r="I149" s="11" t="n">
        <v>287.5</v>
      </c>
      <c r="J149" s="10" t="s">
        <v>279</v>
      </c>
      <c r="K149" s="7" t="n">
        <v>18</v>
      </c>
      <c r="L149" s="12" t="s">
        <v>172</v>
      </c>
      <c r="M149" s="12" t="s">
        <v>86</v>
      </c>
      <c r="N149" s="10"/>
      <c r="O149" s="10" t="s">
        <v>105</v>
      </c>
    </row>
    <row r="150" customFormat="false" ht="23.85" hidden="false" customHeight="false" outlineLevel="0" collapsed="false">
      <c r="A150" s="12"/>
      <c r="B150" s="12" t="s">
        <v>106</v>
      </c>
      <c r="C150" s="7" t="n">
        <v>7</v>
      </c>
      <c r="D150" s="12" t="s">
        <v>280</v>
      </c>
      <c r="E150" s="10" t="s">
        <v>281</v>
      </c>
      <c r="F150" s="9" t="n">
        <v>0.206521323388793</v>
      </c>
      <c r="G150" s="26" t="n">
        <v>8.71</v>
      </c>
      <c r="H150" s="12" t="s">
        <v>77</v>
      </c>
      <c r="I150" s="11" t="n">
        <v>1781.1</v>
      </c>
      <c r="J150" s="10" t="s">
        <v>279</v>
      </c>
      <c r="K150" s="7" t="n">
        <v>12</v>
      </c>
      <c r="L150" s="12" t="s">
        <v>172</v>
      </c>
      <c r="M150" s="12" t="s">
        <v>86</v>
      </c>
      <c r="N150" s="10"/>
      <c r="O150" s="10" t="s">
        <v>105</v>
      </c>
    </row>
    <row r="151" customFormat="false" ht="23.85" hidden="false" customHeight="false" outlineLevel="0" collapsed="false">
      <c r="A151" s="13" t="s">
        <v>53</v>
      </c>
      <c r="B151" s="14" t="s">
        <v>74</v>
      </c>
      <c r="C151" s="15" t="n">
        <v>1</v>
      </c>
      <c r="D151" s="14" t="s">
        <v>148</v>
      </c>
      <c r="E151" s="16" t="s">
        <v>149</v>
      </c>
      <c r="F151" s="17" t="n">
        <v>0.698532224134634</v>
      </c>
      <c r="G151" s="18" t="n">
        <v>24.1</v>
      </c>
      <c r="H151" s="14" t="s">
        <v>102</v>
      </c>
      <c r="I151" s="19" t="n">
        <v>58920.4</v>
      </c>
      <c r="J151" s="16" t="s">
        <v>282</v>
      </c>
      <c r="K151" s="15" t="n">
        <v>23</v>
      </c>
      <c r="L151" s="14" t="s">
        <v>79</v>
      </c>
      <c r="M151" s="14" t="s">
        <v>80</v>
      </c>
      <c r="N151" s="16" t="s">
        <v>111</v>
      </c>
      <c r="O151" s="16" t="s">
        <v>82</v>
      </c>
    </row>
    <row r="152" customFormat="false" ht="23.85" hidden="false" customHeight="false" outlineLevel="0" collapsed="false">
      <c r="A152" s="12"/>
      <c r="B152" s="20" t="s">
        <v>74</v>
      </c>
      <c r="C152" s="21" t="n">
        <v>2</v>
      </c>
      <c r="D152" s="20" t="s">
        <v>162</v>
      </c>
      <c r="E152" s="22" t="s">
        <v>163</v>
      </c>
      <c r="F152" s="23" t="n">
        <v>0.482965194109772</v>
      </c>
      <c r="G152" s="24" t="n">
        <v>30.01</v>
      </c>
      <c r="H152" s="20" t="s">
        <v>102</v>
      </c>
      <c r="I152" s="25" t="n">
        <v>3625.3</v>
      </c>
      <c r="J152" s="22" t="s">
        <v>144</v>
      </c>
      <c r="K152" s="21" t="n">
        <v>1</v>
      </c>
      <c r="L152" s="20" t="s">
        <v>79</v>
      </c>
      <c r="M152" s="20" t="s">
        <v>86</v>
      </c>
      <c r="N152" s="22"/>
      <c r="O152" s="22" t="s">
        <v>82</v>
      </c>
    </row>
    <row r="153" customFormat="false" ht="23.85" hidden="false" customHeight="false" outlineLevel="0" collapsed="false">
      <c r="A153" s="12"/>
      <c r="B153" s="20" t="s">
        <v>74</v>
      </c>
      <c r="C153" s="21" t="n">
        <v>3</v>
      </c>
      <c r="D153" s="20" t="s">
        <v>283</v>
      </c>
      <c r="E153" s="22" t="s">
        <v>284</v>
      </c>
      <c r="F153" s="23" t="n">
        <v>0.413339070567986</v>
      </c>
      <c r="G153" s="24" t="n">
        <v>6.38</v>
      </c>
      <c r="H153" s="20" t="s">
        <v>102</v>
      </c>
      <c r="I153" s="25" t="n">
        <v>16359.3</v>
      </c>
      <c r="J153" s="22" t="s">
        <v>144</v>
      </c>
      <c r="K153" s="21" t="n">
        <v>1</v>
      </c>
      <c r="L153" s="20" t="s">
        <v>79</v>
      </c>
      <c r="M153" s="20" t="s">
        <v>86</v>
      </c>
      <c r="N153" s="22"/>
      <c r="O153" s="22" t="s">
        <v>105</v>
      </c>
    </row>
    <row r="154" customFormat="false" ht="23.85" hidden="false" customHeight="false" outlineLevel="0" collapsed="false">
      <c r="A154" s="12"/>
      <c r="B154" s="20" t="s">
        <v>74</v>
      </c>
      <c r="C154" s="21" t="n">
        <v>4</v>
      </c>
      <c r="D154" s="20" t="s">
        <v>285</v>
      </c>
      <c r="E154" s="22" t="s">
        <v>286</v>
      </c>
      <c r="F154" s="23" t="n">
        <v>0.346643717728055</v>
      </c>
      <c r="G154" s="24" t="n">
        <v>54.62</v>
      </c>
      <c r="H154" s="20" t="s">
        <v>102</v>
      </c>
      <c r="I154" s="25" t="n">
        <v>117.1</v>
      </c>
      <c r="J154" s="22" t="s">
        <v>144</v>
      </c>
      <c r="K154" s="21" t="n">
        <v>1</v>
      </c>
      <c r="L154" s="20" t="s">
        <v>79</v>
      </c>
      <c r="M154" s="20" t="s">
        <v>97</v>
      </c>
      <c r="N154" s="22"/>
      <c r="O154" s="22" t="s">
        <v>105</v>
      </c>
    </row>
    <row r="155" customFormat="false" ht="15" hidden="false" customHeight="false" outlineLevel="0" collapsed="false">
      <c r="A155" s="12"/>
      <c r="B155" s="20" t="s">
        <v>74</v>
      </c>
      <c r="C155" s="21" t="n">
        <v>5</v>
      </c>
      <c r="D155" s="20" t="s">
        <v>287</v>
      </c>
      <c r="E155" s="22" t="s">
        <v>288</v>
      </c>
      <c r="F155" s="23" t="n">
        <v>0.13476286096768</v>
      </c>
      <c r="G155" s="24" t="n">
        <v>7.41</v>
      </c>
      <c r="H155" s="20" t="s">
        <v>102</v>
      </c>
      <c r="I155" s="25" t="n">
        <v>570.1</v>
      </c>
      <c r="J155" s="22" t="s">
        <v>144</v>
      </c>
      <c r="K155" s="21" t="n">
        <v>1</v>
      </c>
      <c r="L155" s="20" t="s">
        <v>79</v>
      </c>
      <c r="M155" s="20" t="s">
        <v>80</v>
      </c>
      <c r="N155" s="22" t="s">
        <v>111</v>
      </c>
      <c r="O155" s="22" t="s">
        <v>105</v>
      </c>
    </row>
    <row r="156" customFormat="false" ht="23.85" hidden="false" customHeight="false" outlineLevel="0" collapsed="false">
      <c r="A156" s="13" t="s">
        <v>55</v>
      </c>
      <c r="B156" s="14" t="s">
        <v>74</v>
      </c>
      <c r="C156" s="15" t="n">
        <v>1</v>
      </c>
      <c r="D156" s="14" t="s">
        <v>114</v>
      </c>
      <c r="E156" s="16" t="s">
        <v>115</v>
      </c>
      <c r="F156" s="17" t="n">
        <v>0.595754446356856</v>
      </c>
      <c r="G156" s="18" t="n">
        <v>29.97</v>
      </c>
      <c r="H156" s="14" t="s">
        <v>102</v>
      </c>
      <c r="I156" s="19" t="n">
        <v>11366.1</v>
      </c>
      <c r="J156" s="16" t="s">
        <v>144</v>
      </c>
      <c r="K156" s="15" t="n">
        <v>1</v>
      </c>
      <c r="L156" s="14" t="s">
        <v>85</v>
      </c>
      <c r="M156" s="14" t="s">
        <v>86</v>
      </c>
      <c r="N156" s="16" t="s">
        <v>87</v>
      </c>
      <c r="O156" s="16" t="s">
        <v>88</v>
      </c>
    </row>
    <row r="157" customFormat="false" ht="23.85" hidden="false" customHeight="false" outlineLevel="0" collapsed="false">
      <c r="A157" s="12"/>
      <c r="B157" s="20" t="s">
        <v>74</v>
      </c>
      <c r="C157" s="21" t="n">
        <v>2</v>
      </c>
      <c r="D157" s="20" t="s">
        <v>162</v>
      </c>
      <c r="E157" s="22" t="s">
        <v>163</v>
      </c>
      <c r="F157" s="23" t="n">
        <v>0.548044559189138</v>
      </c>
      <c r="G157" s="24" t="n">
        <v>52.42</v>
      </c>
      <c r="H157" s="20" t="s">
        <v>102</v>
      </c>
      <c r="I157" s="25" t="n">
        <v>3625.3</v>
      </c>
      <c r="J157" s="22" t="s">
        <v>144</v>
      </c>
      <c r="K157" s="21" t="n">
        <v>3</v>
      </c>
      <c r="L157" s="20" t="s">
        <v>79</v>
      </c>
      <c r="M157" s="20" t="s">
        <v>86</v>
      </c>
      <c r="N157" s="22"/>
      <c r="O157" s="22" t="s">
        <v>82</v>
      </c>
    </row>
    <row r="158" customFormat="false" ht="23.85" hidden="false" customHeight="false" outlineLevel="0" collapsed="false">
      <c r="A158" s="12"/>
      <c r="B158" s="20" t="s">
        <v>74</v>
      </c>
      <c r="C158" s="21" t="n">
        <v>3</v>
      </c>
      <c r="D158" s="20" t="s">
        <v>289</v>
      </c>
      <c r="E158" s="22" t="s">
        <v>290</v>
      </c>
      <c r="F158" s="23" t="n">
        <v>0.488511187607573</v>
      </c>
      <c r="G158" s="24" t="n">
        <v>10.36</v>
      </c>
      <c r="H158" s="20" t="s">
        <v>102</v>
      </c>
      <c r="I158" s="25" t="n">
        <v>13045.6</v>
      </c>
      <c r="J158" s="22" t="s">
        <v>144</v>
      </c>
      <c r="K158" s="21" t="n">
        <v>1</v>
      </c>
      <c r="L158" s="20" t="s">
        <v>79</v>
      </c>
      <c r="M158" s="20" t="s">
        <v>86</v>
      </c>
      <c r="N158" s="22" t="s">
        <v>104</v>
      </c>
      <c r="O158" s="22" t="s">
        <v>82</v>
      </c>
    </row>
    <row r="159" customFormat="false" ht="23.85" hidden="false" customHeight="false" outlineLevel="0" collapsed="false">
      <c r="A159" s="12"/>
      <c r="B159" s="20" t="s">
        <v>74</v>
      </c>
      <c r="C159" s="21" t="n">
        <v>4</v>
      </c>
      <c r="D159" s="20" t="s">
        <v>291</v>
      </c>
      <c r="E159" s="22" t="s">
        <v>292</v>
      </c>
      <c r="F159" s="23" t="n">
        <v>0.197523427041499</v>
      </c>
      <c r="G159" s="24" t="n">
        <v>10.14</v>
      </c>
      <c r="H159" s="20" t="s">
        <v>102</v>
      </c>
      <c r="I159" s="25" t="n">
        <v>1053.6</v>
      </c>
      <c r="J159" s="22" t="s">
        <v>144</v>
      </c>
      <c r="K159" s="21" t="n">
        <v>1</v>
      </c>
      <c r="L159" s="20" t="s">
        <v>85</v>
      </c>
      <c r="M159" s="20" t="s">
        <v>86</v>
      </c>
      <c r="N159" s="22" t="s">
        <v>87</v>
      </c>
      <c r="O159" s="22" t="s">
        <v>88</v>
      </c>
    </row>
  </sheetData>
  <autoFilter ref="A4:O159"/>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S3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6"/>
    <col collapsed="false" customWidth="true" hidden="false" outlineLevel="0" max="4" min="4" style="0" width="11"/>
    <col collapsed="false" customWidth="true" hidden="false" outlineLevel="0" max="5" min="5" style="0" width="13"/>
    <col collapsed="false" customWidth="true" hidden="false" outlineLevel="0" max="6" min="6" style="0" width="11"/>
    <col collapsed="false" customWidth="true" hidden="false" outlineLevel="0" max="7" min="7" style="0" width="20"/>
    <col collapsed="false" customWidth="true" hidden="false" outlineLevel="0" max="8" min="8" style="0" width="8"/>
    <col collapsed="false" customWidth="true" hidden="false" outlineLevel="0" max="9" min="9" style="0" width="18"/>
    <col collapsed="false" customWidth="true" hidden="false" outlineLevel="0" max="10" min="10" style="0" width="14"/>
    <col collapsed="false" customWidth="true" hidden="false" outlineLevel="0" max="11" min="11" style="0" width="24"/>
    <col collapsed="false" customWidth="true" hidden="false" outlineLevel="0" max="13" min="12" style="0" width="8"/>
    <col collapsed="false" customWidth="true" hidden="false" outlineLevel="0" max="14" min="14" style="0" width="9"/>
    <col collapsed="false" customWidth="true" hidden="false" outlineLevel="0" max="15" min="15" style="0" width="15"/>
    <col collapsed="false" customWidth="true" hidden="false" outlineLevel="0" max="16" min="16" style="0" width="8"/>
    <col collapsed="false" customWidth="true" hidden="false" outlineLevel="0" max="17" min="17" style="0" width="10"/>
    <col collapsed="false" customWidth="true" hidden="false" outlineLevel="0" max="18" min="18" style="0" width="30"/>
    <col collapsed="false" customWidth="true" hidden="false" outlineLevel="0" max="19" min="19" style="0" width="45"/>
  </cols>
  <sheetData>
    <row r="1" customFormat="false" ht="17.35" hidden="false" customHeight="false" outlineLevel="0" collapsed="false">
      <c r="A1" s="1" t="s">
        <v>293</v>
      </c>
    </row>
    <row r="2" customFormat="false" ht="15" hidden="false" customHeight="false" outlineLevel="0" collapsed="false">
      <c r="A2" s="2" t="s">
        <v>294</v>
      </c>
    </row>
    <row r="3" customFormat="false" ht="15" hidden="false" customHeight="false" outlineLevel="0" collapsed="false">
      <c r="A3" s="27" t="s">
        <v>295</v>
      </c>
      <c r="B3" s="28" t="s">
        <v>296</v>
      </c>
      <c r="C3" s="29" t="n">
        <v>0.5</v>
      </c>
      <c r="D3" s="28" t="s">
        <v>297</v>
      </c>
      <c r="E3" s="29" t="n">
        <v>0.5</v>
      </c>
    </row>
    <row r="5" customFormat="false" ht="42" hidden="false" customHeight="true" outlineLevel="0" collapsed="false">
      <c r="A5" s="6" t="s">
        <v>12</v>
      </c>
      <c r="B5" s="6" t="s">
        <v>62</v>
      </c>
      <c r="C5" s="6" t="s">
        <v>63</v>
      </c>
      <c r="D5" s="6" t="s">
        <v>298</v>
      </c>
      <c r="E5" s="6" t="s">
        <v>66</v>
      </c>
      <c r="F5" s="6" t="s">
        <v>67</v>
      </c>
      <c r="G5" s="6" t="s">
        <v>68</v>
      </c>
      <c r="H5" s="6" t="s">
        <v>69</v>
      </c>
      <c r="I5" s="6" t="s">
        <v>70</v>
      </c>
      <c r="J5" s="6" t="s">
        <v>71</v>
      </c>
      <c r="K5" s="6" t="s">
        <v>72</v>
      </c>
      <c r="L5" s="6" t="s">
        <v>299</v>
      </c>
      <c r="M5" s="6" t="s">
        <v>300</v>
      </c>
      <c r="N5" s="6" t="s">
        <v>64</v>
      </c>
      <c r="O5" s="6" t="s">
        <v>301</v>
      </c>
      <c r="P5" s="6" t="s">
        <v>302</v>
      </c>
      <c r="Q5" s="6" t="s">
        <v>60</v>
      </c>
      <c r="R5" s="6" t="s">
        <v>73</v>
      </c>
      <c r="S5" s="6" t="s">
        <v>303</v>
      </c>
    </row>
    <row r="6" customFormat="false" ht="23.85" hidden="false" customHeight="false" outlineLevel="0" collapsed="false">
      <c r="A6" s="12" t="s">
        <v>55</v>
      </c>
      <c r="B6" s="12" t="s">
        <v>114</v>
      </c>
      <c r="C6" s="10" t="s">
        <v>115</v>
      </c>
      <c r="D6" s="26" t="n">
        <v>29.97</v>
      </c>
      <c r="E6" s="12" t="s">
        <v>102</v>
      </c>
      <c r="F6" s="11" t="n">
        <v>11366.1</v>
      </c>
      <c r="G6" s="10" t="s">
        <v>144</v>
      </c>
      <c r="H6" s="7" t="n">
        <v>1</v>
      </c>
      <c r="I6" s="12" t="s">
        <v>85</v>
      </c>
      <c r="J6" s="12" t="s">
        <v>86</v>
      </c>
      <c r="K6" s="10" t="s">
        <v>87</v>
      </c>
      <c r="L6" s="9" t="n">
        <f aca="false">IF(ISNUMBER(D6),COUNTIF($D$6:$D$338,"&lt;"&amp;D6)/(COUNT($D$6:$D$338)-1),"")</f>
        <v>0.504761904761905</v>
      </c>
      <c r="M6" s="9" t="n">
        <f aca="false">IF(ISNUMBER(F6),COUNTIF($F$6:$F$338,"&lt;"&amp;F6)/(COUNT($F$6:$F$338)-1),"")</f>
        <v>0.686746987951807</v>
      </c>
      <c r="N6" s="9" t="n">
        <f aca="false">IF(AND(L6="",M6=""),"",(IF(ISNUMBER(L6),$C$3*L6,0)+IF(ISNUMBER(M6),$E$3*M6,0))/(IF(ISNUMBER(L6),$C$3,0)+IF(ISNUMBER(M6),$E$3,0)))</f>
        <v>0.595754446356856</v>
      </c>
      <c r="O6" s="12"/>
      <c r="P6" s="7" t="n">
        <f aca="false">IF(O6&lt;&gt;"","",COUNTIFS($A$6:$A$338,A6,$O$6:$O$338,"",$N$6:$N$338,"&gt;"&amp;N6)+COUNTIFS($A$6:A6,A6,$O$6:O6,"",$N$6:N6,N6))</f>
        <v>1</v>
      </c>
      <c r="Q6" s="12" t="str">
        <f aca="false">IF(P6="","Excluded",IF(P6&lt;=5,"Lead",IF(P6&lt;=10,"Next wave","Long list")))</f>
        <v>Lead</v>
      </c>
      <c r="R6" s="10" t="s">
        <v>88</v>
      </c>
      <c r="S6" s="30" t="s">
        <v>304</v>
      </c>
    </row>
    <row r="7" customFormat="false" ht="23.85" hidden="false" customHeight="false" outlineLevel="0" collapsed="false">
      <c r="A7" s="12" t="s">
        <v>55</v>
      </c>
      <c r="B7" s="12" t="s">
        <v>162</v>
      </c>
      <c r="C7" s="10" t="s">
        <v>163</v>
      </c>
      <c r="D7" s="26" t="n">
        <v>52.42</v>
      </c>
      <c r="E7" s="12" t="s">
        <v>102</v>
      </c>
      <c r="F7" s="11" t="n">
        <v>3625.3</v>
      </c>
      <c r="G7" s="10" t="s">
        <v>144</v>
      </c>
      <c r="H7" s="7" t="n">
        <v>3</v>
      </c>
      <c r="I7" s="12" t="s">
        <v>79</v>
      </c>
      <c r="J7" s="12" t="s">
        <v>86</v>
      </c>
      <c r="K7" s="10"/>
      <c r="L7" s="9" t="n">
        <f aca="false">IF(ISNUMBER(D7),COUNTIF($D$6:$D$338,"&lt;"&amp;D7)/(COUNT($D$6:$D$338)-1),"")</f>
        <v>0.641269841269841</v>
      </c>
      <c r="M7" s="9" t="n">
        <f aca="false">IF(ISNUMBER(F7),COUNTIF($F$6:$F$338,"&lt;"&amp;F7)/(COUNT($F$6:$F$338)-1),"")</f>
        <v>0.454819277108434</v>
      </c>
      <c r="N7" s="9" t="n">
        <f aca="false">IF(AND(L7="",M7=""),"",(IF(ISNUMBER(L7),$C$3*L7,0)+IF(ISNUMBER(M7),$E$3*M7,0))/(IF(ISNUMBER(L7),$C$3,0)+IF(ISNUMBER(M7),$E$3,0)))</f>
        <v>0.548044559189138</v>
      </c>
      <c r="O7" s="12"/>
      <c r="P7" s="7" t="n">
        <f aca="false">IF(O7&lt;&gt;"","",COUNTIFS($A$6:$A$338,A7,$O$6:$O$338,"",$N$6:$N$338,"&gt;"&amp;N7)+COUNTIFS($A$6:A7,A7,$O$6:O7,"",$N$6:N7,N7))</f>
        <v>2</v>
      </c>
      <c r="Q7" s="12" t="str">
        <f aca="false">IF(P7="","Excluded",IF(P7&lt;=5,"Lead",IF(P7&lt;=10,"Next wave","Long list")))</f>
        <v>Lead</v>
      </c>
      <c r="R7" s="10" t="s">
        <v>82</v>
      </c>
      <c r="S7" s="30" t="s">
        <v>305</v>
      </c>
    </row>
    <row r="8" customFormat="false" ht="35.05" hidden="false" customHeight="false" outlineLevel="0" collapsed="false">
      <c r="A8" s="12" t="s">
        <v>55</v>
      </c>
      <c r="B8" s="12" t="s">
        <v>289</v>
      </c>
      <c r="C8" s="10" t="s">
        <v>290</v>
      </c>
      <c r="D8" s="26" t="n">
        <v>10.36</v>
      </c>
      <c r="E8" s="12" t="s">
        <v>102</v>
      </c>
      <c r="F8" s="11" t="n">
        <v>13045.6</v>
      </c>
      <c r="G8" s="10" t="s">
        <v>144</v>
      </c>
      <c r="H8" s="7" t="n">
        <v>1</v>
      </c>
      <c r="I8" s="12" t="s">
        <v>79</v>
      </c>
      <c r="J8" s="12" t="s">
        <v>86</v>
      </c>
      <c r="K8" s="10" t="s">
        <v>104</v>
      </c>
      <c r="L8" s="9" t="n">
        <f aca="false">IF(ISNUMBER(D8),COUNTIF($D$6:$D$338,"&lt;"&amp;D8)/(COUNT($D$6:$D$338)-1),"")</f>
        <v>0.257142857142857</v>
      </c>
      <c r="M8" s="9" t="n">
        <f aca="false">IF(ISNUMBER(F8),COUNTIF($F$6:$F$338,"&lt;"&amp;F8)/(COUNT($F$6:$F$338)-1),"")</f>
        <v>0.719879518072289</v>
      </c>
      <c r="N8" s="9" t="n">
        <f aca="false">IF(AND(L8="",M8=""),"",(IF(ISNUMBER(L8),$C$3*L8,0)+IF(ISNUMBER(M8),$E$3*M8,0))/(IF(ISNUMBER(L8),$C$3,0)+IF(ISNUMBER(M8),$E$3,0)))</f>
        <v>0.488511187607573</v>
      </c>
      <c r="O8" s="12"/>
      <c r="P8" s="7" t="n">
        <f aca="false">IF(O8&lt;&gt;"","",COUNTIFS($A$6:$A$338,A8,$O$6:$O$338,"",$N$6:$N$338,"&gt;"&amp;N8)+COUNTIFS($A$6:A8,A8,$O$6:O8,"",$N$6:N8,N8))</f>
        <v>3</v>
      </c>
      <c r="Q8" s="12" t="str">
        <f aca="false">IF(P8="","Excluded",IF(P8&lt;=5,"Lead",IF(P8&lt;=10,"Next wave","Long list")))</f>
        <v>Lead</v>
      </c>
      <c r="R8" s="10" t="s">
        <v>82</v>
      </c>
      <c r="S8" s="30" t="s">
        <v>306</v>
      </c>
    </row>
    <row r="9" customFormat="false" ht="23.85" hidden="false" customHeight="false" outlineLevel="0" collapsed="false">
      <c r="A9" s="12" t="s">
        <v>55</v>
      </c>
      <c r="B9" s="12" t="s">
        <v>291</v>
      </c>
      <c r="C9" s="10" t="s">
        <v>292</v>
      </c>
      <c r="D9" s="26" t="n">
        <v>10.14</v>
      </c>
      <c r="E9" s="12" t="s">
        <v>102</v>
      </c>
      <c r="F9" s="11" t="n">
        <v>1053.6</v>
      </c>
      <c r="G9" s="10" t="s">
        <v>144</v>
      </c>
      <c r="H9" s="7" t="n">
        <v>1</v>
      </c>
      <c r="I9" s="12" t="s">
        <v>85</v>
      </c>
      <c r="J9" s="12" t="s">
        <v>86</v>
      </c>
      <c r="K9" s="10" t="s">
        <v>87</v>
      </c>
      <c r="L9" s="9" t="n">
        <f aca="false">IF(ISNUMBER(D9),COUNTIF($D$6:$D$338,"&lt;"&amp;D9)/(COUNT($D$6:$D$338)-1),"")</f>
        <v>0.244444444444444</v>
      </c>
      <c r="M9" s="9" t="n">
        <f aca="false">IF(ISNUMBER(F9),COUNTIF($F$6:$F$338,"&lt;"&amp;F9)/(COUNT($F$6:$F$338)-1),"")</f>
        <v>0.150602409638554</v>
      </c>
      <c r="N9" s="9" t="n">
        <f aca="false">IF(AND(L9="",M9=""),"",(IF(ISNUMBER(L9),$C$3*L9,0)+IF(ISNUMBER(M9),$E$3*M9,0))/(IF(ISNUMBER(L9),$C$3,0)+IF(ISNUMBER(M9),$E$3,0)))</f>
        <v>0.197523427041499</v>
      </c>
      <c r="O9" s="12"/>
      <c r="P9" s="7" t="n">
        <f aca="false">IF(O9&lt;&gt;"","",COUNTIFS($A$6:$A$338,A9,$O$6:$O$338,"",$N$6:$N$338,"&gt;"&amp;N9)+COUNTIFS($A$6:A9,A9,$O$6:O9,"",$N$6:N9,N9))</f>
        <v>4</v>
      </c>
      <c r="Q9" s="12" t="str">
        <f aca="false">IF(P9="","Excluded",IF(P9&lt;=5,"Lead",IF(P9&lt;=10,"Next wave","Long list")))</f>
        <v>Lead</v>
      </c>
      <c r="R9" s="10" t="s">
        <v>88</v>
      </c>
      <c r="S9" s="30" t="s">
        <v>307</v>
      </c>
    </row>
    <row r="10" customFormat="false" ht="23.85" hidden="false" customHeight="false" outlineLevel="0" collapsed="false">
      <c r="A10" s="12" t="s">
        <v>55</v>
      </c>
      <c r="B10" s="12" t="s">
        <v>308</v>
      </c>
      <c r="C10" s="10" t="s">
        <v>309</v>
      </c>
      <c r="D10" s="26"/>
      <c r="E10" s="12" t="s">
        <v>102</v>
      </c>
      <c r="F10" s="11" t="n">
        <v>4256.8</v>
      </c>
      <c r="G10" s="10" t="s">
        <v>144</v>
      </c>
      <c r="H10" s="7" t="n">
        <v>1</v>
      </c>
      <c r="I10" s="12" t="s">
        <v>97</v>
      </c>
      <c r="J10" s="12" t="s">
        <v>97</v>
      </c>
      <c r="K10" s="10"/>
      <c r="L10" s="9" t="str">
        <f aca="false">IF(ISNUMBER(D10),COUNTIF($D$6:$D$338,"&lt;"&amp;D10)/(COUNT($D$6:$D$338)-1),"")</f>
        <v/>
      </c>
      <c r="M10" s="9" t="n">
        <f aca="false">IF(ISNUMBER(F10),COUNTIF($F$6:$F$338,"&lt;"&amp;F10)/(COUNT($F$6:$F$338)-1),"")</f>
        <v>0.512048192771084</v>
      </c>
      <c r="N10" s="9" t="n">
        <f aca="false">IF(AND(L10="",M10=""),"",(IF(ISNUMBER(L10),$C$3*L10,0)+IF(ISNUMBER(M10),$E$3*M10,0))/(IF(ISNUMBER(L10),$C$3,0)+IF(ISNUMBER(M10),$E$3,0)))</f>
        <v>0.512048192771084</v>
      </c>
      <c r="O10" s="12" t="s">
        <v>310</v>
      </c>
      <c r="P10" s="7" t="str">
        <f aca="false">IF(O10&lt;&gt;"","",COUNTIFS($A$6:$A$338,A10,$O$6:$O$338,"",$N$6:$N$338,"&gt;"&amp;N10)+COUNTIFS($A$6:A10,A10,$O$6:O10,"",$N$6:N10,N10))</f>
        <v/>
      </c>
      <c r="Q10" s="12" t="str">
        <f aca="false">IF(P10="","Excluded",IF(P10&lt;=5,"Lead",IF(P10&lt;=10,"Next wave","Long list")))</f>
        <v>Excluded</v>
      </c>
      <c r="R10" s="10" t="s">
        <v>99</v>
      </c>
      <c r="S10" s="30" t="s">
        <v>311</v>
      </c>
    </row>
    <row r="11" customFormat="false" ht="23.85" hidden="false" customHeight="false" outlineLevel="0" collapsed="false">
      <c r="A11" s="12" t="s">
        <v>55</v>
      </c>
      <c r="B11" s="12" t="s">
        <v>312</v>
      </c>
      <c r="C11" s="10" t="s">
        <v>313</v>
      </c>
      <c r="D11" s="26"/>
      <c r="E11" s="12" t="s">
        <v>102</v>
      </c>
      <c r="F11" s="11" t="n">
        <v>2630</v>
      </c>
      <c r="G11" s="10" t="s">
        <v>144</v>
      </c>
      <c r="H11" s="7" t="n">
        <v>1</v>
      </c>
      <c r="I11" s="12" t="s">
        <v>85</v>
      </c>
      <c r="J11" s="12" t="s">
        <v>86</v>
      </c>
      <c r="K11" s="10" t="s">
        <v>87</v>
      </c>
      <c r="L11" s="9" t="str">
        <f aca="false">IF(ISNUMBER(D11),COUNTIF($D$6:$D$338,"&lt;"&amp;D11)/(COUNT($D$6:$D$338)-1),"")</f>
        <v/>
      </c>
      <c r="M11" s="9" t="n">
        <f aca="false">IF(ISNUMBER(F11),COUNTIF($F$6:$F$338,"&lt;"&amp;F11)/(COUNT($F$6:$F$338)-1),"")</f>
        <v>0.331325301204819</v>
      </c>
      <c r="N11" s="9" t="n">
        <f aca="false">IF(AND(L11="",M11=""),"",(IF(ISNUMBER(L11),$C$3*L11,0)+IF(ISNUMBER(M11),$E$3*M11,0))/(IF(ISNUMBER(L11),$C$3,0)+IF(ISNUMBER(M11),$E$3,0)))</f>
        <v>0.331325301204819</v>
      </c>
      <c r="O11" s="12" t="s">
        <v>310</v>
      </c>
      <c r="P11" s="7" t="str">
        <f aca="false">IF(O11&lt;&gt;"","",COUNTIFS($A$6:$A$338,A11,$O$6:$O$338,"",$N$6:$N$338,"&gt;"&amp;N11)+COUNTIFS($A$6:A11,A11,$O$6:O11,"",$N$6:N11,N11))</f>
        <v/>
      </c>
      <c r="Q11" s="12" t="str">
        <f aca="false">IF(P11="","Excluded",IF(P11&lt;=5,"Lead",IF(P11&lt;=10,"Next wave","Long list")))</f>
        <v>Excluded</v>
      </c>
      <c r="R11" s="10" t="s">
        <v>88</v>
      </c>
      <c r="S11" s="30" t="s">
        <v>314</v>
      </c>
    </row>
    <row r="12" customFormat="false" ht="23.85" hidden="false" customHeight="false" outlineLevel="0" collapsed="false">
      <c r="A12" s="12" t="s">
        <v>23</v>
      </c>
      <c r="B12" s="12" t="s">
        <v>75</v>
      </c>
      <c r="C12" s="10" t="s">
        <v>76</v>
      </c>
      <c r="D12" s="26" t="n">
        <v>256.12</v>
      </c>
      <c r="E12" s="12" t="s">
        <v>77</v>
      </c>
      <c r="F12" s="11" t="n">
        <v>42181.7</v>
      </c>
      <c r="G12" s="10" t="s">
        <v>91</v>
      </c>
      <c r="H12" s="7" t="n">
        <v>11</v>
      </c>
      <c r="I12" s="12" t="s">
        <v>79</v>
      </c>
      <c r="J12" s="12" t="s">
        <v>80</v>
      </c>
      <c r="K12" s="10" t="s">
        <v>81</v>
      </c>
      <c r="L12" s="9" t="n">
        <f aca="false">IF(ISNUMBER(D12),COUNTIF($D$6:$D$338,"&lt;"&amp;D12)/(COUNT($D$6:$D$338)-1),"")</f>
        <v>0.879365079365079</v>
      </c>
      <c r="M12" s="9" t="n">
        <f aca="false">IF(ISNUMBER(F12),COUNTIF($F$6:$F$338,"&lt;"&amp;F12)/(COUNT($F$6:$F$338)-1),"")</f>
        <v>0.897590361445783</v>
      </c>
      <c r="N12" s="9" t="n">
        <f aca="false">IF(AND(L12="",M12=""),"",(IF(ISNUMBER(L12),$C$3*L12,0)+IF(ISNUMBER(M12),$E$3*M12,0))/(IF(ISNUMBER(L12),$C$3,0)+IF(ISNUMBER(M12),$E$3,0)))</f>
        <v>0.888477720405431</v>
      </c>
      <c r="O12" s="12"/>
      <c r="P12" s="7" t="n">
        <f aca="false">IF(O12&lt;&gt;"","",COUNTIFS($A$6:$A$338,A12,$O$6:$O$338,"",$N$6:$N$338,"&gt;"&amp;N12)+COUNTIFS($A$6:A12,A12,$O$6:O12,"",$N$6:N12,N12))</f>
        <v>1</v>
      </c>
      <c r="Q12" s="12" t="str">
        <f aca="false">IF(P12="","Excluded",IF(P12&lt;=5,"Lead",IF(P12&lt;=10,"Next wave","Long list")))</f>
        <v>Lead</v>
      </c>
      <c r="R12" s="10" t="s">
        <v>82</v>
      </c>
      <c r="S12" s="30" t="s">
        <v>315</v>
      </c>
    </row>
    <row r="13" customFormat="false" ht="23.85" hidden="false" customHeight="false" outlineLevel="0" collapsed="false">
      <c r="A13" s="12" t="s">
        <v>23</v>
      </c>
      <c r="B13" s="12" t="s">
        <v>89</v>
      </c>
      <c r="C13" s="10" t="s">
        <v>90</v>
      </c>
      <c r="D13" s="26" t="n">
        <v>584.34</v>
      </c>
      <c r="E13" s="12" t="s">
        <v>77</v>
      </c>
      <c r="F13" s="11" t="n">
        <v>28093.4</v>
      </c>
      <c r="G13" s="10" t="s">
        <v>116</v>
      </c>
      <c r="H13" s="7" t="n">
        <v>12</v>
      </c>
      <c r="I13" s="12" t="s">
        <v>79</v>
      </c>
      <c r="J13" s="12" t="s">
        <v>80</v>
      </c>
      <c r="K13" s="10" t="s">
        <v>81</v>
      </c>
      <c r="L13" s="9" t="n">
        <f aca="false">IF(ISNUMBER(D13),COUNTIF($D$6:$D$338,"&lt;"&amp;D13)/(COUNT($D$6:$D$338)-1),"")</f>
        <v>0.955555555555556</v>
      </c>
      <c r="M13" s="9" t="n">
        <f aca="false">IF(ISNUMBER(F13),COUNTIF($F$6:$F$338,"&lt;"&amp;F13)/(COUNT($F$6:$F$338)-1),"")</f>
        <v>0.792168674698795</v>
      </c>
      <c r="N13" s="9" t="n">
        <f aca="false">IF(AND(L13="",M13=""),"",(IF(ISNUMBER(L13),$C$3*L13,0)+IF(ISNUMBER(M13),$E$3*M13,0))/(IF(ISNUMBER(L13),$C$3,0)+IF(ISNUMBER(M13),$E$3,0)))</f>
        <v>0.873862115127175</v>
      </c>
      <c r="O13" s="12"/>
      <c r="P13" s="7" t="n">
        <f aca="false">IF(O13&lt;&gt;"","",COUNTIFS($A$6:$A$338,A13,$O$6:$O$338,"",$N$6:$N$338,"&gt;"&amp;N13)+COUNTIFS($A$6:A13,A13,$O$6:O13,"",$N$6:N13,N13))</f>
        <v>2</v>
      </c>
      <c r="Q13" s="12" t="str">
        <f aca="false">IF(P13="","Excluded",IF(P13&lt;=5,"Lead",IF(P13&lt;=10,"Next wave","Long list")))</f>
        <v>Lead</v>
      </c>
      <c r="R13" s="10" t="s">
        <v>82</v>
      </c>
      <c r="S13" s="30" t="s">
        <v>316</v>
      </c>
    </row>
    <row r="14" customFormat="false" ht="23.85" hidden="false" customHeight="false" outlineLevel="0" collapsed="false">
      <c r="A14" s="12" t="s">
        <v>23</v>
      </c>
      <c r="B14" s="12" t="s">
        <v>107</v>
      </c>
      <c r="C14" s="10" t="s">
        <v>108</v>
      </c>
      <c r="D14" s="26" t="n">
        <v>93.73</v>
      </c>
      <c r="E14" s="12" t="s">
        <v>102</v>
      </c>
      <c r="F14" s="11" t="n">
        <v>59827.2</v>
      </c>
      <c r="G14" s="10" t="s">
        <v>140</v>
      </c>
      <c r="H14" s="7" t="n">
        <v>5</v>
      </c>
      <c r="I14" s="12" t="s">
        <v>79</v>
      </c>
      <c r="J14" s="12" t="s">
        <v>80</v>
      </c>
      <c r="K14" s="10" t="s">
        <v>111</v>
      </c>
      <c r="L14" s="9" t="n">
        <f aca="false">IF(ISNUMBER(D14),COUNTIF($D$6:$D$338,"&lt;"&amp;D14)/(COUNT($D$6:$D$338)-1),"")</f>
        <v>0.771428571428572</v>
      </c>
      <c r="M14" s="9" t="n">
        <f aca="false">IF(ISNUMBER(F14),COUNTIF($F$6:$F$338,"&lt;"&amp;F14)/(COUNT($F$6:$F$338)-1),"")</f>
        <v>0.957831325301205</v>
      </c>
      <c r="N14" s="9" t="n">
        <f aca="false">IF(AND(L14="",M14=""),"",(IF(ISNUMBER(L14),$C$3*L14,0)+IF(ISNUMBER(M14),$E$3*M14,0))/(IF(ISNUMBER(L14),$C$3,0)+IF(ISNUMBER(M14),$E$3,0)))</f>
        <v>0.864629948364888</v>
      </c>
      <c r="O14" s="12"/>
      <c r="P14" s="7" t="n">
        <f aca="false">IF(O14&lt;&gt;"","",COUNTIFS($A$6:$A$338,A14,$O$6:$O$338,"",$N$6:$N$338,"&gt;"&amp;N14)+COUNTIFS($A$6:A14,A14,$O$6:O14,"",$N$6:N14,N14))</f>
        <v>3</v>
      </c>
      <c r="Q14" s="12" t="str">
        <f aca="false">IF(P14="","Excluded",IF(P14&lt;=5,"Lead",IF(P14&lt;=10,"Next wave","Long list")))</f>
        <v>Lead</v>
      </c>
      <c r="R14" s="10" t="s">
        <v>82</v>
      </c>
      <c r="S14" s="30" t="s">
        <v>317</v>
      </c>
    </row>
    <row r="15" customFormat="false" ht="23.85" hidden="false" customHeight="false" outlineLevel="0" collapsed="false">
      <c r="A15" s="12" t="s">
        <v>23</v>
      </c>
      <c r="B15" s="12" t="s">
        <v>112</v>
      </c>
      <c r="C15" s="10" t="s">
        <v>113</v>
      </c>
      <c r="D15" s="26" t="n">
        <v>3710.2</v>
      </c>
      <c r="E15" s="12" t="s">
        <v>77</v>
      </c>
      <c r="F15" s="11" t="n">
        <v>7904.7</v>
      </c>
      <c r="G15" s="10" t="s">
        <v>141</v>
      </c>
      <c r="H15" s="7" t="n">
        <v>10</v>
      </c>
      <c r="I15" s="12" t="s">
        <v>79</v>
      </c>
      <c r="J15" s="12" t="s">
        <v>86</v>
      </c>
      <c r="K15" s="10"/>
      <c r="L15" s="9" t="n">
        <f aca="false">IF(ISNUMBER(D15),COUNTIF($D$6:$D$338,"&lt;"&amp;D15)/(COUNT($D$6:$D$338)-1),"")</f>
        <v>0.980952380952381</v>
      </c>
      <c r="M15" s="9" t="n">
        <f aca="false">IF(ISNUMBER(F15),COUNTIF($F$6:$F$338,"&lt;"&amp;F15)/(COUNT($F$6:$F$338)-1),"")</f>
        <v>0.650602409638554</v>
      </c>
      <c r="N15" s="9" t="n">
        <f aca="false">IF(AND(L15="",M15=""),"",(IF(ISNUMBER(L15),$C$3*L15,0)+IF(ISNUMBER(M15),$E$3*M15,0))/(IF(ISNUMBER(L15),$C$3,0)+IF(ISNUMBER(M15),$E$3,0)))</f>
        <v>0.815777395295468</v>
      </c>
      <c r="O15" s="12"/>
      <c r="P15" s="7" t="n">
        <f aca="false">IF(O15&lt;&gt;"","",COUNTIFS($A$6:$A$338,A15,$O$6:$O$338,"",$N$6:$N$338,"&gt;"&amp;N15)+COUNTIFS($A$6:A15,A15,$O$6:O15,"",$N$6:N15,N15))</f>
        <v>4</v>
      </c>
      <c r="Q15" s="12" t="str">
        <f aca="false">IF(P15="","Excluded",IF(P15&lt;=5,"Lead",IF(P15&lt;=10,"Next wave","Long list")))</f>
        <v>Lead</v>
      </c>
      <c r="R15" s="10" t="s">
        <v>82</v>
      </c>
      <c r="S15" s="30" t="s">
        <v>318</v>
      </c>
    </row>
    <row r="16" customFormat="false" ht="23.85" hidden="false" customHeight="false" outlineLevel="0" collapsed="false">
      <c r="A16" s="12" t="s">
        <v>23</v>
      </c>
      <c r="B16" s="12" t="s">
        <v>114</v>
      </c>
      <c r="C16" s="10" t="s">
        <v>115</v>
      </c>
      <c r="D16" s="26" t="n">
        <v>308.1</v>
      </c>
      <c r="E16" s="12" t="s">
        <v>77</v>
      </c>
      <c r="F16" s="11" t="n">
        <v>11366.1</v>
      </c>
      <c r="G16" s="10" t="s">
        <v>78</v>
      </c>
      <c r="H16" s="7" t="n">
        <v>10</v>
      </c>
      <c r="I16" s="12" t="s">
        <v>85</v>
      </c>
      <c r="J16" s="12" t="s">
        <v>86</v>
      </c>
      <c r="K16" s="10" t="s">
        <v>87</v>
      </c>
      <c r="L16" s="9" t="n">
        <f aca="false">IF(ISNUMBER(D16),COUNTIF($D$6:$D$338,"&lt;"&amp;D16)/(COUNT($D$6:$D$338)-1),"")</f>
        <v>0.898412698412698</v>
      </c>
      <c r="M16" s="9" t="n">
        <f aca="false">IF(ISNUMBER(F16),COUNTIF($F$6:$F$338,"&lt;"&amp;F16)/(COUNT($F$6:$F$338)-1),"")</f>
        <v>0.686746987951807</v>
      </c>
      <c r="N16" s="9" t="n">
        <f aca="false">IF(AND(L16="",M16=""),"",(IF(ISNUMBER(L16),$C$3*L16,0)+IF(ISNUMBER(M16),$E$3*M16,0))/(IF(ISNUMBER(L16),$C$3,0)+IF(ISNUMBER(M16),$E$3,0)))</f>
        <v>0.792579843182253</v>
      </c>
      <c r="O16" s="12"/>
      <c r="P16" s="7" t="n">
        <f aca="false">IF(O16&lt;&gt;"","",COUNTIFS($A$6:$A$338,A16,$O$6:$O$338,"",$N$6:$N$338,"&gt;"&amp;N16)+COUNTIFS($A$6:A16,A16,$O$6:O16,"",$N$6:N16,N16))</f>
        <v>5</v>
      </c>
      <c r="Q16" s="12" t="str">
        <f aca="false">IF(P16="","Excluded",IF(P16&lt;=5,"Lead",IF(P16&lt;=10,"Next wave","Long list")))</f>
        <v>Lead</v>
      </c>
      <c r="R16" s="10" t="s">
        <v>88</v>
      </c>
      <c r="S16" s="30" t="s">
        <v>304</v>
      </c>
    </row>
    <row r="17" customFormat="false" ht="23.85" hidden="false" customHeight="false" outlineLevel="0" collapsed="false">
      <c r="A17" s="12" t="s">
        <v>23</v>
      </c>
      <c r="B17" s="12" t="s">
        <v>142</v>
      </c>
      <c r="C17" s="10" t="s">
        <v>143</v>
      </c>
      <c r="D17" s="26" t="n">
        <v>343.8</v>
      </c>
      <c r="E17" s="12" t="s">
        <v>102</v>
      </c>
      <c r="F17" s="11" t="n">
        <v>5178.3</v>
      </c>
      <c r="G17" s="10" t="s">
        <v>144</v>
      </c>
      <c r="H17" s="7" t="n">
        <v>1</v>
      </c>
      <c r="I17" s="12" t="s">
        <v>79</v>
      </c>
      <c r="J17" s="12" t="s">
        <v>86</v>
      </c>
      <c r="K17" s="10"/>
      <c r="L17" s="9" t="n">
        <f aca="false">IF(ISNUMBER(D17),COUNTIF($D$6:$D$338,"&lt;"&amp;D17)/(COUNT($D$6:$D$338)-1),"")</f>
        <v>0.904761904761905</v>
      </c>
      <c r="M17" s="9" t="n">
        <f aca="false">IF(ISNUMBER(F17),COUNTIF($F$6:$F$338,"&lt;"&amp;F17)/(COUNT($F$6:$F$338)-1),"")</f>
        <v>0.55421686746988</v>
      </c>
      <c r="N17" s="9" t="n">
        <f aca="false">IF(AND(L17="",M17=""),"",(IF(ISNUMBER(L17),$C$3*L17,0)+IF(ISNUMBER(M17),$E$3*M17,0))/(IF(ISNUMBER(L17),$C$3,0)+IF(ISNUMBER(M17),$E$3,0)))</f>
        <v>0.729489386115892</v>
      </c>
      <c r="O17" s="12"/>
      <c r="P17" s="7" t="n">
        <f aca="false">IF(O17&lt;&gt;"","",COUNTIFS($A$6:$A$338,A17,$O$6:$O$338,"",$N$6:$N$338,"&gt;"&amp;N17)+COUNTIFS($A$6:A17,A17,$O$6:O17,"",$N$6:N17,N17))</f>
        <v>6</v>
      </c>
      <c r="Q17" s="12" t="str">
        <f aca="false">IF(P17="","Excluded",IF(P17&lt;=5,"Lead",IF(P17&lt;=10,"Next wave","Long list")))</f>
        <v>Next wave</v>
      </c>
      <c r="R17" s="10" t="s">
        <v>105</v>
      </c>
      <c r="S17" s="30" t="s">
        <v>319</v>
      </c>
    </row>
    <row r="18" customFormat="false" ht="23.85" hidden="false" customHeight="false" outlineLevel="0" collapsed="false">
      <c r="A18" s="12" t="s">
        <v>23</v>
      </c>
      <c r="B18" s="12" t="s">
        <v>145</v>
      </c>
      <c r="C18" s="10" t="s">
        <v>146</v>
      </c>
      <c r="D18" s="26" t="n">
        <v>28.55</v>
      </c>
      <c r="E18" s="12" t="s">
        <v>77</v>
      </c>
      <c r="F18" s="11" t="n">
        <v>53539.9</v>
      </c>
      <c r="G18" s="10" t="s">
        <v>147</v>
      </c>
      <c r="H18" s="7" t="n">
        <v>10</v>
      </c>
      <c r="I18" s="12" t="s">
        <v>79</v>
      </c>
      <c r="J18" s="12" t="s">
        <v>110</v>
      </c>
      <c r="K18" s="10" t="s">
        <v>111</v>
      </c>
      <c r="L18" s="9" t="n">
        <f aca="false">IF(ISNUMBER(D18),COUNTIF($D$6:$D$338,"&lt;"&amp;D18)/(COUNT($D$6:$D$338)-1),"")</f>
        <v>0.492063492063492</v>
      </c>
      <c r="M18" s="9" t="n">
        <f aca="false">IF(ISNUMBER(F18),COUNTIF($F$6:$F$338,"&lt;"&amp;F18)/(COUNT($F$6:$F$338)-1),"")</f>
        <v>0.921686746987952</v>
      </c>
      <c r="N18" s="9" t="n">
        <f aca="false">IF(AND(L18="",M18=""),"",(IF(ISNUMBER(L18),$C$3*L18,0)+IF(ISNUMBER(M18),$E$3*M18,0))/(IF(ISNUMBER(L18),$C$3,0)+IF(ISNUMBER(M18),$E$3,0)))</f>
        <v>0.706875119525722</v>
      </c>
      <c r="O18" s="12"/>
      <c r="P18" s="7" t="n">
        <f aca="false">IF(O18&lt;&gt;"","",COUNTIFS($A$6:$A$338,A18,$O$6:$O$338,"",$N$6:$N$338,"&gt;"&amp;N18)+COUNTIFS($A$6:A18,A18,$O$6:O18,"",$N$6:N18,N18))</f>
        <v>7</v>
      </c>
      <c r="Q18" s="12" t="str">
        <f aca="false">IF(P18="","Excluded",IF(P18&lt;=5,"Lead",IF(P18&lt;=10,"Next wave","Long list")))</f>
        <v>Next wave</v>
      </c>
      <c r="R18" s="10" t="s">
        <v>82</v>
      </c>
      <c r="S18" s="30" t="s">
        <v>320</v>
      </c>
    </row>
    <row r="19" customFormat="false" ht="23.85" hidden="false" customHeight="false" outlineLevel="0" collapsed="false">
      <c r="A19" s="12" t="s">
        <v>23</v>
      </c>
      <c r="B19" s="12" t="s">
        <v>124</v>
      </c>
      <c r="C19" s="10" t="s">
        <v>125</v>
      </c>
      <c r="D19" s="26" t="n">
        <v>234.04</v>
      </c>
      <c r="E19" s="12" t="s">
        <v>102</v>
      </c>
      <c r="F19" s="11" t="n">
        <v>3871.2</v>
      </c>
      <c r="G19" s="10" t="s">
        <v>144</v>
      </c>
      <c r="H19" s="7" t="n">
        <v>1</v>
      </c>
      <c r="I19" s="12" t="s">
        <v>79</v>
      </c>
      <c r="J19" s="12" t="s">
        <v>86</v>
      </c>
      <c r="K19" s="10" t="s">
        <v>104</v>
      </c>
      <c r="L19" s="9" t="n">
        <f aca="false">IF(ISNUMBER(D19),COUNTIF($D$6:$D$338,"&lt;"&amp;D19)/(COUNT($D$6:$D$338)-1),"")</f>
        <v>0.863492063492064</v>
      </c>
      <c r="M19" s="9" t="n">
        <f aca="false">IF(ISNUMBER(F19),COUNTIF($F$6:$F$338,"&lt;"&amp;F19)/(COUNT($F$6:$F$338)-1),"")</f>
        <v>0.475903614457831</v>
      </c>
      <c r="N19" s="9" t="n">
        <f aca="false">IF(AND(L19="",M19=""),"",(IF(ISNUMBER(L19),$C$3*L19,0)+IF(ISNUMBER(M19),$E$3*M19,0))/(IF(ISNUMBER(L19),$C$3,0)+IF(ISNUMBER(M19),$E$3,0)))</f>
        <v>0.669697838974947</v>
      </c>
      <c r="O19" s="12"/>
      <c r="P19" s="7" t="n">
        <f aca="false">IF(O19&lt;&gt;"","",COUNTIFS($A$6:$A$338,A19,$O$6:$O$338,"",$N$6:$N$338,"&gt;"&amp;N19)+COUNTIFS($A$6:A19,A19,$O$6:O19,"",$N$6:N19,N19))</f>
        <v>8</v>
      </c>
      <c r="Q19" s="12" t="str">
        <f aca="false">IF(P19="","Excluded",IF(P19&lt;=5,"Lead",IF(P19&lt;=10,"Next wave","Long list")))</f>
        <v>Next wave</v>
      </c>
      <c r="R19" s="10" t="s">
        <v>82</v>
      </c>
      <c r="S19" s="30" t="s">
        <v>321</v>
      </c>
    </row>
    <row r="20" customFormat="false" ht="23.85" hidden="false" customHeight="false" outlineLevel="0" collapsed="false">
      <c r="A20" s="12" t="s">
        <v>23</v>
      </c>
      <c r="B20" s="12" t="s">
        <v>148</v>
      </c>
      <c r="C20" s="10" t="s">
        <v>149</v>
      </c>
      <c r="D20" s="26" t="n">
        <v>20.14</v>
      </c>
      <c r="E20" s="12" t="s">
        <v>77</v>
      </c>
      <c r="F20" s="11" t="n">
        <v>58920.4</v>
      </c>
      <c r="G20" s="10" t="s">
        <v>150</v>
      </c>
      <c r="H20" s="7" t="n">
        <v>10</v>
      </c>
      <c r="I20" s="12" t="s">
        <v>79</v>
      </c>
      <c r="J20" s="12" t="s">
        <v>110</v>
      </c>
      <c r="K20" s="10" t="s">
        <v>111</v>
      </c>
      <c r="L20" s="9" t="n">
        <f aca="false">IF(ISNUMBER(D20),COUNTIF($D$6:$D$338,"&lt;"&amp;D20)/(COUNT($D$6:$D$338)-1),"")</f>
        <v>0.390476190476191</v>
      </c>
      <c r="M20" s="9" t="n">
        <f aca="false">IF(ISNUMBER(F20),COUNTIF($F$6:$F$338,"&lt;"&amp;F20)/(COUNT($F$6:$F$338)-1),"")</f>
        <v>0.936746987951807</v>
      </c>
      <c r="N20" s="9" t="n">
        <f aca="false">IF(AND(L20="",M20=""),"",(IF(ISNUMBER(L20),$C$3*L20,0)+IF(ISNUMBER(M20),$E$3*M20,0))/(IF(ISNUMBER(L20),$C$3,0)+IF(ISNUMBER(M20),$E$3,0)))</f>
        <v>0.663611589213999</v>
      </c>
      <c r="O20" s="12"/>
      <c r="P20" s="7" t="n">
        <f aca="false">IF(O20&lt;&gt;"","",COUNTIFS($A$6:$A$338,A20,$O$6:$O$338,"",$N$6:$N$338,"&gt;"&amp;N20)+COUNTIFS($A$6:A20,A20,$O$6:O20,"",$N$6:N20,N20))</f>
        <v>9</v>
      </c>
      <c r="Q20" s="12" t="str">
        <f aca="false">IF(P20="","Excluded",IF(P20&lt;=5,"Lead",IF(P20&lt;=10,"Next wave","Long list")))</f>
        <v>Next wave</v>
      </c>
      <c r="R20" s="10" t="s">
        <v>82</v>
      </c>
      <c r="S20" s="30" t="s">
        <v>322</v>
      </c>
    </row>
    <row r="21" customFormat="false" ht="23.85" hidden="false" customHeight="false" outlineLevel="0" collapsed="false">
      <c r="A21" s="12" t="s">
        <v>23</v>
      </c>
      <c r="B21" s="12" t="s">
        <v>151</v>
      </c>
      <c r="C21" s="10" t="s">
        <v>152</v>
      </c>
      <c r="D21" s="26" t="n">
        <v>55.89</v>
      </c>
      <c r="E21" s="12" t="s">
        <v>153</v>
      </c>
      <c r="F21" s="11" t="n">
        <v>6754.2</v>
      </c>
      <c r="G21" s="10" t="s">
        <v>323</v>
      </c>
      <c r="H21" s="7" t="n">
        <v>2</v>
      </c>
      <c r="I21" s="12" t="s">
        <v>79</v>
      </c>
      <c r="J21" s="12" t="s">
        <v>80</v>
      </c>
      <c r="K21" s="10" t="s">
        <v>81</v>
      </c>
      <c r="L21" s="9" t="n">
        <f aca="false">IF(ISNUMBER(D21),COUNTIF($D$6:$D$338,"&lt;"&amp;D21)/(COUNT($D$6:$D$338)-1),"")</f>
        <v>0.66031746031746</v>
      </c>
      <c r="M21" s="9" t="n">
        <f aca="false">IF(ISNUMBER(F21),COUNTIF($F$6:$F$338,"&lt;"&amp;F21)/(COUNT($F$6:$F$338)-1),"")</f>
        <v>0.626506024096386</v>
      </c>
      <c r="N21" s="9" t="n">
        <f aca="false">IF(AND(L21="",M21=""),"",(IF(ISNUMBER(L21),$C$3*L21,0)+IF(ISNUMBER(M21),$E$3*M21,0))/(IF(ISNUMBER(L21),$C$3,0)+IF(ISNUMBER(M21),$E$3,0)))</f>
        <v>0.643411742206923</v>
      </c>
      <c r="O21" s="12"/>
      <c r="P21" s="7" t="n">
        <f aca="false">IF(O21&lt;&gt;"","",COUNTIFS($A$6:$A$338,A21,$O$6:$O$338,"",$N$6:$N$338,"&gt;"&amp;N21)+COUNTIFS($A$6:A21,A21,$O$6:O21,"",$N$6:N21,N21))</f>
        <v>10</v>
      </c>
      <c r="Q21" s="12" t="str">
        <f aca="false">IF(P21="","Excluded",IF(P21&lt;=5,"Lead",IF(P21&lt;=10,"Next wave","Long list")))</f>
        <v>Next wave</v>
      </c>
      <c r="R21" s="10" t="s">
        <v>105</v>
      </c>
      <c r="S21" s="30" t="s">
        <v>324</v>
      </c>
    </row>
    <row r="22" customFormat="false" ht="23.85" hidden="false" customHeight="false" outlineLevel="0" collapsed="false">
      <c r="A22" s="12" t="s">
        <v>23</v>
      </c>
      <c r="B22" s="12" t="s">
        <v>120</v>
      </c>
      <c r="C22" s="10" t="s">
        <v>121</v>
      </c>
      <c r="D22" s="26" t="n">
        <v>16.84</v>
      </c>
      <c r="E22" s="12" t="s">
        <v>77</v>
      </c>
      <c r="F22" s="11" t="n">
        <v>41503.2</v>
      </c>
      <c r="G22" s="10" t="s">
        <v>185</v>
      </c>
      <c r="H22" s="7" t="n">
        <v>6</v>
      </c>
      <c r="I22" s="12" t="s">
        <v>79</v>
      </c>
      <c r="J22" s="12" t="s">
        <v>86</v>
      </c>
      <c r="K22" s="10" t="s">
        <v>104</v>
      </c>
      <c r="L22" s="9" t="n">
        <f aca="false">IF(ISNUMBER(D22),COUNTIF($D$6:$D$338,"&lt;"&amp;D22)/(COUNT($D$6:$D$338)-1),"")</f>
        <v>0.358730158730159</v>
      </c>
      <c r="M22" s="9" t="n">
        <f aca="false">IF(ISNUMBER(F22),COUNTIF($F$6:$F$338,"&lt;"&amp;F22)/(COUNT($F$6:$F$338)-1),"")</f>
        <v>0.885542168674699</v>
      </c>
      <c r="N22" s="9" t="n">
        <f aca="false">IF(AND(L22="",M22=""),"",(IF(ISNUMBER(L22),$C$3*L22,0)+IF(ISNUMBER(M22),$E$3*M22,0))/(IF(ISNUMBER(L22),$C$3,0)+IF(ISNUMBER(M22),$E$3,0)))</f>
        <v>0.622136163702429</v>
      </c>
      <c r="O22" s="12"/>
      <c r="P22" s="7" t="n">
        <f aca="false">IF(O22&lt;&gt;"","",COUNTIFS($A$6:$A$338,A22,$O$6:$O$338,"",$N$6:$N$338,"&gt;"&amp;N22)+COUNTIFS($A$6:A22,A22,$O$6:O22,"",$N$6:N22,N22))</f>
        <v>11</v>
      </c>
      <c r="Q22" s="12" t="str">
        <f aca="false">IF(P22="","Excluded",IF(P22&lt;=5,"Lead",IF(P22&lt;=10,"Next wave","Long list")))</f>
        <v>Long list</v>
      </c>
      <c r="R22" s="10" t="s">
        <v>82</v>
      </c>
      <c r="S22" s="30" t="s">
        <v>325</v>
      </c>
    </row>
    <row r="23" customFormat="false" ht="23.85" hidden="false" customHeight="false" outlineLevel="0" collapsed="false">
      <c r="A23" s="12" t="s">
        <v>23</v>
      </c>
      <c r="B23" s="12" t="s">
        <v>326</v>
      </c>
      <c r="C23" s="10" t="s">
        <v>327</v>
      </c>
      <c r="D23" s="26" t="n">
        <v>54.54</v>
      </c>
      <c r="E23" s="12" t="s">
        <v>102</v>
      </c>
      <c r="F23" s="11" t="n">
        <v>5896.5</v>
      </c>
      <c r="G23" s="10" t="s">
        <v>144</v>
      </c>
      <c r="H23" s="7" t="n">
        <v>2</v>
      </c>
      <c r="I23" s="12" t="s">
        <v>328</v>
      </c>
      <c r="J23" s="12" t="s">
        <v>127</v>
      </c>
      <c r="K23" s="10"/>
      <c r="L23" s="9" t="n">
        <f aca="false">IF(ISNUMBER(D23),COUNTIF($D$6:$D$338,"&lt;"&amp;D23)/(COUNT($D$6:$D$338)-1),"")</f>
        <v>0.647619047619048</v>
      </c>
      <c r="M23" s="9" t="n">
        <f aca="false">IF(ISNUMBER(F23),COUNTIF($F$6:$F$338,"&lt;"&amp;F23)/(COUNT($F$6:$F$338)-1),"")</f>
        <v>0.581325301204819</v>
      </c>
      <c r="N23" s="9" t="n">
        <f aca="false">IF(AND(L23="",M23=""),"",(IF(ISNUMBER(L23),$C$3*L23,0)+IF(ISNUMBER(M23),$E$3*M23,0))/(IF(ISNUMBER(L23),$C$3,0)+IF(ISNUMBER(M23),$E$3,0)))</f>
        <v>0.614472174411934</v>
      </c>
      <c r="O23" s="12"/>
      <c r="P23" s="7" t="n">
        <f aca="false">IF(O23&lt;&gt;"","",COUNTIFS($A$6:$A$338,A23,$O$6:$O$338,"",$N$6:$N$338,"&gt;"&amp;N23)+COUNTIFS($A$6:A23,A23,$O$6:O23,"",$N$6:N23,N23))</f>
        <v>12</v>
      </c>
      <c r="Q23" s="12" t="str">
        <f aca="false">IF(P23="","Excluded",IF(P23&lt;=5,"Lead",IF(P23&lt;=10,"Next wave","Long list")))</f>
        <v>Long list</v>
      </c>
      <c r="R23" s="10" t="s">
        <v>105</v>
      </c>
      <c r="S23" s="30" t="s">
        <v>329</v>
      </c>
    </row>
    <row r="24" customFormat="false" ht="23.85" hidden="false" customHeight="false" outlineLevel="0" collapsed="false">
      <c r="A24" s="12" t="s">
        <v>23</v>
      </c>
      <c r="B24" s="12" t="s">
        <v>330</v>
      </c>
      <c r="C24" s="10" t="s">
        <v>331</v>
      </c>
      <c r="D24" s="26" t="n">
        <v>427.8</v>
      </c>
      <c r="E24" s="12" t="s">
        <v>102</v>
      </c>
      <c r="F24" s="11" t="n">
        <v>2151.5</v>
      </c>
      <c r="G24" s="10" t="s">
        <v>144</v>
      </c>
      <c r="H24" s="7" t="n">
        <v>1</v>
      </c>
      <c r="I24" s="12" t="s">
        <v>79</v>
      </c>
      <c r="J24" s="12" t="s">
        <v>80</v>
      </c>
      <c r="K24" s="10" t="s">
        <v>81</v>
      </c>
      <c r="L24" s="9" t="n">
        <f aca="false">IF(ISNUMBER(D24),COUNTIF($D$6:$D$338,"&lt;"&amp;D24)/(COUNT($D$6:$D$338)-1),"")</f>
        <v>0.933333333333333</v>
      </c>
      <c r="M24" s="9" t="n">
        <f aca="false">IF(ISNUMBER(F24),COUNTIF($F$6:$F$338,"&lt;"&amp;F24)/(COUNT($F$6:$F$338)-1),"")</f>
        <v>0.280120481927711</v>
      </c>
      <c r="N24" s="9" t="n">
        <f aca="false">IF(AND(L24="",M24=""),"",(IF(ISNUMBER(L24),$C$3*L24,0)+IF(ISNUMBER(M24),$E$3*M24,0))/(IF(ISNUMBER(L24),$C$3,0)+IF(ISNUMBER(M24),$E$3,0)))</f>
        <v>0.606726907630522</v>
      </c>
      <c r="O24" s="12"/>
      <c r="P24" s="7" t="n">
        <f aca="false">IF(O24&lt;&gt;"","",COUNTIFS($A$6:$A$338,A24,$O$6:$O$338,"",$N$6:$N$338,"&gt;"&amp;N24)+COUNTIFS($A$6:A24,A24,$O$6:O24,"",$N$6:N24,N24))</f>
        <v>13</v>
      </c>
      <c r="Q24" s="12" t="str">
        <f aca="false">IF(P24="","Excluded",IF(P24&lt;=5,"Lead",IF(P24&lt;=10,"Next wave","Long list")))</f>
        <v>Long list</v>
      </c>
      <c r="R24" s="10" t="s">
        <v>105</v>
      </c>
      <c r="S24" s="30" t="s">
        <v>332</v>
      </c>
    </row>
    <row r="25" customFormat="false" ht="23.85" hidden="false" customHeight="false" outlineLevel="0" collapsed="false">
      <c r="A25" s="12" t="s">
        <v>23</v>
      </c>
      <c r="B25" s="12" t="s">
        <v>333</v>
      </c>
      <c r="C25" s="10" t="s">
        <v>334</v>
      </c>
      <c r="D25" s="26" t="n">
        <v>139.81</v>
      </c>
      <c r="E25" s="12" t="s">
        <v>102</v>
      </c>
      <c r="F25" s="11" t="n">
        <v>2812.8</v>
      </c>
      <c r="G25" s="10" t="s">
        <v>335</v>
      </c>
      <c r="H25" s="7" t="n">
        <v>6</v>
      </c>
      <c r="I25" s="12" t="s">
        <v>328</v>
      </c>
      <c r="J25" s="12" t="s">
        <v>127</v>
      </c>
      <c r="K25" s="10"/>
      <c r="L25" s="9" t="n">
        <f aca="false">IF(ISNUMBER(D25),COUNTIF($D$6:$D$338,"&lt;"&amp;D25)/(COUNT($D$6:$D$338)-1),"")</f>
        <v>0.812698412698413</v>
      </c>
      <c r="M25" s="9" t="n">
        <f aca="false">IF(ISNUMBER(F25),COUNTIF($F$6:$F$338,"&lt;"&amp;F25)/(COUNT($F$6:$F$338)-1),"")</f>
        <v>0.367469879518072</v>
      </c>
      <c r="N25" s="9" t="n">
        <f aca="false">IF(AND(L25="",M25=""),"",(IF(ISNUMBER(L25),$C$3*L25,0)+IF(ISNUMBER(M25),$E$3*M25,0))/(IF(ISNUMBER(L25),$C$3,0)+IF(ISNUMBER(M25),$E$3,0)))</f>
        <v>0.590084146108242</v>
      </c>
      <c r="O25" s="12"/>
      <c r="P25" s="7" t="n">
        <f aca="false">IF(O25&lt;&gt;"","",COUNTIFS($A$6:$A$338,A25,$O$6:$O$338,"",$N$6:$N$338,"&gt;"&amp;N25)+COUNTIFS($A$6:A25,A25,$O$6:O25,"",$N$6:N25,N25))</f>
        <v>14</v>
      </c>
      <c r="Q25" s="12" t="str">
        <f aca="false">IF(P25="","Excluded",IF(P25&lt;=5,"Lead",IF(P25&lt;=10,"Next wave","Long list")))</f>
        <v>Long list</v>
      </c>
      <c r="R25" s="10" t="s">
        <v>105</v>
      </c>
      <c r="S25" s="30" t="s">
        <v>336</v>
      </c>
    </row>
    <row r="26" customFormat="false" ht="23.85" hidden="false" customHeight="false" outlineLevel="0" collapsed="false">
      <c r="A26" s="12" t="s">
        <v>23</v>
      </c>
      <c r="B26" s="12" t="s">
        <v>337</v>
      </c>
      <c r="C26" s="10" t="s">
        <v>338</v>
      </c>
      <c r="D26" s="26" t="n">
        <v>64.93</v>
      </c>
      <c r="E26" s="12" t="s">
        <v>153</v>
      </c>
      <c r="F26" s="11" t="n">
        <v>3562.5</v>
      </c>
      <c r="G26" s="10" t="s">
        <v>169</v>
      </c>
      <c r="H26" s="7" t="n">
        <v>1</v>
      </c>
      <c r="I26" s="12" t="s">
        <v>79</v>
      </c>
      <c r="J26" s="12" t="s">
        <v>127</v>
      </c>
      <c r="K26" s="10"/>
      <c r="L26" s="9" t="n">
        <f aca="false">IF(ISNUMBER(D26),COUNTIF($D$6:$D$338,"&lt;"&amp;D26)/(COUNT($D$6:$D$338)-1),"")</f>
        <v>0.698412698412698</v>
      </c>
      <c r="M26" s="9" t="n">
        <f aca="false">IF(ISNUMBER(F26),COUNTIF($F$6:$F$338,"&lt;"&amp;F26)/(COUNT($F$6:$F$338)-1),"")</f>
        <v>0.451807228915663</v>
      </c>
      <c r="N26" s="9" t="n">
        <f aca="false">IF(AND(L26="",M26=""),"",(IF(ISNUMBER(L26),$C$3*L26,0)+IF(ISNUMBER(M26),$E$3*M26,0))/(IF(ISNUMBER(L26),$C$3,0)+IF(ISNUMBER(M26),$E$3,0)))</f>
        <v>0.575109963664181</v>
      </c>
      <c r="O26" s="12"/>
      <c r="P26" s="7" t="n">
        <f aca="false">IF(O26&lt;&gt;"","",COUNTIFS($A$6:$A$338,A26,$O$6:$O$338,"",$N$6:$N$338,"&gt;"&amp;N26)+COUNTIFS($A$6:A26,A26,$O$6:O26,"",$N$6:N26,N26))</f>
        <v>15</v>
      </c>
      <c r="Q26" s="12" t="str">
        <f aca="false">IF(P26="","Excluded",IF(P26&lt;=5,"Lead",IF(P26&lt;=10,"Next wave","Long list")))</f>
        <v>Long list</v>
      </c>
      <c r="R26" s="10" t="s">
        <v>105</v>
      </c>
      <c r="S26" s="30" t="s">
        <v>339</v>
      </c>
    </row>
    <row r="27" customFormat="false" ht="23.85" hidden="false" customHeight="false" outlineLevel="0" collapsed="false">
      <c r="A27" s="12" t="s">
        <v>23</v>
      </c>
      <c r="B27" s="12" t="s">
        <v>128</v>
      </c>
      <c r="C27" s="10" t="s">
        <v>129</v>
      </c>
      <c r="D27" s="26" t="n">
        <v>95.2</v>
      </c>
      <c r="E27" s="12" t="s">
        <v>153</v>
      </c>
      <c r="F27" s="11" t="n">
        <v>2886</v>
      </c>
      <c r="G27" s="10" t="s">
        <v>340</v>
      </c>
      <c r="H27" s="7" t="n">
        <v>3</v>
      </c>
      <c r="I27" s="12" t="s">
        <v>79</v>
      </c>
      <c r="J27" s="12" t="s">
        <v>80</v>
      </c>
      <c r="K27" s="10" t="s">
        <v>81</v>
      </c>
      <c r="L27" s="9" t="n">
        <f aca="false">IF(ISNUMBER(D27),COUNTIF($D$6:$D$338,"&lt;"&amp;D27)/(COUNT($D$6:$D$338)-1),"")</f>
        <v>0.774603174603175</v>
      </c>
      <c r="M27" s="9" t="n">
        <f aca="false">IF(ISNUMBER(F27),COUNTIF($F$6:$F$338,"&lt;"&amp;F27)/(COUNT($F$6:$F$338)-1),"")</f>
        <v>0.373493975903614</v>
      </c>
      <c r="N27" s="9" t="n">
        <f aca="false">IF(AND(L27="",M27=""),"",(IF(ISNUMBER(L27),$C$3*L27,0)+IF(ISNUMBER(M27),$E$3*M27,0))/(IF(ISNUMBER(L27),$C$3,0)+IF(ISNUMBER(M27),$E$3,0)))</f>
        <v>0.574048575253395</v>
      </c>
      <c r="O27" s="12"/>
      <c r="P27" s="7" t="n">
        <f aca="false">IF(O27&lt;&gt;"","",COUNTIFS($A$6:$A$338,A27,$O$6:$O$338,"",$N$6:$N$338,"&gt;"&amp;N27)+COUNTIFS($A$6:A27,A27,$O$6:O27,"",$N$6:N27,N27))</f>
        <v>16</v>
      </c>
      <c r="Q27" s="12" t="str">
        <f aca="false">IF(P27="","Excluded",IF(P27&lt;=5,"Lead",IF(P27&lt;=10,"Next wave","Long list")))</f>
        <v>Long list</v>
      </c>
      <c r="R27" s="10" t="s">
        <v>82</v>
      </c>
      <c r="S27" s="30" t="s">
        <v>341</v>
      </c>
    </row>
    <row r="28" customFormat="false" ht="23.85" hidden="false" customHeight="false" outlineLevel="0" collapsed="false">
      <c r="A28" s="12" t="s">
        <v>23</v>
      </c>
      <c r="B28" s="12" t="s">
        <v>342</v>
      </c>
      <c r="C28" s="10" t="s">
        <v>343</v>
      </c>
      <c r="D28" s="26" t="n">
        <v>91.73</v>
      </c>
      <c r="E28" s="12" t="s">
        <v>153</v>
      </c>
      <c r="F28" s="11" t="n">
        <v>2770.2</v>
      </c>
      <c r="G28" s="10" t="s">
        <v>344</v>
      </c>
      <c r="H28" s="7" t="n">
        <v>4</v>
      </c>
      <c r="I28" s="12" t="s">
        <v>79</v>
      </c>
      <c r="J28" s="12" t="s">
        <v>127</v>
      </c>
      <c r="K28" s="10" t="s">
        <v>104</v>
      </c>
      <c r="L28" s="9" t="n">
        <f aca="false">IF(ISNUMBER(D28),COUNTIF($D$6:$D$338,"&lt;"&amp;D28)/(COUNT($D$6:$D$338)-1),"")</f>
        <v>0.758730158730159</v>
      </c>
      <c r="M28" s="9" t="n">
        <f aca="false">IF(ISNUMBER(F28),COUNTIF($F$6:$F$338,"&lt;"&amp;F28)/(COUNT($F$6:$F$338)-1),"")</f>
        <v>0.346385542168675</v>
      </c>
      <c r="N28" s="9" t="n">
        <f aca="false">IF(AND(L28="",M28=""),"",(IF(ISNUMBER(L28),$C$3*L28,0)+IF(ISNUMBER(M28),$E$3*M28,0))/(IF(ISNUMBER(L28),$C$3,0)+IF(ISNUMBER(M28),$E$3,0)))</f>
        <v>0.552557850449417</v>
      </c>
      <c r="O28" s="12"/>
      <c r="P28" s="7" t="n">
        <f aca="false">IF(O28&lt;&gt;"","",COUNTIFS($A$6:$A$338,A28,$O$6:$O$338,"",$N$6:$N$338,"&gt;"&amp;N28)+COUNTIFS($A$6:A28,A28,$O$6:O28,"",$N$6:N28,N28))</f>
        <v>17</v>
      </c>
      <c r="Q28" s="12" t="str">
        <f aca="false">IF(P28="","Excluded",IF(P28&lt;=5,"Lead",IF(P28&lt;=10,"Next wave","Long list")))</f>
        <v>Long list</v>
      </c>
      <c r="R28" s="10" t="s">
        <v>105</v>
      </c>
      <c r="S28" s="30" t="s">
        <v>345</v>
      </c>
    </row>
    <row r="29" customFormat="false" ht="23.85" hidden="false" customHeight="false" outlineLevel="0" collapsed="false">
      <c r="A29" s="12" t="s">
        <v>23</v>
      </c>
      <c r="B29" s="12" t="s">
        <v>346</v>
      </c>
      <c r="C29" s="10" t="s">
        <v>347</v>
      </c>
      <c r="D29" s="26" t="n">
        <v>13.53</v>
      </c>
      <c r="E29" s="12" t="s">
        <v>77</v>
      </c>
      <c r="F29" s="11" t="n">
        <v>22518.6</v>
      </c>
      <c r="G29" s="10" t="s">
        <v>122</v>
      </c>
      <c r="H29" s="7" t="n">
        <v>7</v>
      </c>
      <c r="I29" s="12" t="s">
        <v>200</v>
      </c>
      <c r="J29" s="12" t="s">
        <v>86</v>
      </c>
      <c r="K29" s="10"/>
      <c r="L29" s="9" t="n">
        <f aca="false">IF(ISNUMBER(D29),COUNTIF($D$6:$D$338,"&lt;"&amp;D29)/(COUNT($D$6:$D$338)-1),"")</f>
        <v>0.301587301587302</v>
      </c>
      <c r="M29" s="9" t="n">
        <f aca="false">IF(ISNUMBER(F29),COUNTIF($F$6:$F$338,"&lt;"&amp;F29)/(COUNT($F$6:$F$338)-1),"")</f>
        <v>0.786144578313253</v>
      </c>
      <c r="N29" s="9" t="n">
        <f aca="false">IF(AND(L29="",M29=""),"",(IF(ISNUMBER(L29),$C$3*L29,0)+IF(ISNUMBER(M29),$E$3*M29,0))/(IF(ISNUMBER(L29),$C$3,0)+IF(ISNUMBER(M29),$E$3,0)))</f>
        <v>0.543865939950277</v>
      </c>
      <c r="O29" s="12"/>
      <c r="P29" s="7" t="n">
        <f aca="false">IF(O29&lt;&gt;"","",COUNTIFS($A$6:$A$338,A29,$O$6:$O$338,"",$N$6:$N$338,"&gt;"&amp;N29)+COUNTIFS($A$6:A29,A29,$O$6:O29,"",$N$6:N29,N29))</f>
        <v>18</v>
      </c>
      <c r="Q29" s="12" t="str">
        <f aca="false">IF(P29="","Excluded",IF(P29&lt;=5,"Lead",IF(P29&lt;=10,"Next wave","Long list")))</f>
        <v>Long list</v>
      </c>
      <c r="R29" s="10" t="s">
        <v>105</v>
      </c>
      <c r="S29" s="30" t="s">
        <v>348</v>
      </c>
    </row>
    <row r="30" customFormat="false" ht="23.85" hidden="false" customHeight="false" outlineLevel="0" collapsed="false">
      <c r="A30" s="12" t="s">
        <v>23</v>
      </c>
      <c r="B30" s="12" t="s">
        <v>217</v>
      </c>
      <c r="C30" s="10" t="s">
        <v>218</v>
      </c>
      <c r="D30" s="26" t="n">
        <v>54.55</v>
      </c>
      <c r="E30" s="12" t="s">
        <v>102</v>
      </c>
      <c r="F30" s="11" t="n">
        <v>3407.5</v>
      </c>
      <c r="G30" s="10" t="s">
        <v>144</v>
      </c>
      <c r="H30" s="7" t="n">
        <v>1</v>
      </c>
      <c r="I30" s="12" t="s">
        <v>79</v>
      </c>
      <c r="J30" s="12" t="s">
        <v>86</v>
      </c>
      <c r="K30" s="10"/>
      <c r="L30" s="9" t="n">
        <f aca="false">IF(ISNUMBER(D30),COUNTIF($D$6:$D$338,"&lt;"&amp;D30)/(COUNT($D$6:$D$338)-1),"")</f>
        <v>0.650793650793651</v>
      </c>
      <c r="M30" s="9" t="n">
        <f aca="false">IF(ISNUMBER(F30),COUNTIF($F$6:$F$338,"&lt;"&amp;F30)/(COUNT($F$6:$F$338)-1),"")</f>
        <v>0.436746987951807</v>
      </c>
      <c r="N30" s="9" t="n">
        <f aca="false">IF(AND(L30="",M30=""),"",(IF(ISNUMBER(L30),$C$3*L30,0)+IF(ISNUMBER(M30),$E$3*M30,0))/(IF(ISNUMBER(L30),$C$3,0)+IF(ISNUMBER(M30),$E$3,0)))</f>
        <v>0.543770319372729</v>
      </c>
      <c r="O30" s="12"/>
      <c r="P30" s="7" t="n">
        <f aca="false">IF(O30&lt;&gt;"","",COUNTIFS($A$6:$A$338,A30,$O$6:$O$338,"",$N$6:$N$338,"&gt;"&amp;N30)+COUNTIFS($A$6:A30,A30,$O$6:O30,"",$N$6:N30,N30))</f>
        <v>19</v>
      </c>
      <c r="Q30" s="12" t="str">
        <f aca="false">IF(P30="","Excluded",IF(P30&lt;=5,"Lead",IF(P30&lt;=10,"Next wave","Long list")))</f>
        <v>Long list</v>
      </c>
      <c r="R30" s="10" t="s">
        <v>105</v>
      </c>
      <c r="S30" s="30" t="s">
        <v>349</v>
      </c>
    </row>
    <row r="31" customFormat="false" ht="23.85" hidden="false" customHeight="false" outlineLevel="0" collapsed="false">
      <c r="A31" s="12" t="s">
        <v>23</v>
      </c>
      <c r="B31" s="12" t="s">
        <v>201</v>
      </c>
      <c r="C31" s="10" t="s">
        <v>202</v>
      </c>
      <c r="D31" s="26" t="n">
        <v>5.6</v>
      </c>
      <c r="E31" s="12" t="s">
        <v>77</v>
      </c>
      <c r="F31" s="11" t="n">
        <v>93119.2</v>
      </c>
      <c r="G31" s="10" t="s">
        <v>140</v>
      </c>
      <c r="H31" s="7" t="n">
        <v>4</v>
      </c>
      <c r="I31" s="12" t="s">
        <v>200</v>
      </c>
      <c r="J31" s="12" t="s">
        <v>86</v>
      </c>
      <c r="K31" s="10" t="s">
        <v>111</v>
      </c>
      <c r="L31" s="9" t="n">
        <f aca="false">IF(ISNUMBER(D31),COUNTIF($D$6:$D$338,"&lt;"&amp;D31)/(COUNT($D$6:$D$338)-1),"")</f>
        <v>0.0571428571428571</v>
      </c>
      <c r="M31" s="9" t="n">
        <f aca="false">IF(ISNUMBER(F31),COUNTIF($F$6:$F$338,"&lt;"&amp;F31)/(COUNT($F$6:$F$338)-1),"")</f>
        <v>0.981927710843374</v>
      </c>
      <c r="N31" s="9" t="n">
        <f aca="false">IF(AND(L31="",M31=""),"",(IF(ISNUMBER(L31),$C$3*L31,0)+IF(ISNUMBER(M31),$E$3*M31,0))/(IF(ISNUMBER(L31),$C$3,0)+IF(ISNUMBER(M31),$E$3,0)))</f>
        <v>0.519535283993115</v>
      </c>
      <c r="O31" s="12"/>
      <c r="P31" s="7" t="n">
        <f aca="false">IF(O31&lt;&gt;"","",COUNTIFS($A$6:$A$338,A31,$O$6:$O$338,"",$N$6:$N$338,"&gt;"&amp;N31)+COUNTIFS($A$6:A31,A31,$O$6:O31,"",$N$6:N31,N31))</f>
        <v>20</v>
      </c>
      <c r="Q31" s="12" t="str">
        <f aca="false">IF(P31="","Excluded",IF(P31&lt;=5,"Lead",IF(P31&lt;=10,"Next wave","Long list")))</f>
        <v>Long list</v>
      </c>
      <c r="R31" s="10" t="s">
        <v>82</v>
      </c>
      <c r="S31" s="30" t="s">
        <v>350</v>
      </c>
    </row>
    <row r="32" customFormat="false" ht="23.85" hidden="false" customHeight="false" outlineLevel="0" collapsed="false">
      <c r="A32" s="12" t="s">
        <v>23</v>
      </c>
      <c r="B32" s="12" t="s">
        <v>195</v>
      </c>
      <c r="C32" s="10" t="s">
        <v>196</v>
      </c>
      <c r="D32" s="26" t="n">
        <v>20.63</v>
      </c>
      <c r="E32" s="12" t="s">
        <v>102</v>
      </c>
      <c r="F32" s="11" t="n">
        <v>6893.7</v>
      </c>
      <c r="G32" s="10" t="s">
        <v>144</v>
      </c>
      <c r="H32" s="7" t="n">
        <v>1</v>
      </c>
      <c r="I32" s="12" t="s">
        <v>79</v>
      </c>
      <c r="J32" s="12" t="s">
        <v>86</v>
      </c>
      <c r="K32" s="10"/>
      <c r="L32" s="9" t="n">
        <f aca="false">IF(ISNUMBER(D32),COUNTIF($D$6:$D$338,"&lt;"&amp;D32)/(COUNT($D$6:$D$338)-1),"")</f>
        <v>0.4</v>
      </c>
      <c r="M32" s="9" t="n">
        <f aca="false">IF(ISNUMBER(F32),COUNTIF($F$6:$F$338,"&lt;"&amp;F32)/(COUNT($F$6:$F$338)-1),"")</f>
        <v>0.632530120481928</v>
      </c>
      <c r="N32" s="9" t="n">
        <f aca="false">IF(AND(L32="",M32=""),"",(IF(ISNUMBER(L32),$C$3*L32,0)+IF(ISNUMBER(M32),$E$3*M32,0))/(IF(ISNUMBER(L32),$C$3,0)+IF(ISNUMBER(M32),$E$3,0)))</f>
        <v>0.516265060240964</v>
      </c>
      <c r="O32" s="12"/>
      <c r="P32" s="7" t="n">
        <f aca="false">IF(O32&lt;&gt;"","",COUNTIFS($A$6:$A$338,A32,$O$6:$O$338,"",$N$6:$N$338,"&gt;"&amp;N32)+COUNTIFS($A$6:A32,A32,$O$6:O32,"",$N$6:N32,N32))</f>
        <v>21</v>
      </c>
      <c r="Q32" s="12" t="str">
        <f aca="false">IF(P32="","Excluded",IF(P32&lt;=5,"Lead",IF(P32&lt;=10,"Next wave","Long list")))</f>
        <v>Long list</v>
      </c>
      <c r="R32" s="10" t="s">
        <v>82</v>
      </c>
      <c r="S32" s="30" t="s">
        <v>351</v>
      </c>
    </row>
    <row r="33" customFormat="false" ht="23.85" hidden="false" customHeight="false" outlineLevel="0" collapsed="false">
      <c r="A33" s="12" t="s">
        <v>23</v>
      </c>
      <c r="B33" s="12" t="s">
        <v>352</v>
      </c>
      <c r="C33" s="10" t="s">
        <v>353</v>
      </c>
      <c r="D33" s="26" t="n">
        <v>7.79</v>
      </c>
      <c r="E33" s="12" t="s">
        <v>77</v>
      </c>
      <c r="F33" s="11" t="n">
        <v>35129.8</v>
      </c>
      <c r="G33" s="10" t="s">
        <v>354</v>
      </c>
      <c r="H33" s="7" t="n">
        <v>2</v>
      </c>
      <c r="I33" s="12" t="s">
        <v>79</v>
      </c>
      <c r="J33" s="12" t="s">
        <v>127</v>
      </c>
      <c r="K33" s="10"/>
      <c r="L33" s="9" t="n">
        <f aca="false">IF(ISNUMBER(D33),COUNTIF($D$6:$D$338,"&lt;"&amp;D33)/(COUNT($D$6:$D$338)-1),"")</f>
        <v>0.165079365079365</v>
      </c>
      <c r="M33" s="9" t="n">
        <f aca="false">IF(ISNUMBER(F33),COUNTIF($F$6:$F$338,"&lt;"&amp;F33)/(COUNT($F$6:$F$338)-1),"")</f>
        <v>0.864457831325301</v>
      </c>
      <c r="N33" s="9" t="n">
        <f aca="false">IF(AND(L33="",M33=""),"",(IF(ISNUMBER(L33),$C$3*L33,0)+IF(ISNUMBER(M33),$E$3*M33,0))/(IF(ISNUMBER(L33),$C$3,0)+IF(ISNUMBER(M33),$E$3,0)))</f>
        <v>0.514768598202333</v>
      </c>
      <c r="O33" s="12"/>
      <c r="P33" s="7" t="n">
        <f aca="false">IF(O33&lt;&gt;"","",COUNTIFS($A$6:$A$338,A33,$O$6:$O$338,"",$N$6:$N$338,"&gt;"&amp;N33)+COUNTIFS($A$6:A33,A33,$O$6:O33,"",$N$6:N33,N33))</f>
        <v>22</v>
      </c>
      <c r="Q33" s="12" t="str">
        <f aca="false">IF(P33="","Excluded",IF(P33&lt;=5,"Lead",IF(P33&lt;=10,"Next wave","Long list")))</f>
        <v>Long list</v>
      </c>
      <c r="R33" s="10" t="s">
        <v>105</v>
      </c>
      <c r="S33" s="30" t="s">
        <v>355</v>
      </c>
    </row>
    <row r="34" customFormat="false" ht="23.85" hidden="false" customHeight="false" outlineLevel="0" collapsed="false">
      <c r="A34" s="12" t="s">
        <v>23</v>
      </c>
      <c r="B34" s="12" t="s">
        <v>180</v>
      </c>
      <c r="C34" s="10" t="s">
        <v>181</v>
      </c>
      <c r="D34" s="26" t="n">
        <v>7.7</v>
      </c>
      <c r="E34" s="12" t="s">
        <v>77</v>
      </c>
      <c r="F34" s="11" t="n">
        <v>35276.7</v>
      </c>
      <c r="G34" s="10" t="s">
        <v>130</v>
      </c>
      <c r="H34" s="7" t="n">
        <v>11</v>
      </c>
      <c r="I34" s="12" t="s">
        <v>79</v>
      </c>
      <c r="J34" s="12" t="s">
        <v>86</v>
      </c>
      <c r="K34" s="10"/>
      <c r="L34" s="9" t="n">
        <f aca="false">IF(ISNUMBER(D34),COUNTIF($D$6:$D$338,"&lt;"&amp;D34)/(COUNT($D$6:$D$338)-1),"")</f>
        <v>0.158730158730159</v>
      </c>
      <c r="M34" s="9" t="n">
        <f aca="false">IF(ISNUMBER(F34),COUNTIF($F$6:$F$338,"&lt;"&amp;F34)/(COUNT($F$6:$F$338)-1),"")</f>
        <v>0.870481927710843</v>
      </c>
      <c r="N34" s="9" t="n">
        <f aca="false">IF(AND(L34="",M34=""),"",(IF(ISNUMBER(L34),$C$3*L34,0)+IF(ISNUMBER(M34),$E$3*M34,0))/(IF(ISNUMBER(L34),$C$3,0)+IF(ISNUMBER(M34),$E$3,0)))</f>
        <v>0.514606043220501</v>
      </c>
      <c r="O34" s="12"/>
      <c r="P34" s="7" t="n">
        <f aca="false">IF(O34&lt;&gt;"","",COUNTIFS($A$6:$A$338,A34,$O$6:$O$338,"",$N$6:$N$338,"&gt;"&amp;N34)+COUNTIFS($A$6:A34,A34,$O$6:O34,"",$N$6:N34,N34))</f>
        <v>23</v>
      </c>
      <c r="Q34" s="12" t="str">
        <f aca="false">IF(P34="","Excluded",IF(P34&lt;=5,"Lead",IF(P34&lt;=10,"Next wave","Long list")))</f>
        <v>Long list</v>
      </c>
      <c r="R34" s="10" t="s">
        <v>82</v>
      </c>
      <c r="S34" s="30" t="s">
        <v>356</v>
      </c>
    </row>
    <row r="35" customFormat="false" ht="23.85" hidden="false" customHeight="false" outlineLevel="0" collapsed="false">
      <c r="A35" s="12" t="s">
        <v>23</v>
      </c>
      <c r="B35" s="12" t="s">
        <v>357</v>
      </c>
      <c r="C35" s="10" t="s">
        <v>358</v>
      </c>
      <c r="D35" s="26" t="n">
        <v>90.4</v>
      </c>
      <c r="E35" s="12" t="s">
        <v>102</v>
      </c>
      <c r="F35" s="11" t="n">
        <v>2127.3</v>
      </c>
      <c r="G35" s="10" t="s">
        <v>144</v>
      </c>
      <c r="H35" s="7" t="n">
        <v>1</v>
      </c>
      <c r="I35" s="12" t="s">
        <v>79</v>
      </c>
      <c r="J35" s="12" t="s">
        <v>127</v>
      </c>
      <c r="K35" s="10"/>
      <c r="L35" s="9" t="n">
        <f aca="false">IF(ISNUMBER(D35),COUNTIF($D$6:$D$338,"&lt;"&amp;D35)/(COUNT($D$6:$D$338)-1),"")</f>
        <v>0.752380952380952</v>
      </c>
      <c r="M35" s="9" t="n">
        <f aca="false">IF(ISNUMBER(F35),COUNTIF($F$6:$F$338,"&lt;"&amp;F35)/(COUNT($F$6:$F$338)-1),"")</f>
        <v>0.274096385542169</v>
      </c>
      <c r="N35" s="9" t="n">
        <f aca="false">IF(AND(L35="",M35=""),"",(IF(ISNUMBER(L35),$C$3*L35,0)+IF(ISNUMBER(M35),$E$3*M35,0))/(IF(ISNUMBER(L35),$C$3,0)+IF(ISNUMBER(M35),$E$3,0)))</f>
        <v>0.513238668961561</v>
      </c>
      <c r="O35" s="12"/>
      <c r="P35" s="7" t="n">
        <f aca="false">IF(O35&lt;&gt;"","",COUNTIFS($A$6:$A$338,A35,$O$6:$O$338,"",$N$6:$N$338,"&gt;"&amp;N35)+COUNTIFS($A$6:A35,A35,$O$6:O35,"",$N$6:N35,N35))</f>
        <v>24</v>
      </c>
      <c r="Q35" s="12" t="str">
        <f aca="false">IF(P35="","Excluded",IF(P35&lt;=5,"Lead",IF(P35&lt;=10,"Next wave","Long list")))</f>
        <v>Long list</v>
      </c>
      <c r="R35" s="10" t="s">
        <v>105</v>
      </c>
      <c r="S35" s="30" t="s">
        <v>359</v>
      </c>
    </row>
    <row r="36" customFormat="false" ht="23.85" hidden="false" customHeight="false" outlineLevel="0" collapsed="false">
      <c r="A36" s="12" t="s">
        <v>23</v>
      </c>
      <c r="B36" s="12" t="s">
        <v>210</v>
      </c>
      <c r="C36" s="10" t="s">
        <v>211</v>
      </c>
      <c r="D36" s="26" t="n">
        <v>9.82</v>
      </c>
      <c r="E36" s="12" t="s">
        <v>77</v>
      </c>
      <c r="F36" s="11" t="n">
        <v>17590.5</v>
      </c>
      <c r="G36" s="10" t="s">
        <v>360</v>
      </c>
      <c r="H36" s="7" t="n">
        <v>10</v>
      </c>
      <c r="I36" s="12" t="s">
        <v>200</v>
      </c>
      <c r="J36" s="12" t="s">
        <v>86</v>
      </c>
      <c r="K36" s="10"/>
      <c r="L36" s="9" t="n">
        <f aca="false">IF(ISNUMBER(D36),COUNTIF($D$6:$D$338,"&lt;"&amp;D36)/(COUNT($D$6:$D$338)-1),"")</f>
        <v>0.219047619047619</v>
      </c>
      <c r="M36" s="9" t="n">
        <f aca="false">IF(ISNUMBER(F36),COUNTIF($F$6:$F$338,"&lt;"&amp;F36)/(COUNT($F$6:$F$338)-1),"")</f>
        <v>0.746987951807229</v>
      </c>
      <c r="N36" s="9" t="n">
        <f aca="false">IF(AND(L36="",M36=""),"",(IF(ISNUMBER(L36),$C$3*L36,0)+IF(ISNUMBER(M36),$E$3*M36,0))/(IF(ISNUMBER(L36),$C$3,0)+IF(ISNUMBER(M36),$E$3,0)))</f>
        <v>0.483017785427424</v>
      </c>
      <c r="O36" s="12"/>
      <c r="P36" s="7" t="n">
        <f aca="false">IF(O36&lt;&gt;"","",COUNTIFS($A$6:$A$338,A36,$O$6:$O$338,"",$N$6:$N$338,"&gt;"&amp;N36)+COUNTIFS($A$6:A36,A36,$O$6:O36,"",$N$6:N36,N36))</f>
        <v>25</v>
      </c>
      <c r="Q36" s="12" t="str">
        <f aca="false">IF(P36="","Excluded",IF(P36&lt;=5,"Lead",IF(P36&lt;=10,"Next wave","Long list")))</f>
        <v>Long list</v>
      </c>
      <c r="R36" s="10" t="s">
        <v>82</v>
      </c>
      <c r="S36" s="30" t="s">
        <v>361</v>
      </c>
    </row>
    <row r="37" customFormat="false" ht="23.85" hidden="false" customHeight="false" outlineLevel="0" collapsed="false">
      <c r="A37" s="12" t="s">
        <v>23</v>
      </c>
      <c r="B37" s="12" t="s">
        <v>162</v>
      </c>
      <c r="C37" s="10" t="s">
        <v>163</v>
      </c>
      <c r="D37" s="26" t="n">
        <v>30.01</v>
      </c>
      <c r="E37" s="12" t="s">
        <v>102</v>
      </c>
      <c r="F37" s="11" t="n">
        <v>3625.3</v>
      </c>
      <c r="G37" s="10" t="s">
        <v>144</v>
      </c>
      <c r="H37" s="7" t="n">
        <v>1</v>
      </c>
      <c r="I37" s="12" t="s">
        <v>79</v>
      </c>
      <c r="J37" s="12" t="s">
        <v>86</v>
      </c>
      <c r="K37" s="10"/>
      <c r="L37" s="9" t="n">
        <f aca="false">IF(ISNUMBER(D37),COUNTIF($D$6:$D$338,"&lt;"&amp;D37)/(COUNT($D$6:$D$338)-1),"")</f>
        <v>0.511111111111111</v>
      </c>
      <c r="M37" s="9" t="n">
        <f aca="false">IF(ISNUMBER(F37),COUNTIF($F$6:$F$338,"&lt;"&amp;F37)/(COUNT($F$6:$F$338)-1),"")</f>
        <v>0.454819277108434</v>
      </c>
      <c r="N37" s="9" t="n">
        <f aca="false">IF(AND(L37="",M37=""),"",(IF(ISNUMBER(L37),$C$3*L37,0)+IF(ISNUMBER(M37),$E$3*M37,0))/(IF(ISNUMBER(L37),$C$3,0)+IF(ISNUMBER(M37),$E$3,0)))</f>
        <v>0.482965194109772</v>
      </c>
      <c r="O37" s="12"/>
      <c r="P37" s="7" t="n">
        <f aca="false">IF(O37&lt;&gt;"","",COUNTIFS($A$6:$A$338,A37,$O$6:$O$338,"",$N$6:$N$338,"&gt;"&amp;N37)+COUNTIFS($A$6:A37,A37,$O$6:O37,"",$N$6:N37,N37))</f>
        <v>26</v>
      </c>
      <c r="Q37" s="12" t="str">
        <f aca="false">IF(P37="","Excluded",IF(P37&lt;=5,"Lead",IF(P37&lt;=10,"Next wave","Long list")))</f>
        <v>Long list</v>
      </c>
      <c r="R37" s="10" t="s">
        <v>82</v>
      </c>
      <c r="S37" s="30" t="s">
        <v>305</v>
      </c>
    </row>
    <row r="38" customFormat="false" ht="23.85" hidden="false" customHeight="false" outlineLevel="0" collapsed="false">
      <c r="A38" s="12" t="s">
        <v>23</v>
      </c>
      <c r="B38" s="12" t="s">
        <v>362</v>
      </c>
      <c r="C38" s="10" t="s">
        <v>363</v>
      </c>
      <c r="D38" s="26" t="n">
        <v>161.8</v>
      </c>
      <c r="E38" s="12" t="s">
        <v>102</v>
      </c>
      <c r="F38" s="11" t="n">
        <v>755</v>
      </c>
      <c r="G38" s="10" t="s">
        <v>144</v>
      </c>
      <c r="H38" s="7" t="n">
        <v>1</v>
      </c>
      <c r="I38" s="12" t="s">
        <v>79</v>
      </c>
      <c r="J38" s="12" t="s">
        <v>127</v>
      </c>
      <c r="K38" s="10"/>
      <c r="L38" s="9" t="n">
        <f aca="false">IF(ISNUMBER(D38),COUNTIF($D$6:$D$338,"&lt;"&amp;D38)/(COUNT($D$6:$D$338)-1),"")</f>
        <v>0.828571428571429</v>
      </c>
      <c r="M38" s="9" t="n">
        <f aca="false">IF(ISNUMBER(F38),COUNTIF($F$6:$F$338,"&lt;"&amp;F38)/(COUNT($F$6:$F$338)-1),"")</f>
        <v>0.135542168674699</v>
      </c>
      <c r="N38" s="9" t="n">
        <f aca="false">IF(AND(L38="",M38=""),"",(IF(ISNUMBER(L38),$C$3*L38,0)+IF(ISNUMBER(M38),$E$3*M38,0))/(IF(ISNUMBER(L38),$C$3,0)+IF(ISNUMBER(M38),$E$3,0)))</f>
        <v>0.482056798623064</v>
      </c>
      <c r="O38" s="12"/>
      <c r="P38" s="7" t="n">
        <f aca="false">IF(O38&lt;&gt;"","",COUNTIFS($A$6:$A$338,A38,$O$6:$O$338,"",$N$6:$N$338,"&gt;"&amp;N38)+COUNTIFS($A$6:A38,A38,$O$6:O38,"",$N$6:N38,N38))</f>
        <v>27</v>
      </c>
      <c r="Q38" s="12" t="str">
        <f aca="false">IF(P38="","Excluded",IF(P38&lt;=5,"Lead",IF(P38&lt;=10,"Next wave","Long list")))</f>
        <v>Long list</v>
      </c>
      <c r="R38" s="10" t="s">
        <v>105</v>
      </c>
      <c r="S38" s="30" t="s">
        <v>364</v>
      </c>
    </row>
    <row r="39" customFormat="false" ht="35.05" hidden="false" customHeight="false" outlineLevel="0" collapsed="false">
      <c r="A39" s="12" t="s">
        <v>23</v>
      </c>
      <c r="B39" s="12" t="s">
        <v>289</v>
      </c>
      <c r="C39" s="10" t="s">
        <v>290</v>
      </c>
      <c r="D39" s="26" t="n">
        <v>9.81</v>
      </c>
      <c r="E39" s="12" t="s">
        <v>102</v>
      </c>
      <c r="F39" s="11" t="n">
        <v>13045.6</v>
      </c>
      <c r="G39" s="10" t="s">
        <v>144</v>
      </c>
      <c r="H39" s="7" t="n">
        <v>1</v>
      </c>
      <c r="I39" s="12" t="s">
        <v>79</v>
      </c>
      <c r="J39" s="12" t="s">
        <v>86</v>
      </c>
      <c r="K39" s="10" t="s">
        <v>104</v>
      </c>
      <c r="L39" s="9" t="n">
        <f aca="false">IF(ISNUMBER(D39),COUNTIF($D$6:$D$338,"&lt;"&amp;D39)/(COUNT($D$6:$D$338)-1),"")</f>
        <v>0.215873015873016</v>
      </c>
      <c r="M39" s="9" t="n">
        <f aca="false">IF(ISNUMBER(F39),COUNTIF($F$6:$F$338,"&lt;"&amp;F39)/(COUNT($F$6:$F$338)-1),"")</f>
        <v>0.719879518072289</v>
      </c>
      <c r="N39" s="9" t="n">
        <f aca="false">IF(AND(L39="",M39=""),"",(IF(ISNUMBER(L39),$C$3*L39,0)+IF(ISNUMBER(M39),$E$3*M39,0))/(IF(ISNUMBER(L39),$C$3,0)+IF(ISNUMBER(M39),$E$3,0)))</f>
        <v>0.467876266972653</v>
      </c>
      <c r="O39" s="12"/>
      <c r="P39" s="7" t="n">
        <f aca="false">IF(O39&lt;&gt;"","",COUNTIFS($A$6:$A$338,A39,$O$6:$O$338,"",$N$6:$N$338,"&gt;"&amp;N39)+COUNTIFS($A$6:A39,A39,$O$6:O39,"",$N$6:N39,N39))</f>
        <v>28</v>
      </c>
      <c r="Q39" s="12" t="str">
        <f aca="false">IF(P39="","Excluded",IF(P39&lt;=5,"Lead",IF(P39&lt;=10,"Next wave","Long list")))</f>
        <v>Long list</v>
      </c>
      <c r="R39" s="10" t="s">
        <v>82</v>
      </c>
      <c r="S39" s="30" t="s">
        <v>306</v>
      </c>
    </row>
    <row r="40" customFormat="false" ht="23.85" hidden="false" customHeight="false" outlineLevel="0" collapsed="false">
      <c r="A40" s="12" t="s">
        <v>23</v>
      </c>
      <c r="B40" s="12" t="s">
        <v>365</v>
      </c>
      <c r="C40" s="10" t="s">
        <v>366</v>
      </c>
      <c r="D40" s="26" t="n">
        <v>35.26</v>
      </c>
      <c r="E40" s="12" t="s">
        <v>102</v>
      </c>
      <c r="F40" s="11" t="n">
        <v>2690.1</v>
      </c>
      <c r="G40" s="10" t="s">
        <v>144</v>
      </c>
      <c r="H40" s="7" t="n">
        <v>1</v>
      </c>
      <c r="I40" s="12" t="s">
        <v>92</v>
      </c>
      <c r="J40" s="12" t="s">
        <v>86</v>
      </c>
      <c r="K40" s="10"/>
      <c r="L40" s="9" t="n">
        <f aca="false">IF(ISNUMBER(D40),COUNTIF($D$6:$D$338,"&lt;"&amp;D40)/(COUNT($D$6:$D$338)-1),"")</f>
        <v>0.565079365079365</v>
      </c>
      <c r="M40" s="9" t="n">
        <f aca="false">IF(ISNUMBER(F40),COUNTIF($F$6:$F$338,"&lt;"&amp;F40)/(COUNT($F$6:$F$338)-1),"")</f>
        <v>0.340361445783133</v>
      </c>
      <c r="N40" s="9" t="n">
        <f aca="false">IF(AND(L40="",M40=""),"",(IF(ISNUMBER(L40),$C$3*L40,0)+IF(ISNUMBER(M40),$E$3*M40,0))/(IF(ISNUMBER(L40),$C$3,0)+IF(ISNUMBER(M40),$E$3,0)))</f>
        <v>0.452720405431249</v>
      </c>
      <c r="O40" s="12"/>
      <c r="P40" s="7" t="n">
        <f aca="false">IF(O40&lt;&gt;"","",COUNTIFS($A$6:$A$338,A40,$O$6:$O$338,"",$N$6:$N$338,"&gt;"&amp;N40)+COUNTIFS($A$6:A40,A40,$O$6:O40,"",$N$6:N40,N40))</f>
        <v>29</v>
      </c>
      <c r="Q40" s="12" t="str">
        <f aca="false">IF(P40="","Excluded",IF(P40&lt;=5,"Lead",IF(P40&lt;=10,"Next wave","Long list")))</f>
        <v>Long list</v>
      </c>
      <c r="R40" s="10" t="s">
        <v>105</v>
      </c>
      <c r="S40" s="30" t="s">
        <v>367</v>
      </c>
    </row>
    <row r="41" customFormat="false" ht="23.85" hidden="false" customHeight="false" outlineLevel="0" collapsed="false">
      <c r="A41" s="12" t="s">
        <v>23</v>
      </c>
      <c r="B41" s="12" t="s">
        <v>368</v>
      </c>
      <c r="C41" s="10" t="s">
        <v>369</v>
      </c>
      <c r="D41" s="26" t="n">
        <v>125</v>
      </c>
      <c r="E41" s="12" t="s">
        <v>102</v>
      </c>
      <c r="F41" s="11" t="n">
        <v>517.1</v>
      </c>
      <c r="G41" s="10" t="s">
        <v>144</v>
      </c>
      <c r="H41" s="7" t="n">
        <v>1</v>
      </c>
      <c r="I41" s="12" t="s">
        <v>85</v>
      </c>
      <c r="J41" s="12" t="s">
        <v>86</v>
      </c>
      <c r="K41" s="10" t="s">
        <v>87</v>
      </c>
      <c r="L41" s="9" t="n">
        <f aca="false">IF(ISNUMBER(D41),COUNTIF($D$6:$D$338,"&lt;"&amp;D41)/(COUNT($D$6:$D$338)-1),"")</f>
        <v>0.796825396825397</v>
      </c>
      <c r="M41" s="9" t="n">
        <f aca="false">IF(ISNUMBER(F41),COUNTIF($F$6:$F$338,"&lt;"&amp;F41)/(COUNT($F$6:$F$338)-1),"")</f>
        <v>0.108433734939759</v>
      </c>
      <c r="N41" s="9" t="n">
        <f aca="false">IF(AND(L41="",M41=""),"",(IF(ISNUMBER(L41),$C$3*L41,0)+IF(ISNUMBER(M41),$E$3*M41,0))/(IF(ISNUMBER(L41),$C$3,0)+IF(ISNUMBER(M41),$E$3,0)))</f>
        <v>0.452629565882578</v>
      </c>
      <c r="O41" s="12"/>
      <c r="P41" s="7" t="n">
        <f aca="false">IF(O41&lt;&gt;"","",COUNTIFS($A$6:$A$338,A41,$O$6:$O$338,"",$N$6:$N$338,"&gt;"&amp;N41)+COUNTIFS($A$6:A41,A41,$O$6:O41,"",$N$6:N41,N41))</f>
        <v>30</v>
      </c>
      <c r="Q41" s="12" t="str">
        <f aca="false">IF(P41="","Excluded",IF(P41&lt;=5,"Lead",IF(P41&lt;=10,"Next wave","Long list")))</f>
        <v>Long list</v>
      </c>
      <c r="R41" s="10" t="s">
        <v>88</v>
      </c>
      <c r="S41" s="30" t="s">
        <v>370</v>
      </c>
    </row>
    <row r="42" customFormat="false" ht="23.85" hidden="false" customHeight="false" outlineLevel="0" collapsed="false">
      <c r="A42" s="12" t="s">
        <v>23</v>
      </c>
      <c r="B42" s="12" t="s">
        <v>371</v>
      </c>
      <c r="C42" s="10" t="s">
        <v>372</v>
      </c>
      <c r="D42" s="26" t="n">
        <v>8.84</v>
      </c>
      <c r="E42" s="12" t="s">
        <v>102</v>
      </c>
      <c r="F42" s="11" t="n">
        <v>8072.6</v>
      </c>
      <c r="G42" s="10" t="s">
        <v>144</v>
      </c>
      <c r="H42" s="7" t="n">
        <v>1</v>
      </c>
      <c r="I42" s="12" t="s">
        <v>79</v>
      </c>
      <c r="J42" s="12" t="s">
        <v>86</v>
      </c>
      <c r="K42" s="10"/>
      <c r="L42" s="9" t="n">
        <f aca="false">IF(ISNUMBER(D42),COUNTIF($D$6:$D$338,"&lt;"&amp;D42)/(COUNT($D$6:$D$338)-1),"")</f>
        <v>0.187301587301587</v>
      </c>
      <c r="M42" s="9" t="n">
        <f aca="false">IF(ISNUMBER(F42),COUNTIF($F$6:$F$338,"&lt;"&amp;F42)/(COUNT($F$6:$F$338)-1),"")</f>
        <v>0.671686746987952</v>
      </c>
      <c r="N42" s="9" t="n">
        <f aca="false">IF(AND(L42="",M42=""),"",(IF(ISNUMBER(L42),$C$3*L42,0)+IF(ISNUMBER(M42),$E$3*M42,0))/(IF(ISNUMBER(L42),$C$3,0)+IF(ISNUMBER(M42),$E$3,0)))</f>
        <v>0.42949416714477</v>
      </c>
      <c r="O42" s="12"/>
      <c r="P42" s="7" t="n">
        <f aca="false">IF(O42&lt;&gt;"","",COUNTIFS($A$6:$A$338,A42,$O$6:$O$338,"",$N$6:$N$338,"&gt;"&amp;N42)+COUNTIFS($A$6:A42,A42,$O$6:O42,"",$N$6:N42,N42))</f>
        <v>31</v>
      </c>
      <c r="Q42" s="12" t="str">
        <f aca="false">IF(P42="","Excluded",IF(P42&lt;=5,"Lead",IF(P42&lt;=10,"Next wave","Long list")))</f>
        <v>Long list</v>
      </c>
      <c r="R42" s="10" t="s">
        <v>105</v>
      </c>
      <c r="S42" s="30" t="s">
        <v>373</v>
      </c>
    </row>
    <row r="43" customFormat="false" ht="23.85" hidden="false" customHeight="false" outlineLevel="0" collapsed="false">
      <c r="A43" s="12" t="s">
        <v>23</v>
      </c>
      <c r="B43" s="12" t="s">
        <v>374</v>
      </c>
      <c r="C43" s="10" t="s">
        <v>375</v>
      </c>
      <c r="D43" s="26" t="n">
        <v>51.32</v>
      </c>
      <c r="E43" s="12" t="s">
        <v>102</v>
      </c>
      <c r="F43" s="11" t="n">
        <v>1437.9</v>
      </c>
      <c r="G43" s="10" t="s">
        <v>376</v>
      </c>
      <c r="H43" s="7" t="n">
        <v>2</v>
      </c>
      <c r="I43" s="12" t="s">
        <v>92</v>
      </c>
      <c r="J43" s="12" t="s">
        <v>86</v>
      </c>
      <c r="K43" s="10"/>
      <c r="L43" s="9" t="n">
        <f aca="false">IF(ISNUMBER(D43),COUNTIF($D$6:$D$338,"&lt;"&amp;D43)/(COUNT($D$6:$D$338)-1),"")</f>
        <v>0.631746031746032</v>
      </c>
      <c r="M43" s="9" t="n">
        <f aca="false">IF(ISNUMBER(F43),COUNTIF($F$6:$F$338,"&lt;"&amp;F43)/(COUNT($F$6:$F$338)-1),"")</f>
        <v>0.207831325301205</v>
      </c>
      <c r="N43" s="9" t="n">
        <f aca="false">IF(AND(L43="",M43=""),"",(IF(ISNUMBER(L43),$C$3*L43,0)+IF(ISNUMBER(M43),$E$3*M43,0))/(IF(ISNUMBER(L43),$C$3,0)+IF(ISNUMBER(M43),$E$3,0)))</f>
        <v>0.419788678523618</v>
      </c>
      <c r="O43" s="12"/>
      <c r="P43" s="7" t="n">
        <f aca="false">IF(O43&lt;&gt;"","",COUNTIFS($A$6:$A$338,A43,$O$6:$O$338,"",$N$6:$N$338,"&gt;"&amp;N43)+COUNTIFS($A$6:A43,A43,$O$6:O43,"",$N$6:N43,N43))</f>
        <v>32</v>
      </c>
      <c r="Q43" s="12" t="str">
        <f aca="false">IF(P43="","Excluded",IF(P43&lt;=5,"Lead",IF(P43&lt;=10,"Next wave","Long list")))</f>
        <v>Long list</v>
      </c>
      <c r="R43" s="10" t="s">
        <v>82</v>
      </c>
      <c r="S43" s="30" t="s">
        <v>377</v>
      </c>
    </row>
    <row r="44" customFormat="false" ht="35.05" hidden="false" customHeight="false" outlineLevel="0" collapsed="false">
      <c r="A44" s="12" t="s">
        <v>23</v>
      </c>
      <c r="B44" s="12" t="s">
        <v>269</v>
      </c>
      <c r="C44" s="10" t="s">
        <v>270</v>
      </c>
      <c r="D44" s="26" t="n">
        <v>9.08</v>
      </c>
      <c r="E44" s="12" t="s">
        <v>77</v>
      </c>
      <c r="F44" s="11" t="n">
        <v>6294.9</v>
      </c>
      <c r="G44" s="10" t="s">
        <v>323</v>
      </c>
      <c r="H44" s="7" t="n">
        <v>1</v>
      </c>
      <c r="I44" s="12" t="s">
        <v>79</v>
      </c>
      <c r="J44" s="12" t="s">
        <v>110</v>
      </c>
      <c r="K44" s="10" t="s">
        <v>111</v>
      </c>
      <c r="L44" s="9" t="n">
        <f aca="false">IF(ISNUMBER(D44),COUNTIF($D$6:$D$338,"&lt;"&amp;D44)/(COUNT($D$6:$D$338)-1),"")</f>
        <v>0.196825396825397</v>
      </c>
      <c r="M44" s="9" t="n">
        <f aca="false">IF(ISNUMBER(F44),COUNTIF($F$6:$F$338,"&lt;"&amp;F44)/(COUNT($F$6:$F$338)-1),"")</f>
        <v>0.593373493975904</v>
      </c>
      <c r="N44" s="9" t="n">
        <f aca="false">IF(AND(L44="",M44=""),"",(IF(ISNUMBER(L44),$C$3*L44,0)+IF(ISNUMBER(M44),$E$3*M44,0))/(IF(ISNUMBER(L44),$C$3,0)+IF(ISNUMBER(M44),$E$3,0)))</f>
        <v>0.39509944540065</v>
      </c>
      <c r="O44" s="12"/>
      <c r="P44" s="7" t="n">
        <f aca="false">IF(O44&lt;&gt;"","",COUNTIFS($A$6:$A$338,A44,$O$6:$O$338,"",$N$6:$N$338,"&gt;"&amp;N44)+COUNTIFS($A$6:A44,A44,$O$6:O44,"",$N$6:N44,N44))</f>
        <v>33</v>
      </c>
      <c r="Q44" s="12" t="str">
        <f aca="false">IF(P44="","Excluded",IF(P44&lt;=5,"Lead",IF(P44&lt;=10,"Next wave","Long list")))</f>
        <v>Long list</v>
      </c>
      <c r="R44" s="10" t="s">
        <v>82</v>
      </c>
      <c r="S44" s="30" t="s">
        <v>378</v>
      </c>
    </row>
    <row r="45" customFormat="false" ht="23.85" hidden="false" customHeight="false" outlineLevel="0" collapsed="false">
      <c r="A45" s="12" t="s">
        <v>23</v>
      </c>
      <c r="B45" s="12" t="s">
        <v>283</v>
      </c>
      <c r="C45" s="10" t="s">
        <v>284</v>
      </c>
      <c r="D45" s="26" t="n">
        <v>5.15</v>
      </c>
      <c r="E45" s="12" t="s">
        <v>77</v>
      </c>
      <c r="F45" s="11" t="n">
        <v>16359.3</v>
      </c>
      <c r="G45" s="10" t="s">
        <v>379</v>
      </c>
      <c r="H45" s="7" t="n">
        <v>6</v>
      </c>
      <c r="I45" s="12" t="s">
        <v>172</v>
      </c>
      <c r="J45" s="12" t="s">
        <v>86</v>
      </c>
      <c r="K45" s="10"/>
      <c r="L45" s="9" t="n">
        <f aca="false">IF(ISNUMBER(D45),COUNTIF($D$6:$D$338,"&lt;"&amp;D45)/(COUNT($D$6:$D$338)-1),"")</f>
        <v>0.0222222222222222</v>
      </c>
      <c r="M45" s="9" t="n">
        <f aca="false">IF(ISNUMBER(F45),COUNTIF($F$6:$F$338,"&lt;"&amp;F45)/(COUNT($F$6:$F$338)-1),"")</f>
        <v>0.740963855421687</v>
      </c>
      <c r="N45" s="9" t="n">
        <f aca="false">IF(AND(L45="",M45=""),"",(IF(ISNUMBER(L45),$C$3*L45,0)+IF(ISNUMBER(M45),$E$3*M45,0))/(IF(ISNUMBER(L45),$C$3,0)+IF(ISNUMBER(M45),$E$3,0)))</f>
        <v>0.381593038821955</v>
      </c>
      <c r="O45" s="12"/>
      <c r="P45" s="7" t="n">
        <f aca="false">IF(O45&lt;&gt;"","",COUNTIFS($A$6:$A$338,A45,$O$6:$O$338,"",$N$6:$N$338,"&gt;"&amp;N45)+COUNTIFS($A$6:A45,A45,$O$6:O45,"",$N$6:N45,N45))</f>
        <v>34</v>
      </c>
      <c r="Q45" s="12" t="str">
        <f aca="false">IF(P45="","Excluded",IF(P45&lt;=5,"Lead",IF(P45&lt;=10,"Next wave","Long list")))</f>
        <v>Long list</v>
      </c>
      <c r="R45" s="10" t="s">
        <v>105</v>
      </c>
      <c r="S45" s="30" t="s">
        <v>380</v>
      </c>
    </row>
    <row r="46" customFormat="false" ht="23.85" hidden="false" customHeight="false" outlineLevel="0" collapsed="false">
      <c r="A46" s="12" t="s">
        <v>23</v>
      </c>
      <c r="B46" s="12" t="s">
        <v>381</v>
      </c>
      <c r="C46" s="10" t="s">
        <v>382</v>
      </c>
      <c r="D46" s="26" t="n">
        <v>9.84</v>
      </c>
      <c r="E46" s="12" t="s">
        <v>102</v>
      </c>
      <c r="F46" s="11" t="n">
        <v>4745.9</v>
      </c>
      <c r="G46" s="10" t="s">
        <v>144</v>
      </c>
      <c r="H46" s="7" t="n">
        <v>1</v>
      </c>
      <c r="I46" s="12" t="s">
        <v>79</v>
      </c>
      <c r="J46" s="12" t="s">
        <v>80</v>
      </c>
      <c r="K46" s="10" t="s">
        <v>111</v>
      </c>
      <c r="L46" s="9" t="n">
        <f aca="false">IF(ISNUMBER(D46),COUNTIF($D$6:$D$338,"&lt;"&amp;D46)/(COUNT($D$6:$D$338)-1),"")</f>
        <v>0.225396825396825</v>
      </c>
      <c r="M46" s="9" t="n">
        <f aca="false">IF(ISNUMBER(F46),COUNTIF($F$6:$F$338,"&lt;"&amp;F46)/(COUNT($F$6:$F$338)-1),"")</f>
        <v>0.530120481927711</v>
      </c>
      <c r="N46" s="9" t="n">
        <f aca="false">IF(AND(L46="",M46=""),"",(IF(ISNUMBER(L46),$C$3*L46,0)+IF(ISNUMBER(M46),$E$3*M46,0))/(IF(ISNUMBER(L46),$C$3,0)+IF(ISNUMBER(M46),$E$3,0)))</f>
        <v>0.377758653662268</v>
      </c>
      <c r="O46" s="12"/>
      <c r="P46" s="7" t="n">
        <f aca="false">IF(O46&lt;&gt;"","",COUNTIFS($A$6:$A$338,A46,$O$6:$O$338,"",$N$6:$N$338,"&gt;"&amp;N46)+COUNTIFS($A$6:A46,A46,$O$6:O46,"",$N$6:N46,N46))</f>
        <v>35</v>
      </c>
      <c r="Q46" s="12" t="str">
        <f aca="false">IF(P46="","Excluded",IF(P46&lt;=5,"Lead",IF(P46&lt;=10,"Next wave","Long list")))</f>
        <v>Long list</v>
      </c>
      <c r="R46" s="10" t="s">
        <v>105</v>
      </c>
      <c r="S46" s="30" t="s">
        <v>383</v>
      </c>
    </row>
    <row r="47" customFormat="false" ht="23.85" hidden="false" customHeight="false" outlineLevel="0" collapsed="false">
      <c r="A47" s="12" t="s">
        <v>23</v>
      </c>
      <c r="B47" s="12" t="s">
        <v>206</v>
      </c>
      <c r="C47" s="10" t="s">
        <v>207</v>
      </c>
      <c r="D47" s="26" t="n">
        <v>8.5</v>
      </c>
      <c r="E47" s="12" t="s">
        <v>77</v>
      </c>
      <c r="F47" s="11" t="n">
        <v>5713.6</v>
      </c>
      <c r="G47" s="10" t="s">
        <v>226</v>
      </c>
      <c r="H47" s="7" t="n">
        <v>1</v>
      </c>
      <c r="I47" s="12" t="s">
        <v>79</v>
      </c>
      <c r="J47" s="12" t="s">
        <v>80</v>
      </c>
      <c r="K47" s="10" t="s">
        <v>111</v>
      </c>
      <c r="L47" s="9" t="n">
        <f aca="false">IF(ISNUMBER(D47),COUNTIF($D$6:$D$338,"&lt;"&amp;D47)/(COUNT($D$6:$D$338)-1),"")</f>
        <v>0.180952380952381</v>
      </c>
      <c r="M47" s="9" t="n">
        <f aca="false">IF(ISNUMBER(F47),COUNTIF($F$6:$F$338,"&lt;"&amp;F47)/(COUNT($F$6:$F$338)-1),"")</f>
        <v>0.569277108433735</v>
      </c>
      <c r="N47" s="9" t="n">
        <f aca="false">IF(AND(L47="",M47=""),"",(IF(ISNUMBER(L47),$C$3*L47,0)+IF(ISNUMBER(M47),$E$3*M47,0))/(IF(ISNUMBER(L47),$C$3,0)+IF(ISNUMBER(M47),$E$3,0)))</f>
        <v>0.375114744693058</v>
      </c>
      <c r="O47" s="12"/>
      <c r="P47" s="7" t="n">
        <f aca="false">IF(O47&lt;&gt;"","",COUNTIFS($A$6:$A$338,A47,$O$6:$O$338,"",$N$6:$N$338,"&gt;"&amp;N47)+COUNTIFS($A$6:A47,A47,$O$6:O47,"",$N$6:N47,N47))</f>
        <v>36</v>
      </c>
      <c r="Q47" s="12" t="str">
        <f aca="false">IF(P47="","Excluded",IF(P47&lt;=5,"Lead",IF(P47&lt;=10,"Next wave","Long list")))</f>
        <v>Long list</v>
      </c>
      <c r="R47" s="10" t="s">
        <v>82</v>
      </c>
      <c r="S47" s="30" t="s">
        <v>384</v>
      </c>
    </row>
    <row r="48" customFormat="false" ht="23.85" hidden="false" customHeight="false" outlineLevel="0" collapsed="false">
      <c r="A48" s="12" t="s">
        <v>23</v>
      </c>
      <c r="B48" s="12" t="s">
        <v>385</v>
      </c>
      <c r="C48" s="10" t="s">
        <v>386</v>
      </c>
      <c r="D48" s="26" t="n">
        <v>36.17</v>
      </c>
      <c r="E48" s="12" t="s">
        <v>102</v>
      </c>
      <c r="F48" s="11" t="n">
        <v>1202.2</v>
      </c>
      <c r="G48" s="10" t="s">
        <v>144</v>
      </c>
      <c r="H48" s="7" t="n">
        <v>1</v>
      </c>
      <c r="I48" s="12" t="s">
        <v>79</v>
      </c>
      <c r="J48" s="12" t="s">
        <v>86</v>
      </c>
      <c r="K48" s="10"/>
      <c r="L48" s="9" t="n">
        <f aca="false">IF(ISNUMBER(D48),COUNTIF($D$6:$D$338,"&lt;"&amp;D48)/(COUNT($D$6:$D$338)-1),"")</f>
        <v>0.571428571428571</v>
      </c>
      <c r="M48" s="9" t="n">
        <f aca="false">IF(ISNUMBER(F48),COUNTIF($F$6:$F$338,"&lt;"&amp;F48)/(COUNT($F$6:$F$338)-1),"")</f>
        <v>0.171686746987952</v>
      </c>
      <c r="N48" s="9" t="n">
        <f aca="false">IF(AND(L48="",M48=""),"",(IF(ISNUMBER(L48),$C$3*L48,0)+IF(ISNUMBER(M48),$E$3*M48,0))/(IF(ISNUMBER(L48),$C$3,0)+IF(ISNUMBER(M48),$E$3,0)))</f>
        <v>0.371557659208262</v>
      </c>
      <c r="O48" s="12"/>
      <c r="P48" s="7" t="n">
        <f aca="false">IF(O48&lt;&gt;"","",COUNTIFS($A$6:$A$338,A48,$O$6:$O$338,"",$N$6:$N$338,"&gt;"&amp;N48)+COUNTIFS($A$6:A48,A48,$O$6:O48,"",$N$6:N48,N48))</f>
        <v>37</v>
      </c>
      <c r="Q48" s="12" t="str">
        <f aca="false">IF(P48="","Excluded",IF(P48&lt;=5,"Lead",IF(P48&lt;=10,"Next wave","Long list")))</f>
        <v>Long list</v>
      </c>
      <c r="R48" s="10" t="s">
        <v>105</v>
      </c>
      <c r="S48" s="30" t="s">
        <v>387</v>
      </c>
    </row>
    <row r="49" customFormat="false" ht="23.85" hidden="false" customHeight="false" outlineLevel="0" collapsed="false">
      <c r="A49" s="12" t="s">
        <v>23</v>
      </c>
      <c r="B49" s="12" t="s">
        <v>388</v>
      </c>
      <c r="C49" s="10" t="s">
        <v>389</v>
      </c>
      <c r="D49" s="26" t="n">
        <v>22.25</v>
      </c>
      <c r="E49" s="12" t="s">
        <v>102</v>
      </c>
      <c r="F49" s="11" t="n">
        <v>2441.2</v>
      </c>
      <c r="G49" s="10" t="s">
        <v>144</v>
      </c>
      <c r="H49" s="7" t="n">
        <v>1</v>
      </c>
      <c r="I49" s="12" t="s">
        <v>79</v>
      </c>
      <c r="J49" s="12" t="s">
        <v>86</v>
      </c>
      <c r="K49" s="10"/>
      <c r="L49" s="9" t="n">
        <f aca="false">IF(ISNUMBER(D49),COUNTIF($D$6:$D$338,"&lt;"&amp;D49)/(COUNT($D$6:$D$338)-1),"")</f>
        <v>0.415873015873016</v>
      </c>
      <c r="M49" s="9" t="n">
        <f aca="false">IF(ISNUMBER(F49),COUNTIF($F$6:$F$338,"&lt;"&amp;F49)/(COUNT($F$6:$F$338)-1),"")</f>
        <v>0.289156626506024</v>
      </c>
      <c r="N49" s="9" t="n">
        <f aca="false">IF(AND(L49="",M49=""),"",(IF(ISNUMBER(L49),$C$3*L49,0)+IF(ISNUMBER(M49),$E$3*M49,0))/(IF(ISNUMBER(L49),$C$3,0)+IF(ISNUMBER(M49),$E$3,0)))</f>
        <v>0.35251482118952</v>
      </c>
      <c r="O49" s="12"/>
      <c r="P49" s="7" t="n">
        <f aca="false">IF(O49&lt;&gt;"","",COUNTIFS($A$6:$A$338,A49,$O$6:$O$338,"",$N$6:$N$338,"&gt;"&amp;N49)+COUNTIFS($A$6:A49,A49,$O$6:O49,"",$N$6:N49,N49))</f>
        <v>38</v>
      </c>
      <c r="Q49" s="12" t="str">
        <f aca="false">IF(P49="","Excluded",IF(P49&lt;=5,"Lead",IF(P49&lt;=10,"Next wave","Long list")))</f>
        <v>Long list</v>
      </c>
      <c r="R49" s="10" t="s">
        <v>105</v>
      </c>
      <c r="S49" s="30" t="s">
        <v>390</v>
      </c>
    </row>
    <row r="50" customFormat="false" ht="23.85" hidden="false" customHeight="false" outlineLevel="0" collapsed="false">
      <c r="A50" s="12" t="s">
        <v>23</v>
      </c>
      <c r="B50" s="12" t="s">
        <v>391</v>
      </c>
      <c r="C50" s="10" t="s">
        <v>241</v>
      </c>
      <c r="D50" s="26" t="n">
        <v>7.95</v>
      </c>
      <c r="E50" s="12" t="s">
        <v>153</v>
      </c>
      <c r="F50" s="11" t="n">
        <v>3923.6</v>
      </c>
      <c r="G50" s="10" t="s">
        <v>144</v>
      </c>
      <c r="H50" s="7" t="n">
        <v>1</v>
      </c>
      <c r="I50" s="12" t="s">
        <v>79</v>
      </c>
      <c r="J50" s="12" t="s">
        <v>97</v>
      </c>
      <c r="K50" s="10"/>
      <c r="L50" s="9" t="n">
        <f aca="false">IF(ISNUMBER(D50),COUNTIF($D$6:$D$338,"&lt;"&amp;D50)/(COUNT($D$6:$D$338)-1),"")</f>
        <v>0.171428571428571</v>
      </c>
      <c r="M50" s="9" t="n">
        <f aca="false">IF(ISNUMBER(F50),COUNTIF($F$6:$F$338,"&lt;"&amp;F50)/(COUNT($F$6:$F$338)-1),"")</f>
        <v>0.487951807228916</v>
      </c>
      <c r="N50" s="9" t="n">
        <f aca="false">IF(AND(L50="",M50=""),"",(IF(ISNUMBER(L50),$C$3*L50,0)+IF(ISNUMBER(M50),$E$3*M50,0))/(IF(ISNUMBER(L50),$C$3,0)+IF(ISNUMBER(M50),$E$3,0)))</f>
        <v>0.329690189328744</v>
      </c>
      <c r="O50" s="12"/>
      <c r="P50" s="7" t="n">
        <f aca="false">IF(O50&lt;&gt;"","",COUNTIFS($A$6:$A$338,A50,$O$6:$O$338,"",$N$6:$N$338,"&gt;"&amp;N50)+COUNTIFS($A$6:A50,A50,$O$6:O50,"",$N$6:N50,N50))</f>
        <v>39</v>
      </c>
      <c r="Q50" s="12" t="str">
        <f aca="false">IF(P50="","Excluded",IF(P50&lt;=5,"Lead",IF(P50&lt;=10,"Next wave","Long list")))</f>
        <v>Long list</v>
      </c>
      <c r="R50" s="10" t="s">
        <v>105</v>
      </c>
      <c r="S50" s="30" t="s">
        <v>392</v>
      </c>
    </row>
    <row r="51" customFormat="false" ht="23.85" hidden="false" customHeight="false" outlineLevel="0" collapsed="false">
      <c r="A51" s="12" t="s">
        <v>23</v>
      </c>
      <c r="B51" s="12" t="s">
        <v>261</v>
      </c>
      <c r="C51" s="10" t="s">
        <v>262</v>
      </c>
      <c r="D51" s="26" t="n">
        <v>13.63</v>
      </c>
      <c r="E51" s="12" t="s">
        <v>102</v>
      </c>
      <c r="F51" s="11" t="n">
        <v>2476.9</v>
      </c>
      <c r="G51" s="10" t="s">
        <v>144</v>
      </c>
      <c r="H51" s="7" t="n">
        <v>1</v>
      </c>
      <c r="I51" s="12" t="s">
        <v>79</v>
      </c>
      <c r="J51" s="12" t="s">
        <v>86</v>
      </c>
      <c r="K51" s="10"/>
      <c r="L51" s="9" t="n">
        <f aca="false">IF(ISNUMBER(D51),COUNTIF($D$6:$D$338,"&lt;"&amp;D51)/(COUNT($D$6:$D$338)-1),"")</f>
        <v>0.307936507936508</v>
      </c>
      <c r="M51" s="9" t="n">
        <f aca="false">IF(ISNUMBER(F51),COUNTIF($F$6:$F$338,"&lt;"&amp;F51)/(COUNT($F$6:$F$338)-1),"")</f>
        <v>0.295180722891566</v>
      </c>
      <c r="N51" s="9" t="n">
        <f aca="false">IF(AND(L51="",M51=""),"",(IF(ISNUMBER(L51),$C$3*L51,0)+IF(ISNUMBER(M51),$E$3*M51,0))/(IF(ISNUMBER(L51),$C$3,0)+IF(ISNUMBER(M51),$E$3,0)))</f>
        <v>0.301558615414037</v>
      </c>
      <c r="O51" s="12"/>
      <c r="P51" s="7" t="n">
        <f aca="false">IF(O51&lt;&gt;"","",COUNTIFS($A$6:$A$338,A51,$O$6:$O$338,"",$N$6:$N$338,"&gt;"&amp;N51)+COUNTIFS($A$6:A51,A51,$O$6:O51,"",$N$6:N51,N51))</f>
        <v>40</v>
      </c>
      <c r="Q51" s="12" t="str">
        <f aca="false">IF(P51="","Excluded",IF(P51&lt;=5,"Lead",IF(P51&lt;=10,"Next wave","Long list")))</f>
        <v>Long list</v>
      </c>
      <c r="R51" s="10" t="s">
        <v>82</v>
      </c>
      <c r="S51" s="30" t="s">
        <v>393</v>
      </c>
    </row>
    <row r="52" customFormat="false" ht="23.85" hidden="false" customHeight="false" outlineLevel="0" collapsed="false">
      <c r="A52" s="12" t="s">
        <v>23</v>
      </c>
      <c r="B52" s="12" t="s">
        <v>394</v>
      </c>
      <c r="C52" s="10" t="s">
        <v>395</v>
      </c>
      <c r="D52" s="26" t="n">
        <v>5.68</v>
      </c>
      <c r="E52" s="12" t="s">
        <v>102</v>
      </c>
      <c r="F52" s="11" t="n">
        <v>4878</v>
      </c>
      <c r="G52" s="10" t="s">
        <v>144</v>
      </c>
      <c r="H52" s="7" t="n">
        <v>1</v>
      </c>
      <c r="I52" s="12" t="s">
        <v>79</v>
      </c>
      <c r="J52" s="12" t="s">
        <v>127</v>
      </c>
      <c r="K52" s="10" t="s">
        <v>104</v>
      </c>
      <c r="L52" s="9" t="n">
        <f aca="false">IF(ISNUMBER(D52),COUNTIF($D$6:$D$338,"&lt;"&amp;D52)/(COUNT($D$6:$D$338)-1),"")</f>
        <v>0.0603174603174603</v>
      </c>
      <c r="M52" s="9" t="n">
        <f aca="false">IF(ISNUMBER(F52),COUNTIF($F$6:$F$338,"&lt;"&amp;F52)/(COUNT($F$6:$F$338)-1),"")</f>
        <v>0.542168674698795</v>
      </c>
      <c r="N52" s="9" t="n">
        <f aca="false">IF(AND(L52="",M52=""),"",(IF(ISNUMBER(L52),$C$3*L52,0)+IF(ISNUMBER(M52),$E$3*M52,0))/(IF(ISNUMBER(L52),$C$3,0)+IF(ISNUMBER(M52),$E$3,0)))</f>
        <v>0.301243067508128</v>
      </c>
      <c r="O52" s="12"/>
      <c r="P52" s="7" t="n">
        <f aca="false">IF(O52&lt;&gt;"","",COUNTIFS($A$6:$A$338,A52,$O$6:$O$338,"",$N$6:$N$338,"&gt;"&amp;N52)+COUNTIFS($A$6:A52,A52,$O$6:O52,"",$N$6:N52,N52))</f>
        <v>41</v>
      </c>
      <c r="Q52" s="12" t="str">
        <f aca="false">IF(P52="","Excluded",IF(P52&lt;=5,"Lead",IF(P52&lt;=10,"Next wave","Long list")))</f>
        <v>Long list</v>
      </c>
      <c r="R52" s="10" t="s">
        <v>105</v>
      </c>
      <c r="S52" s="30" t="s">
        <v>396</v>
      </c>
    </row>
    <row r="53" customFormat="false" ht="23.85" hidden="false" customHeight="false" outlineLevel="0" collapsed="false">
      <c r="A53" s="12" t="s">
        <v>23</v>
      </c>
      <c r="B53" s="12" t="s">
        <v>397</v>
      </c>
      <c r="C53" s="10" t="s">
        <v>398</v>
      </c>
      <c r="D53" s="26" t="n">
        <v>7.36</v>
      </c>
      <c r="E53" s="12" t="s">
        <v>77</v>
      </c>
      <c r="F53" s="11" t="n">
        <v>3519.3</v>
      </c>
      <c r="G53" s="10" t="s">
        <v>126</v>
      </c>
      <c r="H53" s="7" t="n">
        <v>1</v>
      </c>
      <c r="I53" s="12" t="s">
        <v>79</v>
      </c>
      <c r="J53" s="12" t="s">
        <v>86</v>
      </c>
      <c r="K53" s="10"/>
      <c r="L53" s="9" t="n">
        <f aca="false">IF(ISNUMBER(D53),COUNTIF($D$6:$D$338,"&lt;"&amp;D53)/(COUNT($D$6:$D$338)-1),"")</f>
        <v>0.142857142857143</v>
      </c>
      <c r="M53" s="9" t="n">
        <f aca="false">IF(ISNUMBER(F53),COUNTIF($F$6:$F$338,"&lt;"&amp;F53)/(COUNT($F$6:$F$338)-1),"")</f>
        <v>0.445783132530121</v>
      </c>
      <c r="N53" s="9" t="n">
        <f aca="false">IF(AND(L53="",M53=""),"",(IF(ISNUMBER(L53),$C$3*L53,0)+IF(ISNUMBER(M53),$E$3*M53,0))/(IF(ISNUMBER(L53),$C$3,0)+IF(ISNUMBER(M53),$E$3,0)))</f>
        <v>0.294320137693632</v>
      </c>
      <c r="O53" s="12"/>
      <c r="P53" s="7" t="n">
        <f aca="false">IF(O53&lt;&gt;"","",COUNTIFS($A$6:$A$338,A53,$O$6:$O$338,"",$N$6:$N$338,"&gt;"&amp;N53)+COUNTIFS($A$6:A53,A53,$O$6:O53,"",$N$6:N53,N53))</f>
        <v>42</v>
      </c>
      <c r="Q53" s="12" t="str">
        <f aca="false">IF(P53="","Excluded",IF(P53&lt;=5,"Lead",IF(P53&lt;=10,"Next wave","Long list")))</f>
        <v>Long list</v>
      </c>
      <c r="R53" s="10" t="s">
        <v>105</v>
      </c>
      <c r="S53" s="30" t="s">
        <v>399</v>
      </c>
    </row>
    <row r="54" customFormat="false" ht="23.85" hidden="false" customHeight="false" outlineLevel="0" collapsed="false">
      <c r="A54" s="12" t="s">
        <v>23</v>
      </c>
      <c r="B54" s="12" t="s">
        <v>400</v>
      </c>
      <c r="C54" s="10" t="s">
        <v>401</v>
      </c>
      <c r="D54" s="26" t="n">
        <v>9.74</v>
      </c>
      <c r="E54" s="12" t="s">
        <v>102</v>
      </c>
      <c r="F54" s="11" t="n">
        <v>2802.1</v>
      </c>
      <c r="G54" s="10" t="s">
        <v>144</v>
      </c>
      <c r="H54" s="7" t="n">
        <v>1</v>
      </c>
      <c r="I54" s="12" t="s">
        <v>79</v>
      </c>
      <c r="J54" s="12" t="s">
        <v>86</v>
      </c>
      <c r="K54" s="10"/>
      <c r="L54" s="9" t="n">
        <f aca="false">IF(ISNUMBER(D54),COUNTIF($D$6:$D$338,"&lt;"&amp;D54)/(COUNT($D$6:$D$338)-1),"")</f>
        <v>0.206349206349206</v>
      </c>
      <c r="M54" s="9" t="n">
        <f aca="false">IF(ISNUMBER(F54),COUNTIF($F$6:$F$338,"&lt;"&amp;F54)/(COUNT($F$6:$F$338)-1),"")</f>
        <v>0.352409638554217</v>
      </c>
      <c r="N54" s="9" t="n">
        <f aca="false">IF(AND(L54="",M54=""),"",(IF(ISNUMBER(L54),$C$3*L54,0)+IF(ISNUMBER(M54),$E$3*M54,0))/(IF(ISNUMBER(L54),$C$3,0)+IF(ISNUMBER(M54),$E$3,0)))</f>
        <v>0.279379422451712</v>
      </c>
      <c r="O54" s="12"/>
      <c r="P54" s="7" t="n">
        <f aca="false">IF(O54&lt;&gt;"","",COUNTIFS($A$6:$A$338,A54,$O$6:$O$338,"",$N$6:$N$338,"&gt;"&amp;N54)+COUNTIFS($A$6:A54,A54,$O$6:O54,"",$N$6:N54,N54))</f>
        <v>43</v>
      </c>
      <c r="Q54" s="12" t="str">
        <f aca="false">IF(P54="","Excluded",IF(P54&lt;=5,"Lead",IF(P54&lt;=10,"Next wave","Long list")))</f>
        <v>Long list</v>
      </c>
      <c r="R54" s="10" t="s">
        <v>82</v>
      </c>
      <c r="S54" s="30" t="s">
        <v>402</v>
      </c>
    </row>
    <row r="55" customFormat="false" ht="23.85" hidden="false" customHeight="false" outlineLevel="0" collapsed="false">
      <c r="A55" s="12" t="s">
        <v>23</v>
      </c>
      <c r="B55" s="12" t="s">
        <v>403</v>
      </c>
      <c r="C55" s="10" t="s">
        <v>404</v>
      </c>
      <c r="D55" s="26" t="n">
        <v>24.4</v>
      </c>
      <c r="E55" s="12" t="s">
        <v>77</v>
      </c>
      <c r="F55" s="11" t="n">
        <v>301.7</v>
      </c>
      <c r="G55" s="10" t="s">
        <v>405</v>
      </c>
      <c r="H55" s="7" t="n">
        <v>7</v>
      </c>
      <c r="I55" s="12" t="s">
        <v>79</v>
      </c>
      <c r="J55" s="12" t="s">
        <v>86</v>
      </c>
      <c r="K55" s="10" t="s">
        <v>104</v>
      </c>
      <c r="L55" s="9" t="n">
        <f aca="false">IF(ISNUMBER(D55),COUNTIF($D$6:$D$338,"&lt;"&amp;D55)/(COUNT($D$6:$D$338)-1),"")</f>
        <v>0.463492063492064</v>
      </c>
      <c r="M55" s="9" t="n">
        <f aca="false">IF(ISNUMBER(F55),COUNTIF($F$6:$F$338,"&lt;"&amp;F55)/(COUNT($F$6:$F$338)-1),"")</f>
        <v>0.0813253012048193</v>
      </c>
      <c r="N55" s="9" t="n">
        <f aca="false">IF(AND(L55="",M55=""),"",(IF(ISNUMBER(L55),$C$3*L55,0)+IF(ISNUMBER(M55),$E$3*M55,0))/(IF(ISNUMBER(L55),$C$3,0)+IF(ISNUMBER(M55),$E$3,0)))</f>
        <v>0.272408682348441</v>
      </c>
      <c r="O55" s="12"/>
      <c r="P55" s="7" t="n">
        <f aca="false">IF(O55&lt;&gt;"","",COUNTIFS($A$6:$A$338,A55,$O$6:$O$338,"",$N$6:$N$338,"&gt;"&amp;N55)+COUNTIFS($A$6:A55,A55,$O$6:O55,"",$N$6:N55,N55))</f>
        <v>44</v>
      </c>
      <c r="Q55" s="12" t="str">
        <f aca="false">IF(P55="","Excluded",IF(P55&lt;=5,"Lead",IF(P55&lt;=10,"Next wave","Long list")))</f>
        <v>Long list</v>
      </c>
      <c r="R55" s="10" t="s">
        <v>82</v>
      </c>
      <c r="S55" s="30" t="s">
        <v>406</v>
      </c>
    </row>
    <row r="56" customFormat="false" ht="23.85" hidden="false" customHeight="false" outlineLevel="0" collapsed="false">
      <c r="A56" s="12" t="s">
        <v>23</v>
      </c>
      <c r="B56" s="12" t="s">
        <v>223</v>
      </c>
      <c r="C56" s="10" t="s">
        <v>224</v>
      </c>
      <c r="D56" s="26" t="n">
        <v>14.96</v>
      </c>
      <c r="E56" s="12" t="s">
        <v>102</v>
      </c>
      <c r="F56" s="11" t="n">
        <v>1352.6</v>
      </c>
      <c r="G56" s="10" t="s">
        <v>144</v>
      </c>
      <c r="H56" s="7" t="n">
        <v>1</v>
      </c>
      <c r="I56" s="12" t="s">
        <v>172</v>
      </c>
      <c r="J56" s="12" t="s">
        <v>86</v>
      </c>
      <c r="K56" s="10"/>
      <c r="L56" s="9" t="n">
        <f aca="false">IF(ISNUMBER(D56),COUNTIF($D$6:$D$338,"&lt;"&amp;D56)/(COUNT($D$6:$D$338)-1),"")</f>
        <v>0.333333333333333</v>
      </c>
      <c r="M56" s="9" t="n">
        <f aca="false">IF(ISNUMBER(F56),COUNTIF($F$6:$F$338,"&lt;"&amp;F56)/(COUNT($F$6:$F$338)-1),"")</f>
        <v>0.189759036144578</v>
      </c>
      <c r="N56" s="9" t="n">
        <f aca="false">IF(AND(L56="",M56=""),"",(IF(ISNUMBER(L56),$C$3*L56,0)+IF(ISNUMBER(M56),$E$3*M56,0))/(IF(ISNUMBER(L56),$C$3,0)+IF(ISNUMBER(M56),$E$3,0)))</f>
        <v>0.261546184738956</v>
      </c>
      <c r="O56" s="12"/>
      <c r="P56" s="7" t="n">
        <f aca="false">IF(O56&lt;&gt;"","",COUNTIFS($A$6:$A$338,A56,$O$6:$O$338,"",$N$6:$N$338,"&gt;"&amp;N56)+COUNTIFS($A$6:A56,A56,$O$6:O56,"",$N$6:N56,N56))</f>
        <v>45</v>
      </c>
      <c r="Q56" s="12" t="str">
        <f aca="false">IF(P56="","Excluded",IF(P56&lt;=5,"Lead",IF(P56&lt;=10,"Next wave","Long list")))</f>
        <v>Long list</v>
      </c>
      <c r="R56" s="10" t="s">
        <v>99</v>
      </c>
      <c r="S56" s="30" t="s">
        <v>407</v>
      </c>
    </row>
    <row r="57" customFormat="false" ht="23.85" hidden="false" customHeight="false" outlineLevel="0" collapsed="false">
      <c r="A57" s="12" t="s">
        <v>23</v>
      </c>
      <c r="B57" s="12" t="s">
        <v>408</v>
      </c>
      <c r="C57" s="10" t="s">
        <v>409</v>
      </c>
      <c r="D57" s="26" t="n">
        <v>22.25</v>
      </c>
      <c r="E57" s="12" t="s">
        <v>102</v>
      </c>
      <c r="F57" s="11" t="n">
        <v>484.3</v>
      </c>
      <c r="G57" s="10" t="s">
        <v>144</v>
      </c>
      <c r="H57" s="7" t="n">
        <v>1</v>
      </c>
      <c r="I57" s="12" t="s">
        <v>79</v>
      </c>
      <c r="J57" s="12" t="s">
        <v>86</v>
      </c>
      <c r="K57" s="10"/>
      <c r="L57" s="9" t="n">
        <f aca="false">IF(ISNUMBER(D57),COUNTIF($D$6:$D$338,"&lt;"&amp;D57)/(COUNT($D$6:$D$338)-1),"")</f>
        <v>0.415873015873016</v>
      </c>
      <c r="M57" s="9" t="n">
        <f aca="false">IF(ISNUMBER(F57),COUNTIF($F$6:$F$338,"&lt;"&amp;F57)/(COUNT($F$6:$F$338)-1),"")</f>
        <v>0.0993975903614458</v>
      </c>
      <c r="N57" s="9" t="n">
        <f aca="false">IF(AND(L57="",M57=""),"",(IF(ISNUMBER(L57),$C$3*L57,0)+IF(ISNUMBER(M57),$E$3*M57,0))/(IF(ISNUMBER(L57),$C$3,0)+IF(ISNUMBER(M57),$E$3,0)))</f>
        <v>0.257635303117231</v>
      </c>
      <c r="O57" s="12"/>
      <c r="P57" s="7" t="n">
        <f aca="false">IF(O57&lt;&gt;"","",COUNTIFS($A$6:$A$338,A57,$O$6:$O$338,"",$N$6:$N$338,"&gt;"&amp;N57)+COUNTIFS($A$6:A57,A57,$O$6:O57,"",$N$6:N57,N57))</f>
        <v>46</v>
      </c>
      <c r="Q57" s="12" t="str">
        <f aca="false">IF(P57="","Excluded",IF(P57&lt;=5,"Lead",IF(P57&lt;=10,"Next wave","Long list")))</f>
        <v>Long list</v>
      </c>
      <c r="R57" s="10" t="s">
        <v>105</v>
      </c>
      <c r="S57" s="30" t="s">
        <v>410</v>
      </c>
    </row>
    <row r="58" customFormat="false" ht="23.85" hidden="false" customHeight="false" outlineLevel="0" collapsed="false">
      <c r="A58" s="12" t="s">
        <v>23</v>
      </c>
      <c r="B58" s="12" t="s">
        <v>411</v>
      </c>
      <c r="C58" s="10" t="s">
        <v>412</v>
      </c>
      <c r="D58" s="26" t="n">
        <v>5.35</v>
      </c>
      <c r="E58" s="12" t="s">
        <v>102</v>
      </c>
      <c r="F58" s="11" t="n">
        <v>2937.3</v>
      </c>
      <c r="G58" s="10" t="s">
        <v>413</v>
      </c>
      <c r="H58" s="7" t="n">
        <v>2</v>
      </c>
      <c r="I58" s="12" t="s">
        <v>79</v>
      </c>
      <c r="J58" s="12" t="s">
        <v>86</v>
      </c>
      <c r="K58" s="10"/>
      <c r="L58" s="9" t="n">
        <f aca="false">IF(ISNUMBER(D58),COUNTIF($D$6:$D$338,"&lt;"&amp;D58)/(COUNT($D$6:$D$338)-1),"")</f>
        <v>0.0317460317460317</v>
      </c>
      <c r="M58" s="9" t="n">
        <f aca="false">IF(ISNUMBER(F58),COUNTIF($F$6:$F$338,"&lt;"&amp;F58)/(COUNT($F$6:$F$338)-1),"")</f>
        <v>0.406626506024096</v>
      </c>
      <c r="N58" s="9" t="n">
        <f aca="false">IF(AND(L58="",M58=""),"",(IF(ISNUMBER(L58),$C$3*L58,0)+IF(ISNUMBER(M58),$E$3*M58,0))/(IF(ISNUMBER(L58),$C$3,0)+IF(ISNUMBER(M58),$E$3,0)))</f>
        <v>0.219186268885064</v>
      </c>
      <c r="O58" s="12"/>
      <c r="P58" s="7" t="n">
        <f aca="false">IF(O58&lt;&gt;"","",COUNTIFS($A$6:$A$338,A58,$O$6:$O$338,"",$N$6:$N$338,"&gt;"&amp;N58)+COUNTIFS($A$6:A58,A58,$O$6:O58,"",$N$6:N58,N58))</f>
        <v>47</v>
      </c>
      <c r="Q58" s="12" t="str">
        <f aca="false">IF(P58="","Excluded",IF(P58&lt;=5,"Lead",IF(P58&lt;=10,"Next wave","Long list")))</f>
        <v>Long list</v>
      </c>
      <c r="R58" s="10" t="s">
        <v>82</v>
      </c>
      <c r="S58" s="30" t="s">
        <v>414</v>
      </c>
    </row>
    <row r="59" customFormat="false" ht="23.85" hidden="false" customHeight="false" outlineLevel="0" collapsed="false">
      <c r="A59" s="12" t="s">
        <v>23</v>
      </c>
      <c r="B59" s="12" t="s">
        <v>415</v>
      </c>
      <c r="C59" s="10" t="s">
        <v>416</v>
      </c>
      <c r="D59" s="26" t="n">
        <v>10.03</v>
      </c>
      <c r="E59" s="12" t="s">
        <v>102</v>
      </c>
      <c r="F59" s="11" t="n">
        <v>1127.6</v>
      </c>
      <c r="G59" s="10" t="s">
        <v>144</v>
      </c>
      <c r="H59" s="7" t="n">
        <v>1</v>
      </c>
      <c r="I59" s="12" t="s">
        <v>85</v>
      </c>
      <c r="J59" s="12" t="s">
        <v>86</v>
      </c>
      <c r="K59" s="10" t="s">
        <v>87</v>
      </c>
      <c r="L59" s="9" t="n">
        <f aca="false">IF(ISNUMBER(D59),COUNTIF($D$6:$D$338,"&lt;"&amp;D59)/(COUNT($D$6:$D$338)-1),"")</f>
        <v>0.231746031746032</v>
      </c>
      <c r="M59" s="9" t="n">
        <f aca="false">IF(ISNUMBER(F59),COUNTIF($F$6:$F$338,"&lt;"&amp;F59)/(COUNT($F$6:$F$338)-1),"")</f>
        <v>0.162650602409639</v>
      </c>
      <c r="N59" s="9" t="n">
        <f aca="false">IF(AND(L59="",M59=""),"",(IF(ISNUMBER(L59),$C$3*L59,0)+IF(ISNUMBER(M59),$E$3*M59,0))/(IF(ISNUMBER(L59),$C$3,0)+IF(ISNUMBER(M59),$E$3,0)))</f>
        <v>0.197198317077835</v>
      </c>
      <c r="O59" s="12"/>
      <c r="P59" s="7" t="n">
        <f aca="false">IF(O59&lt;&gt;"","",COUNTIFS($A$6:$A$338,A59,$O$6:$O$338,"",$N$6:$N$338,"&gt;"&amp;N59)+COUNTIFS($A$6:A59,A59,$O$6:O59,"",$N$6:N59,N59))</f>
        <v>48</v>
      </c>
      <c r="Q59" s="12" t="str">
        <f aca="false">IF(P59="","Excluded",IF(P59&lt;=5,"Lead",IF(P59&lt;=10,"Next wave","Long list")))</f>
        <v>Long list</v>
      </c>
      <c r="R59" s="10" t="s">
        <v>88</v>
      </c>
      <c r="S59" s="30" t="s">
        <v>417</v>
      </c>
    </row>
    <row r="60" customFormat="false" ht="23.85" hidden="false" customHeight="false" outlineLevel="0" collapsed="false">
      <c r="A60" s="12" t="s">
        <v>23</v>
      </c>
      <c r="B60" s="12" t="s">
        <v>418</v>
      </c>
      <c r="C60" s="10" t="s">
        <v>288</v>
      </c>
      <c r="D60" s="26" t="n">
        <v>10.93</v>
      </c>
      <c r="E60" s="12" t="s">
        <v>102</v>
      </c>
      <c r="F60" s="11" t="n">
        <v>260.9</v>
      </c>
      <c r="G60" s="10" t="s">
        <v>144</v>
      </c>
      <c r="H60" s="7" t="n">
        <v>1</v>
      </c>
      <c r="I60" s="12" t="s">
        <v>79</v>
      </c>
      <c r="J60" s="12" t="s">
        <v>80</v>
      </c>
      <c r="K60" s="10" t="s">
        <v>111</v>
      </c>
      <c r="L60" s="9" t="n">
        <f aca="false">IF(ISNUMBER(D60),COUNTIF($D$6:$D$338,"&lt;"&amp;D60)/(COUNT($D$6:$D$338)-1),"")</f>
        <v>0.26031746031746</v>
      </c>
      <c r="M60" s="9" t="n">
        <f aca="false">IF(ISNUMBER(F60),COUNTIF($F$6:$F$338,"&lt;"&amp;F60)/(COUNT($F$6:$F$338)-1),"")</f>
        <v>0.0692771084337349</v>
      </c>
      <c r="N60" s="9" t="n">
        <f aca="false">IF(AND(L60="",M60=""),"",(IF(ISNUMBER(L60),$C$3*L60,0)+IF(ISNUMBER(M60),$E$3*M60,0))/(IF(ISNUMBER(L60),$C$3,0)+IF(ISNUMBER(M60),$E$3,0)))</f>
        <v>0.164797284375598</v>
      </c>
      <c r="O60" s="12"/>
      <c r="P60" s="7" t="n">
        <f aca="false">IF(O60&lt;&gt;"","",COUNTIFS($A$6:$A$338,A60,$O$6:$O$338,"",$N$6:$N$338,"&gt;"&amp;N60)+COUNTIFS($A$6:A60,A60,$O$6:O60,"",$N$6:N60,N60))</f>
        <v>49</v>
      </c>
      <c r="Q60" s="12" t="str">
        <f aca="false">IF(P60="","Excluded",IF(P60&lt;=5,"Lead",IF(P60&lt;=10,"Next wave","Long list")))</f>
        <v>Long list</v>
      </c>
      <c r="R60" s="10" t="s">
        <v>105</v>
      </c>
      <c r="S60" s="30" t="s">
        <v>419</v>
      </c>
    </row>
    <row r="61" customFormat="false" ht="23.85" hidden="false" customHeight="false" outlineLevel="0" collapsed="false">
      <c r="A61" s="12" t="s">
        <v>23</v>
      </c>
      <c r="B61" s="12" t="s">
        <v>287</v>
      </c>
      <c r="C61" s="10" t="s">
        <v>288</v>
      </c>
      <c r="D61" s="26" t="n">
        <v>7.41</v>
      </c>
      <c r="E61" s="12" t="s">
        <v>102</v>
      </c>
      <c r="F61" s="11" t="n">
        <v>570.1</v>
      </c>
      <c r="G61" s="10" t="s">
        <v>144</v>
      </c>
      <c r="H61" s="7" t="n">
        <v>1</v>
      </c>
      <c r="I61" s="12" t="s">
        <v>79</v>
      </c>
      <c r="J61" s="12" t="s">
        <v>80</v>
      </c>
      <c r="K61" s="10" t="s">
        <v>111</v>
      </c>
      <c r="L61" s="9" t="n">
        <f aca="false">IF(ISNUMBER(D61),COUNTIF($D$6:$D$338,"&lt;"&amp;D61)/(COUNT($D$6:$D$338)-1),"")</f>
        <v>0.146031746031746</v>
      </c>
      <c r="M61" s="9" t="n">
        <f aca="false">IF(ISNUMBER(F61),COUNTIF($F$6:$F$338,"&lt;"&amp;F61)/(COUNT($F$6:$F$338)-1),"")</f>
        <v>0.123493975903614</v>
      </c>
      <c r="N61" s="9" t="n">
        <f aca="false">IF(AND(L61="",M61=""),"",(IF(ISNUMBER(L61),$C$3*L61,0)+IF(ISNUMBER(M61),$E$3*M61,0))/(IF(ISNUMBER(L61),$C$3,0)+IF(ISNUMBER(M61),$E$3,0)))</f>
        <v>0.13476286096768</v>
      </c>
      <c r="O61" s="12"/>
      <c r="P61" s="7" t="n">
        <f aca="false">IF(O61&lt;&gt;"","",COUNTIFS($A$6:$A$338,A61,$O$6:$O$338,"",$N$6:$N$338,"&gt;"&amp;N61)+COUNTIFS($A$6:A61,A61,$O$6:O61,"",$N$6:N61,N61))</f>
        <v>50</v>
      </c>
      <c r="Q61" s="12" t="str">
        <f aca="false">IF(P61="","Excluded",IF(P61&lt;=5,"Lead",IF(P61&lt;=10,"Next wave","Long list")))</f>
        <v>Long list</v>
      </c>
      <c r="R61" s="10" t="s">
        <v>105</v>
      </c>
      <c r="S61" s="30" t="s">
        <v>420</v>
      </c>
    </row>
    <row r="62" customFormat="false" ht="23.85" hidden="false" customHeight="false" outlineLevel="0" collapsed="false">
      <c r="A62" s="12" t="s">
        <v>23</v>
      </c>
      <c r="B62" s="12" t="s">
        <v>275</v>
      </c>
      <c r="C62" s="10" t="s">
        <v>276</v>
      </c>
      <c r="D62" s="26" t="n">
        <v>7.04</v>
      </c>
      <c r="E62" s="12" t="s">
        <v>153</v>
      </c>
      <c r="F62" s="11" t="n">
        <v>71.4</v>
      </c>
      <c r="G62" s="10" t="s">
        <v>421</v>
      </c>
      <c r="H62" s="7" t="n">
        <v>1</v>
      </c>
      <c r="I62" s="12" t="s">
        <v>79</v>
      </c>
      <c r="J62" s="12" t="s">
        <v>80</v>
      </c>
      <c r="K62" s="10" t="s">
        <v>111</v>
      </c>
      <c r="L62" s="9" t="n">
        <f aca="false">IF(ISNUMBER(D62),COUNTIF($D$6:$D$338,"&lt;"&amp;D62)/(COUNT($D$6:$D$338)-1),"")</f>
        <v>0.13015873015873</v>
      </c>
      <c r="M62" s="9" t="n">
        <f aca="false">IF(ISNUMBER(F62),COUNTIF($F$6:$F$338,"&lt;"&amp;F62)/(COUNT($F$6:$F$338)-1),"")</f>
        <v>0.0210843373493976</v>
      </c>
      <c r="N62" s="9" t="n">
        <f aca="false">IF(AND(L62="",M62=""),"",(IF(ISNUMBER(L62),$C$3*L62,0)+IF(ISNUMBER(M62),$E$3*M62,0))/(IF(ISNUMBER(L62),$C$3,0)+IF(ISNUMBER(M62),$E$3,0)))</f>
        <v>0.0756215337540639</v>
      </c>
      <c r="O62" s="12"/>
      <c r="P62" s="7" t="n">
        <f aca="false">IF(O62&lt;&gt;"","",COUNTIFS($A$6:$A$338,A62,$O$6:$O$338,"",$N$6:$N$338,"&gt;"&amp;N62)+COUNTIFS($A$6:A62,A62,$O$6:O62,"",$N$6:N62,N62))</f>
        <v>51</v>
      </c>
      <c r="Q62" s="12" t="str">
        <f aca="false">IF(P62="","Excluded",IF(P62&lt;=5,"Lead",IF(P62&lt;=10,"Next wave","Long list")))</f>
        <v>Long list</v>
      </c>
      <c r="R62" s="10" t="s">
        <v>82</v>
      </c>
      <c r="S62" s="30" t="s">
        <v>422</v>
      </c>
    </row>
    <row r="63" customFormat="false" ht="23.85" hidden="false" customHeight="false" outlineLevel="0" collapsed="false">
      <c r="A63" s="12" t="s">
        <v>23</v>
      </c>
      <c r="B63" s="12" t="s">
        <v>423</v>
      </c>
      <c r="C63" s="10" t="s">
        <v>424</v>
      </c>
      <c r="D63" s="26"/>
      <c r="E63" s="12" t="s">
        <v>102</v>
      </c>
      <c r="F63" s="11" t="n">
        <v>6287.6</v>
      </c>
      <c r="G63" s="10" t="s">
        <v>279</v>
      </c>
      <c r="H63" s="7" t="n">
        <v>8</v>
      </c>
      <c r="I63" s="12" t="s">
        <v>79</v>
      </c>
      <c r="J63" s="12" t="s">
        <v>80</v>
      </c>
      <c r="K63" s="10" t="s">
        <v>111</v>
      </c>
      <c r="L63" s="9" t="str">
        <f aca="false">IF(ISNUMBER(D63),COUNTIF($D$6:$D$338,"&lt;"&amp;D63)/(COUNT($D$6:$D$338)-1),"")</f>
        <v/>
      </c>
      <c r="M63" s="9" t="n">
        <f aca="false">IF(ISNUMBER(F63),COUNTIF($F$6:$F$338,"&lt;"&amp;F63)/(COUNT($F$6:$F$338)-1),"")</f>
        <v>0.587349397590361</v>
      </c>
      <c r="N63" s="9" t="n">
        <f aca="false">IF(AND(L63="",M63=""),"",(IF(ISNUMBER(L63),$C$3*L63,0)+IF(ISNUMBER(M63),$E$3*M63,0))/(IF(ISNUMBER(L63),$C$3,0)+IF(ISNUMBER(M63),$E$3,0)))</f>
        <v>0.587349397590361</v>
      </c>
      <c r="O63" s="12" t="s">
        <v>310</v>
      </c>
      <c r="P63" s="7" t="str">
        <f aca="false">IF(O63&lt;&gt;"","",COUNTIFS($A$6:$A$338,A63,$O$6:$O$338,"",$N$6:$N$338,"&gt;"&amp;N63)+COUNTIFS($A$6:A63,A63,$O$6:O63,"",$N$6:N63,N63))</f>
        <v/>
      </c>
      <c r="Q63" s="12" t="str">
        <f aca="false">IF(P63="","Excluded",IF(P63&lt;=5,"Lead",IF(P63&lt;=10,"Next wave","Long list")))</f>
        <v>Excluded</v>
      </c>
      <c r="R63" s="10" t="s">
        <v>105</v>
      </c>
      <c r="S63" s="30" t="s">
        <v>425</v>
      </c>
    </row>
    <row r="64" customFormat="false" ht="23.85" hidden="false" customHeight="false" outlineLevel="0" collapsed="false">
      <c r="A64" s="12" t="s">
        <v>23</v>
      </c>
      <c r="B64" s="12" t="s">
        <v>308</v>
      </c>
      <c r="C64" s="10" t="s">
        <v>309</v>
      </c>
      <c r="D64" s="26"/>
      <c r="E64" s="12" t="s">
        <v>102</v>
      </c>
      <c r="F64" s="11" t="n">
        <v>4256.8</v>
      </c>
      <c r="G64" s="10" t="s">
        <v>144</v>
      </c>
      <c r="H64" s="7" t="n">
        <v>1</v>
      </c>
      <c r="I64" s="12" t="s">
        <v>97</v>
      </c>
      <c r="J64" s="12" t="s">
        <v>97</v>
      </c>
      <c r="K64" s="10"/>
      <c r="L64" s="9" t="str">
        <f aca="false">IF(ISNUMBER(D64),COUNTIF($D$6:$D$338,"&lt;"&amp;D64)/(COUNT($D$6:$D$338)-1),"")</f>
        <v/>
      </c>
      <c r="M64" s="9" t="n">
        <f aca="false">IF(ISNUMBER(F64),COUNTIF($F$6:$F$338,"&lt;"&amp;F64)/(COUNT($F$6:$F$338)-1),"")</f>
        <v>0.512048192771084</v>
      </c>
      <c r="N64" s="9" t="n">
        <f aca="false">IF(AND(L64="",M64=""),"",(IF(ISNUMBER(L64),$C$3*L64,0)+IF(ISNUMBER(M64),$E$3*M64,0))/(IF(ISNUMBER(L64),$C$3,0)+IF(ISNUMBER(M64),$E$3,0)))</f>
        <v>0.512048192771084</v>
      </c>
      <c r="O64" s="12" t="s">
        <v>310</v>
      </c>
      <c r="P64" s="7" t="str">
        <f aca="false">IF(O64&lt;&gt;"","",COUNTIFS($A$6:$A$338,A64,$O$6:$O$338,"",$N$6:$N$338,"&gt;"&amp;N64)+COUNTIFS($A$6:A64,A64,$O$6:O64,"",$N$6:N64,N64))</f>
        <v/>
      </c>
      <c r="Q64" s="12" t="str">
        <f aca="false">IF(P64="","Excluded",IF(P64&lt;=5,"Lead",IF(P64&lt;=10,"Next wave","Long list")))</f>
        <v>Excluded</v>
      </c>
      <c r="R64" s="10" t="s">
        <v>99</v>
      </c>
      <c r="S64" s="30" t="s">
        <v>311</v>
      </c>
    </row>
    <row r="65" customFormat="false" ht="23.85" hidden="false" customHeight="false" outlineLevel="0" collapsed="false">
      <c r="A65" s="12" t="s">
        <v>27</v>
      </c>
      <c r="B65" s="12" t="s">
        <v>164</v>
      </c>
      <c r="C65" s="10" t="s">
        <v>165</v>
      </c>
      <c r="D65" s="26" t="n">
        <v>73.63</v>
      </c>
      <c r="E65" s="12" t="s">
        <v>102</v>
      </c>
      <c r="F65" s="11" t="n">
        <v>132723.1</v>
      </c>
      <c r="G65" s="10" t="s">
        <v>323</v>
      </c>
      <c r="H65" s="7" t="n">
        <v>1</v>
      </c>
      <c r="I65" s="12" t="s">
        <v>79</v>
      </c>
      <c r="J65" s="12" t="s">
        <v>80</v>
      </c>
      <c r="K65" s="10" t="s">
        <v>111</v>
      </c>
      <c r="L65" s="9" t="n">
        <f aca="false">IF(ISNUMBER(D65),COUNTIF($D$6:$D$338,"&lt;"&amp;D65)/(COUNT($D$6:$D$338)-1),"")</f>
        <v>0.714285714285714</v>
      </c>
      <c r="M65" s="9" t="n">
        <f aca="false">IF(ISNUMBER(F65),COUNTIF($F$6:$F$338,"&lt;"&amp;F65)/(COUNT($F$6:$F$338)-1),"")</f>
        <v>0.996987951807229</v>
      </c>
      <c r="N65" s="9" t="n">
        <f aca="false">IF(AND(L65="",M65=""),"",(IF(ISNUMBER(L65),$C$3*L65,0)+IF(ISNUMBER(M65),$E$3*M65,0))/(IF(ISNUMBER(L65),$C$3,0)+IF(ISNUMBER(M65),$E$3,0)))</f>
        <v>0.855636833046472</v>
      </c>
      <c r="O65" s="12"/>
      <c r="P65" s="7" t="n">
        <f aca="false">IF(O65&lt;&gt;"","",COUNTIFS($A$6:$A$338,A65,$O$6:$O$338,"",$N$6:$N$338,"&gt;"&amp;N65)+COUNTIFS($A$6:A65,A65,$O$6:O65,"",$N$6:N65,N65))</f>
        <v>1</v>
      </c>
      <c r="Q65" s="12" t="str">
        <f aca="false">IF(P65="","Excluded",IF(P65&lt;=5,"Lead",IF(P65&lt;=10,"Next wave","Long list")))</f>
        <v>Lead</v>
      </c>
      <c r="R65" s="10" t="s">
        <v>105</v>
      </c>
      <c r="S65" s="30" t="s">
        <v>426</v>
      </c>
    </row>
    <row r="66" customFormat="false" ht="23.85" hidden="false" customHeight="false" outlineLevel="0" collapsed="false">
      <c r="A66" s="12" t="s">
        <v>27</v>
      </c>
      <c r="B66" s="12" t="s">
        <v>107</v>
      </c>
      <c r="C66" s="10" t="s">
        <v>108</v>
      </c>
      <c r="D66" s="26" t="n">
        <v>87.85</v>
      </c>
      <c r="E66" s="12" t="s">
        <v>77</v>
      </c>
      <c r="F66" s="11" t="n">
        <v>59827.2</v>
      </c>
      <c r="G66" s="10" t="s">
        <v>166</v>
      </c>
      <c r="H66" s="7" t="n">
        <v>5</v>
      </c>
      <c r="I66" s="12" t="s">
        <v>79</v>
      </c>
      <c r="J66" s="12" t="s">
        <v>86</v>
      </c>
      <c r="K66" s="10" t="s">
        <v>111</v>
      </c>
      <c r="L66" s="9" t="n">
        <f aca="false">IF(ISNUMBER(D66),COUNTIF($D$6:$D$338,"&lt;"&amp;D66)/(COUNT($D$6:$D$338)-1),"")</f>
        <v>0.73968253968254</v>
      </c>
      <c r="M66" s="9" t="n">
        <f aca="false">IF(ISNUMBER(F66),COUNTIF($F$6:$F$338,"&lt;"&amp;F66)/(COUNT($F$6:$F$338)-1),"")</f>
        <v>0.957831325301205</v>
      </c>
      <c r="N66" s="9" t="n">
        <f aca="false">IF(AND(L66="",M66=""),"",(IF(ISNUMBER(L66),$C$3*L66,0)+IF(ISNUMBER(M66),$E$3*M66,0))/(IF(ISNUMBER(L66),$C$3,0)+IF(ISNUMBER(M66),$E$3,0)))</f>
        <v>0.848756932491872</v>
      </c>
      <c r="O66" s="12"/>
      <c r="P66" s="7" t="n">
        <f aca="false">IF(O66&lt;&gt;"","",COUNTIFS($A$6:$A$338,A66,$O$6:$O$338,"",$N$6:$N$338,"&gt;"&amp;N66)+COUNTIFS($A$6:A66,A66,$O$6:O66,"",$N$6:N66,N66))</f>
        <v>2</v>
      </c>
      <c r="Q66" s="12" t="str">
        <f aca="false">IF(P66="","Excluded",IF(P66&lt;=5,"Lead",IF(P66&lt;=10,"Next wave","Long list")))</f>
        <v>Lead</v>
      </c>
      <c r="R66" s="10" t="s">
        <v>82</v>
      </c>
      <c r="S66" s="30" t="s">
        <v>317</v>
      </c>
    </row>
    <row r="67" customFormat="false" ht="23.85" hidden="false" customHeight="false" outlineLevel="0" collapsed="false">
      <c r="A67" s="12" t="s">
        <v>27</v>
      </c>
      <c r="B67" s="12" t="s">
        <v>167</v>
      </c>
      <c r="C67" s="10" t="s">
        <v>168</v>
      </c>
      <c r="D67" s="26" t="n">
        <v>52.55</v>
      </c>
      <c r="E67" s="12" t="s">
        <v>77</v>
      </c>
      <c r="F67" s="11" t="n">
        <v>358084.5</v>
      </c>
      <c r="G67" s="10" t="s">
        <v>323</v>
      </c>
      <c r="H67" s="7" t="n">
        <v>1</v>
      </c>
      <c r="I67" s="12" t="s">
        <v>79</v>
      </c>
      <c r="J67" s="12" t="s">
        <v>86</v>
      </c>
      <c r="K67" s="10"/>
      <c r="L67" s="9" t="n">
        <f aca="false">IF(ISNUMBER(D67),COUNTIF($D$6:$D$338,"&lt;"&amp;D67)/(COUNT($D$6:$D$338)-1),"")</f>
        <v>0.644444444444445</v>
      </c>
      <c r="M67" s="9" t="n">
        <f aca="false">IF(ISNUMBER(F67),COUNTIF($F$6:$F$338,"&lt;"&amp;F67)/(COUNT($F$6:$F$338)-1),"")</f>
        <v>1</v>
      </c>
      <c r="N67" s="9" t="n">
        <f aca="false">IF(AND(L67="",M67=""),"",(IF(ISNUMBER(L67),$C$3*L67,0)+IF(ISNUMBER(M67),$E$3*M67,0))/(IF(ISNUMBER(L67),$C$3,0)+IF(ISNUMBER(M67),$E$3,0)))</f>
        <v>0.822222222222222</v>
      </c>
      <c r="O67" s="12"/>
      <c r="P67" s="7" t="n">
        <f aca="false">IF(O67&lt;&gt;"","",COUNTIFS($A$6:$A$338,A67,$O$6:$O$338,"",$N$6:$N$338,"&gt;"&amp;N67)+COUNTIFS($A$6:A67,A67,$O$6:O67,"",$N$6:N67,N67))</f>
        <v>3</v>
      </c>
      <c r="Q67" s="12" t="str">
        <f aca="false">IF(P67="","Excluded",IF(P67&lt;=5,"Lead",IF(P67&lt;=10,"Next wave","Long list")))</f>
        <v>Lead</v>
      </c>
      <c r="R67" s="10" t="s">
        <v>105</v>
      </c>
      <c r="S67" s="30" t="s">
        <v>427</v>
      </c>
    </row>
    <row r="68" customFormat="false" ht="23.85" hidden="false" customHeight="false" outlineLevel="0" collapsed="false">
      <c r="A68" s="12" t="s">
        <v>27</v>
      </c>
      <c r="B68" s="12" t="s">
        <v>114</v>
      </c>
      <c r="C68" s="10" t="s">
        <v>115</v>
      </c>
      <c r="D68" s="26" t="n">
        <v>531.87</v>
      </c>
      <c r="E68" s="12" t="s">
        <v>153</v>
      </c>
      <c r="F68" s="11" t="n">
        <v>11366.1</v>
      </c>
      <c r="G68" s="10" t="s">
        <v>169</v>
      </c>
      <c r="H68" s="7" t="n">
        <v>1</v>
      </c>
      <c r="I68" s="12" t="s">
        <v>85</v>
      </c>
      <c r="J68" s="12" t="s">
        <v>86</v>
      </c>
      <c r="K68" s="10" t="s">
        <v>87</v>
      </c>
      <c r="L68" s="9" t="n">
        <f aca="false">IF(ISNUMBER(D68),COUNTIF($D$6:$D$338,"&lt;"&amp;D68)/(COUNT($D$6:$D$338)-1),"")</f>
        <v>0.946031746031746</v>
      </c>
      <c r="M68" s="9" t="n">
        <f aca="false">IF(ISNUMBER(F68),COUNTIF($F$6:$F$338,"&lt;"&amp;F68)/(COUNT($F$6:$F$338)-1),"")</f>
        <v>0.686746987951807</v>
      </c>
      <c r="N68" s="9" t="n">
        <f aca="false">IF(AND(L68="",M68=""),"",(IF(ISNUMBER(L68),$C$3*L68,0)+IF(ISNUMBER(M68),$E$3*M68,0))/(IF(ISNUMBER(L68),$C$3,0)+IF(ISNUMBER(M68),$E$3,0)))</f>
        <v>0.816389366991777</v>
      </c>
      <c r="O68" s="12"/>
      <c r="P68" s="7" t="n">
        <f aca="false">IF(O68&lt;&gt;"","",COUNTIFS($A$6:$A$338,A68,$O$6:$O$338,"",$N$6:$N$338,"&gt;"&amp;N68)+COUNTIFS($A$6:A68,A68,$O$6:O68,"",$N$6:N68,N68))</f>
        <v>4</v>
      </c>
      <c r="Q68" s="12" t="str">
        <f aca="false">IF(P68="","Excluded",IF(P68&lt;=5,"Lead",IF(P68&lt;=10,"Next wave","Long list")))</f>
        <v>Lead</v>
      </c>
      <c r="R68" s="10" t="s">
        <v>88</v>
      </c>
      <c r="S68" s="30" t="s">
        <v>304</v>
      </c>
    </row>
    <row r="69" customFormat="false" ht="23.85" hidden="false" customHeight="false" outlineLevel="0" collapsed="false">
      <c r="A69" s="12" t="s">
        <v>27</v>
      </c>
      <c r="B69" s="12" t="s">
        <v>89</v>
      </c>
      <c r="C69" s="10" t="s">
        <v>90</v>
      </c>
      <c r="D69" s="26" t="n">
        <v>163.29</v>
      </c>
      <c r="E69" s="12" t="s">
        <v>77</v>
      </c>
      <c r="F69" s="11" t="n">
        <v>28093.4</v>
      </c>
      <c r="G69" s="10" t="s">
        <v>323</v>
      </c>
      <c r="H69" s="7" t="n">
        <v>1</v>
      </c>
      <c r="I69" s="12" t="s">
        <v>79</v>
      </c>
      <c r="J69" s="12" t="s">
        <v>86</v>
      </c>
      <c r="K69" s="10" t="s">
        <v>104</v>
      </c>
      <c r="L69" s="9" t="n">
        <f aca="false">IF(ISNUMBER(D69),COUNTIF($D$6:$D$338,"&lt;"&amp;D69)/(COUNT($D$6:$D$338)-1),"")</f>
        <v>0.834920634920635</v>
      </c>
      <c r="M69" s="9" t="n">
        <f aca="false">IF(ISNUMBER(F69),COUNTIF($F$6:$F$338,"&lt;"&amp;F69)/(COUNT($F$6:$F$338)-1),"")</f>
        <v>0.792168674698795</v>
      </c>
      <c r="N69" s="9" t="n">
        <f aca="false">IF(AND(L69="",M69=""),"",(IF(ISNUMBER(L69),$C$3*L69,0)+IF(ISNUMBER(M69),$E$3*M69,0))/(IF(ISNUMBER(L69),$C$3,0)+IF(ISNUMBER(M69),$E$3,0)))</f>
        <v>0.813544654809715</v>
      </c>
      <c r="O69" s="12"/>
      <c r="P69" s="7" t="n">
        <f aca="false">IF(O69&lt;&gt;"","",COUNTIFS($A$6:$A$338,A69,$O$6:$O$338,"",$N$6:$N$338,"&gt;"&amp;N69)+COUNTIFS($A$6:A69,A69,$O$6:O69,"",$N$6:N69,N69))</f>
        <v>5</v>
      </c>
      <c r="Q69" s="12" t="str">
        <f aca="false">IF(P69="","Excluded",IF(P69&lt;=5,"Lead",IF(P69&lt;=10,"Next wave","Long list")))</f>
        <v>Lead</v>
      </c>
      <c r="R69" s="10" t="s">
        <v>82</v>
      </c>
      <c r="S69" s="30" t="s">
        <v>316</v>
      </c>
    </row>
    <row r="70" customFormat="false" ht="23.85" hidden="false" customHeight="false" outlineLevel="0" collapsed="false">
      <c r="A70" s="12" t="s">
        <v>27</v>
      </c>
      <c r="B70" s="12" t="s">
        <v>117</v>
      </c>
      <c r="C70" s="10" t="s">
        <v>118</v>
      </c>
      <c r="D70" s="26" t="n">
        <v>39.42</v>
      </c>
      <c r="E70" s="12" t="s">
        <v>77</v>
      </c>
      <c r="F70" s="11" t="n">
        <v>32830.2</v>
      </c>
      <c r="G70" s="10" t="s">
        <v>169</v>
      </c>
      <c r="H70" s="7" t="n">
        <v>4</v>
      </c>
      <c r="I70" s="12" t="s">
        <v>79</v>
      </c>
      <c r="J70" s="12" t="s">
        <v>86</v>
      </c>
      <c r="K70" s="10"/>
      <c r="L70" s="9" t="n">
        <f aca="false">IF(ISNUMBER(D70),COUNTIF($D$6:$D$338,"&lt;"&amp;D70)/(COUNT($D$6:$D$338)-1),"")</f>
        <v>0.593650793650794</v>
      </c>
      <c r="M70" s="9" t="n">
        <f aca="false">IF(ISNUMBER(F70),COUNTIF($F$6:$F$338,"&lt;"&amp;F70)/(COUNT($F$6:$F$338)-1),"")</f>
        <v>0.825301204819277</v>
      </c>
      <c r="N70" s="9" t="n">
        <f aca="false">IF(AND(L70="",M70=""),"",(IF(ISNUMBER(L70),$C$3*L70,0)+IF(ISNUMBER(M70),$E$3*M70,0))/(IF(ISNUMBER(L70),$C$3,0)+IF(ISNUMBER(M70),$E$3,0)))</f>
        <v>0.709475999235036</v>
      </c>
      <c r="O70" s="12"/>
      <c r="P70" s="7" t="n">
        <f aca="false">IF(O70&lt;&gt;"","",COUNTIFS($A$6:$A$338,A70,$O$6:$O$338,"",$N$6:$N$338,"&gt;"&amp;N70)+COUNTIFS($A$6:A70,A70,$O$6:O70,"",$N$6:N70,N70))</f>
        <v>6</v>
      </c>
      <c r="Q70" s="12" t="str">
        <f aca="false">IF(P70="","Excluded",IF(P70&lt;=5,"Lead",IF(P70&lt;=10,"Next wave","Long list")))</f>
        <v>Next wave</v>
      </c>
      <c r="R70" s="10" t="s">
        <v>82</v>
      </c>
      <c r="S70" s="30" t="s">
        <v>428</v>
      </c>
    </row>
    <row r="71" customFormat="false" ht="23.85" hidden="false" customHeight="false" outlineLevel="0" collapsed="false">
      <c r="A71" s="12" t="s">
        <v>27</v>
      </c>
      <c r="B71" s="12" t="s">
        <v>120</v>
      </c>
      <c r="C71" s="10" t="s">
        <v>121</v>
      </c>
      <c r="D71" s="26" t="n">
        <v>18.93</v>
      </c>
      <c r="E71" s="12" t="s">
        <v>77</v>
      </c>
      <c r="F71" s="11" t="n">
        <v>41503.2</v>
      </c>
      <c r="G71" s="10" t="s">
        <v>323</v>
      </c>
      <c r="H71" s="7" t="n">
        <v>1</v>
      </c>
      <c r="I71" s="12" t="s">
        <v>79</v>
      </c>
      <c r="J71" s="12" t="s">
        <v>86</v>
      </c>
      <c r="K71" s="10" t="s">
        <v>81</v>
      </c>
      <c r="L71" s="9" t="n">
        <f aca="false">IF(ISNUMBER(D71),COUNTIF($D$6:$D$338,"&lt;"&amp;D71)/(COUNT($D$6:$D$338)-1),"")</f>
        <v>0.384126984126984</v>
      </c>
      <c r="M71" s="9" t="n">
        <f aca="false">IF(ISNUMBER(F71),COUNTIF($F$6:$F$338,"&lt;"&amp;F71)/(COUNT($F$6:$F$338)-1),"")</f>
        <v>0.885542168674699</v>
      </c>
      <c r="N71" s="9" t="n">
        <f aca="false">IF(AND(L71="",M71=""),"",(IF(ISNUMBER(L71),$C$3*L71,0)+IF(ISNUMBER(M71),$E$3*M71,0))/(IF(ISNUMBER(L71),$C$3,0)+IF(ISNUMBER(M71),$E$3,0)))</f>
        <v>0.634834576400842</v>
      </c>
      <c r="O71" s="12"/>
      <c r="P71" s="7" t="n">
        <f aca="false">IF(O71&lt;&gt;"","",COUNTIFS($A$6:$A$338,A71,$O$6:$O$338,"",$N$6:$N$338,"&gt;"&amp;N71)+COUNTIFS($A$6:A71,A71,$O$6:O71,"",$N$6:N71,N71))</f>
        <v>7</v>
      </c>
      <c r="Q71" s="12" t="str">
        <f aca="false">IF(P71="","Excluded",IF(P71&lt;=5,"Lead",IF(P71&lt;=10,"Next wave","Long list")))</f>
        <v>Next wave</v>
      </c>
      <c r="R71" s="10" t="s">
        <v>82</v>
      </c>
      <c r="S71" s="30" t="s">
        <v>325</v>
      </c>
    </row>
    <row r="72" customFormat="false" ht="23.85" hidden="false" customHeight="false" outlineLevel="0" collapsed="false">
      <c r="A72" s="12" t="s">
        <v>27</v>
      </c>
      <c r="B72" s="12" t="s">
        <v>75</v>
      </c>
      <c r="C72" s="10" t="s">
        <v>76</v>
      </c>
      <c r="D72" s="26" t="n">
        <v>10.24</v>
      </c>
      <c r="E72" s="12" t="s">
        <v>102</v>
      </c>
      <c r="F72" s="11" t="n">
        <v>42181.7</v>
      </c>
      <c r="G72" s="10" t="s">
        <v>323</v>
      </c>
      <c r="H72" s="7" t="n">
        <v>1</v>
      </c>
      <c r="I72" s="12" t="s">
        <v>79</v>
      </c>
      <c r="J72" s="12" t="s">
        <v>80</v>
      </c>
      <c r="K72" s="10" t="s">
        <v>81</v>
      </c>
      <c r="L72" s="9" t="n">
        <f aca="false">IF(ISNUMBER(D72),COUNTIF($D$6:$D$338,"&lt;"&amp;D72)/(COUNT($D$6:$D$338)-1),"")</f>
        <v>0.253968253968254</v>
      </c>
      <c r="M72" s="9" t="n">
        <f aca="false">IF(ISNUMBER(F72),COUNTIF($F$6:$F$338,"&lt;"&amp;F72)/(COUNT($F$6:$F$338)-1),"")</f>
        <v>0.897590361445783</v>
      </c>
      <c r="N72" s="9" t="n">
        <f aca="false">IF(AND(L72="",M72=""),"",(IF(ISNUMBER(L72),$C$3*L72,0)+IF(ISNUMBER(M72),$E$3*M72,0))/(IF(ISNUMBER(L72),$C$3,0)+IF(ISNUMBER(M72),$E$3,0)))</f>
        <v>0.575779307707019</v>
      </c>
      <c r="O72" s="12"/>
      <c r="P72" s="7" t="n">
        <f aca="false">IF(O72&lt;&gt;"","",COUNTIFS($A$6:$A$338,A72,$O$6:$O$338,"",$N$6:$N$338,"&gt;"&amp;N72)+COUNTIFS($A$6:A72,A72,$O$6:O72,"",$N$6:N72,N72))</f>
        <v>8</v>
      </c>
      <c r="Q72" s="12" t="str">
        <f aca="false">IF(P72="","Excluded",IF(P72&lt;=5,"Lead",IF(P72&lt;=10,"Next wave","Long list")))</f>
        <v>Next wave</v>
      </c>
      <c r="R72" s="10" t="s">
        <v>82</v>
      </c>
      <c r="S72" s="30" t="s">
        <v>315</v>
      </c>
    </row>
    <row r="73" customFormat="false" ht="23.85" hidden="false" customHeight="false" outlineLevel="0" collapsed="false">
      <c r="A73" s="12" t="s">
        <v>27</v>
      </c>
      <c r="B73" s="12" t="s">
        <v>170</v>
      </c>
      <c r="C73" s="10" t="s">
        <v>171</v>
      </c>
      <c r="D73" s="26" t="n">
        <v>82.51</v>
      </c>
      <c r="E73" s="12" t="s">
        <v>153</v>
      </c>
      <c r="F73" s="11" t="n">
        <v>2931.4</v>
      </c>
      <c r="G73" s="10" t="s">
        <v>323</v>
      </c>
      <c r="H73" s="7" t="n">
        <v>1</v>
      </c>
      <c r="I73" s="12" t="s">
        <v>172</v>
      </c>
      <c r="J73" s="12" t="s">
        <v>86</v>
      </c>
      <c r="K73" s="10"/>
      <c r="L73" s="9" t="n">
        <f aca="false">IF(ISNUMBER(D73),COUNTIF($D$6:$D$338,"&lt;"&amp;D73)/(COUNT($D$6:$D$338)-1),"")</f>
        <v>0.733333333333333</v>
      </c>
      <c r="M73" s="9" t="n">
        <f aca="false">IF(ISNUMBER(F73),COUNTIF($F$6:$F$338,"&lt;"&amp;F73)/(COUNT($F$6:$F$338)-1),"")</f>
        <v>0.394578313253012</v>
      </c>
      <c r="N73" s="9" t="n">
        <f aca="false">IF(AND(L73="",M73=""),"",(IF(ISNUMBER(L73),$C$3*L73,0)+IF(ISNUMBER(M73),$E$3*M73,0))/(IF(ISNUMBER(L73),$C$3,0)+IF(ISNUMBER(M73),$E$3,0)))</f>
        <v>0.563955823293173</v>
      </c>
      <c r="O73" s="12"/>
      <c r="P73" s="7" t="n">
        <f aca="false">IF(O73&lt;&gt;"","",COUNTIFS($A$6:$A$338,A73,$O$6:$O$338,"",$N$6:$N$338,"&gt;"&amp;N73)+COUNTIFS($A$6:A73,A73,$O$6:O73,"",$N$6:N73,N73))</f>
        <v>9</v>
      </c>
      <c r="Q73" s="12" t="str">
        <f aca="false">IF(P73="","Excluded",IF(P73&lt;=5,"Lead",IF(P73&lt;=10,"Next wave","Long list")))</f>
        <v>Next wave</v>
      </c>
      <c r="R73" s="10" t="s">
        <v>82</v>
      </c>
      <c r="S73" s="30" t="s">
        <v>429</v>
      </c>
    </row>
    <row r="74" customFormat="false" ht="23.85" hidden="false" customHeight="false" outlineLevel="0" collapsed="false">
      <c r="A74" s="12" t="s">
        <v>27</v>
      </c>
      <c r="B74" s="12" t="s">
        <v>173</v>
      </c>
      <c r="C74" s="10" t="s">
        <v>174</v>
      </c>
      <c r="D74" s="26" t="n">
        <v>41.27</v>
      </c>
      <c r="E74" s="12" t="s">
        <v>77</v>
      </c>
      <c r="F74" s="11" t="n">
        <v>3973.7</v>
      </c>
      <c r="G74" s="10" t="s">
        <v>323</v>
      </c>
      <c r="H74" s="7" t="n">
        <v>2</v>
      </c>
      <c r="I74" s="12" t="s">
        <v>79</v>
      </c>
      <c r="J74" s="12" t="s">
        <v>86</v>
      </c>
      <c r="K74" s="10" t="s">
        <v>81</v>
      </c>
      <c r="L74" s="9" t="n">
        <f aca="false">IF(ISNUMBER(D74),COUNTIF($D$6:$D$338,"&lt;"&amp;D74)/(COUNT($D$6:$D$338)-1),"")</f>
        <v>0.603174603174603</v>
      </c>
      <c r="M74" s="9" t="n">
        <f aca="false">IF(ISNUMBER(F74),COUNTIF($F$6:$F$338,"&lt;"&amp;F74)/(COUNT($F$6:$F$338)-1),"")</f>
        <v>0.493975903614458</v>
      </c>
      <c r="N74" s="9" t="n">
        <f aca="false">IF(AND(L74="",M74=""),"",(IF(ISNUMBER(L74),$C$3*L74,0)+IF(ISNUMBER(M74),$E$3*M74,0))/(IF(ISNUMBER(L74),$C$3,0)+IF(ISNUMBER(M74),$E$3,0)))</f>
        <v>0.548575253394531</v>
      </c>
      <c r="O74" s="12"/>
      <c r="P74" s="7" t="n">
        <f aca="false">IF(O74&lt;&gt;"","",COUNTIFS($A$6:$A$338,A74,$O$6:$O$338,"",$N$6:$N$338,"&gt;"&amp;N74)+COUNTIFS($A$6:A74,A74,$O$6:O74,"",$N$6:N74,N74))</f>
        <v>10</v>
      </c>
      <c r="Q74" s="12" t="str">
        <f aca="false">IF(P74="","Excluded",IF(P74&lt;=5,"Lead",IF(P74&lt;=10,"Next wave","Long list")))</f>
        <v>Next wave</v>
      </c>
      <c r="R74" s="10" t="s">
        <v>82</v>
      </c>
      <c r="S74" s="30" t="s">
        <v>430</v>
      </c>
    </row>
    <row r="75" customFormat="false" ht="35.05" hidden="false" customHeight="false" outlineLevel="0" collapsed="false">
      <c r="A75" s="12" t="s">
        <v>27</v>
      </c>
      <c r="B75" s="12" t="s">
        <v>269</v>
      </c>
      <c r="C75" s="10" t="s">
        <v>270</v>
      </c>
      <c r="D75" s="26" t="n">
        <v>24.42</v>
      </c>
      <c r="E75" s="12" t="s">
        <v>77</v>
      </c>
      <c r="F75" s="11" t="n">
        <v>6294.9</v>
      </c>
      <c r="G75" s="10" t="s">
        <v>323</v>
      </c>
      <c r="H75" s="7" t="n">
        <v>1</v>
      </c>
      <c r="I75" s="12" t="s">
        <v>97</v>
      </c>
      <c r="J75" s="12" t="s">
        <v>97</v>
      </c>
      <c r="K75" s="10"/>
      <c r="L75" s="9" t="n">
        <f aca="false">IF(ISNUMBER(D75),COUNTIF($D$6:$D$338,"&lt;"&amp;D75)/(COUNT($D$6:$D$338)-1),"")</f>
        <v>0.46984126984127</v>
      </c>
      <c r="M75" s="9" t="n">
        <f aca="false">IF(ISNUMBER(F75),COUNTIF($F$6:$F$338,"&lt;"&amp;F75)/(COUNT($F$6:$F$338)-1),"")</f>
        <v>0.593373493975904</v>
      </c>
      <c r="N75" s="9" t="n">
        <f aca="false">IF(AND(L75="",M75=""),"",(IF(ISNUMBER(L75),$C$3*L75,0)+IF(ISNUMBER(M75),$E$3*M75,0))/(IF(ISNUMBER(L75),$C$3,0)+IF(ISNUMBER(M75),$E$3,0)))</f>
        <v>0.531607381908587</v>
      </c>
      <c r="O75" s="12"/>
      <c r="P75" s="7" t="n">
        <f aca="false">IF(O75&lt;&gt;"","",COUNTIFS($A$6:$A$338,A75,$O$6:$O$338,"",$N$6:$N$338,"&gt;"&amp;N75)+COUNTIFS($A$6:A75,A75,$O$6:O75,"",$N$6:N75,N75))</f>
        <v>11</v>
      </c>
      <c r="Q75" s="12" t="str">
        <f aca="false">IF(P75="","Excluded",IF(P75&lt;=5,"Lead",IF(P75&lt;=10,"Next wave","Long list")))</f>
        <v>Long list</v>
      </c>
      <c r="R75" s="10" t="s">
        <v>99</v>
      </c>
      <c r="S75" s="30" t="s">
        <v>378</v>
      </c>
    </row>
    <row r="76" customFormat="false" ht="23.85" hidden="false" customHeight="false" outlineLevel="0" collapsed="false">
      <c r="A76" s="12" t="s">
        <v>27</v>
      </c>
      <c r="B76" s="12" t="s">
        <v>195</v>
      </c>
      <c r="C76" s="10" t="s">
        <v>196</v>
      </c>
      <c r="D76" s="26" t="n">
        <v>20.63</v>
      </c>
      <c r="E76" s="12" t="s">
        <v>102</v>
      </c>
      <c r="F76" s="11" t="n">
        <v>6893.7</v>
      </c>
      <c r="G76" s="10" t="s">
        <v>144</v>
      </c>
      <c r="H76" s="7" t="n">
        <v>1</v>
      </c>
      <c r="I76" s="12" t="s">
        <v>79</v>
      </c>
      <c r="J76" s="12" t="s">
        <v>86</v>
      </c>
      <c r="K76" s="10"/>
      <c r="L76" s="9" t="n">
        <f aca="false">IF(ISNUMBER(D76),COUNTIF($D$6:$D$338,"&lt;"&amp;D76)/(COUNT($D$6:$D$338)-1),"")</f>
        <v>0.4</v>
      </c>
      <c r="M76" s="9" t="n">
        <f aca="false">IF(ISNUMBER(F76),COUNTIF($F$6:$F$338,"&lt;"&amp;F76)/(COUNT($F$6:$F$338)-1),"")</f>
        <v>0.632530120481928</v>
      </c>
      <c r="N76" s="9" t="n">
        <f aca="false">IF(AND(L76="",M76=""),"",(IF(ISNUMBER(L76),$C$3*L76,0)+IF(ISNUMBER(M76),$E$3*M76,0))/(IF(ISNUMBER(L76),$C$3,0)+IF(ISNUMBER(M76),$E$3,0)))</f>
        <v>0.516265060240964</v>
      </c>
      <c r="O76" s="12"/>
      <c r="P76" s="7" t="n">
        <f aca="false">IF(O76&lt;&gt;"","",COUNTIFS($A$6:$A$338,A76,$O$6:$O$338,"",$N$6:$N$338,"&gt;"&amp;N76)+COUNTIFS($A$6:A76,A76,$O$6:O76,"",$N$6:N76,N76))</f>
        <v>12</v>
      </c>
      <c r="Q76" s="12" t="str">
        <f aca="false">IF(P76="","Excluded",IF(P76&lt;=5,"Lead",IF(P76&lt;=10,"Next wave","Long list")))</f>
        <v>Long list</v>
      </c>
      <c r="R76" s="10" t="s">
        <v>82</v>
      </c>
      <c r="S76" s="30" t="s">
        <v>351</v>
      </c>
    </row>
    <row r="77" customFormat="false" ht="23.85" hidden="false" customHeight="false" outlineLevel="0" collapsed="false">
      <c r="A77" s="12" t="s">
        <v>27</v>
      </c>
      <c r="B77" s="12" t="s">
        <v>431</v>
      </c>
      <c r="C77" s="10" t="s">
        <v>432</v>
      </c>
      <c r="D77" s="26" t="n">
        <v>5970.59</v>
      </c>
      <c r="E77" s="12" t="s">
        <v>102</v>
      </c>
      <c r="F77" s="11" t="n">
        <v>0.2</v>
      </c>
      <c r="G77" s="10" t="s">
        <v>144</v>
      </c>
      <c r="H77" s="7" t="n">
        <v>1</v>
      </c>
      <c r="I77" s="12" t="s">
        <v>85</v>
      </c>
      <c r="J77" s="12" t="s">
        <v>86</v>
      </c>
      <c r="K77" s="10" t="s">
        <v>87</v>
      </c>
      <c r="L77" s="9" t="n">
        <f aca="false">IF(ISNUMBER(D77),COUNTIF($D$6:$D$338,"&lt;"&amp;D77)/(COUNT($D$6:$D$338)-1),"")</f>
        <v>0.993650793650794</v>
      </c>
      <c r="M77" s="9" t="n">
        <f aca="false">IF(ISNUMBER(F77),COUNTIF($F$6:$F$338,"&lt;"&amp;F77)/(COUNT($F$6:$F$338)-1),"")</f>
        <v>0</v>
      </c>
      <c r="N77" s="9" t="n">
        <f aca="false">IF(AND(L77="",M77=""),"",(IF(ISNUMBER(L77),$C$3*L77,0)+IF(ISNUMBER(M77),$E$3*M77,0))/(IF(ISNUMBER(L77),$C$3,0)+IF(ISNUMBER(M77),$E$3,0)))</f>
        <v>0.496825396825397</v>
      </c>
      <c r="O77" s="12"/>
      <c r="P77" s="7" t="n">
        <f aca="false">IF(O77&lt;&gt;"","",COUNTIFS($A$6:$A$338,A77,$O$6:$O$338,"",$N$6:$N$338,"&gt;"&amp;N77)+COUNTIFS($A$6:A77,A77,$O$6:O77,"",$N$6:N77,N77))</f>
        <v>13</v>
      </c>
      <c r="Q77" s="12" t="str">
        <f aca="false">IF(P77="","Excluded",IF(P77&lt;=5,"Lead",IF(P77&lt;=10,"Next wave","Long list")))</f>
        <v>Long list</v>
      </c>
      <c r="R77" s="10" t="s">
        <v>88</v>
      </c>
      <c r="S77" s="30" t="s">
        <v>433</v>
      </c>
    </row>
    <row r="78" customFormat="false" ht="23.85" hidden="false" customHeight="false" outlineLevel="0" collapsed="false">
      <c r="A78" s="12" t="s">
        <v>27</v>
      </c>
      <c r="B78" s="12" t="s">
        <v>229</v>
      </c>
      <c r="C78" s="10" t="s">
        <v>230</v>
      </c>
      <c r="D78" s="26" t="n">
        <v>23.15</v>
      </c>
      <c r="E78" s="12" t="s">
        <v>102</v>
      </c>
      <c r="F78" s="11" t="n">
        <v>4790.5</v>
      </c>
      <c r="G78" s="10" t="s">
        <v>144</v>
      </c>
      <c r="H78" s="7" t="n">
        <v>2</v>
      </c>
      <c r="I78" s="12" t="s">
        <v>79</v>
      </c>
      <c r="J78" s="12" t="s">
        <v>80</v>
      </c>
      <c r="K78" s="10" t="s">
        <v>111</v>
      </c>
      <c r="L78" s="9" t="n">
        <f aca="false">IF(ISNUMBER(D78),COUNTIF($D$6:$D$338,"&lt;"&amp;D78)/(COUNT($D$6:$D$338)-1),"")</f>
        <v>0.441269841269841</v>
      </c>
      <c r="M78" s="9" t="n">
        <f aca="false">IF(ISNUMBER(F78),COUNTIF($F$6:$F$338,"&lt;"&amp;F78)/(COUNT($F$6:$F$338)-1),"")</f>
        <v>0.533132530120482</v>
      </c>
      <c r="N78" s="9" t="n">
        <f aca="false">IF(AND(L78="",M78=""),"",(IF(ISNUMBER(L78),$C$3*L78,0)+IF(ISNUMBER(M78),$E$3*M78,0))/(IF(ISNUMBER(L78),$C$3,0)+IF(ISNUMBER(M78),$E$3,0)))</f>
        <v>0.487201185695162</v>
      </c>
      <c r="O78" s="12"/>
      <c r="P78" s="7" t="n">
        <f aca="false">IF(O78&lt;&gt;"","",COUNTIFS($A$6:$A$338,A78,$O$6:$O$338,"",$N$6:$N$338,"&gt;"&amp;N78)+COUNTIFS($A$6:A78,A78,$O$6:O78,"",$N$6:N78,N78))</f>
        <v>14</v>
      </c>
      <c r="Q78" s="12" t="str">
        <f aca="false">IF(P78="","Excluded",IF(P78&lt;=5,"Lead",IF(P78&lt;=10,"Next wave","Long list")))</f>
        <v>Long list</v>
      </c>
      <c r="R78" s="10" t="s">
        <v>82</v>
      </c>
      <c r="S78" s="30" t="s">
        <v>434</v>
      </c>
    </row>
    <row r="79" customFormat="false" ht="23.85" hidden="false" customHeight="false" outlineLevel="0" collapsed="false">
      <c r="A79" s="12" t="s">
        <v>27</v>
      </c>
      <c r="B79" s="12" t="s">
        <v>435</v>
      </c>
      <c r="C79" s="10" t="s">
        <v>436</v>
      </c>
      <c r="D79" s="26" t="n">
        <v>218.09</v>
      </c>
      <c r="E79" s="12" t="s">
        <v>77</v>
      </c>
      <c r="F79" s="11" t="n">
        <v>484.6</v>
      </c>
      <c r="G79" s="10" t="s">
        <v>323</v>
      </c>
      <c r="H79" s="7" t="n">
        <v>1</v>
      </c>
      <c r="I79" s="12" t="s">
        <v>79</v>
      </c>
      <c r="J79" s="12" t="s">
        <v>80</v>
      </c>
      <c r="K79" s="10" t="s">
        <v>111</v>
      </c>
      <c r="L79" s="9" t="n">
        <f aca="false">IF(ISNUMBER(D79),COUNTIF($D$6:$D$338,"&lt;"&amp;D79)/(COUNT($D$6:$D$338)-1),"")</f>
        <v>0.86031746031746</v>
      </c>
      <c r="M79" s="9" t="n">
        <f aca="false">IF(ISNUMBER(F79),COUNTIF($F$6:$F$338,"&lt;"&amp;F79)/(COUNT($F$6:$F$338)-1),"")</f>
        <v>0.102409638554217</v>
      </c>
      <c r="N79" s="9" t="n">
        <f aca="false">IF(AND(L79="",M79=""),"",(IF(ISNUMBER(L79),$C$3*L79,0)+IF(ISNUMBER(M79),$E$3*M79,0))/(IF(ISNUMBER(L79),$C$3,0)+IF(ISNUMBER(M79),$E$3,0)))</f>
        <v>0.481363549435839</v>
      </c>
      <c r="O79" s="12"/>
      <c r="P79" s="7" t="n">
        <f aca="false">IF(O79&lt;&gt;"","",COUNTIFS($A$6:$A$338,A79,$O$6:$O$338,"",$N$6:$N$338,"&gt;"&amp;N79)+COUNTIFS($A$6:A79,A79,$O$6:O79,"",$N$6:N79,N79))</f>
        <v>15</v>
      </c>
      <c r="Q79" s="12" t="str">
        <f aca="false">IF(P79="","Excluded",IF(P79&lt;=5,"Lead",IF(P79&lt;=10,"Next wave","Long list")))</f>
        <v>Long list</v>
      </c>
      <c r="R79" s="10" t="s">
        <v>105</v>
      </c>
      <c r="S79" s="30" t="s">
        <v>437</v>
      </c>
    </row>
    <row r="80" customFormat="false" ht="23.85" hidden="false" customHeight="false" outlineLevel="0" collapsed="false">
      <c r="A80" s="12" t="s">
        <v>27</v>
      </c>
      <c r="B80" s="12" t="s">
        <v>178</v>
      </c>
      <c r="C80" s="10" t="s">
        <v>179</v>
      </c>
      <c r="D80" s="26" t="n">
        <v>13.97</v>
      </c>
      <c r="E80" s="12" t="s">
        <v>77</v>
      </c>
      <c r="F80" s="11" t="n">
        <v>6632.6</v>
      </c>
      <c r="G80" s="10" t="s">
        <v>323</v>
      </c>
      <c r="H80" s="7" t="n">
        <v>1</v>
      </c>
      <c r="I80" s="12" t="s">
        <v>79</v>
      </c>
      <c r="J80" s="12" t="s">
        <v>86</v>
      </c>
      <c r="K80" s="10" t="s">
        <v>111</v>
      </c>
      <c r="L80" s="9" t="n">
        <f aca="false">IF(ISNUMBER(D80),COUNTIF($D$6:$D$338,"&lt;"&amp;D80)/(COUNT($D$6:$D$338)-1),"")</f>
        <v>0.320634920634921</v>
      </c>
      <c r="M80" s="9" t="n">
        <f aca="false">IF(ISNUMBER(F80),COUNTIF($F$6:$F$338,"&lt;"&amp;F80)/(COUNT($F$6:$F$338)-1),"")</f>
        <v>0.61144578313253</v>
      </c>
      <c r="N80" s="9" t="n">
        <f aca="false">IF(AND(L80="",M80=""),"",(IF(ISNUMBER(L80),$C$3*L80,0)+IF(ISNUMBER(M80),$E$3*M80,0))/(IF(ISNUMBER(L80),$C$3,0)+IF(ISNUMBER(M80),$E$3,0)))</f>
        <v>0.466040351883725</v>
      </c>
      <c r="O80" s="12"/>
      <c r="P80" s="7" t="n">
        <f aca="false">IF(O80&lt;&gt;"","",COUNTIFS($A$6:$A$338,A80,$O$6:$O$338,"",$N$6:$N$338,"&gt;"&amp;N80)+COUNTIFS($A$6:A80,A80,$O$6:O80,"",$N$6:N80,N80))</f>
        <v>16</v>
      </c>
      <c r="Q80" s="12" t="str">
        <f aca="false">IF(P80="","Excluded",IF(P80&lt;=5,"Lead",IF(P80&lt;=10,"Next wave","Long list")))</f>
        <v>Long list</v>
      </c>
      <c r="R80" s="10" t="s">
        <v>82</v>
      </c>
      <c r="S80" s="30" t="s">
        <v>438</v>
      </c>
    </row>
    <row r="81" customFormat="false" ht="23.85" hidden="false" customHeight="false" outlineLevel="0" collapsed="false">
      <c r="A81" s="12" t="s">
        <v>27</v>
      </c>
      <c r="B81" s="12" t="s">
        <v>312</v>
      </c>
      <c r="C81" s="10" t="s">
        <v>313</v>
      </c>
      <c r="D81" s="26" t="n">
        <v>39.89</v>
      </c>
      <c r="E81" s="12" t="s">
        <v>102</v>
      </c>
      <c r="F81" s="11" t="n">
        <v>2630</v>
      </c>
      <c r="G81" s="10" t="s">
        <v>144</v>
      </c>
      <c r="H81" s="7" t="n">
        <v>1</v>
      </c>
      <c r="I81" s="12" t="s">
        <v>92</v>
      </c>
      <c r="J81" s="12" t="s">
        <v>86</v>
      </c>
      <c r="K81" s="10"/>
      <c r="L81" s="9" t="n">
        <f aca="false">IF(ISNUMBER(D81),COUNTIF($D$6:$D$338,"&lt;"&amp;D81)/(COUNT($D$6:$D$338)-1),"")</f>
        <v>0.596825396825397</v>
      </c>
      <c r="M81" s="9" t="n">
        <f aca="false">IF(ISNUMBER(F81),COUNTIF($F$6:$F$338,"&lt;"&amp;F81)/(COUNT($F$6:$F$338)-1),"")</f>
        <v>0.331325301204819</v>
      </c>
      <c r="N81" s="9" t="n">
        <f aca="false">IF(AND(L81="",M81=""),"",(IF(ISNUMBER(L81),$C$3*L81,0)+IF(ISNUMBER(M81),$E$3*M81,0))/(IF(ISNUMBER(L81),$C$3,0)+IF(ISNUMBER(M81),$E$3,0)))</f>
        <v>0.464075349015108</v>
      </c>
      <c r="O81" s="12"/>
      <c r="P81" s="7" t="n">
        <f aca="false">IF(O81&lt;&gt;"","",COUNTIFS($A$6:$A$338,A81,$O$6:$O$338,"",$N$6:$N$338,"&gt;"&amp;N81)+COUNTIFS($A$6:A81,A81,$O$6:O81,"",$N$6:N81,N81))</f>
        <v>17</v>
      </c>
      <c r="Q81" s="12" t="str">
        <f aca="false">IF(P81="","Excluded",IF(P81&lt;=5,"Lead",IF(P81&lt;=10,"Next wave","Long list")))</f>
        <v>Long list</v>
      </c>
      <c r="R81" s="10" t="s">
        <v>82</v>
      </c>
      <c r="S81" s="30" t="s">
        <v>314</v>
      </c>
    </row>
    <row r="82" customFormat="false" ht="23.85" hidden="false" customHeight="false" outlineLevel="0" collapsed="false">
      <c r="A82" s="12" t="s">
        <v>27</v>
      </c>
      <c r="B82" s="12" t="s">
        <v>247</v>
      </c>
      <c r="C82" s="10" t="s">
        <v>248</v>
      </c>
      <c r="D82" s="26" t="n">
        <v>118.45</v>
      </c>
      <c r="E82" s="12" t="s">
        <v>77</v>
      </c>
      <c r="F82" s="11" t="n">
        <v>184.9</v>
      </c>
      <c r="G82" s="10" t="s">
        <v>323</v>
      </c>
      <c r="H82" s="7" t="n">
        <v>1</v>
      </c>
      <c r="I82" s="12" t="s">
        <v>79</v>
      </c>
      <c r="J82" s="12" t="s">
        <v>86</v>
      </c>
      <c r="K82" s="10"/>
      <c r="L82" s="9" t="n">
        <f aca="false">IF(ISNUMBER(D82),COUNTIF($D$6:$D$338,"&lt;"&amp;D82)/(COUNT($D$6:$D$338)-1),"")</f>
        <v>0.79047619047619</v>
      </c>
      <c r="M82" s="9" t="n">
        <f aca="false">IF(ISNUMBER(F82),COUNTIF($F$6:$F$338,"&lt;"&amp;F82)/(COUNT($F$6:$F$338)-1),"")</f>
        <v>0.0572289156626506</v>
      </c>
      <c r="N82" s="9" t="n">
        <f aca="false">IF(AND(L82="",M82=""),"",(IF(ISNUMBER(L82),$C$3*L82,0)+IF(ISNUMBER(M82),$E$3*M82,0))/(IF(ISNUMBER(L82),$C$3,0)+IF(ISNUMBER(M82),$E$3,0)))</f>
        <v>0.423852553069421</v>
      </c>
      <c r="O82" s="12"/>
      <c r="P82" s="7" t="n">
        <f aca="false">IF(O82&lt;&gt;"","",COUNTIFS($A$6:$A$338,A82,$O$6:$O$338,"",$N$6:$N$338,"&gt;"&amp;N82)+COUNTIFS($A$6:A82,A82,$O$6:O82,"",$N$6:N82,N82))</f>
        <v>18</v>
      </c>
      <c r="Q82" s="12" t="str">
        <f aca="false">IF(P82="","Excluded",IF(P82&lt;=5,"Lead",IF(P82&lt;=10,"Next wave","Long list")))</f>
        <v>Long list</v>
      </c>
      <c r="R82" s="10" t="s">
        <v>82</v>
      </c>
      <c r="S82" s="30" t="s">
        <v>439</v>
      </c>
    </row>
    <row r="83" customFormat="false" ht="23.85" hidden="false" customHeight="false" outlineLevel="0" collapsed="false">
      <c r="A83" s="12" t="s">
        <v>27</v>
      </c>
      <c r="B83" s="12" t="s">
        <v>403</v>
      </c>
      <c r="C83" s="10" t="s">
        <v>404</v>
      </c>
      <c r="D83" s="26" t="n">
        <v>60.37</v>
      </c>
      <c r="E83" s="12" t="s">
        <v>77</v>
      </c>
      <c r="F83" s="11" t="n">
        <v>301.7</v>
      </c>
      <c r="G83" s="10" t="s">
        <v>323</v>
      </c>
      <c r="H83" s="7" t="n">
        <v>1</v>
      </c>
      <c r="I83" s="12" t="s">
        <v>79</v>
      </c>
      <c r="J83" s="12" t="s">
        <v>86</v>
      </c>
      <c r="K83" s="10" t="s">
        <v>104</v>
      </c>
      <c r="L83" s="9" t="n">
        <f aca="false">IF(ISNUMBER(D83),COUNTIF($D$6:$D$338,"&lt;"&amp;D83)/(COUNT($D$6:$D$338)-1),"")</f>
        <v>0.676190476190476</v>
      </c>
      <c r="M83" s="9" t="n">
        <f aca="false">IF(ISNUMBER(F83),COUNTIF($F$6:$F$338,"&lt;"&amp;F83)/(COUNT($F$6:$F$338)-1),"")</f>
        <v>0.0813253012048193</v>
      </c>
      <c r="N83" s="9" t="n">
        <f aca="false">IF(AND(L83="",M83=""),"",(IF(ISNUMBER(L83),$C$3*L83,0)+IF(ISNUMBER(M83),$E$3*M83,0))/(IF(ISNUMBER(L83),$C$3,0)+IF(ISNUMBER(M83),$E$3,0)))</f>
        <v>0.378757888697648</v>
      </c>
      <c r="O83" s="12"/>
      <c r="P83" s="7" t="n">
        <f aca="false">IF(O83&lt;&gt;"","",COUNTIFS($A$6:$A$338,A83,$O$6:$O$338,"",$N$6:$N$338,"&gt;"&amp;N83)+COUNTIFS($A$6:A83,A83,$O$6:O83,"",$N$6:N83,N83))</f>
        <v>19</v>
      </c>
      <c r="Q83" s="12" t="str">
        <f aca="false">IF(P83="","Excluded",IF(P83&lt;=5,"Lead",IF(P83&lt;=10,"Next wave","Long list")))</f>
        <v>Long list</v>
      </c>
      <c r="R83" s="10" t="s">
        <v>82</v>
      </c>
      <c r="S83" s="30" t="s">
        <v>406</v>
      </c>
    </row>
    <row r="84" customFormat="false" ht="23.85" hidden="false" customHeight="false" outlineLevel="0" collapsed="false">
      <c r="A84" s="12" t="s">
        <v>27</v>
      </c>
      <c r="B84" s="12" t="s">
        <v>365</v>
      </c>
      <c r="C84" s="10" t="s">
        <v>366</v>
      </c>
      <c r="D84" s="26" t="n">
        <v>19.65</v>
      </c>
      <c r="E84" s="12" t="s">
        <v>102</v>
      </c>
      <c r="F84" s="11" t="n">
        <v>2690.1</v>
      </c>
      <c r="G84" s="10" t="s">
        <v>323</v>
      </c>
      <c r="H84" s="7" t="n">
        <v>1</v>
      </c>
      <c r="I84" s="12" t="s">
        <v>79</v>
      </c>
      <c r="J84" s="12" t="s">
        <v>86</v>
      </c>
      <c r="K84" s="10"/>
      <c r="L84" s="9" t="n">
        <f aca="false">IF(ISNUMBER(D84),COUNTIF($D$6:$D$338,"&lt;"&amp;D84)/(COUNT($D$6:$D$338)-1),"")</f>
        <v>0.387301587301587</v>
      </c>
      <c r="M84" s="9" t="n">
        <f aca="false">IF(ISNUMBER(F84),COUNTIF($F$6:$F$338,"&lt;"&amp;F84)/(COUNT($F$6:$F$338)-1),"")</f>
        <v>0.340361445783133</v>
      </c>
      <c r="N84" s="9" t="n">
        <f aca="false">IF(AND(L84="",M84=""),"",(IF(ISNUMBER(L84),$C$3*L84,0)+IF(ISNUMBER(M84),$E$3*M84,0))/(IF(ISNUMBER(L84),$C$3,0)+IF(ISNUMBER(M84),$E$3,0)))</f>
        <v>0.36383151654236</v>
      </c>
      <c r="O84" s="12"/>
      <c r="P84" s="7" t="n">
        <f aca="false">IF(O84&lt;&gt;"","",COUNTIFS($A$6:$A$338,A84,$O$6:$O$338,"",$N$6:$N$338,"&gt;"&amp;N84)+COUNTIFS($A$6:A84,A84,$O$6:O84,"",$N$6:N84,N84))</f>
        <v>20</v>
      </c>
      <c r="Q84" s="12" t="str">
        <f aca="false">IF(P84="","Excluded",IF(P84&lt;=5,"Lead",IF(P84&lt;=10,"Next wave","Long list")))</f>
        <v>Long list</v>
      </c>
      <c r="R84" s="10" t="s">
        <v>105</v>
      </c>
      <c r="S84" s="30" t="s">
        <v>367</v>
      </c>
    </row>
    <row r="85" customFormat="false" ht="35.05" hidden="false" customHeight="false" outlineLevel="0" collapsed="false">
      <c r="A85" s="12" t="s">
        <v>27</v>
      </c>
      <c r="B85" s="12" t="s">
        <v>440</v>
      </c>
      <c r="C85" s="10" t="s">
        <v>441</v>
      </c>
      <c r="D85" s="26" t="n">
        <v>1</v>
      </c>
      <c r="E85" s="12" t="s">
        <v>153</v>
      </c>
      <c r="F85" s="11" t="n">
        <v>5695.2</v>
      </c>
      <c r="G85" s="10" t="s">
        <v>323</v>
      </c>
      <c r="H85" s="7" t="n">
        <v>1</v>
      </c>
      <c r="I85" s="12" t="s">
        <v>79</v>
      </c>
      <c r="J85" s="12" t="s">
        <v>86</v>
      </c>
      <c r="K85" s="10" t="s">
        <v>442</v>
      </c>
      <c r="L85" s="9" t="n">
        <f aca="false">IF(ISNUMBER(D85),COUNTIF($D$6:$D$338,"&lt;"&amp;D85)/(COUNT($D$6:$D$338)-1),"")</f>
        <v>0</v>
      </c>
      <c r="M85" s="9" t="n">
        <f aca="false">IF(ISNUMBER(F85),COUNTIF($F$6:$F$338,"&lt;"&amp;F85)/(COUNT($F$6:$F$338)-1),"")</f>
        <v>0.563253012048193</v>
      </c>
      <c r="N85" s="9" t="n">
        <f aca="false">IF(AND(L85="",M85=""),"",(IF(ISNUMBER(L85),$C$3*L85,0)+IF(ISNUMBER(M85),$E$3*M85,0))/(IF(ISNUMBER(L85),$C$3,0)+IF(ISNUMBER(M85),$E$3,0)))</f>
        <v>0.281626506024096</v>
      </c>
      <c r="O85" s="12"/>
      <c r="P85" s="7" t="n">
        <f aca="false">IF(O85&lt;&gt;"","",COUNTIFS($A$6:$A$338,A85,$O$6:$O$338,"",$N$6:$N$338,"&gt;"&amp;N85)+COUNTIFS($A$6:A85,A85,$O$6:O85,"",$N$6:N85,N85))</f>
        <v>21</v>
      </c>
      <c r="Q85" s="12" t="str">
        <f aca="false">IF(P85="","Excluded",IF(P85&lt;=5,"Lead",IF(P85&lt;=10,"Next wave","Long list")))</f>
        <v>Long list</v>
      </c>
      <c r="R85" s="10" t="s">
        <v>105</v>
      </c>
      <c r="S85" s="30" t="s">
        <v>443</v>
      </c>
    </row>
    <row r="86" customFormat="false" ht="23.85" hidden="false" customHeight="false" outlineLevel="0" collapsed="false">
      <c r="A86" s="12" t="s">
        <v>27</v>
      </c>
      <c r="B86" s="12" t="s">
        <v>444</v>
      </c>
      <c r="C86" s="10" t="s">
        <v>445</v>
      </c>
      <c r="D86" s="26" t="n">
        <v>21.16</v>
      </c>
      <c r="E86" s="12" t="s">
        <v>77</v>
      </c>
      <c r="F86" s="11" t="n">
        <v>520.8</v>
      </c>
      <c r="G86" s="10" t="s">
        <v>323</v>
      </c>
      <c r="H86" s="7" t="n">
        <v>1</v>
      </c>
      <c r="I86" s="12" t="s">
        <v>79</v>
      </c>
      <c r="J86" s="12" t="s">
        <v>86</v>
      </c>
      <c r="K86" s="10" t="s">
        <v>104</v>
      </c>
      <c r="L86" s="9" t="n">
        <f aca="false">IF(ISNUMBER(D86),COUNTIF($D$6:$D$338,"&lt;"&amp;D86)/(COUNT($D$6:$D$338)-1),"")</f>
        <v>0.40952380952381</v>
      </c>
      <c r="M86" s="9" t="n">
        <f aca="false">IF(ISNUMBER(F86),COUNTIF($F$6:$F$338,"&lt;"&amp;F86)/(COUNT($F$6:$F$338)-1),"")</f>
        <v>0.117469879518072</v>
      </c>
      <c r="N86" s="9" t="n">
        <f aca="false">IF(AND(L86="",M86=""),"",(IF(ISNUMBER(L86),$C$3*L86,0)+IF(ISNUMBER(M86),$E$3*M86,0))/(IF(ISNUMBER(L86),$C$3,0)+IF(ISNUMBER(M86),$E$3,0)))</f>
        <v>0.263496844520941</v>
      </c>
      <c r="O86" s="12"/>
      <c r="P86" s="7" t="n">
        <f aca="false">IF(O86&lt;&gt;"","",COUNTIFS($A$6:$A$338,A86,$O$6:$O$338,"",$N$6:$N$338,"&gt;"&amp;N86)+COUNTIFS($A$6:A86,A86,$O$6:O86,"",$N$6:N86,N86))</f>
        <v>22</v>
      </c>
      <c r="Q86" s="12" t="str">
        <f aca="false">IF(P86="","Excluded",IF(P86&lt;=5,"Lead",IF(P86&lt;=10,"Next wave","Long list")))</f>
        <v>Long list</v>
      </c>
      <c r="R86" s="10" t="s">
        <v>105</v>
      </c>
      <c r="S86" s="30" t="s">
        <v>446</v>
      </c>
    </row>
    <row r="87" customFormat="false" ht="23.85" hidden="false" customHeight="false" outlineLevel="0" collapsed="false">
      <c r="A87" s="12" t="s">
        <v>27</v>
      </c>
      <c r="B87" s="12" t="s">
        <v>400</v>
      </c>
      <c r="C87" s="10" t="s">
        <v>401</v>
      </c>
      <c r="D87" s="26" t="n">
        <v>6.94</v>
      </c>
      <c r="E87" s="12" t="s">
        <v>102</v>
      </c>
      <c r="F87" s="11" t="n">
        <v>2802.1</v>
      </c>
      <c r="G87" s="10" t="s">
        <v>323</v>
      </c>
      <c r="H87" s="7" t="n">
        <v>1</v>
      </c>
      <c r="I87" s="12" t="s">
        <v>79</v>
      </c>
      <c r="J87" s="12" t="s">
        <v>86</v>
      </c>
      <c r="K87" s="10"/>
      <c r="L87" s="9" t="n">
        <f aca="false">IF(ISNUMBER(D87),COUNTIF($D$6:$D$338,"&lt;"&amp;D87)/(COUNT($D$6:$D$338)-1),"")</f>
        <v>0.123809523809524</v>
      </c>
      <c r="M87" s="9" t="n">
        <f aca="false">IF(ISNUMBER(F87),COUNTIF($F$6:$F$338,"&lt;"&amp;F87)/(COUNT($F$6:$F$338)-1),"")</f>
        <v>0.352409638554217</v>
      </c>
      <c r="N87" s="9" t="n">
        <f aca="false">IF(AND(L87="",M87=""),"",(IF(ISNUMBER(L87),$C$3*L87,0)+IF(ISNUMBER(M87),$E$3*M87,0))/(IF(ISNUMBER(L87),$C$3,0)+IF(ISNUMBER(M87),$E$3,0)))</f>
        <v>0.23810958118187</v>
      </c>
      <c r="O87" s="12"/>
      <c r="P87" s="7" t="n">
        <f aca="false">IF(O87&lt;&gt;"","",COUNTIFS($A$6:$A$338,A87,$O$6:$O$338,"",$N$6:$N$338,"&gt;"&amp;N87)+COUNTIFS($A$6:A87,A87,$O$6:O87,"",$N$6:N87,N87))</f>
        <v>23</v>
      </c>
      <c r="Q87" s="12" t="str">
        <f aca="false">IF(P87="","Excluded",IF(P87&lt;=5,"Lead",IF(P87&lt;=10,"Next wave","Long list")))</f>
        <v>Long list</v>
      </c>
      <c r="R87" s="10" t="s">
        <v>82</v>
      </c>
      <c r="S87" s="30" t="s">
        <v>402</v>
      </c>
    </row>
    <row r="88" customFormat="false" ht="23.85" hidden="false" customHeight="false" outlineLevel="0" collapsed="false">
      <c r="A88" s="12" t="s">
        <v>25</v>
      </c>
      <c r="B88" s="12" t="s">
        <v>75</v>
      </c>
      <c r="C88" s="10" t="s">
        <v>76</v>
      </c>
      <c r="D88" s="26" t="n">
        <v>259.25</v>
      </c>
      <c r="E88" s="12" t="s">
        <v>77</v>
      </c>
      <c r="F88" s="11" t="n">
        <v>42181.7</v>
      </c>
      <c r="G88" s="10" t="s">
        <v>154</v>
      </c>
      <c r="H88" s="7" t="n">
        <v>34</v>
      </c>
      <c r="I88" s="12" t="s">
        <v>79</v>
      </c>
      <c r="J88" s="12" t="s">
        <v>110</v>
      </c>
      <c r="K88" s="10" t="s">
        <v>81</v>
      </c>
      <c r="L88" s="9" t="n">
        <f aca="false">IF(ISNUMBER(D88),COUNTIF($D$6:$D$338,"&lt;"&amp;D88)/(COUNT($D$6:$D$338)-1),"")</f>
        <v>0.885714285714286</v>
      </c>
      <c r="M88" s="9" t="n">
        <f aca="false">IF(ISNUMBER(F88),COUNTIF($F$6:$F$338,"&lt;"&amp;F88)/(COUNT($F$6:$F$338)-1),"")</f>
        <v>0.897590361445783</v>
      </c>
      <c r="N88" s="9" t="n">
        <f aca="false">IF(AND(L88="",M88=""),"",(IF(ISNUMBER(L88),$C$3*L88,0)+IF(ISNUMBER(M88),$E$3*M88,0))/(IF(ISNUMBER(L88),$C$3,0)+IF(ISNUMBER(M88),$E$3,0)))</f>
        <v>0.891652323580034</v>
      </c>
      <c r="O88" s="12"/>
      <c r="P88" s="7" t="n">
        <f aca="false">IF(O88&lt;&gt;"","",COUNTIFS($A$6:$A$338,A88,$O$6:$O$338,"",$N$6:$N$338,"&gt;"&amp;N88)+COUNTIFS($A$6:A88,A88,$O$6:O88,"",$N$6:N88,N88))</f>
        <v>1</v>
      </c>
      <c r="Q88" s="12" t="str">
        <f aca="false">IF(P88="","Excluded",IF(P88&lt;=5,"Lead",IF(P88&lt;=10,"Next wave","Long list")))</f>
        <v>Lead</v>
      </c>
      <c r="R88" s="10" t="s">
        <v>82</v>
      </c>
      <c r="S88" s="30" t="s">
        <v>315</v>
      </c>
    </row>
    <row r="89" customFormat="false" ht="23.85" hidden="false" customHeight="false" outlineLevel="0" collapsed="false">
      <c r="A89" s="12" t="s">
        <v>25</v>
      </c>
      <c r="B89" s="12" t="s">
        <v>89</v>
      </c>
      <c r="C89" s="10" t="s">
        <v>90</v>
      </c>
      <c r="D89" s="26" t="n">
        <v>711.76</v>
      </c>
      <c r="E89" s="12" t="s">
        <v>77</v>
      </c>
      <c r="F89" s="11" t="n">
        <v>28093.4</v>
      </c>
      <c r="G89" s="10" t="s">
        <v>155</v>
      </c>
      <c r="H89" s="7" t="n">
        <v>18</v>
      </c>
      <c r="I89" s="12" t="s">
        <v>79</v>
      </c>
      <c r="J89" s="12" t="s">
        <v>86</v>
      </c>
      <c r="K89" s="10" t="s">
        <v>81</v>
      </c>
      <c r="L89" s="9" t="n">
        <f aca="false">IF(ISNUMBER(D89),COUNTIF($D$6:$D$338,"&lt;"&amp;D89)/(COUNT($D$6:$D$338)-1),"")</f>
        <v>0.965079365079365</v>
      </c>
      <c r="M89" s="9" t="n">
        <f aca="false">IF(ISNUMBER(F89),COUNTIF($F$6:$F$338,"&lt;"&amp;F89)/(COUNT($F$6:$F$338)-1),"")</f>
        <v>0.792168674698795</v>
      </c>
      <c r="N89" s="9" t="n">
        <f aca="false">IF(AND(L89="",M89=""),"",(IF(ISNUMBER(L89),$C$3*L89,0)+IF(ISNUMBER(M89),$E$3*M89,0))/(IF(ISNUMBER(L89),$C$3,0)+IF(ISNUMBER(M89),$E$3,0)))</f>
        <v>0.87862401988908</v>
      </c>
      <c r="O89" s="12"/>
      <c r="P89" s="7" t="n">
        <f aca="false">IF(O89&lt;&gt;"","",COUNTIFS($A$6:$A$338,A89,$O$6:$O$338,"",$N$6:$N$338,"&gt;"&amp;N89)+COUNTIFS($A$6:A89,A89,$O$6:O89,"",$N$6:N89,N89))</f>
        <v>2</v>
      </c>
      <c r="Q89" s="12" t="str">
        <f aca="false">IF(P89="","Excluded",IF(P89&lt;=5,"Lead",IF(P89&lt;=10,"Next wave","Long list")))</f>
        <v>Lead</v>
      </c>
      <c r="R89" s="10" t="s">
        <v>82</v>
      </c>
      <c r="S89" s="30" t="s">
        <v>316</v>
      </c>
    </row>
    <row r="90" customFormat="false" ht="23.85" hidden="false" customHeight="false" outlineLevel="0" collapsed="false">
      <c r="A90" s="12" t="s">
        <v>25</v>
      </c>
      <c r="B90" s="12" t="s">
        <v>107</v>
      </c>
      <c r="C90" s="10" t="s">
        <v>108</v>
      </c>
      <c r="D90" s="26" t="n">
        <v>98.68</v>
      </c>
      <c r="E90" s="12" t="s">
        <v>77</v>
      </c>
      <c r="F90" s="11" t="n">
        <v>59827.2</v>
      </c>
      <c r="G90" s="10" t="s">
        <v>156</v>
      </c>
      <c r="H90" s="7" t="n">
        <v>15</v>
      </c>
      <c r="I90" s="12" t="s">
        <v>79</v>
      </c>
      <c r="J90" s="12" t="s">
        <v>80</v>
      </c>
      <c r="K90" s="10" t="s">
        <v>111</v>
      </c>
      <c r="L90" s="9" t="n">
        <f aca="false">IF(ISNUMBER(D90),COUNTIF($D$6:$D$338,"&lt;"&amp;D90)/(COUNT($D$6:$D$338)-1),"")</f>
        <v>0.777777777777778</v>
      </c>
      <c r="M90" s="9" t="n">
        <f aca="false">IF(ISNUMBER(F90),COUNTIF($F$6:$F$338,"&lt;"&amp;F90)/(COUNT($F$6:$F$338)-1),"")</f>
        <v>0.957831325301205</v>
      </c>
      <c r="N90" s="9" t="n">
        <f aca="false">IF(AND(L90="",M90=""),"",(IF(ISNUMBER(L90),$C$3*L90,0)+IF(ISNUMBER(M90),$E$3*M90,0))/(IF(ISNUMBER(L90),$C$3,0)+IF(ISNUMBER(M90),$E$3,0)))</f>
        <v>0.867804551539491</v>
      </c>
      <c r="O90" s="12"/>
      <c r="P90" s="7" t="n">
        <f aca="false">IF(O90&lt;&gt;"","",COUNTIFS($A$6:$A$338,A90,$O$6:$O$338,"",$N$6:$N$338,"&gt;"&amp;N90)+COUNTIFS($A$6:A90,A90,$O$6:O90,"",$N$6:N90,N90))</f>
        <v>3</v>
      </c>
      <c r="Q90" s="12" t="str">
        <f aca="false">IF(P90="","Excluded",IF(P90&lt;=5,"Lead",IF(P90&lt;=10,"Next wave","Long list")))</f>
        <v>Lead</v>
      </c>
      <c r="R90" s="10" t="s">
        <v>82</v>
      </c>
      <c r="S90" s="30" t="s">
        <v>317</v>
      </c>
    </row>
    <row r="91" customFormat="false" ht="23.85" hidden="false" customHeight="false" outlineLevel="0" collapsed="false">
      <c r="A91" s="12" t="s">
        <v>25</v>
      </c>
      <c r="B91" s="12" t="s">
        <v>114</v>
      </c>
      <c r="C91" s="10" t="s">
        <v>115</v>
      </c>
      <c r="D91" s="26" t="n">
        <v>248.6</v>
      </c>
      <c r="E91" s="12" t="s">
        <v>77</v>
      </c>
      <c r="F91" s="11" t="n">
        <v>11366.1</v>
      </c>
      <c r="G91" s="10" t="s">
        <v>157</v>
      </c>
      <c r="H91" s="7" t="n">
        <v>14</v>
      </c>
      <c r="I91" s="12" t="s">
        <v>85</v>
      </c>
      <c r="J91" s="12" t="s">
        <v>86</v>
      </c>
      <c r="K91" s="10" t="s">
        <v>87</v>
      </c>
      <c r="L91" s="9" t="n">
        <f aca="false">IF(ISNUMBER(D91),COUNTIF($D$6:$D$338,"&lt;"&amp;D91)/(COUNT($D$6:$D$338)-1),"")</f>
        <v>0.873015873015873</v>
      </c>
      <c r="M91" s="9" t="n">
        <f aca="false">IF(ISNUMBER(F91),COUNTIF($F$6:$F$338,"&lt;"&amp;F91)/(COUNT($F$6:$F$338)-1),"")</f>
        <v>0.686746987951807</v>
      </c>
      <c r="N91" s="9" t="n">
        <f aca="false">IF(AND(L91="",M91=""),"",(IF(ISNUMBER(L91),$C$3*L91,0)+IF(ISNUMBER(M91),$E$3*M91,0))/(IF(ISNUMBER(L91),$C$3,0)+IF(ISNUMBER(M91),$E$3,0)))</f>
        <v>0.77988143048384</v>
      </c>
      <c r="O91" s="12"/>
      <c r="P91" s="7" t="n">
        <f aca="false">IF(O91&lt;&gt;"","",COUNTIFS($A$6:$A$338,A91,$O$6:$O$338,"",$N$6:$N$338,"&gt;"&amp;N91)+COUNTIFS($A$6:A91,A91,$O$6:O91,"",$N$6:N91,N91))</f>
        <v>4</v>
      </c>
      <c r="Q91" s="12" t="str">
        <f aca="false">IF(P91="","Excluded",IF(P91&lt;=5,"Lead",IF(P91&lt;=10,"Next wave","Long list")))</f>
        <v>Lead</v>
      </c>
      <c r="R91" s="10" t="s">
        <v>88</v>
      </c>
      <c r="S91" s="30" t="s">
        <v>304</v>
      </c>
    </row>
    <row r="92" customFormat="false" ht="23.85" hidden="false" customHeight="false" outlineLevel="0" collapsed="false">
      <c r="A92" s="12" t="s">
        <v>25</v>
      </c>
      <c r="B92" s="12" t="s">
        <v>112</v>
      </c>
      <c r="C92" s="10" t="s">
        <v>113</v>
      </c>
      <c r="D92" s="26" t="n">
        <v>343.8</v>
      </c>
      <c r="E92" s="12" t="s">
        <v>102</v>
      </c>
      <c r="F92" s="11" t="n">
        <v>7904.7</v>
      </c>
      <c r="G92" s="10" t="s">
        <v>144</v>
      </c>
      <c r="H92" s="7" t="n">
        <v>1</v>
      </c>
      <c r="I92" s="12" t="s">
        <v>79</v>
      </c>
      <c r="J92" s="12" t="s">
        <v>86</v>
      </c>
      <c r="K92" s="10"/>
      <c r="L92" s="9" t="n">
        <f aca="false">IF(ISNUMBER(D92),COUNTIF($D$6:$D$338,"&lt;"&amp;D92)/(COUNT($D$6:$D$338)-1),"")</f>
        <v>0.904761904761905</v>
      </c>
      <c r="M92" s="9" t="n">
        <f aca="false">IF(ISNUMBER(F92),COUNTIF($F$6:$F$338,"&lt;"&amp;F92)/(COUNT($F$6:$F$338)-1),"")</f>
        <v>0.650602409638554</v>
      </c>
      <c r="N92" s="9" t="n">
        <f aca="false">IF(AND(L92="",M92=""),"",(IF(ISNUMBER(L92),$C$3*L92,0)+IF(ISNUMBER(M92),$E$3*M92,0))/(IF(ISNUMBER(L92),$C$3,0)+IF(ISNUMBER(M92),$E$3,0)))</f>
        <v>0.77768215720023</v>
      </c>
      <c r="O92" s="12"/>
      <c r="P92" s="7" t="n">
        <f aca="false">IF(O92&lt;&gt;"","",COUNTIFS($A$6:$A$338,A92,$O$6:$O$338,"",$N$6:$N$338,"&gt;"&amp;N92)+COUNTIFS($A$6:A92,A92,$O$6:O92,"",$N$6:N92,N92))</f>
        <v>5</v>
      </c>
      <c r="Q92" s="12" t="str">
        <f aca="false">IF(P92="","Excluded",IF(P92&lt;=5,"Lead",IF(P92&lt;=10,"Next wave","Long list")))</f>
        <v>Lead</v>
      </c>
      <c r="R92" s="10" t="s">
        <v>82</v>
      </c>
      <c r="S92" s="30" t="s">
        <v>318</v>
      </c>
    </row>
    <row r="93" customFormat="false" ht="35.05" hidden="false" customHeight="false" outlineLevel="0" collapsed="false">
      <c r="A93" s="12" t="s">
        <v>25</v>
      </c>
      <c r="B93" s="12" t="s">
        <v>158</v>
      </c>
      <c r="C93" s="10" t="s">
        <v>159</v>
      </c>
      <c r="D93" s="26" t="n">
        <v>154.8</v>
      </c>
      <c r="E93" s="12" t="s">
        <v>102</v>
      </c>
      <c r="F93" s="11" t="n">
        <v>11040.9</v>
      </c>
      <c r="G93" s="10" t="s">
        <v>144</v>
      </c>
      <c r="H93" s="7" t="n">
        <v>1</v>
      </c>
      <c r="I93" s="12" t="s">
        <v>79</v>
      </c>
      <c r="J93" s="12" t="s">
        <v>80</v>
      </c>
      <c r="K93" s="10" t="s">
        <v>81</v>
      </c>
      <c r="L93" s="9" t="n">
        <f aca="false">IF(ISNUMBER(D93),COUNTIF($D$6:$D$338,"&lt;"&amp;D93)/(COUNT($D$6:$D$338)-1),"")</f>
        <v>0.825396825396825</v>
      </c>
      <c r="M93" s="9" t="n">
        <f aca="false">IF(ISNUMBER(F93),COUNTIF($F$6:$F$338,"&lt;"&amp;F93)/(COUNT($F$6:$F$338)-1),"")</f>
        <v>0.683734939759036</v>
      </c>
      <c r="N93" s="9" t="n">
        <f aca="false">IF(AND(L93="",M93=""),"",(IF(ISNUMBER(L93),$C$3*L93,0)+IF(ISNUMBER(M93),$E$3*M93,0))/(IF(ISNUMBER(L93),$C$3,0)+IF(ISNUMBER(M93),$E$3,0)))</f>
        <v>0.754565882577931</v>
      </c>
      <c r="O93" s="12"/>
      <c r="P93" s="7" t="n">
        <f aca="false">IF(O93&lt;&gt;"","",COUNTIFS($A$6:$A$338,A93,$O$6:$O$338,"",$N$6:$N$338,"&gt;"&amp;N93)+COUNTIFS($A$6:A93,A93,$O$6:O93,"",$N$6:N93,N93))</f>
        <v>6</v>
      </c>
      <c r="Q93" s="12" t="str">
        <f aca="false">IF(P93="","Excluded",IF(P93&lt;=5,"Lead",IF(P93&lt;=10,"Next wave","Long list")))</f>
        <v>Next wave</v>
      </c>
      <c r="R93" s="10" t="s">
        <v>105</v>
      </c>
      <c r="S93" s="30" t="s">
        <v>447</v>
      </c>
    </row>
    <row r="94" customFormat="false" ht="23.85" hidden="false" customHeight="false" outlineLevel="0" collapsed="false">
      <c r="A94" s="12" t="s">
        <v>25</v>
      </c>
      <c r="B94" s="12" t="s">
        <v>145</v>
      </c>
      <c r="C94" s="10" t="s">
        <v>146</v>
      </c>
      <c r="D94" s="26" t="n">
        <v>36.59</v>
      </c>
      <c r="E94" s="12" t="s">
        <v>77</v>
      </c>
      <c r="F94" s="11" t="n">
        <v>53539.9</v>
      </c>
      <c r="G94" s="10" t="s">
        <v>126</v>
      </c>
      <c r="H94" s="7" t="n">
        <v>1</v>
      </c>
      <c r="I94" s="12" t="s">
        <v>79</v>
      </c>
      <c r="J94" s="12" t="s">
        <v>97</v>
      </c>
      <c r="K94" s="10"/>
      <c r="L94" s="9" t="n">
        <f aca="false">IF(ISNUMBER(D94),COUNTIF($D$6:$D$338,"&lt;"&amp;D94)/(COUNT($D$6:$D$338)-1),"")</f>
        <v>0.580952380952381</v>
      </c>
      <c r="M94" s="9" t="n">
        <f aca="false">IF(ISNUMBER(F94),COUNTIF($F$6:$F$338,"&lt;"&amp;F94)/(COUNT($F$6:$F$338)-1),"")</f>
        <v>0.921686746987952</v>
      </c>
      <c r="N94" s="9" t="n">
        <f aca="false">IF(AND(L94="",M94=""),"",(IF(ISNUMBER(L94),$C$3*L94,0)+IF(ISNUMBER(M94),$E$3*M94,0))/(IF(ISNUMBER(L94),$C$3,0)+IF(ISNUMBER(M94),$E$3,0)))</f>
        <v>0.751319563970166</v>
      </c>
      <c r="O94" s="12"/>
      <c r="P94" s="7" t="n">
        <f aca="false">IF(O94&lt;&gt;"","",COUNTIFS($A$6:$A$338,A94,$O$6:$O$338,"",$N$6:$N$338,"&gt;"&amp;N94)+COUNTIFS($A$6:A94,A94,$O$6:O94,"",$N$6:N94,N94))</f>
        <v>7</v>
      </c>
      <c r="Q94" s="12" t="str">
        <f aca="false">IF(P94="","Excluded",IF(P94&lt;=5,"Lead",IF(P94&lt;=10,"Next wave","Long list")))</f>
        <v>Next wave</v>
      </c>
      <c r="R94" s="10" t="s">
        <v>82</v>
      </c>
      <c r="S94" s="30" t="s">
        <v>320</v>
      </c>
    </row>
    <row r="95" customFormat="false" ht="23.85" hidden="false" customHeight="false" outlineLevel="0" collapsed="false">
      <c r="A95" s="12" t="s">
        <v>25</v>
      </c>
      <c r="B95" s="12" t="s">
        <v>117</v>
      </c>
      <c r="C95" s="10" t="s">
        <v>118</v>
      </c>
      <c r="D95" s="26" t="n">
        <v>56.65</v>
      </c>
      <c r="E95" s="12" t="s">
        <v>77</v>
      </c>
      <c r="F95" s="11" t="n">
        <v>32830.2</v>
      </c>
      <c r="G95" s="10" t="s">
        <v>160</v>
      </c>
      <c r="H95" s="7" t="n">
        <v>21</v>
      </c>
      <c r="I95" s="12" t="s">
        <v>79</v>
      </c>
      <c r="J95" s="12" t="s">
        <v>86</v>
      </c>
      <c r="K95" s="10"/>
      <c r="L95" s="9" t="n">
        <f aca="false">IF(ISNUMBER(D95),COUNTIF($D$6:$D$338,"&lt;"&amp;D95)/(COUNT($D$6:$D$338)-1),"")</f>
        <v>0.666666666666667</v>
      </c>
      <c r="M95" s="9" t="n">
        <f aca="false">IF(ISNUMBER(F95),COUNTIF($F$6:$F$338,"&lt;"&amp;F95)/(COUNT($F$6:$F$338)-1),"")</f>
        <v>0.825301204819277</v>
      </c>
      <c r="N95" s="9" t="n">
        <f aca="false">IF(AND(L95="",M95=""),"",(IF(ISNUMBER(L95),$C$3*L95,0)+IF(ISNUMBER(M95),$E$3*M95,0))/(IF(ISNUMBER(L95),$C$3,0)+IF(ISNUMBER(M95),$E$3,0)))</f>
        <v>0.745983935742972</v>
      </c>
      <c r="O95" s="12"/>
      <c r="P95" s="7" t="n">
        <f aca="false">IF(O95&lt;&gt;"","",COUNTIFS($A$6:$A$338,A95,$O$6:$O$338,"",$N$6:$N$338,"&gt;"&amp;N95)+COUNTIFS($A$6:A95,A95,$O$6:O95,"",$N$6:N95,N95))</f>
        <v>8</v>
      </c>
      <c r="Q95" s="12" t="str">
        <f aca="false">IF(P95="","Excluded",IF(P95&lt;=5,"Lead",IF(P95&lt;=10,"Next wave","Long list")))</f>
        <v>Next wave</v>
      </c>
      <c r="R95" s="10" t="s">
        <v>82</v>
      </c>
      <c r="S95" s="30" t="s">
        <v>428</v>
      </c>
    </row>
    <row r="96" customFormat="false" ht="23.85" hidden="false" customHeight="false" outlineLevel="0" collapsed="false">
      <c r="A96" s="12" t="s">
        <v>25</v>
      </c>
      <c r="B96" s="12" t="s">
        <v>124</v>
      </c>
      <c r="C96" s="10" t="s">
        <v>125</v>
      </c>
      <c r="D96" s="26" t="n">
        <v>234.04</v>
      </c>
      <c r="E96" s="12" t="s">
        <v>77</v>
      </c>
      <c r="F96" s="11" t="n">
        <v>3871.2</v>
      </c>
      <c r="G96" s="10" t="s">
        <v>161</v>
      </c>
      <c r="H96" s="7" t="n">
        <v>5</v>
      </c>
      <c r="I96" s="12" t="s">
        <v>79</v>
      </c>
      <c r="J96" s="12" t="s">
        <v>86</v>
      </c>
      <c r="K96" s="10" t="s">
        <v>104</v>
      </c>
      <c r="L96" s="9" t="n">
        <f aca="false">IF(ISNUMBER(D96),COUNTIF($D$6:$D$338,"&lt;"&amp;D96)/(COUNT($D$6:$D$338)-1),"")</f>
        <v>0.863492063492064</v>
      </c>
      <c r="M96" s="9" t="n">
        <f aca="false">IF(ISNUMBER(F96),COUNTIF($F$6:$F$338,"&lt;"&amp;F96)/(COUNT($F$6:$F$338)-1),"")</f>
        <v>0.475903614457831</v>
      </c>
      <c r="N96" s="9" t="n">
        <f aca="false">IF(AND(L96="",M96=""),"",(IF(ISNUMBER(L96),$C$3*L96,0)+IF(ISNUMBER(M96),$E$3*M96,0))/(IF(ISNUMBER(L96),$C$3,0)+IF(ISNUMBER(M96),$E$3,0)))</f>
        <v>0.669697838974947</v>
      </c>
      <c r="O96" s="12"/>
      <c r="P96" s="7" t="n">
        <f aca="false">IF(O96&lt;&gt;"","",COUNTIFS($A$6:$A$338,A96,$O$6:$O$338,"",$N$6:$N$338,"&gt;"&amp;N96)+COUNTIFS($A$6:A96,A96,$O$6:O96,"",$N$6:N96,N96))</f>
        <v>9</v>
      </c>
      <c r="Q96" s="12" t="str">
        <f aca="false">IF(P96="","Excluded",IF(P96&lt;=5,"Lead",IF(P96&lt;=10,"Next wave","Long list")))</f>
        <v>Next wave</v>
      </c>
      <c r="R96" s="10" t="s">
        <v>82</v>
      </c>
      <c r="S96" s="30" t="s">
        <v>321</v>
      </c>
    </row>
    <row r="97" customFormat="false" ht="23.85" hidden="false" customHeight="false" outlineLevel="0" collapsed="false">
      <c r="A97" s="12" t="s">
        <v>25</v>
      </c>
      <c r="B97" s="12" t="s">
        <v>162</v>
      </c>
      <c r="C97" s="10" t="s">
        <v>163</v>
      </c>
      <c r="D97" s="26" t="n">
        <v>127.38</v>
      </c>
      <c r="E97" s="12" t="s">
        <v>102</v>
      </c>
      <c r="F97" s="11" t="n">
        <v>3625.3</v>
      </c>
      <c r="G97" s="10" t="s">
        <v>144</v>
      </c>
      <c r="H97" s="7" t="n">
        <v>2</v>
      </c>
      <c r="I97" s="12" t="s">
        <v>92</v>
      </c>
      <c r="J97" s="12" t="s">
        <v>86</v>
      </c>
      <c r="K97" s="10"/>
      <c r="L97" s="9" t="n">
        <f aca="false">IF(ISNUMBER(D97),COUNTIF($D$6:$D$338,"&lt;"&amp;D97)/(COUNT($D$6:$D$338)-1),"")</f>
        <v>0.803174603174603</v>
      </c>
      <c r="M97" s="9" t="n">
        <f aca="false">IF(ISNUMBER(F97),COUNTIF($F$6:$F$338,"&lt;"&amp;F97)/(COUNT($F$6:$F$338)-1),"")</f>
        <v>0.454819277108434</v>
      </c>
      <c r="N97" s="9" t="n">
        <f aca="false">IF(AND(L97="",M97=""),"",(IF(ISNUMBER(L97),$C$3*L97,0)+IF(ISNUMBER(M97),$E$3*M97,0))/(IF(ISNUMBER(L97),$C$3,0)+IF(ISNUMBER(M97),$E$3,0)))</f>
        <v>0.628996940141519</v>
      </c>
      <c r="O97" s="12"/>
      <c r="P97" s="7" t="n">
        <f aca="false">IF(O97&lt;&gt;"","",COUNTIFS($A$6:$A$338,A97,$O$6:$O$338,"",$N$6:$N$338,"&gt;"&amp;N97)+COUNTIFS($A$6:A97,A97,$O$6:O97,"",$N$6:N97,N97))</f>
        <v>10</v>
      </c>
      <c r="Q97" s="12" t="str">
        <f aca="false">IF(P97="","Excluded",IF(P97&lt;=5,"Lead",IF(P97&lt;=10,"Next wave","Long list")))</f>
        <v>Next wave</v>
      </c>
      <c r="R97" s="10" t="s">
        <v>82</v>
      </c>
      <c r="S97" s="30" t="s">
        <v>305</v>
      </c>
    </row>
    <row r="98" customFormat="false" ht="23.85" hidden="false" customHeight="false" outlineLevel="0" collapsed="false">
      <c r="A98" s="12" t="s">
        <v>25</v>
      </c>
      <c r="B98" s="12" t="s">
        <v>131</v>
      </c>
      <c r="C98" s="10" t="s">
        <v>132</v>
      </c>
      <c r="D98" s="26" t="n">
        <v>333.85</v>
      </c>
      <c r="E98" s="12" t="s">
        <v>77</v>
      </c>
      <c r="F98" s="11" t="n">
        <v>1874.6</v>
      </c>
      <c r="G98" s="10" t="s">
        <v>448</v>
      </c>
      <c r="H98" s="7" t="n">
        <v>8</v>
      </c>
      <c r="I98" s="12" t="s">
        <v>79</v>
      </c>
      <c r="J98" s="12" t="s">
        <v>86</v>
      </c>
      <c r="K98" s="10" t="s">
        <v>104</v>
      </c>
      <c r="L98" s="9" t="n">
        <f aca="false">IF(ISNUMBER(D98),COUNTIF($D$6:$D$338,"&lt;"&amp;D98)/(COUNT($D$6:$D$338)-1),"")</f>
        <v>0.901587301587302</v>
      </c>
      <c r="M98" s="9" t="n">
        <f aca="false">IF(ISNUMBER(F98),COUNTIF($F$6:$F$338,"&lt;"&amp;F98)/(COUNT($F$6:$F$338)-1),"")</f>
        <v>0.243975903614458</v>
      </c>
      <c r="N98" s="9" t="n">
        <f aca="false">IF(AND(L98="",M98=""),"",(IF(ISNUMBER(L98),$C$3*L98,0)+IF(ISNUMBER(M98),$E$3*M98,0))/(IF(ISNUMBER(L98),$C$3,0)+IF(ISNUMBER(M98),$E$3,0)))</f>
        <v>0.57278160260088</v>
      </c>
      <c r="O98" s="12"/>
      <c r="P98" s="7" t="n">
        <f aca="false">IF(O98&lt;&gt;"","",COUNTIFS($A$6:$A$338,A98,$O$6:$O$338,"",$N$6:$N$338,"&gt;"&amp;N98)+COUNTIFS($A$6:A98,A98,$O$6:O98,"",$N$6:N98,N98))</f>
        <v>11</v>
      </c>
      <c r="Q98" s="12" t="str">
        <f aca="false">IF(P98="","Excluded",IF(P98&lt;=5,"Lead",IF(P98&lt;=10,"Next wave","Long list")))</f>
        <v>Long list</v>
      </c>
      <c r="R98" s="10" t="s">
        <v>82</v>
      </c>
      <c r="S98" s="30" t="s">
        <v>449</v>
      </c>
    </row>
    <row r="99" customFormat="false" ht="23.85" hidden="false" customHeight="false" outlineLevel="0" collapsed="false">
      <c r="A99" s="12" t="s">
        <v>25</v>
      </c>
      <c r="B99" s="12" t="s">
        <v>400</v>
      </c>
      <c r="C99" s="10" t="s">
        <v>401</v>
      </c>
      <c r="D99" s="26" t="n">
        <v>37.87</v>
      </c>
      <c r="E99" s="12" t="s">
        <v>77</v>
      </c>
      <c r="F99" s="11" t="n">
        <v>2802.1</v>
      </c>
      <c r="G99" s="10" t="s">
        <v>450</v>
      </c>
      <c r="H99" s="7" t="n">
        <v>5</v>
      </c>
      <c r="I99" s="12" t="s">
        <v>79</v>
      </c>
      <c r="J99" s="12" t="s">
        <v>86</v>
      </c>
      <c r="K99" s="10"/>
      <c r="L99" s="9" t="n">
        <f aca="false">IF(ISNUMBER(D99),COUNTIF($D$6:$D$338,"&lt;"&amp;D99)/(COUNT($D$6:$D$338)-1),"")</f>
        <v>0.584126984126984</v>
      </c>
      <c r="M99" s="9" t="n">
        <f aca="false">IF(ISNUMBER(F99),COUNTIF($F$6:$F$338,"&lt;"&amp;F99)/(COUNT($F$6:$F$338)-1),"")</f>
        <v>0.352409638554217</v>
      </c>
      <c r="N99" s="9" t="n">
        <f aca="false">IF(AND(L99="",M99=""),"",(IF(ISNUMBER(L99),$C$3*L99,0)+IF(ISNUMBER(M99),$E$3*M99,0))/(IF(ISNUMBER(L99),$C$3,0)+IF(ISNUMBER(M99),$E$3,0)))</f>
        <v>0.468268311340601</v>
      </c>
      <c r="O99" s="12"/>
      <c r="P99" s="7" t="n">
        <f aca="false">IF(O99&lt;&gt;"","",COUNTIFS($A$6:$A$338,A99,$O$6:$O$338,"",$N$6:$N$338,"&gt;"&amp;N99)+COUNTIFS($A$6:A99,A99,$O$6:O99,"",$N$6:N99,N99))</f>
        <v>12</v>
      </c>
      <c r="Q99" s="12" t="str">
        <f aca="false">IF(P99="","Excluded",IF(P99&lt;=5,"Lead",IF(P99&lt;=10,"Next wave","Long list")))</f>
        <v>Long list</v>
      </c>
      <c r="R99" s="10" t="s">
        <v>82</v>
      </c>
      <c r="S99" s="30" t="s">
        <v>402</v>
      </c>
    </row>
    <row r="100" customFormat="false" ht="23.85" hidden="false" customHeight="false" outlineLevel="0" collapsed="false">
      <c r="A100" s="12" t="s">
        <v>25</v>
      </c>
      <c r="B100" s="12" t="s">
        <v>451</v>
      </c>
      <c r="C100" s="10" t="s">
        <v>452</v>
      </c>
      <c r="D100" s="26" t="n">
        <v>133.8</v>
      </c>
      <c r="E100" s="12" t="s">
        <v>102</v>
      </c>
      <c r="F100" s="11" t="n">
        <v>543</v>
      </c>
      <c r="G100" s="10" t="s">
        <v>144</v>
      </c>
      <c r="H100" s="7" t="n">
        <v>1</v>
      </c>
      <c r="I100" s="12" t="s">
        <v>79</v>
      </c>
      <c r="J100" s="12" t="s">
        <v>86</v>
      </c>
      <c r="K100" s="10"/>
      <c r="L100" s="9" t="n">
        <f aca="false">IF(ISNUMBER(D100),COUNTIF($D$6:$D$338,"&lt;"&amp;D100)/(COUNT($D$6:$D$338)-1),"")</f>
        <v>0.80952380952381</v>
      </c>
      <c r="M100" s="9" t="n">
        <f aca="false">IF(ISNUMBER(F100),COUNTIF($F$6:$F$338,"&lt;"&amp;F100)/(COUNT($F$6:$F$338)-1),"")</f>
        <v>0.120481927710843</v>
      </c>
      <c r="N100" s="9" t="n">
        <f aca="false">IF(AND(L100="",M100=""),"",(IF(ISNUMBER(L100),$C$3*L100,0)+IF(ISNUMBER(M100),$E$3*M100,0))/(IF(ISNUMBER(L100),$C$3,0)+IF(ISNUMBER(M100),$E$3,0)))</f>
        <v>0.465002868617326</v>
      </c>
      <c r="O100" s="12"/>
      <c r="P100" s="7" t="n">
        <f aca="false">IF(O100&lt;&gt;"","",COUNTIFS($A$6:$A$338,A100,$O$6:$O$338,"",$N$6:$N$338,"&gt;"&amp;N100)+COUNTIFS($A$6:A100,A100,$O$6:O100,"",$N$6:N100,N100))</f>
        <v>13</v>
      </c>
      <c r="Q100" s="12" t="str">
        <f aca="false">IF(P100="","Excluded",IF(P100&lt;=5,"Lead",IF(P100&lt;=10,"Next wave","Long list")))</f>
        <v>Long list</v>
      </c>
      <c r="R100" s="10" t="s">
        <v>105</v>
      </c>
      <c r="S100" s="30" t="s">
        <v>453</v>
      </c>
    </row>
    <row r="101" customFormat="false" ht="23.85" hidden="false" customHeight="false" outlineLevel="0" collapsed="false">
      <c r="A101" s="12" t="s">
        <v>25</v>
      </c>
      <c r="B101" s="12" t="s">
        <v>265</v>
      </c>
      <c r="C101" s="10" t="s">
        <v>266</v>
      </c>
      <c r="D101" s="26" t="n">
        <v>22.76</v>
      </c>
      <c r="E101" s="12" t="s">
        <v>102</v>
      </c>
      <c r="F101" s="11" t="n">
        <v>3067.4</v>
      </c>
      <c r="G101" s="10" t="s">
        <v>376</v>
      </c>
      <c r="H101" s="7" t="n">
        <v>2</v>
      </c>
      <c r="I101" s="12" t="s">
        <v>79</v>
      </c>
      <c r="J101" s="12" t="s">
        <v>86</v>
      </c>
      <c r="K101" s="10"/>
      <c r="L101" s="9" t="n">
        <f aca="false">IF(ISNUMBER(D101),COUNTIF($D$6:$D$338,"&lt;"&amp;D101)/(COUNT($D$6:$D$338)-1),"")</f>
        <v>0.434920634920635</v>
      </c>
      <c r="M101" s="9" t="n">
        <f aca="false">IF(ISNUMBER(F101),COUNTIF($F$6:$F$338,"&lt;"&amp;F101)/(COUNT($F$6:$F$338)-1),"")</f>
        <v>0.418674698795181</v>
      </c>
      <c r="N101" s="9" t="n">
        <f aca="false">IF(AND(L101="",M101=""),"",(IF(ISNUMBER(L101),$C$3*L101,0)+IF(ISNUMBER(M101),$E$3*M101,0))/(IF(ISNUMBER(L101),$C$3,0)+IF(ISNUMBER(M101),$E$3,0)))</f>
        <v>0.426797666857908</v>
      </c>
      <c r="O101" s="12"/>
      <c r="P101" s="7" t="n">
        <f aca="false">IF(O101&lt;&gt;"","",COUNTIFS($A$6:$A$338,A101,$O$6:$O$338,"",$N$6:$N$338,"&gt;"&amp;N101)+COUNTIFS($A$6:A101,A101,$O$6:O101,"",$N$6:N101,N101))</f>
        <v>14</v>
      </c>
      <c r="Q101" s="12" t="str">
        <f aca="false">IF(P101="","Excluded",IF(P101&lt;=5,"Lead",IF(P101&lt;=10,"Next wave","Long list")))</f>
        <v>Long list</v>
      </c>
      <c r="R101" s="10" t="s">
        <v>82</v>
      </c>
      <c r="S101" s="30" t="s">
        <v>454</v>
      </c>
    </row>
    <row r="102" customFormat="false" ht="23.85" hidden="false" customHeight="false" outlineLevel="0" collapsed="false">
      <c r="A102" s="12" t="s">
        <v>25</v>
      </c>
      <c r="B102" s="12" t="s">
        <v>368</v>
      </c>
      <c r="C102" s="10" t="s">
        <v>369</v>
      </c>
      <c r="D102" s="26" t="n">
        <v>46.35</v>
      </c>
      <c r="E102" s="12" t="s">
        <v>77</v>
      </c>
      <c r="F102" s="11" t="n">
        <v>517.1</v>
      </c>
      <c r="G102" s="10" t="s">
        <v>169</v>
      </c>
      <c r="H102" s="7" t="n">
        <v>1</v>
      </c>
      <c r="I102" s="12" t="s">
        <v>85</v>
      </c>
      <c r="J102" s="12" t="s">
        <v>97</v>
      </c>
      <c r="K102" s="10" t="s">
        <v>87</v>
      </c>
      <c r="L102" s="9" t="n">
        <f aca="false">IF(ISNUMBER(D102),COUNTIF($D$6:$D$338,"&lt;"&amp;D102)/(COUNT($D$6:$D$338)-1),"")</f>
        <v>0.619047619047619</v>
      </c>
      <c r="M102" s="9" t="n">
        <f aca="false">IF(ISNUMBER(F102),COUNTIF($F$6:$F$338,"&lt;"&amp;F102)/(COUNT($F$6:$F$338)-1),"")</f>
        <v>0.108433734939759</v>
      </c>
      <c r="N102" s="9" t="n">
        <f aca="false">IF(AND(L102="",M102=""),"",(IF(ISNUMBER(L102),$C$3*L102,0)+IF(ISNUMBER(M102),$E$3*M102,0))/(IF(ISNUMBER(L102),$C$3,0)+IF(ISNUMBER(M102),$E$3,0)))</f>
        <v>0.363740676993689</v>
      </c>
      <c r="O102" s="12"/>
      <c r="P102" s="7" t="n">
        <f aca="false">IF(O102&lt;&gt;"","",COUNTIFS($A$6:$A$338,A102,$O$6:$O$338,"",$N$6:$N$338,"&gt;"&amp;N102)+COUNTIFS($A$6:A102,A102,$O$6:O102,"",$N$6:N102,N102))</f>
        <v>15</v>
      </c>
      <c r="Q102" s="12" t="str">
        <f aca="false">IF(P102="","Excluded",IF(P102&lt;=5,"Lead",IF(P102&lt;=10,"Next wave","Long list")))</f>
        <v>Long list</v>
      </c>
      <c r="R102" s="10" t="s">
        <v>88</v>
      </c>
      <c r="S102" s="30" t="s">
        <v>370</v>
      </c>
    </row>
    <row r="103" customFormat="false" ht="23.85" hidden="false" customHeight="false" outlineLevel="0" collapsed="false">
      <c r="A103" s="12" t="s">
        <v>25</v>
      </c>
      <c r="B103" s="12" t="s">
        <v>312</v>
      </c>
      <c r="C103" s="10" t="s">
        <v>313</v>
      </c>
      <c r="D103" s="26" t="n">
        <v>16.96</v>
      </c>
      <c r="E103" s="12" t="s">
        <v>102</v>
      </c>
      <c r="F103" s="11" t="n">
        <v>2630</v>
      </c>
      <c r="G103" s="10" t="s">
        <v>144</v>
      </c>
      <c r="H103" s="7" t="n">
        <v>1</v>
      </c>
      <c r="I103" s="12" t="s">
        <v>172</v>
      </c>
      <c r="J103" s="12" t="s">
        <v>86</v>
      </c>
      <c r="K103" s="10"/>
      <c r="L103" s="9" t="n">
        <f aca="false">IF(ISNUMBER(D103),COUNTIF($D$6:$D$338,"&lt;"&amp;D103)/(COUNT($D$6:$D$338)-1),"")</f>
        <v>0.361904761904762</v>
      </c>
      <c r="M103" s="9" t="n">
        <f aca="false">IF(ISNUMBER(F103),COUNTIF($F$6:$F$338,"&lt;"&amp;F103)/(COUNT($F$6:$F$338)-1),"")</f>
        <v>0.331325301204819</v>
      </c>
      <c r="N103" s="9" t="n">
        <f aca="false">IF(AND(L103="",M103=""),"",(IF(ISNUMBER(L103),$C$3*L103,0)+IF(ISNUMBER(M103),$E$3*M103,0))/(IF(ISNUMBER(L103),$C$3,0)+IF(ISNUMBER(M103),$E$3,0)))</f>
        <v>0.346615031554791</v>
      </c>
      <c r="O103" s="12"/>
      <c r="P103" s="7" t="n">
        <f aca="false">IF(O103&lt;&gt;"","",COUNTIFS($A$6:$A$338,A103,$O$6:$O$338,"",$N$6:$N$338,"&gt;"&amp;N103)+COUNTIFS($A$6:A103,A103,$O$6:O103,"",$N$6:N103,N103))</f>
        <v>16</v>
      </c>
      <c r="Q103" s="12" t="str">
        <f aca="false">IF(P103="","Excluded",IF(P103&lt;=5,"Lead",IF(P103&lt;=10,"Next wave","Long list")))</f>
        <v>Long list</v>
      </c>
      <c r="R103" s="10" t="s">
        <v>99</v>
      </c>
      <c r="S103" s="30" t="s">
        <v>314</v>
      </c>
    </row>
    <row r="104" customFormat="false" ht="23.85" hidden="false" customHeight="false" outlineLevel="0" collapsed="false">
      <c r="A104" s="12" t="s">
        <v>25</v>
      </c>
      <c r="B104" s="12" t="s">
        <v>455</v>
      </c>
      <c r="C104" s="10" t="s">
        <v>456</v>
      </c>
      <c r="D104" s="26" t="n">
        <v>31.16</v>
      </c>
      <c r="E104" s="12" t="s">
        <v>102</v>
      </c>
      <c r="F104" s="11" t="n">
        <v>806.3</v>
      </c>
      <c r="G104" s="10" t="s">
        <v>144</v>
      </c>
      <c r="H104" s="7" t="n">
        <v>1</v>
      </c>
      <c r="I104" s="12" t="s">
        <v>79</v>
      </c>
      <c r="J104" s="12" t="s">
        <v>80</v>
      </c>
      <c r="K104" s="10" t="s">
        <v>111</v>
      </c>
      <c r="L104" s="9" t="n">
        <f aca="false">IF(ISNUMBER(D104),COUNTIF($D$6:$D$338,"&lt;"&amp;D104)/(COUNT($D$6:$D$338)-1),"")</f>
        <v>0.533333333333333</v>
      </c>
      <c r="M104" s="9" t="n">
        <f aca="false">IF(ISNUMBER(F104),COUNTIF($F$6:$F$338,"&lt;"&amp;F104)/(COUNT($F$6:$F$338)-1),"")</f>
        <v>0.13855421686747</v>
      </c>
      <c r="N104" s="9" t="n">
        <f aca="false">IF(AND(L104="",M104=""),"",(IF(ISNUMBER(L104),$C$3*L104,0)+IF(ISNUMBER(M104),$E$3*M104,0))/(IF(ISNUMBER(L104),$C$3,0)+IF(ISNUMBER(M104),$E$3,0)))</f>
        <v>0.335943775100402</v>
      </c>
      <c r="O104" s="12"/>
      <c r="P104" s="7" t="n">
        <f aca="false">IF(O104&lt;&gt;"","",COUNTIFS($A$6:$A$338,A104,$O$6:$O$338,"",$N$6:$N$338,"&gt;"&amp;N104)+COUNTIFS($A$6:A104,A104,$O$6:O104,"",$N$6:N104,N104))</f>
        <v>17</v>
      </c>
      <c r="Q104" s="12" t="str">
        <f aca="false">IF(P104="","Excluded",IF(P104&lt;=5,"Lead",IF(P104&lt;=10,"Next wave","Long list")))</f>
        <v>Long list</v>
      </c>
      <c r="R104" s="10" t="s">
        <v>105</v>
      </c>
      <c r="S104" s="30" t="s">
        <v>457</v>
      </c>
    </row>
    <row r="105" customFormat="false" ht="23.85" hidden="false" customHeight="false" outlineLevel="0" collapsed="false">
      <c r="A105" s="12" t="s">
        <v>25</v>
      </c>
      <c r="B105" s="12" t="s">
        <v>458</v>
      </c>
      <c r="C105" s="10" t="s">
        <v>459</v>
      </c>
      <c r="D105" s="26" t="n">
        <v>30.59</v>
      </c>
      <c r="E105" s="12" t="s">
        <v>77</v>
      </c>
      <c r="F105" s="11" t="n">
        <v>373.9</v>
      </c>
      <c r="G105" s="10" t="s">
        <v>323</v>
      </c>
      <c r="H105" s="7" t="n">
        <v>1</v>
      </c>
      <c r="I105" s="12" t="s">
        <v>79</v>
      </c>
      <c r="J105" s="12" t="s">
        <v>86</v>
      </c>
      <c r="K105" s="10"/>
      <c r="L105" s="9" t="n">
        <f aca="false">IF(ISNUMBER(D105),COUNTIF($D$6:$D$338,"&lt;"&amp;D105)/(COUNT($D$6:$D$338)-1),"")</f>
        <v>0.526984126984127</v>
      </c>
      <c r="M105" s="9" t="n">
        <f aca="false">IF(ISNUMBER(F105),COUNTIF($F$6:$F$338,"&lt;"&amp;F105)/(COUNT($F$6:$F$338)-1),"")</f>
        <v>0.0933734939759036</v>
      </c>
      <c r="N105" s="9" t="n">
        <f aca="false">IF(AND(L105="",M105=""),"",(IF(ISNUMBER(L105),$C$3*L105,0)+IF(ISNUMBER(M105),$E$3*M105,0))/(IF(ISNUMBER(L105),$C$3,0)+IF(ISNUMBER(M105),$E$3,0)))</f>
        <v>0.310178810480015</v>
      </c>
      <c r="O105" s="12"/>
      <c r="P105" s="7" t="n">
        <f aca="false">IF(O105&lt;&gt;"","",COUNTIFS($A$6:$A$338,A105,$O$6:$O$338,"",$N$6:$N$338,"&gt;"&amp;N105)+COUNTIFS($A$6:A105,A105,$O$6:O105,"",$N$6:N105,N105))</f>
        <v>18</v>
      </c>
      <c r="Q105" s="12" t="str">
        <f aca="false">IF(P105="","Excluded",IF(P105&lt;=5,"Lead",IF(P105&lt;=10,"Next wave","Long list")))</f>
        <v>Long list</v>
      </c>
      <c r="R105" s="10" t="s">
        <v>105</v>
      </c>
      <c r="S105" s="30" t="s">
        <v>460</v>
      </c>
    </row>
    <row r="106" customFormat="false" ht="23.85" hidden="false" customHeight="false" outlineLevel="0" collapsed="false">
      <c r="A106" s="12" t="s">
        <v>25</v>
      </c>
      <c r="B106" s="12" t="s">
        <v>461</v>
      </c>
      <c r="C106" s="10" t="s">
        <v>462</v>
      </c>
      <c r="D106" s="26" t="n">
        <v>17.79</v>
      </c>
      <c r="E106" s="12" t="s">
        <v>102</v>
      </c>
      <c r="F106" s="11" t="n">
        <v>1830.5</v>
      </c>
      <c r="G106" s="10" t="s">
        <v>144</v>
      </c>
      <c r="H106" s="7" t="n">
        <v>1</v>
      </c>
      <c r="I106" s="12" t="s">
        <v>92</v>
      </c>
      <c r="J106" s="12" t="s">
        <v>86</v>
      </c>
      <c r="K106" s="10"/>
      <c r="L106" s="9" t="n">
        <f aca="false">IF(ISNUMBER(D106),COUNTIF($D$6:$D$338,"&lt;"&amp;D106)/(COUNT($D$6:$D$338)-1),"")</f>
        <v>0.371428571428571</v>
      </c>
      <c r="M106" s="9" t="n">
        <f aca="false">IF(ISNUMBER(F106),COUNTIF($F$6:$F$338,"&lt;"&amp;F106)/(COUNT($F$6:$F$338)-1),"")</f>
        <v>0.234939759036145</v>
      </c>
      <c r="N106" s="9" t="n">
        <f aca="false">IF(AND(L106="",M106=""),"",(IF(ISNUMBER(L106),$C$3*L106,0)+IF(ISNUMBER(M106),$E$3*M106,0))/(IF(ISNUMBER(L106),$C$3,0)+IF(ISNUMBER(M106),$E$3,0)))</f>
        <v>0.303184165232358</v>
      </c>
      <c r="O106" s="12"/>
      <c r="P106" s="7" t="n">
        <f aca="false">IF(O106&lt;&gt;"","",COUNTIFS($A$6:$A$338,A106,$O$6:$O$338,"",$N$6:$N$338,"&gt;"&amp;N106)+COUNTIFS($A$6:A106,A106,$O$6:O106,"",$N$6:N106,N106))</f>
        <v>19</v>
      </c>
      <c r="Q106" s="12" t="str">
        <f aca="false">IF(P106="","Excluded",IF(P106&lt;=5,"Lead",IF(P106&lt;=10,"Next wave","Long list")))</f>
        <v>Long list</v>
      </c>
      <c r="R106" s="10" t="s">
        <v>105</v>
      </c>
      <c r="S106" s="30" t="s">
        <v>463</v>
      </c>
    </row>
    <row r="107" customFormat="false" ht="23.85" hidden="false" customHeight="false" outlineLevel="0" collapsed="false">
      <c r="A107" s="12" t="s">
        <v>25</v>
      </c>
      <c r="B107" s="12" t="s">
        <v>374</v>
      </c>
      <c r="C107" s="10" t="s">
        <v>375</v>
      </c>
      <c r="D107" s="26" t="n">
        <v>13.87</v>
      </c>
      <c r="E107" s="12" t="s">
        <v>77</v>
      </c>
      <c r="F107" s="11" t="n">
        <v>1437.9</v>
      </c>
      <c r="G107" s="10" t="s">
        <v>144</v>
      </c>
      <c r="H107" s="7" t="n">
        <v>1</v>
      </c>
      <c r="I107" s="12" t="s">
        <v>85</v>
      </c>
      <c r="J107" s="12" t="s">
        <v>86</v>
      </c>
      <c r="K107" s="10" t="s">
        <v>87</v>
      </c>
      <c r="L107" s="9" t="n">
        <f aca="false">IF(ISNUMBER(D107),COUNTIF($D$6:$D$338,"&lt;"&amp;D107)/(COUNT($D$6:$D$338)-1),"")</f>
        <v>0.311111111111111</v>
      </c>
      <c r="M107" s="9" t="n">
        <f aca="false">IF(ISNUMBER(F107),COUNTIF($F$6:$F$338,"&lt;"&amp;F107)/(COUNT($F$6:$F$338)-1),"")</f>
        <v>0.207831325301205</v>
      </c>
      <c r="N107" s="9" t="n">
        <f aca="false">IF(AND(L107="",M107=""),"",(IF(ISNUMBER(L107),$C$3*L107,0)+IF(ISNUMBER(M107),$E$3*M107,0))/(IF(ISNUMBER(L107),$C$3,0)+IF(ISNUMBER(M107),$E$3,0)))</f>
        <v>0.259471218206158</v>
      </c>
      <c r="O107" s="12"/>
      <c r="P107" s="7" t="n">
        <f aca="false">IF(O107&lt;&gt;"","",COUNTIFS($A$6:$A$338,A107,$O$6:$O$338,"",$N$6:$N$338,"&gt;"&amp;N107)+COUNTIFS($A$6:A107,A107,$O$6:O107,"",$N$6:N107,N107))</f>
        <v>20</v>
      </c>
      <c r="Q107" s="12" t="str">
        <f aca="false">IF(P107="","Excluded",IF(P107&lt;=5,"Lead",IF(P107&lt;=10,"Next wave","Long list")))</f>
        <v>Long list</v>
      </c>
      <c r="R107" s="10" t="s">
        <v>88</v>
      </c>
      <c r="S107" s="30" t="s">
        <v>377</v>
      </c>
    </row>
    <row r="108" customFormat="false" ht="23.85" hidden="false" customHeight="false" outlineLevel="0" collapsed="false">
      <c r="A108" s="12" t="s">
        <v>25</v>
      </c>
      <c r="B108" s="12" t="s">
        <v>411</v>
      </c>
      <c r="C108" s="10" t="s">
        <v>412</v>
      </c>
      <c r="D108" s="26" t="n">
        <v>5.35</v>
      </c>
      <c r="E108" s="12" t="s">
        <v>102</v>
      </c>
      <c r="F108" s="11" t="n">
        <v>2937.3</v>
      </c>
      <c r="G108" s="10" t="s">
        <v>144</v>
      </c>
      <c r="H108" s="7" t="n">
        <v>1</v>
      </c>
      <c r="I108" s="12" t="s">
        <v>79</v>
      </c>
      <c r="J108" s="12" t="s">
        <v>86</v>
      </c>
      <c r="K108" s="10"/>
      <c r="L108" s="9" t="n">
        <f aca="false">IF(ISNUMBER(D108),COUNTIF($D$6:$D$338,"&lt;"&amp;D108)/(COUNT($D$6:$D$338)-1),"")</f>
        <v>0.0317460317460317</v>
      </c>
      <c r="M108" s="9" t="n">
        <f aca="false">IF(ISNUMBER(F108),COUNTIF($F$6:$F$338,"&lt;"&amp;F108)/(COUNT($F$6:$F$338)-1),"")</f>
        <v>0.406626506024096</v>
      </c>
      <c r="N108" s="9" t="n">
        <f aca="false">IF(AND(L108="",M108=""),"",(IF(ISNUMBER(L108),$C$3*L108,0)+IF(ISNUMBER(M108),$E$3*M108,0))/(IF(ISNUMBER(L108),$C$3,0)+IF(ISNUMBER(M108),$E$3,0)))</f>
        <v>0.219186268885064</v>
      </c>
      <c r="O108" s="12"/>
      <c r="P108" s="7" t="n">
        <f aca="false">IF(O108&lt;&gt;"","",COUNTIFS($A$6:$A$338,A108,$O$6:$O$338,"",$N$6:$N$338,"&gt;"&amp;N108)+COUNTIFS($A$6:A108,A108,$O$6:O108,"",$N$6:N108,N108))</f>
        <v>21</v>
      </c>
      <c r="Q108" s="12" t="str">
        <f aca="false">IF(P108="","Excluded",IF(P108&lt;=5,"Lead",IF(P108&lt;=10,"Next wave","Long list")))</f>
        <v>Long list</v>
      </c>
      <c r="R108" s="10" t="s">
        <v>82</v>
      </c>
      <c r="S108" s="30" t="s">
        <v>414</v>
      </c>
    </row>
    <row r="109" customFormat="false" ht="23.85" hidden="false" customHeight="false" outlineLevel="0" collapsed="false">
      <c r="A109" s="12" t="s">
        <v>25</v>
      </c>
      <c r="B109" s="12" t="s">
        <v>291</v>
      </c>
      <c r="C109" s="10" t="s">
        <v>292</v>
      </c>
      <c r="D109" s="26" t="n">
        <v>10.14</v>
      </c>
      <c r="E109" s="12" t="s">
        <v>102</v>
      </c>
      <c r="F109" s="11" t="n">
        <v>1053.6</v>
      </c>
      <c r="G109" s="10" t="s">
        <v>144</v>
      </c>
      <c r="H109" s="7" t="n">
        <v>1</v>
      </c>
      <c r="I109" s="12" t="s">
        <v>85</v>
      </c>
      <c r="J109" s="12" t="s">
        <v>86</v>
      </c>
      <c r="K109" s="10" t="s">
        <v>87</v>
      </c>
      <c r="L109" s="9" t="n">
        <f aca="false">IF(ISNUMBER(D109),COUNTIF($D$6:$D$338,"&lt;"&amp;D109)/(COUNT($D$6:$D$338)-1),"")</f>
        <v>0.244444444444444</v>
      </c>
      <c r="M109" s="9" t="n">
        <f aca="false">IF(ISNUMBER(F109),COUNTIF($F$6:$F$338,"&lt;"&amp;F109)/(COUNT($F$6:$F$338)-1),"")</f>
        <v>0.150602409638554</v>
      </c>
      <c r="N109" s="9" t="n">
        <f aca="false">IF(AND(L109="",M109=""),"",(IF(ISNUMBER(L109),$C$3*L109,0)+IF(ISNUMBER(M109),$E$3*M109,0))/(IF(ISNUMBER(L109),$C$3,0)+IF(ISNUMBER(M109),$E$3,0)))</f>
        <v>0.197523427041499</v>
      </c>
      <c r="O109" s="12"/>
      <c r="P109" s="7" t="n">
        <f aca="false">IF(O109&lt;&gt;"","",COUNTIFS($A$6:$A$338,A109,$O$6:$O$338,"",$N$6:$N$338,"&gt;"&amp;N109)+COUNTIFS($A$6:A109,A109,$O$6:O109,"",$N$6:N109,N109))</f>
        <v>22</v>
      </c>
      <c r="Q109" s="12" t="str">
        <f aca="false">IF(P109="","Excluded",IF(P109&lt;=5,"Lead",IF(P109&lt;=10,"Next wave","Long list")))</f>
        <v>Long list</v>
      </c>
      <c r="R109" s="10" t="s">
        <v>88</v>
      </c>
      <c r="S109" s="30" t="s">
        <v>307</v>
      </c>
    </row>
    <row r="110" customFormat="false" ht="23.85" hidden="false" customHeight="false" outlineLevel="0" collapsed="false">
      <c r="A110" s="12" t="s">
        <v>25</v>
      </c>
      <c r="B110" s="12" t="s">
        <v>415</v>
      </c>
      <c r="C110" s="10" t="s">
        <v>416</v>
      </c>
      <c r="D110" s="26" t="n">
        <v>10.03</v>
      </c>
      <c r="E110" s="12" t="s">
        <v>102</v>
      </c>
      <c r="F110" s="11" t="n">
        <v>1127.6</v>
      </c>
      <c r="G110" s="10" t="s">
        <v>144</v>
      </c>
      <c r="H110" s="7" t="n">
        <v>1</v>
      </c>
      <c r="I110" s="12" t="s">
        <v>85</v>
      </c>
      <c r="J110" s="12" t="s">
        <v>86</v>
      </c>
      <c r="K110" s="10" t="s">
        <v>87</v>
      </c>
      <c r="L110" s="9" t="n">
        <f aca="false">IF(ISNUMBER(D110),COUNTIF($D$6:$D$338,"&lt;"&amp;D110)/(COUNT($D$6:$D$338)-1),"")</f>
        <v>0.231746031746032</v>
      </c>
      <c r="M110" s="9" t="n">
        <f aca="false">IF(ISNUMBER(F110),COUNTIF($F$6:$F$338,"&lt;"&amp;F110)/(COUNT($F$6:$F$338)-1),"")</f>
        <v>0.162650602409639</v>
      </c>
      <c r="N110" s="9" t="n">
        <f aca="false">IF(AND(L110="",M110=""),"",(IF(ISNUMBER(L110),$C$3*L110,0)+IF(ISNUMBER(M110),$E$3*M110,0))/(IF(ISNUMBER(L110),$C$3,0)+IF(ISNUMBER(M110),$E$3,0)))</f>
        <v>0.197198317077835</v>
      </c>
      <c r="O110" s="12"/>
      <c r="P110" s="7" t="n">
        <f aca="false">IF(O110&lt;&gt;"","",COUNTIFS($A$6:$A$338,A110,$O$6:$O$338,"",$N$6:$N$338,"&gt;"&amp;N110)+COUNTIFS($A$6:A110,A110,$O$6:O110,"",$N$6:N110,N110))</f>
        <v>23</v>
      </c>
      <c r="Q110" s="12" t="str">
        <f aca="false">IF(P110="","Excluded",IF(P110&lt;=5,"Lead",IF(P110&lt;=10,"Next wave","Long list")))</f>
        <v>Long list</v>
      </c>
      <c r="R110" s="10" t="s">
        <v>88</v>
      </c>
      <c r="S110" s="30" t="s">
        <v>417</v>
      </c>
    </row>
    <row r="111" customFormat="false" ht="23.85" hidden="false" customHeight="false" outlineLevel="0" collapsed="false">
      <c r="A111" s="12" t="s">
        <v>25</v>
      </c>
      <c r="B111" s="12" t="s">
        <v>308</v>
      </c>
      <c r="C111" s="10" t="s">
        <v>309</v>
      </c>
      <c r="D111" s="26"/>
      <c r="E111" s="12" t="s">
        <v>102</v>
      </c>
      <c r="F111" s="11" t="n">
        <v>4256.8</v>
      </c>
      <c r="G111" s="10" t="s">
        <v>144</v>
      </c>
      <c r="H111" s="7" t="n">
        <v>1</v>
      </c>
      <c r="I111" s="12" t="s">
        <v>97</v>
      </c>
      <c r="J111" s="12" t="s">
        <v>97</v>
      </c>
      <c r="K111" s="10"/>
      <c r="L111" s="9" t="str">
        <f aca="false">IF(ISNUMBER(D111),COUNTIF($D$6:$D$338,"&lt;"&amp;D111)/(COUNT($D$6:$D$338)-1),"")</f>
        <v/>
      </c>
      <c r="M111" s="9" t="n">
        <f aca="false">IF(ISNUMBER(F111),COUNTIF($F$6:$F$338,"&lt;"&amp;F111)/(COUNT($F$6:$F$338)-1),"")</f>
        <v>0.512048192771084</v>
      </c>
      <c r="N111" s="9" t="n">
        <f aca="false">IF(AND(L111="",M111=""),"",(IF(ISNUMBER(L111),$C$3*L111,0)+IF(ISNUMBER(M111),$E$3*M111,0))/(IF(ISNUMBER(L111),$C$3,0)+IF(ISNUMBER(M111),$E$3,0)))</f>
        <v>0.512048192771084</v>
      </c>
      <c r="O111" s="12" t="s">
        <v>310</v>
      </c>
      <c r="P111" s="7" t="str">
        <f aca="false">IF(O111&lt;&gt;"","",COUNTIFS($A$6:$A$338,A111,$O$6:$O$338,"",$N$6:$N$338,"&gt;"&amp;N111)+COUNTIFS($A$6:A111,A111,$O$6:O111,"",$N$6:N111,N111))</f>
        <v/>
      </c>
      <c r="Q111" s="12" t="str">
        <f aca="false">IF(P111="","Excluded",IF(P111&lt;=5,"Lead",IF(P111&lt;=10,"Next wave","Long list")))</f>
        <v>Excluded</v>
      </c>
      <c r="R111" s="10" t="s">
        <v>99</v>
      </c>
      <c r="S111" s="30" t="s">
        <v>311</v>
      </c>
    </row>
    <row r="112" customFormat="false" ht="23.85" hidden="false" customHeight="false" outlineLevel="0" collapsed="false">
      <c r="A112" s="12" t="s">
        <v>21</v>
      </c>
      <c r="B112" s="12" t="s">
        <v>75</v>
      </c>
      <c r="C112" s="10" t="s">
        <v>76</v>
      </c>
      <c r="D112" s="26" t="n">
        <v>410.89</v>
      </c>
      <c r="E112" s="12" t="s">
        <v>77</v>
      </c>
      <c r="F112" s="11" t="n">
        <v>42181.7</v>
      </c>
      <c r="G112" s="10" t="s">
        <v>109</v>
      </c>
      <c r="H112" s="7" t="n">
        <v>11</v>
      </c>
      <c r="I112" s="12" t="s">
        <v>79</v>
      </c>
      <c r="J112" s="12" t="s">
        <v>80</v>
      </c>
      <c r="K112" s="10" t="s">
        <v>81</v>
      </c>
      <c r="L112" s="9" t="n">
        <f aca="false">IF(ISNUMBER(D112),COUNTIF($D$6:$D$338,"&lt;"&amp;D112)/(COUNT($D$6:$D$338)-1),"")</f>
        <v>0.93015873015873</v>
      </c>
      <c r="M112" s="9" t="n">
        <f aca="false">IF(ISNUMBER(F112),COUNTIF($F$6:$F$338,"&lt;"&amp;F112)/(COUNT($F$6:$F$338)-1),"")</f>
        <v>0.897590361445783</v>
      </c>
      <c r="N112" s="9" t="n">
        <f aca="false">IF(AND(L112="",M112=""),"",(IF(ISNUMBER(L112),$C$3*L112,0)+IF(ISNUMBER(M112),$E$3*M112,0))/(IF(ISNUMBER(L112),$C$3,0)+IF(ISNUMBER(M112),$E$3,0)))</f>
        <v>0.913874545802257</v>
      </c>
      <c r="O112" s="12"/>
      <c r="P112" s="7" t="n">
        <f aca="false">IF(O112&lt;&gt;"","",COUNTIFS($A$6:$A$338,A112,$O$6:$O$338,"",$N$6:$N$338,"&gt;"&amp;N112)+COUNTIFS($A$6:A112,A112,$O$6:O112,"",$N$6:N112,N112))</f>
        <v>1</v>
      </c>
      <c r="Q112" s="12" t="str">
        <f aca="false">IF(P112="","Excluded",IF(P112&lt;=5,"Lead",IF(P112&lt;=10,"Next wave","Long list")))</f>
        <v>Lead</v>
      </c>
      <c r="R112" s="10" t="s">
        <v>82</v>
      </c>
      <c r="S112" s="30" t="s">
        <v>315</v>
      </c>
    </row>
    <row r="113" customFormat="false" ht="23.85" hidden="false" customHeight="false" outlineLevel="0" collapsed="false">
      <c r="A113" s="12" t="s">
        <v>21</v>
      </c>
      <c r="B113" s="12" t="s">
        <v>89</v>
      </c>
      <c r="C113" s="10" t="s">
        <v>90</v>
      </c>
      <c r="D113" s="26" t="n">
        <v>1212.91</v>
      </c>
      <c r="E113" s="12" t="s">
        <v>102</v>
      </c>
      <c r="F113" s="11" t="n">
        <v>28093.4</v>
      </c>
      <c r="G113" s="10" t="s">
        <v>122</v>
      </c>
      <c r="H113" s="7" t="n">
        <v>4</v>
      </c>
      <c r="I113" s="12" t="s">
        <v>79</v>
      </c>
      <c r="J113" s="12" t="s">
        <v>86</v>
      </c>
      <c r="K113" s="10" t="s">
        <v>81</v>
      </c>
      <c r="L113" s="9" t="n">
        <f aca="false">IF(ISNUMBER(D113),COUNTIF($D$6:$D$338,"&lt;"&amp;D113)/(COUNT($D$6:$D$338)-1),"")</f>
        <v>0.974603174603175</v>
      </c>
      <c r="M113" s="9" t="n">
        <f aca="false">IF(ISNUMBER(F113),COUNTIF($F$6:$F$338,"&lt;"&amp;F113)/(COUNT($F$6:$F$338)-1),"")</f>
        <v>0.792168674698795</v>
      </c>
      <c r="N113" s="9" t="n">
        <f aca="false">IF(AND(L113="",M113=""),"",(IF(ISNUMBER(L113),$C$3*L113,0)+IF(ISNUMBER(M113),$E$3*M113,0))/(IF(ISNUMBER(L113),$C$3,0)+IF(ISNUMBER(M113),$E$3,0)))</f>
        <v>0.883385924650985</v>
      </c>
      <c r="O113" s="12"/>
      <c r="P113" s="7" t="n">
        <f aca="false">IF(O113&lt;&gt;"","",COUNTIFS($A$6:$A$338,A113,$O$6:$O$338,"",$N$6:$N$338,"&gt;"&amp;N113)+COUNTIFS($A$6:A113,A113,$O$6:O113,"",$N$6:N113,N113))</f>
        <v>2</v>
      </c>
      <c r="Q113" s="12" t="str">
        <f aca="false">IF(P113="","Excluded",IF(P113&lt;=5,"Lead",IF(P113&lt;=10,"Next wave","Long list")))</f>
        <v>Lead</v>
      </c>
      <c r="R113" s="10" t="s">
        <v>82</v>
      </c>
      <c r="S113" s="30" t="s">
        <v>316</v>
      </c>
    </row>
    <row r="114" customFormat="false" ht="23.85" hidden="false" customHeight="false" outlineLevel="0" collapsed="false">
      <c r="A114" s="12" t="s">
        <v>21</v>
      </c>
      <c r="B114" s="12" t="s">
        <v>107</v>
      </c>
      <c r="C114" s="10" t="s">
        <v>108</v>
      </c>
      <c r="D114" s="26" t="n">
        <v>87.85</v>
      </c>
      <c r="E114" s="12" t="s">
        <v>77</v>
      </c>
      <c r="F114" s="11" t="n">
        <v>59827.2</v>
      </c>
      <c r="G114" s="10" t="s">
        <v>123</v>
      </c>
      <c r="H114" s="7" t="n">
        <v>5</v>
      </c>
      <c r="I114" s="12" t="s">
        <v>79</v>
      </c>
      <c r="J114" s="12" t="s">
        <v>80</v>
      </c>
      <c r="K114" s="10" t="s">
        <v>111</v>
      </c>
      <c r="L114" s="9" t="n">
        <f aca="false">IF(ISNUMBER(D114),COUNTIF($D$6:$D$338,"&lt;"&amp;D114)/(COUNT($D$6:$D$338)-1),"")</f>
        <v>0.73968253968254</v>
      </c>
      <c r="M114" s="9" t="n">
        <f aca="false">IF(ISNUMBER(F114),COUNTIF($F$6:$F$338,"&lt;"&amp;F114)/(COUNT($F$6:$F$338)-1),"")</f>
        <v>0.957831325301205</v>
      </c>
      <c r="N114" s="9" t="n">
        <f aca="false">IF(AND(L114="",M114=""),"",(IF(ISNUMBER(L114),$C$3*L114,0)+IF(ISNUMBER(M114),$E$3*M114,0))/(IF(ISNUMBER(L114),$C$3,0)+IF(ISNUMBER(M114),$E$3,0)))</f>
        <v>0.848756932491872</v>
      </c>
      <c r="O114" s="12"/>
      <c r="P114" s="7" t="n">
        <f aca="false">IF(O114&lt;&gt;"","",COUNTIFS($A$6:$A$338,A114,$O$6:$O$338,"",$N$6:$N$338,"&gt;"&amp;N114)+COUNTIFS($A$6:A114,A114,$O$6:O114,"",$N$6:N114,N114))</f>
        <v>3</v>
      </c>
      <c r="Q114" s="12" t="str">
        <f aca="false">IF(P114="","Excluded",IF(P114&lt;=5,"Lead",IF(P114&lt;=10,"Next wave","Long list")))</f>
        <v>Lead</v>
      </c>
      <c r="R114" s="10" t="s">
        <v>82</v>
      </c>
      <c r="S114" s="30" t="s">
        <v>317</v>
      </c>
    </row>
    <row r="115" customFormat="false" ht="23.85" hidden="false" customHeight="false" outlineLevel="0" collapsed="false">
      <c r="A115" s="12" t="s">
        <v>21</v>
      </c>
      <c r="B115" s="12" t="s">
        <v>112</v>
      </c>
      <c r="C115" s="10" t="s">
        <v>113</v>
      </c>
      <c r="D115" s="26" t="n">
        <v>6173.01</v>
      </c>
      <c r="E115" s="12" t="s">
        <v>77</v>
      </c>
      <c r="F115" s="11" t="n">
        <v>7904.7</v>
      </c>
      <c r="G115" s="10" t="s">
        <v>123</v>
      </c>
      <c r="H115" s="7" t="n">
        <v>4</v>
      </c>
      <c r="I115" s="12" t="s">
        <v>79</v>
      </c>
      <c r="J115" s="12" t="s">
        <v>86</v>
      </c>
      <c r="K115" s="10"/>
      <c r="L115" s="9" t="n">
        <f aca="false">IF(ISNUMBER(D115),COUNTIF($D$6:$D$338,"&lt;"&amp;D115)/(COUNT($D$6:$D$338)-1),"")</f>
        <v>0.996825396825397</v>
      </c>
      <c r="M115" s="9" t="n">
        <f aca="false">IF(ISNUMBER(F115),COUNTIF($F$6:$F$338,"&lt;"&amp;F115)/(COUNT($F$6:$F$338)-1),"")</f>
        <v>0.650602409638554</v>
      </c>
      <c r="N115" s="9" t="n">
        <f aca="false">IF(AND(L115="",M115=""),"",(IF(ISNUMBER(L115),$C$3*L115,0)+IF(ISNUMBER(M115),$E$3*M115,0))/(IF(ISNUMBER(L115),$C$3,0)+IF(ISNUMBER(M115),$E$3,0)))</f>
        <v>0.823713903231976</v>
      </c>
      <c r="O115" s="12"/>
      <c r="P115" s="7" t="n">
        <f aca="false">IF(O115&lt;&gt;"","",COUNTIFS($A$6:$A$338,A115,$O$6:$O$338,"",$N$6:$N$338,"&gt;"&amp;N115)+COUNTIFS($A$6:A115,A115,$O$6:O115,"",$N$6:N115,N115))</f>
        <v>4</v>
      </c>
      <c r="Q115" s="12" t="str">
        <f aca="false">IF(P115="","Excluded",IF(P115&lt;=5,"Lead",IF(P115&lt;=10,"Next wave","Long list")))</f>
        <v>Lead</v>
      </c>
      <c r="R115" s="10" t="s">
        <v>82</v>
      </c>
      <c r="S115" s="30" t="s">
        <v>318</v>
      </c>
    </row>
    <row r="116" customFormat="false" ht="23.85" hidden="false" customHeight="false" outlineLevel="0" collapsed="false">
      <c r="A116" s="12" t="s">
        <v>21</v>
      </c>
      <c r="B116" s="12" t="s">
        <v>117</v>
      </c>
      <c r="C116" s="10" t="s">
        <v>118</v>
      </c>
      <c r="D116" s="26" t="n">
        <v>74.41</v>
      </c>
      <c r="E116" s="12" t="s">
        <v>77</v>
      </c>
      <c r="F116" s="11" t="n">
        <v>32830.2</v>
      </c>
      <c r="G116" s="10" t="s">
        <v>109</v>
      </c>
      <c r="H116" s="7" t="n">
        <v>7</v>
      </c>
      <c r="I116" s="12" t="s">
        <v>79</v>
      </c>
      <c r="J116" s="12" t="s">
        <v>86</v>
      </c>
      <c r="K116" s="10"/>
      <c r="L116" s="9" t="n">
        <f aca="false">IF(ISNUMBER(D116),COUNTIF($D$6:$D$338,"&lt;"&amp;D116)/(COUNT($D$6:$D$338)-1),"")</f>
        <v>0.717460317460318</v>
      </c>
      <c r="M116" s="9" t="n">
        <f aca="false">IF(ISNUMBER(F116),COUNTIF($F$6:$F$338,"&lt;"&amp;F116)/(COUNT($F$6:$F$338)-1),"")</f>
        <v>0.825301204819277</v>
      </c>
      <c r="N116" s="9" t="n">
        <f aca="false">IF(AND(L116="",M116=""),"",(IF(ISNUMBER(L116),$C$3*L116,0)+IF(ISNUMBER(M116),$E$3*M116,0))/(IF(ISNUMBER(L116),$C$3,0)+IF(ISNUMBER(M116),$E$3,0)))</f>
        <v>0.771380761139797</v>
      </c>
      <c r="O116" s="12"/>
      <c r="P116" s="7" t="n">
        <f aca="false">IF(O116&lt;&gt;"","",COUNTIFS($A$6:$A$338,A116,$O$6:$O$338,"",$N$6:$N$338,"&gt;"&amp;N116)+COUNTIFS($A$6:A116,A116,$O$6:O116,"",$N$6:N116,N116))</f>
        <v>5</v>
      </c>
      <c r="Q116" s="12" t="str">
        <f aca="false">IF(P116="","Excluded",IF(P116&lt;=5,"Lead",IF(P116&lt;=10,"Next wave","Long list")))</f>
        <v>Lead</v>
      </c>
      <c r="R116" s="10" t="s">
        <v>82</v>
      </c>
      <c r="S116" s="30" t="s">
        <v>428</v>
      </c>
    </row>
    <row r="117" customFormat="false" ht="23.85" hidden="false" customHeight="false" outlineLevel="0" collapsed="false">
      <c r="A117" s="12" t="s">
        <v>21</v>
      </c>
      <c r="B117" s="12" t="s">
        <v>124</v>
      </c>
      <c r="C117" s="10" t="s">
        <v>125</v>
      </c>
      <c r="D117" s="26" t="n">
        <v>92.75</v>
      </c>
      <c r="E117" s="12" t="s">
        <v>102</v>
      </c>
      <c r="F117" s="11" t="n">
        <v>3871.2</v>
      </c>
      <c r="G117" s="10" t="s">
        <v>126</v>
      </c>
      <c r="H117" s="7" t="n">
        <v>1</v>
      </c>
      <c r="I117" s="12" t="s">
        <v>79</v>
      </c>
      <c r="J117" s="12" t="s">
        <v>127</v>
      </c>
      <c r="K117" s="10" t="s">
        <v>104</v>
      </c>
      <c r="L117" s="9" t="n">
        <f aca="false">IF(ISNUMBER(D117),COUNTIF($D$6:$D$338,"&lt;"&amp;D117)/(COUNT($D$6:$D$338)-1),"")</f>
        <v>0.768253968253968</v>
      </c>
      <c r="M117" s="9" t="n">
        <f aca="false">IF(ISNUMBER(F117),COUNTIF($F$6:$F$338,"&lt;"&amp;F117)/(COUNT($F$6:$F$338)-1),"")</f>
        <v>0.475903614457831</v>
      </c>
      <c r="N117" s="9" t="n">
        <f aca="false">IF(AND(L117="",M117=""),"",(IF(ISNUMBER(L117),$C$3*L117,0)+IF(ISNUMBER(M117),$E$3*M117,0))/(IF(ISNUMBER(L117),$C$3,0)+IF(ISNUMBER(M117),$E$3,0)))</f>
        <v>0.6220787913559</v>
      </c>
      <c r="O117" s="12"/>
      <c r="P117" s="7" t="n">
        <f aca="false">IF(O117&lt;&gt;"","",COUNTIFS($A$6:$A$338,A117,$O$6:$O$338,"",$N$6:$N$338,"&gt;"&amp;N117)+COUNTIFS($A$6:A117,A117,$O$6:O117,"",$N$6:N117,N117))</f>
        <v>6</v>
      </c>
      <c r="Q117" s="12" t="str">
        <f aca="false">IF(P117="","Excluded",IF(P117&lt;=5,"Lead",IF(P117&lt;=10,"Next wave","Long list")))</f>
        <v>Next wave</v>
      </c>
      <c r="R117" s="10" t="s">
        <v>82</v>
      </c>
      <c r="S117" s="30" t="s">
        <v>321</v>
      </c>
    </row>
    <row r="118" customFormat="false" ht="23.85" hidden="false" customHeight="false" outlineLevel="0" collapsed="false">
      <c r="A118" s="12" t="s">
        <v>21</v>
      </c>
      <c r="B118" s="12" t="s">
        <v>128</v>
      </c>
      <c r="C118" s="10" t="s">
        <v>129</v>
      </c>
      <c r="D118" s="26" t="n">
        <v>195.71</v>
      </c>
      <c r="E118" s="12" t="s">
        <v>77</v>
      </c>
      <c r="F118" s="11" t="n">
        <v>2886</v>
      </c>
      <c r="G118" s="10" t="s">
        <v>130</v>
      </c>
      <c r="H118" s="7" t="n">
        <v>18</v>
      </c>
      <c r="I118" s="12" t="s">
        <v>79</v>
      </c>
      <c r="J118" s="12" t="s">
        <v>86</v>
      </c>
      <c r="K118" s="10" t="s">
        <v>81</v>
      </c>
      <c r="L118" s="9" t="n">
        <f aca="false">IF(ISNUMBER(D118),COUNTIF($D$6:$D$338,"&lt;"&amp;D118)/(COUNT($D$6:$D$338)-1),"")</f>
        <v>0.853968253968254</v>
      </c>
      <c r="M118" s="9" t="n">
        <f aca="false">IF(ISNUMBER(F118),COUNTIF($F$6:$F$338,"&lt;"&amp;F118)/(COUNT($F$6:$F$338)-1),"")</f>
        <v>0.373493975903614</v>
      </c>
      <c r="N118" s="9" t="n">
        <f aca="false">IF(AND(L118="",M118=""),"",(IF(ISNUMBER(L118),$C$3*L118,0)+IF(ISNUMBER(M118),$E$3*M118,0))/(IF(ISNUMBER(L118),$C$3,0)+IF(ISNUMBER(M118),$E$3,0)))</f>
        <v>0.613731114935934</v>
      </c>
      <c r="O118" s="12"/>
      <c r="P118" s="7" t="n">
        <f aca="false">IF(O118&lt;&gt;"","",COUNTIFS($A$6:$A$338,A118,$O$6:$O$338,"",$N$6:$N$338,"&gt;"&amp;N118)+COUNTIFS($A$6:A118,A118,$O$6:O118,"",$N$6:N118,N118))</f>
        <v>7</v>
      </c>
      <c r="Q118" s="12" t="str">
        <f aca="false">IF(P118="","Excluded",IF(P118&lt;=5,"Lead",IF(P118&lt;=10,"Next wave","Long list")))</f>
        <v>Next wave</v>
      </c>
      <c r="R118" s="10" t="s">
        <v>82</v>
      </c>
      <c r="S118" s="30" t="s">
        <v>341</v>
      </c>
    </row>
    <row r="119" customFormat="false" ht="23.85" hidden="false" customHeight="false" outlineLevel="0" collapsed="false">
      <c r="A119" s="12" t="s">
        <v>21</v>
      </c>
      <c r="B119" s="12" t="s">
        <v>131</v>
      </c>
      <c r="C119" s="10" t="s">
        <v>132</v>
      </c>
      <c r="D119" s="26" t="n">
        <v>404.59</v>
      </c>
      <c r="E119" s="12" t="s">
        <v>102</v>
      </c>
      <c r="F119" s="11" t="n">
        <v>1874.6</v>
      </c>
      <c r="G119" s="10" t="s">
        <v>133</v>
      </c>
      <c r="H119" s="7" t="n">
        <v>7</v>
      </c>
      <c r="I119" s="12" t="s">
        <v>79</v>
      </c>
      <c r="J119" s="12" t="s">
        <v>86</v>
      </c>
      <c r="K119" s="10" t="s">
        <v>104</v>
      </c>
      <c r="L119" s="9" t="n">
        <f aca="false">IF(ISNUMBER(D119),COUNTIF($D$6:$D$338,"&lt;"&amp;D119)/(COUNT($D$6:$D$338)-1),"")</f>
        <v>0.926984126984127</v>
      </c>
      <c r="M119" s="9" t="n">
        <f aca="false">IF(ISNUMBER(F119),COUNTIF($F$6:$F$338,"&lt;"&amp;F119)/(COUNT($F$6:$F$338)-1),"")</f>
        <v>0.243975903614458</v>
      </c>
      <c r="N119" s="9" t="n">
        <f aca="false">IF(AND(L119="",M119=""),"",(IF(ISNUMBER(L119),$C$3*L119,0)+IF(ISNUMBER(M119),$E$3*M119,0))/(IF(ISNUMBER(L119),$C$3,0)+IF(ISNUMBER(M119),$E$3,0)))</f>
        <v>0.585480015299292</v>
      </c>
      <c r="O119" s="12"/>
      <c r="P119" s="7" t="n">
        <f aca="false">IF(O119&lt;&gt;"","",COUNTIFS($A$6:$A$338,A119,$O$6:$O$338,"",$N$6:$N$338,"&gt;"&amp;N119)+COUNTIFS($A$6:A119,A119,$O$6:O119,"",$N$6:N119,N119))</f>
        <v>8</v>
      </c>
      <c r="Q119" s="12" t="str">
        <f aca="false">IF(P119="","Excluded",IF(P119&lt;=5,"Lead",IF(P119&lt;=10,"Next wave","Long list")))</f>
        <v>Next wave</v>
      </c>
      <c r="R119" s="10" t="s">
        <v>82</v>
      </c>
      <c r="S119" s="30" t="s">
        <v>449</v>
      </c>
    </row>
    <row r="120" customFormat="false" ht="23.85" hidden="false" customHeight="false" outlineLevel="0" collapsed="false">
      <c r="A120" s="12" t="s">
        <v>21</v>
      </c>
      <c r="B120" s="12" t="s">
        <v>134</v>
      </c>
      <c r="C120" s="10" t="s">
        <v>135</v>
      </c>
      <c r="D120" s="26" t="n">
        <v>27.98</v>
      </c>
      <c r="E120" s="12" t="s">
        <v>77</v>
      </c>
      <c r="F120" s="11" t="n">
        <v>8433.6</v>
      </c>
      <c r="G120" s="10" t="s">
        <v>136</v>
      </c>
      <c r="H120" s="7" t="n">
        <v>5</v>
      </c>
      <c r="I120" s="12" t="s">
        <v>79</v>
      </c>
      <c r="J120" s="12" t="s">
        <v>86</v>
      </c>
      <c r="K120" s="10"/>
      <c r="L120" s="9" t="n">
        <f aca="false">IF(ISNUMBER(D120),COUNTIF($D$6:$D$338,"&lt;"&amp;D120)/(COUNT($D$6:$D$338)-1),"")</f>
        <v>0.488888888888889</v>
      </c>
      <c r="M120" s="9" t="n">
        <f aca="false">IF(ISNUMBER(F120),COUNTIF($F$6:$F$338,"&lt;"&amp;F120)/(COUNT($F$6:$F$338)-1),"")</f>
        <v>0.674698795180723</v>
      </c>
      <c r="N120" s="9" t="n">
        <f aca="false">IF(AND(L120="",M120=""),"",(IF(ISNUMBER(L120),$C$3*L120,0)+IF(ISNUMBER(M120),$E$3*M120,0))/(IF(ISNUMBER(L120),$C$3,0)+IF(ISNUMBER(M120),$E$3,0)))</f>
        <v>0.581793842034806</v>
      </c>
      <c r="O120" s="12"/>
      <c r="P120" s="7" t="n">
        <f aca="false">IF(O120&lt;&gt;"","",COUNTIFS($A$6:$A$338,A120,$O$6:$O$338,"",$N$6:$N$338,"&gt;"&amp;N120)+COUNTIFS($A$6:A120,A120,$O$6:O120,"",$N$6:N120,N120))</f>
        <v>9</v>
      </c>
      <c r="Q120" s="12" t="str">
        <f aca="false">IF(P120="","Excluded",IF(P120&lt;=5,"Lead",IF(P120&lt;=10,"Next wave","Long list")))</f>
        <v>Next wave</v>
      </c>
      <c r="R120" s="10" t="s">
        <v>105</v>
      </c>
      <c r="S120" s="30" t="s">
        <v>464</v>
      </c>
    </row>
    <row r="121" customFormat="false" ht="23.85" hidden="false" customHeight="false" outlineLevel="0" collapsed="false">
      <c r="A121" s="12" t="s">
        <v>21</v>
      </c>
      <c r="B121" s="12" t="s">
        <v>137</v>
      </c>
      <c r="C121" s="10" t="s">
        <v>138</v>
      </c>
      <c r="D121" s="26" t="n">
        <v>186.04</v>
      </c>
      <c r="E121" s="12" t="s">
        <v>77</v>
      </c>
      <c r="F121" s="11" t="n">
        <v>1652</v>
      </c>
      <c r="G121" s="10" t="s">
        <v>139</v>
      </c>
      <c r="H121" s="7" t="n">
        <v>12</v>
      </c>
      <c r="I121" s="12" t="s">
        <v>79</v>
      </c>
      <c r="J121" s="12" t="s">
        <v>110</v>
      </c>
      <c r="K121" s="10" t="s">
        <v>111</v>
      </c>
      <c r="L121" s="9" t="n">
        <f aca="false">IF(ISNUMBER(D121),COUNTIF($D$6:$D$338,"&lt;"&amp;D121)/(COUNT($D$6:$D$338)-1),"")</f>
        <v>0.850793650793651</v>
      </c>
      <c r="M121" s="9" t="n">
        <f aca="false">IF(ISNUMBER(F121),COUNTIF($F$6:$F$338,"&lt;"&amp;F121)/(COUNT($F$6:$F$338)-1),"")</f>
        <v>0.22289156626506</v>
      </c>
      <c r="N121" s="9" t="n">
        <f aca="false">IF(AND(L121="",M121=""),"",(IF(ISNUMBER(L121),$C$3*L121,0)+IF(ISNUMBER(M121),$E$3*M121,0))/(IF(ISNUMBER(L121),$C$3,0)+IF(ISNUMBER(M121),$E$3,0)))</f>
        <v>0.536842608529356</v>
      </c>
      <c r="O121" s="12"/>
      <c r="P121" s="7" t="n">
        <f aca="false">IF(O121&lt;&gt;"","",COUNTIFS($A$6:$A$338,A121,$O$6:$O$338,"",$N$6:$N$338,"&gt;"&amp;N121)+COUNTIFS($A$6:A121,A121,$O$6:O121,"",$N$6:N121,N121))</f>
        <v>10</v>
      </c>
      <c r="Q121" s="12" t="str">
        <f aca="false">IF(P121="","Excluded",IF(P121&lt;=5,"Lead",IF(P121&lt;=10,"Next wave","Long list")))</f>
        <v>Next wave</v>
      </c>
      <c r="R121" s="10" t="s">
        <v>105</v>
      </c>
      <c r="S121" s="30" t="s">
        <v>465</v>
      </c>
    </row>
    <row r="122" customFormat="false" ht="23.85" hidden="false" customHeight="false" outlineLevel="0" collapsed="false">
      <c r="A122" s="12" t="s">
        <v>21</v>
      </c>
      <c r="B122" s="12" t="s">
        <v>352</v>
      </c>
      <c r="C122" s="10" t="s">
        <v>353</v>
      </c>
      <c r="D122" s="26" t="n">
        <v>9.04</v>
      </c>
      <c r="E122" s="12" t="s">
        <v>77</v>
      </c>
      <c r="F122" s="11" t="n">
        <v>35129.8</v>
      </c>
      <c r="G122" s="10" t="s">
        <v>323</v>
      </c>
      <c r="H122" s="7" t="n">
        <v>1</v>
      </c>
      <c r="I122" s="12" t="s">
        <v>79</v>
      </c>
      <c r="J122" s="12" t="s">
        <v>97</v>
      </c>
      <c r="K122" s="10"/>
      <c r="L122" s="9" t="n">
        <f aca="false">IF(ISNUMBER(D122),COUNTIF($D$6:$D$338,"&lt;"&amp;D122)/(COUNT($D$6:$D$338)-1),"")</f>
        <v>0.193650793650794</v>
      </c>
      <c r="M122" s="9" t="n">
        <f aca="false">IF(ISNUMBER(F122),COUNTIF($F$6:$F$338,"&lt;"&amp;F122)/(COUNT($F$6:$F$338)-1),"")</f>
        <v>0.864457831325301</v>
      </c>
      <c r="N122" s="9" t="n">
        <f aca="false">IF(AND(L122="",M122=""),"",(IF(ISNUMBER(L122),$C$3*L122,0)+IF(ISNUMBER(M122),$E$3*M122,0))/(IF(ISNUMBER(L122),$C$3,0)+IF(ISNUMBER(M122),$E$3,0)))</f>
        <v>0.529054312488048</v>
      </c>
      <c r="O122" s="12"/>
      <c r="P122" s="7" t="n">
        <f aca="false">IF(O122&lt;&gt;"","",COUNTIFS($A$6:$A$338,A122,$O$6:$O$338,"",$N$6:$N$338,"&gt;"&amp;N122)+COUNTIFS($A$6:A122,A122,$O$6:O122,"",$N$6:N122,N122))</f>
        <v>11</v>
      </c>
      <c r="Q122" s="12" t="str">
        <f aca="false">IF(P122="","Excluded",IF(P122&lt;=5,"Lead",IF(P122&lt;=10,"Next wave","Long list")))</f>
        <v>Long list</v>
      </c>
      <c r="R122" s="10" t="s">
        <v>105</v>
      </c>
      <c r="S122" s="30" t="s">
        <v>355</v>
      </c>
    </row>
    <row r="123" customFormat="false" ht="23.85" hidden="false" customHeight="false" outlineLevel="0" collapsed="false">
      <c r="A123" s="12" t="s">
        <v>21</v>
      </c>
      <c r="B123" s="12" t="s">
        <v>466</v>
      </c>
      <c r="C123" s="10" t="s">
        <v>467</v>
      </c>
      <c r="D123" s="26" t="n">
        <v>6.44</v>
      </c>
      <c r="E123" s="12" t="s">
        <v>102</v>
      </c>
      <c r="F123" s="11" t="n">
        <v>54624.8</v>
      </c>
      <c r="G123" s="10" t="s">
        <v>126</v>
      </c>
      <c r="H123" s="7" t="n">
        <v>1</v>
      </c>
      <c r="I123" s="12" t="s">
        <v>79</v>
      </c>
      <c r="J123" s="12" t="s">
        <v>127</v>
      </c>
      <c r="K123" s="10"/>
      <c r="L123" s="9" t="n">
        <f aca="false">IF(ISNUMBER(D123),COUNTIF($D$6:$D$338,"&lt;"&amp;D123)/(COUNT($D$6:$D$338)-1),"")</f>
        <v>0.0920634920634921</v>
      </c>
      <c r="M123" s="9" t="n">
        <f aca="false">IF(ISNUMBER(F123),COUNTIF($F$6:$F$338,"&lt;"&amp;F123)/(COUNT($F$6:$F$338)-1),"")</f>
        <v>0.930722891566265</v>
      </c>
      <c r="N123" s="9" t="n">
        <f aca="false">IF(AND(L123="",M123=""),"",(IF(ISNUMBER(L123),$C$3*L123,0)+IF(ISNUMBER(M123),$E$3*M123,0))/(IF(ISNUMBER(L123),$C$3,0)+IF(ISNUMBER(M123),$E$3,0)))</f>
        <v>0.511393191814879</v>
      </c>
      <c r="O123" s="12"/>
      <c r="P123" s="7" t="n">
        <f aca="false">IF(O123&lt;&gt;"","",COUNTIFS($A$6:$A$338,A123,$O$6:$O$338,"",$N$6:$N$338,"&gt;"&amp;N123)+COUNTIFS($A$6:A123,A123,$O$6:O123,"",$N$6:N123,N123))</f>
        <v>12</v>
      </c>
      <c r="Q123" s="12" t="str">
        <f aca="false">IF(P123="","Excluded",IF(P123&lt;=5,"Lead",IF(P123&lt;=10,"Next wave","Long list")))</f>
        <v>Long list</v>
      </c>
      <c r="R123" s="10" t="s">
        <v>105</v>
      </c>
      <c r="S123" s="30" t="s">
        <v>468</v>
      </c>
    </row>
    <row r="124" customFormat="false" ht="23.85" hidden="false" customHeight="false" outlineLevel="0" collapsed="false">
      <c r="A124" s="12" t="s">
        <v>21</v>
      </c>
      <c r="B124" s="12" t="s">
        <v>180</v>
      </c>
      <c r="C124" s="10" t="s">
        <v>181</v>
      </c>
      <c r="D124" s="26" t="n">
        <v>6.61</v>
      </c>
      <c r="E124" s="12" t="s">
        <v>77</v>
      </c>
      <c r="F124" s="11" t="n">
        <v>35276.7</v>
      </c>
      <c r="G124" s="10" t="s">
        <v>469</v>
      </c>
      <c r="H124" s="7" t="n">
        <v>5</v>
      </c>
      <c r="I124" s="12" t="s">
        <v>79</v>
      </c>
      <c r="J124" s="12" t="s">
        <v>80</v>
      </c>
      <c r="K124" s="10" t="s">
        <v>111</v>
      </c>
      <c r="L124" s="9" t="n">
        <f aca="false">IF(ISNUMBER(D124),COUNTIF($D$6:$D$338,"&lt;"&amp;D124)/(COUNT($D$6:$D$338)-1),"")</f>
        <v>0.104761904761905</v>
      </c>
      <c r="M124" s="9" t="n">
        <f aca="false">IF(ISNUMBER(F124),COUNTIF($F$6:$F$338,"&lt;"&amp;F124)/(COUNT($F$6:$F$338)-1),"")</f>
        <v>0.870481927710843</v>
      </c>
      <c r="N124" s="9" t="n">
        <f aca="false">IF(AND(L124="",M124=""),"",(IF(ISNUMBER(L124),$C$3*L124,0)+IF(ISNUMBER(M124),$E$3*M124,0))/(IF(ISNUMBER(L124),$C$3,0)+IF(ISNUMBER(M124),$E$3,0)))</f>
        <v>0.487621916236374</v>
      </c>
      <c r="O124" s="12"/>
      <c r="P124" s="7" t="n">
        <f aca="false">IF(O124&lt;&gt;"","",COUNTIFS($A$6:$A$338,A124,$O$6:$O$338,"",$N$6:$N$338,"&gt;"&amp;N124)+COUNTIFS($A$6:A124,A124,$O$6:O124,"",$N$6:N124,N124))</f>
        <v>13</v>
      </c>
      <c r="Q124" s="12" t="str">
        <f aca="false">IF(P124="","Excluded",IF(P124&lt;=5,"Lead",IF(P124&lt;=10,"Next wave","Long list")))</f>
        <v>Long list</v>
      </c>
      <c r="R124" s="10" t="s">
        <v>82</v>
      </c>
      <c r="S124" s="30" t="s">
        <v>356</v>
      </c>
    </row>
    <row r="125" customFormat="false" ht="23.85" hidden="false" customHeight="false" outlineLevel="0" collapsed="false">
      <c r="A125" s="12" t="s">
        <v>21</v>
      </c>
      <c r="B125" s="12" t="s">
        <v>208</v>
      </c>
      <c r="C125" s="10" t="s">
        <v>209</v>
      </c>
      <c r="D125" s="26" t="n">
        <v>22.38</v>
      </c>
      <c r="E125" s="12" t="s">
        <v>77</v>
      </c>
      <c r="F125" s="11" t="n">
        <v>4036.6</v>
      </c>
      <c r="G125" s="10" t="s">
        <v>109</v>
      </c>
      <c r="H125" s="7" t="n">
        <v>7</v>
      </c>
      <c r="I125" s="12" t="s">
        <v>79</v>
      </c>
      <c r="J125" s="12" t="s">
        <v>86</v>
      </c>
      <c r="K125" s="10"/>
      <c r="L125" s="9" t="n">
        <f aca="false">IF(ISNUMBER(D125),COUNTIF($D$6:$D$338,"&lt;"&amp;D125)/(COUNT($D$6:$D$338)-1),"")</f>
        <v>0.422222222222222</v>
      </c>
      <c r="M125" s="9" t="n">
        <f aca="false">IF(ISNUMBER(F125),COUNTIF($F$6:$F$338,"&lt;"&amp;F125)/(COUNT($F$6:$F$338)-1),"")</f>
        <v>0.503012048192771</v>
      </c>
      <c r="N125" s="9" t="n">
        <f aca="false">IF(AND(L125="",M125=""),"",(IF(ISNUMBER(L125),$C$3*L125,0)+IF(ISNUMBER(M125),$E$3*M125,0))/(IF(ISNUMBER(L125),$C$3,0)+IF(ISNUMBER(M125),$E$3,0)))</f>
        <v>0.462617135207497</v>
      </c>
      <c r="O125" s="12"/>
      <c r="P125" s="7" t="n">
        <f aca="false">IF(O125&lt;&gt;"","",COUNTIFS($A$6:$A$338,A125,$O$6:$O$338,"",$N$6:$N$338,"&gt;"&amp;N125)+COUNTIFS($A$6:A125,A125,$O$6:O125,"",$N$6:N125,N125))</f>
        <v>14</v>
      </c>
      <c r="Q125" s="12" t="str">
        <f aca="false">IF(P125="","Excluded",IF(P125&lt;=5,"Lead",IF(P125&lt;=10,"Next wave","Long list")))</f>
        <v>Long list</v>
      </c>
      <c r="R125" s="10" t="s">
        <v>82</v>
      </c>
      <c r="S125" s="30" t="s">
        <v>470</v>
      </c>
    </row>
    <row r="126" customFormat="false" ht="23.85" hidden="false" customHeight="false" outlineLevel="0" collapsed="false">
      <c r="A126" s="12" t="s">
        <v>21</v>
      </c>
      <c r="B126" s="12" t="s">
        <v>170</v>
      </c>
      <c r="C126" s="10" t="s">
        <v>171</v>
      </c>
      <c r="D126" s="26" t="n">
        <v>25.24</v>
      </c>
      <c r="E126" s="12" t="s">
        <v>471</v>
      </c>
      <c r="F126" s="11" t="n">
        <v>2931.4</v>
      </c>
      <c r="G126" s="10" t="s">
        <v>472</v>
      </c>
      <c r="H126" s="7" t="n">
        <v>3</v>
      </c>
      <c r="I126" s="12" t="s">
        <v>79</v>
      </c>
      <c r="J126" s="12" t="s">
        <v>86</v>
      </c>
      <c r="K126" s="10"/>
      <c r="L126" s="9" t="n">
        <f aca="false">IF(ISNUMBER(D126),COUNTIF($D$6:$D$338,"&lt;"&amp;D126)/(COUNT($D$6:$D$338)-1),"")</f>
        <v>0.482539682539683</v>
      </c>
      <c r="M126" s="9" t="n">
        <f aca="false">IF(ISNUMBER(F126),COUNTIF($F$6:$F$338,"&lt;"&amp;F126)/(COUNT($F$6:$F$338)-1),"")</f>
        <v>0.394578313253012</v>
      </c>
      <c r="N126" s="9" t="n">
        <f aca="false">IF(AND(L126="",M126=""),"",(IF(ISNUMBER(L126),$C$3*L126,0)+IF(ISNUMBER(M126),$E$3*M126,0))/(IF(ISNUMBER(L126),$C$3,0)+IF(ISNUMBER(M126),$E$3,0)))</f>
        <v>0.438558997896347</v>
      </c>
      <c r="O126" s="12"/>
      <c r="P126" s="7" t="n">
        <f aca="false">IF(O126&lt;&gt;"","",COUNTIFS($A$6:$A$338,A126,$O$6:$O$338,"",$N$6:$N$338,"&gt;"&amp;N126)+COUNTIFS($A$6:A126,A126,$O$6:O126,"",$N$6:N126,N126))</f>
        <v>15</v>
      </c>
      <c r="Q126" s="12" t="str">
        <f aca="false">IF(P126="","Excluded",IF(P126&lt;=5,"Lead",IF(P126&lt;=10,"Next wave","Long list")))</f>
        <v>Long list</v>
      </c>
      <c r="R126" s="10" t="s">
        <v>82</v>
      </c>
      <c r="S126" s="30" t="s">
        <v>429</v>
      </c>
    </row>
    <row r="127" customFormat="false" ht="23.85" hidden="false" customHeight="false" outlineLevel="0" collapsed="false">
      <c r="A127" s="12" t="s">
        <v>21</v>
      </c>
      <c r="B127" s="12" t="s">
        <v>473</v>
      </c>
      <c r="C127" s="10" t="s">
        <v>474</v>
      </c>
      <c r="D127" s="26" t="n">
        <v>7.28</v>
      </c>
      <c r="E127" s="12" t="s">
        <v>77</v>
      </c>
      <c r="F127" s="11" t="n">
        <v>13516.1</v>
      </c>
      <c r="G127" s="10" t="s">
        <v>475</v>
      </c>
      <c r="H127" s="7" t="n">
        <v>8</v>
      </c>
      <c r="I127" s="12" t="s">
        <v>79</v>
      </c>
      <c r="J127" s="12" t="s">
        <v>80</v>
      </c>
      <c r="K127" s="10" t="s">
        <v>111</v>
      </c>
      <c r="L127" s="9" t="n">
        <f aca="false">IF(ISNUMBER(D127),COUNTIF($D$6:$D$338,"&lt;"&amp;D127)/(COUNT($D$6:$D$338)-1),"")</f>
        <v>0.13968253968254</v>
      </c>
      <c r="M127" s="9" t="n">
        <f aca="false">IF(ISNUMBER(F127),COUNTIF($F$6:$F$338,"&lt;"&amp;F127)/(COUNT($F$6:$F$338)-1),"")</f>
        <v>0.731927710843374</v>
      </c>
      <c r="N127" s="9" t="n">
        <f aca="false">IF(AND(L127="",M127=""),"",(IF(ISNUMBER(L127),$C$3*L127,0)+IF(ISNUMBER(M127),$E$3*M127,0))/(IF(ISNUMBER(L127),$C$3,0)+IF(ISNUMBER(M127),$E$3,0)))</f>
        <v>0.435805125262957</v>
      </c>
      <c r="O127" s="12"/>
      <c r="P127" s="7" t="n">
        <f aca="false">IF(O127&lt;&gt;"","",COUNTIFS($A$6:$A$338,A127,$O$6:$O$338,"",$N$6:$N$338,"&gt;"&amp;N127)+COUNTIFS($A$6:A127,A127,$O$6:O127,"",$N$6:N127,N127))</f>
        <v>16</v>
      </c>
      <c r="Q127" s="12" t="str">
        <f aca="false">IF(P127="","Excluded",IF(P127&lt;=5,"Lead",IF(P127&lt;=10,"Next wave","Long list")))</f>
        <v>Long list</v>
      </c>
      <c r="R127" s="10" t="s">
        <v>82</v>
      </c>
      <c r="S127" s="30" t="s">
        <v>476</v>
      </c>
    </row>
    <row r="128" customFormat="false" ht="23.85" hidden="false" customHeight="false" outlineLevel="0" collapsed="false">
      <c r="A128" s="12" t="s">
        <v>21</v>
      </c>
      <c r="B128" s="12" t="s">
        <v>210</v>
      </c>
      <c r="C128" s="10" t="s">
        <v>211</v>
      </c>
      <c r="D128" s="26" t="n">
        <v>5.32</v>
      </c>
      <c r="E128" s="12" t="s">
        <v>153</v>
      </c>
      <c r="F128" s="11" t="n">
        <v>17590.5</v>
      </c>
      <c r="G128" s="10" t="s">
        <v>169</v>
      </c>
      <c r="H128" s="7" t="n">
        <v>1</v>
      </c>
      <c r="I128" s="12" t="s">
        <v>172</v>
      </c>
      <c r="J128" s="12" t="s">
        <v>86</v>
      </c>
      <c r="K128" s="10"/>
      <c r="L128" s="9" t="n">
        <f aca="false">IF(ISNUMBER(D128),COUNTIF($D$6:$D$338,"&lt;"&amp;D128)/(COUNT($D$6:$D$338)-1),"")</f>
        <v>0.0253968253968254</v>
      </c>
      <c r="M128" s="9" t="n">
        <f aca="false">IF(ISNUMBER(F128),COUNTIF($F$6:$F$338,"&lt;"&amp;F128)/(COUNT($F$6:$F$338)-1),"")</f>
        <v>0.746987951807229</v>
      </c>
      <c r="N128" s="9" t="n">
        <f aca="false">IF(AND(L128="",M128=""),"",(IF(ISNUMBER(L128),$C$3*L128,0)+IF(ISNUMBER(M128),$E$3*M128,0))/(IF(ISNUMBER(L128),$C$3,0)+IF(ISNUMBER(M128),$E$3,0)))</f>
        <v>0.386192388602027</v>
      </c>
      <c r="O128" s="12"/>
      <c r="P128" s="7" t="n">
        <f aca="false">IF(O128&lt;&gt;"","",COUNTIFS($A$6:$A$338,A128,$O$6:$O$338,"",$N$6:$N$338,"&gt;"&amp;N128)+COUNTIFS($A$6:A128,A128,$O$6:O128,"",$N$6:N128,N128))</f>
        <v>17</v>
      </c>
      <c r="Q128" s="12" t="str">
        <f aca="false">IF(P128="","Excluded",IF(P128&lt;=5,"Lead",IF(P128&lt;=10,"Next wave","Long list")))</f>
        <v>Long list</v>
      </c>
      <c r="R128" s="10" t="s">
        <v>82</v>
      </c>
      <c r="S128" s="30" t="s">
        <v>361</v>
      </c>
    </row>
    <row r="129" customFormat="false" ht="23.85" hidden="false" customHeight="false" outlineLevel="0" collapsed="false">
      <c r="A129" s="12" t="s">
        <v>21</v>
      </c>
      <c r="B129" s="12" t="s">
        <v>477</v>
      </c>
      <c r="C129" s="10" t="s">
        <v>478</v>
      </c>
      <c r="D129" s="26" t="n">
        <v>23.98</v>
      </c>
      <c r="E129" s="12" t="s">
        <v>102</v>
      </c>
      <c r="F129" s="11" t="n">
        <v>2033.7</v>
      </c>
      <c r="G129" s="10" t="s">
        <v>126</v>
      </c>
      <c r="H129" s="7" t="n">
        <v>1</v>
      </c>
      <c r="I129" s="12" t="s">
        <v>79</v>
      </c>
      <c r="J129" s="12" t="s">
        <v>86</v>
      </c>
      <c r="K129" s="10"/>
      <c r="L129" s="9" t="n">
        <f aca="false">IF(ISNUMBER(D129),COUNTIF($D$6:$D$338,"&lt;"&amp;D129)/(COUNT($D$6:$D$338)-1),"")</f>
        <v>0.453968253968254</v>
      </c>
      <c r="M129" s="9" t="n">
        <f aca="false">IF(ISNUMBER(F129),COUNTIF($F$6:$F$338,"&lt;"&amp;F129)/(COUNT($F$6:$F$338)-1),"")</f>
        <v>0.268072289156627</v>
      </c>
      <c r="N129" s="9" t="n">
        <f aca="false">IF(AND(L129="",M129=""),"",(IF(ISNUMBER(L129),$C$3*L129,0)+IF(ISNUMBER(M129),$E$3*M129,0))/(IF(ISNUMBER(L129),$C$3,0)+IF(ISNUMBER(M129),$E$3,0)))</f>
        <v>0.36102027156244</v>
      </c>
      <c r="O129" s="12"/>
      <c r="P129" s="7" t="n">
        <f aca="false">IF(O129&lt;&gt;"","",COUNTIFS($A$6:$A$338,A129,$O$6:$O$338,"",$N$6:$N$338,"&gt;"&amp;N129)+COUNTIFS($A$6:A129,A129,$O$6:O129,"",$N$6:N129,N129))</f>
        <v>18</v>
      </c>
      <c r="Q129" s="12" t="str">
        <f aca="false">IF(P129="","Excluded",IF(P129&lt;=5,"Lead",IF(P129&lt;=10,"Next wave","Long list")))</f>
        <v>Long list</v>
      </c>
      <c r="R129" s="10" t="s">
        <v>105</v>
      </c>
      <c r="S129" s="30" t="s">
        <v>479</v>
      </c>
    </row>
    <row r="130" customFormat="false" ht="23.85" hidden="false" customHeight="false" outlineLevel="0" collapsed="false">
      <c r="A130" s="12" t="s">
        <v>21</v>
      </c>
      <c r="B130" s="12" t="s">
        <v>480</v>
      </c>
      <c r="C130" s="10" t="s">
        <v>481</v>
      </c>
      <c r="D130" s="26" t="n">
        <v>17.81</v>
      </c>
      <c r="E130" s="12" t="s">
        <v>102</v>
      </c>
      <c r="F130" s="11" t="n">
        <v>1405.2</v>
      </c>
      <c r="G130" s="10" t="s">
        <v>175</v>
      </c>
      <c r="H130" s="7" t="n">
        <v>2</v>
      </c>
      <c r="I130" s="12" t="s">
        <v>79</v>
      </c>
      <c r="J130" s="12" t="s">
        <v>80</v>
      </c>
      <c r="K130" s="10" t="s">
        <v>111</v>
      </c>
      <c r="L130" s="9" t="n">
        <f aca="false">IF(ISNUMBER(D130),COUNTIF($D$6:$D$338,"&lt;"&amp;D130)/(COUNT($D$6:$D$338)-1),"")</f>
        <v>0.374603174603175</v>
      </c>
      <c r="M130" s="9" t="n">
        <f aca="false">IF(ISNUMBER(F130),COUNTIF($F$6:$F$338,"&lt;"&amp;F130)/(COUNT($F$6:$F$338)-1),"")</f>
        <v>0.201807228915663</v>
      </c>
      <c r="N130" s="9" t="n">
        <f aca="false">IF(AND(L130="",M130=""),"",(IF(ISNUMBER(L130),$C$3*L130,0)+IF(ISNUMBER(M130),$E$3*M130,0))/(IF(ISNUMBER(L130),$C$3,0)+IF(ISNUMBER(M130),$E$3,0)))</f>
        <v>0.288205201759419</v>
      </c>
      <c r="O130" s="12"/>
      <c r="P130" s="7" t="n">
        <f aca="false">IF(O130&lt;&gt;"","",COUNTIFS($A$6:$A$338,A130,$O$6:$O$338,"",$N$6:$N$338,"&gt;"&amp;N130)+COUNTIFS($A$6:A130,A130,$O$6:O130,"",$N$6:N130,N130))</f>
        <v>19</v>
      </c>
      <c r="Q130" s="12" t="str">
        <f aca="false">IF(P130="","Excluded",IF(P130&lt;=5,"Lead",IF(P130&lt;=10,"Next wave","Long list")))</f>
        <v>Long list</v>
      </c>
      <c r="R130" s="10" t="s">
        <v>105</v>
      </c>
      <c r="S130" s="30" t="s">
        <v>482</v>
      </c>
    </row>
    <row r="131" customFormat="false" ht="23.85" hidden="false" customHeight="false" outlineLevel="0" collapsed="false">
      <c r="A131" s="12" t="s">
        <v>21</v>
      </c>
      <c r="B131" s="12" t="s">
        <v>461</v>
      </c>
      <c r="C131" s="10" t="s">
        <v>462</v>
      </c>
      <c r="D131" s="26" t="n">
        <v>7.98</v>
      </c>
      <c r="E131" s="12" t="s">
        <v>102</v>
      </c>
      <c r="F131" s="11" t="n">
        <v>1830.5</v>
      </c>
      <c r="G131" s="10" t="s">
        <v>126</v>
      </c>
      <c r="H131" s="7" t="n">
        <v>1</v>
      </c>
      <c r="I131" s="12" t="s">
        <v>79</v>
      </c>
      <c r="J131" s="12" t="s">
        <v>86</v>
      </c>
      <c r="K131" s="10"/>
      <c r="L131" s="9" t="n">
        <f aca="false">IF(ISNUMBER(D131),COUNTIF($D$6:$D$338,"&lt;"&amp;D131)/(COUNT($D$6:$D$338)-1),"")</f>
        <v>0.174603174603175</v>
      </c>
      <c r="M131" s="9" t="n">
        <f aca="false">IF(ISNUMBER(F131),COUNTIF($F$6:$F$338,"&lt;"&amp;F131)/(COUNT($F$6:$F$338)-1),"")</f>
        <v>0.234939759036145</v>
      </c>
      <c r="N131" s="9" t="n">
        <f aca="false">IF(AND(L131="",M131=""),"",(IF(ISNUMBER(L131),$C$3*L131,0)+IF(ISNUMBER(M131),$E$3*M131,0))/(IF(ISNUMBER(L131),$C$3,0)+IF(ISNUMBER(M131),$E$3,0)))</f>
        <v>0.20477146681966</v>
      </c>
      <c r="O131" s="12"/>
      <c r="P131" s="7" t="n">
        <f aca="false">IF(O131&lt;&gt;"","",COUNTIFS($A$6:$A$338,A131,$O$6:$O$338,"",$N$6:$N$338,"&gt;"&amp;N131)+COUNTIFS($A$6:A131,A131,$O$6:O131,"",$N$6:N131,N131))</f>
        <v>20</v>
      </c>
      <c r="Q131" s="12" t="str">
        <f aca="false">IF(P131="","Excluded",IF(P131&lt;=5,"Lead",IF(P131&lt;=10,"Next wave","Long list")))</f>
        <v>Long list</v>
      </c>
      <c r="R131" s="10" t="s">
        <v>105</v>
      </c>
      <c r="S131" s="30" t="s">
        <v>463</v>
      </c>
    </row>
    <row r="132" customFormat="false" ht="23.85" hidden="false" customHeight="false" outlineLevel="0" collapsed="false">
      <c r="A132" s="12" t="s">
        <v>31</v>
      </c>
      <c r="B132" s="12" t="s">
        <v>75</v>
      </c>
      <c r="C132" s="10" t="s">
        <v>76</v>
      </c>
      <c r="D132" s="26" t="n">
        <v>397.42</v>
      </c>
      <c r="E132" s="12" t="s">
        <v>153</v>
      </c>
      <c r="F132" s="11" t="n">
        <v>42181.7</v>
      </c>
      <c r="G132" s="10" t="s">
        <v>323</v>
      </c>
      <c r="H132" s="7" t="n">
        <v>3</v>
      </c>
      <c r="I132" s="12" t="s">
        <v>79</v>
      </c>
      <c r="J132" s="12" t="s">
        <v>80</v>
      </c>
      <c r="K132" s="10" t="s">
        <v>81</v>
      </c>
      <c r="L132" s="9" t="n">
        <f aca="false">IF(ISNUMBER(D132),COUNTIF($D$6:$D$338,"&lt;"&amp;D132)/(COUNT($D$6:$D$338)-1),"")</f>
        <v>0.920634920634921</v>
      </c>
      <c r="M132" s="9" t="n">
        <f aca="false">IF(ISNUMBER(F132),COUNTIF($F$6:$F$338,"&lt;"&amp;F132)/(COUNT($F$6:$F$338)-1),"")</f>
        <v>0.897590361445783</v>
      </c>
      <c r="N132" s="9" t="n">
        <f aca="false">IF(AND(L132="",M132=""),"",(IF(ISNUMBER(L132),$C$3*L132,0)+IF(ISNUMBER(M132),$E$3*M132,0))/(IF(ISNUMBER(L132),$C$3,0)+IF(ISNUMBER(M132),$E$3,0)))</f>
        <v>0.909112641040352</v>
      </c>
      <c r="O132" s="12"/>
      <c r="P132" s="7" t="n">
        <f aca="false">IF(O132&lt;&gt;"","",COUNTIFS($A$6:$A$338,A132,$O$6:$O$338,"",$N$6:$N$338,"&gt;"&amp;N132)+COUNTIFS($A$6:A132,A132,$O$6:O132,"",$N$6:N132,N132))</f>
        <v>1</v>
      </c>
      <c r="Q132" s="12" t="str">
        <f aca="false">IF(P132="","Excluded",IF(P132&lt;=5,"Lead",IF(P132&lt;=10,"Next wave","Long list")))</f>
        <v>Lead</v>
      </c>
      <c r="R132" s="10" t="s">
        <v>82</v>
      </c>
      <c r="S132" s="30" t="s">
        <v>315</v>
      </c>
    </row>
    <row r="133" customFormat="false" ht="23.85" hidden="false" customHeight="false" outlineLevel="0" collapsed="false">
      <c r="A133" s="12" t="s">
        <v>31</v>
      </c>
      <c r="B133" s="12" t="s">
        <v>112</v>
      </c>
      <c r="C133" s="10" t="s">
        <v>113</v>
      </c>
      <c r="D133" s="26" t="n">
        <v>7322.42</v>
      </c>
      <c r="E133" s="12" t="s">
        <v>153</v>
      </c>
      <c r="F133" s="11" t="n">
        <v>7904.7</v>
      </c>
      <c r="G133" s="10" t="s">
        <v>323</v>
      </c>
      <c r="H133" s="7" t="n">
        <v>1</v>
      </c>
      <c r="I133" s="12" t="s">
        <v>79</v>
      </c>
      <c r="J133" s="12" t="s">
        <v>86</v>
      </c>
      <c r="K133" s="10"/>
      <c r="L133" s="9" t="n">
        <f aca="false">IF(ISNUMBER(D133),COUNTIF($D$6:$D$338,"&lt;"&amp;D133)/(COUNT($D$6:$D$338)-1),"")</f>
        <v>1</v>
      </c>
      <c r="M133" s="9" t="n">
        <f aca="false">IF(ISNUMBER(F133),COUNTIF($F$6:$F$338,"&lt;"&amp;F133)/(COUNT($F$6:$F$338)-1),"")</f>
        <v>0.650602409638554</v>
      </c>
      <c r="N133" s="9" t="n">
        <f aca="false">IF(AND(L133="",M133=""),"",(IF(ISNUMBER(L133),$C$3*L133,0)+IF(ISNUMBER(M133),$E$3*M133,0))/(IF(ISNUMBER(L133),$C$3,0)+IF(ISNUMBER(M133),$E$3,0)))</f>
        <v>0.825301204819277</v>
      </c>
      <c r="O133" s="12"/>
      <c r="P133" s="7" t="n">
        <f aca="false">IF(O133&lt;&gt;"","",COUNTIFS($A$6:$A$338,A133,$O$6:$O$338,"",$N$6:$N$338,"&gt;"&amp;N133)+COUNTIFS($A$6:A133,A133,$O$6:O133,"",$N$6:N133,N133))</f>
        <v>2</v>
      </c>
      <c r="Q133" s="12" t="str">
        <f aca="false">IF(P133="","Excluded",IF(P133&lt;=5,"Lead",IF(P133&lt;=10,"Next wave","Long list")))</f>
        <v>Lead</v>
      </c>
      <c r="R133" s="10" t="s">
        <v>82</v>
      </c>
      <c r="S133" s="30" t="s">
        <v>318</v>
      </c>
    </row>
    <row r="134" customFormat="false" ht="23.85" hidden="false" customHeight="false" outlineLevel="0" collapsed="false">
      <c r="A134" s="12" t="s">
        <v>31</v>
      </c>
      <c r="B134" s="12" t="s">
        <v>114</v>
      </c>
      <c r="C134" s="10" t="s">
        <v>115</v>
      </c>
      <c r="D134" s="26" t="n">
        <v>302.38</v>
      </c>
      <c r="E134" s="12" t="s">
        <v>102</v>
      </c>
      <c r="F134" s="11" t="n">
        <v>11366.1</v>
      </c>
      <c r="G134" s="10" t="s">
        <v>177</v>
      </c>
      <c r="H134" s="7" t="n">
        <v>8</v>
      </c>
      <c r="I134" s="12" t="s">
        <v>85</v>
      </c>
      <c r="J134" s="12" t="s">
        <v>86</v>
      </c>
      <c r="K134" s="10" t="s">
        <v>87</v>
      </c>
      <c r="L134" s="9" t="n">
        <f aca="false">IF(ISNUMBER(D134),COUNTIF($D$6:$D$338,"&lt;"&amp;D134)/(COUNT($D$6:$D$338)-1),"")</f>
        <v>0.895238095238095</v>
      </c>
      <c r="M134" s="9" t="n">
        <f aca="false">IF(ISNUMBER(F134),COUNTIF($F$6:$F$338,"&lt;"&amp;F134)/(COUNT($F$6:$F$338)-1),"")</f>
        <v>0.686746987951807</v>
      </c>
      <c r="N134" s="9" t="n">
        <f aca="false">IF(AND(L134="",M134=""),"",(IF(ISNUMBER(L134),$C$3*L134,0)+IF(ISNUMBER(M134),$E$3*M134,0))/(IF(ISNUMBER(L134),$C$3,0)+IF(ISNUMBER(M134),$E$3,0)))</f>
        <v>0.790992541594951</v>
      </c>
      <c r="O134" s="12"/>
      <c r="P134" s="7" t="n">
        <f aca="false">IF(O134&lt;&gt;"","",COUNTIFS($A$6:$A$338,A134,$O$6:$O$338,"",$N$6:$N$338,"&gt;"&amp;N134)+COUNTIFS($A$6:A134,A134,$O$6:O134,"",$N$6:N134,N134))</f>
        <v>3</v>
      </c>
      <c r="Q134" s="12" t="str">
        <f aca="false">IF(P134="","Excluded",IF(P134&lt;=5,"Lead",IF(P134&lt;=10,"Next wave","Long list")))</f>
        <v>Lead</v>
      </c>
      <c r="R134" s="10" t="s">
        <v>88</v>
      </c>
      <c r="S134" s="30" t="s">
        <v>304</v>
      </c>
    </row>
    <row r="135" customFormat="false" ht="23.85" hidden="false" customHeight="false" outlineLevel="0" collapsed="false">
      <c r="A135" s="12" t="s">
        <v>31</v>
      </c>
      <c r="B135" s="12" t="s">
        <v>117</v>
      </c>
      <c r="C135" s="10" t="s">
        <v>118</v>
      </c>
      <c r="D135" s="26" t="n">
        <v>79.53</v>
      </c>
      <c r="E135" s="12" t="s">
        <v>102</v>
      </c>
      <c r="F135" s="11" t="n">
        <v>32830.2</v>
      </c>
      <c r="G135" s="10" t="s">
        <v>184</v>
      </c>
      <c r="H135" s="7" t="n">
        <v>9</v>
      </c>
      <c r="I135" s="12" t="s">
        <v>79</v>
      </c>
      <c r="J135" s="12" t="s">
        <v>86</v>
      </c>
      <c r="K135" s="10"/>
      <c r="L135" s="9" t="n">
        <f aca="false">IF(ISNUMBER(D135),COUNTIF($D$6:$D$338,"&lt;"&amp;D135)/(COUNT($D$6:$D$338)-1),"")</f>
        <v>0.720634920634921</v>
      </c>
      <c r="M135" s="9" t="n">
        <f aca="false">IF(ISNUMBER(F135),COUNTIF($F$6:$F$338,"&lt;"&amp;F135)/(COUNT($F$6:$F$338)-1),"")</f>
        <v>0.825301204819277</v>
      </c>
      <c r="N135" s="9" t="n">
        <f aca="false">IF(AND(L135="",M135=""),"",(IF(ISNUMBER(L135),$C$3*L135,0)+IF(ISNUMBER(M135),$E$3*M135,0))/(IF(ISNUMBER(L135),$C$3,0)+IF(ISNUMBER(M135),$E$3,0)))</f>
        <v>0.772968062727099</v>
      </c>
      <c r="O135" s="12"/>
      <c r="P135" s="7" t="n">
        <f aca="false">IF(O135&lt;&gt;"","",COUNTIFS($A$6:$A$338,A135,$O$6:$O$338,"",$N$6:$N$338,"&gt;"&amp;N135)+COUNTIFS($A$6:A135,A135,$O$6:O135,"",$N$6:N135,N135))</f>
        <v>4</v>
      </c>
      <c r="Q135" s="12" t="str">
        <f aca="false">IF(P135="","Excluded",IF(P135&lt;=5,"Lead",IF(P135&lt;=10,"Next wave","Long list")))</f>
        <v>Lead</v>
      </c>
      <c r="R135" s="10" t="s">
        <v>82</v>
      </c>
      <c r="S135" s="30" t="s">
        <v>428</v>
      </c>
    </row>
    <row r="136" customFormat="false" ht="23.85" hidden="false" customHeight="false" outlineLevel="0" collapsed="false">
      <c r="A136" s="12" t="s">
        <v>31</v>
      </c>
      <c r="B136" s="12" t="s">
        <v>89</v>
      </c>
      <c r="C136" s="10" t="s">
        <v>90</v>
      </c>
      <c r="D136" s="26" t="n">
        <v>64.91</v>
      </c>
      <c r="E136" s="12" t="s">
        <v>77</v>
      </c>
      <c r="F136" s="11" t="n">
        <v>28093.4</v>
      </c>
      <c r="G136" s="10" t="s">
        <v>185</v>
      </c>
      <c r="H136" s="7" t="n">
        <v>12</v>
      </c>
      <c r="I136" s="12" t="s">
        <v>79</v>
      </c>
      <c r="J136" s="12" t="s">
        <v>86</v>
      </c>
      <c r="K136" s="10" t="s">
        <v>81</v>
      </c>
      <c r="L136" s="9" t="n">
        <f aca="false">IF(ISNUMBER(D136),COUNTIF($D$6:$D$338,"&lt;"&amp;D136)/(COUNT($D$6:$D$338)-1),"")</f>
        <v>0.695238095238095</v>
      </c>
      <c r="M136" s="9" t="n">
        <f aca="false">IF(ISNUMBER(F136),COUNTIF($F$6:$F$338,"&lt;"&amp;F136)/(COUNT($F$6:$F$338)-1),"")</f>
        <v>0.792168674698795</v>
      </c>
      <c r="N136" s="9" t="n">
        <f aca="false">IF(AND(L136="",M136=""),"",(IF(ISNUMBER(L136),$C$3*L136,0)+IF(ISNUMBER(M136),$E$3*M136,0))/(IF(ISNUMBER(L136),$C$3,0)+IF(ISNUMBER(M136),$E$3,0)))</f>
        <v>0.743703384968445</v>
      </c>
      <c r="O136" s="12"/>
      <c r="P136" s="7" t="n">
        <f aca="false">IF(O136&lt;&gt;"","",COUNTIFS($A$6:$A$338,A136,$O$6:$O$338,"",$N$6:$N$338,"&gt;"&amp;N136)+COUNTIFS($A$6:A136,A136,$O$6:O136,"",$N$6:N136,N136))</f>
        <v>5</v>
      </c>
      <c r="Q136" s="12" t="str">
        <f aca="false">IF(P136="","Excluded",IF(P136&lt;=5,"Lead",IF(P136&lt;=10,"Next wave","Long list")))</f>
        <v>Lead</v>
      </c>
      <c r="R136" s="10" t="s">
        <v>82</v>
      </c>
      <c r="S136" s="30" t="s">
        <v>316</v>
      </c>
    </row>
    <row r="137" customFormat="false" ht="23.85" hidden="false" customHeight="false" outlineLevel="0" collapsed="false">
      <c r="A137" s="12" t="s">
        <v>31</v>
      </c>
      <c r="B137" s="12" t="s">
        <v>131</v>
      </c>
      <c r="C137" s="10" t="s">
        <v>132</v>
      </c>
      <c r="D137" s="26" t="n">
        <v>400.86</v>
      </c>
      <c r="E137" s="12" t="s">
        <v>77</v>
      </c>
      <c r="F137" s="11" t="n">
        <v>1874.6</v>
      </c>
      <c r="G137" s="10" t="s">
        <v>186</v>
      </c>
      <c r="H137" s="7" t="n">
        <v>9</v>
      </c>
      <c r="I137" s="12" t="s">
        <v>79</v>
      </c>
      <c r="J137" s="12" t="s">
        <v>86</v>
      </c>
      <c r="K137" s="10" t="s">
        <v>104</v>
      </c>
      <c r="L137" s="9" t="n">
        <f aca="false">IF(ISNUMBER(D137),COUNTIF($D$6:$D$338,"&lt;"&amp;D137)/(COUNT($D$6:$D$338)-1),"")</f>
        <v>0.923809523809524</v>
      </c>
      <c r="M137" s="9" t="n">
        <f aca="false">IF(ISNUMBER(F137),COUNTIF($F$6:$F$338,"&lt;"&amp;F137)/(COUNT($F$6:$F$338)-1),"")</f>
        <v>0.243975903614458</v>
      </c>
      <c r="N137" s="9" t="n">
        <f aca="false">IF(AND(L137="",M137=""),"",(IF(ISNUMBER(L137),$C$3*L137,0)+IF(ISNUMBER(M137),$E$3*M137,0))/(IF(ISNUMBER(L137),$C$3,0)+IF(ISNUMBER(M137),$E$3,0)))</f>
        <v>0.583892713711991</v>
      </c>
      <c r="O137" s="12"/>
      <c r="P137" s="7" t="n">
        <f aca="false">IF(O137&lt;&gt;"","",COUNTIFS($A$6:$A$338,A137,$O$6:$O$338,"",$N$6:$N$338,"&gt;"&amp;N137)+COUNTIFS($A$6:A137,A137,$O$6:O137,"",$N$6:N137,N137))</f>
        <v>6</v>
      </c>
      <c r="Q137" s="12" t="str">
        <f aca="false">IF(P137="","Excluded",IF(P137&lt;=5,"Lead",IF(P137&lt;=10,"Next wave","Long list")))</f>
        <v>Next wave</v>
      </c>
      <c r="R137" s="10" t="s">
        <v>82</v>
      </c>
      <c r="S137" s="30" t="s">
        <v>449</v>
      </c>
    </row>
    <row r="138" customFormat="false" ht="23.85" hidden="false" customHeight="false" outlineLevel="0" collapsed="false">
      <c r="A138" s="12" t="s">
        <v>29</v>
      </c>
      <c r="B138" s="12" t="s">
        <v>75</v>
      </c>
      <c r="C138" s="10" t="s">
        <v>76</v>
      </c>
      <c r="D138" s="26" t="n">
        <v>360.71</v>
      </c>
      <c r="E138" s="12" t="s">
        <v>102</v>
      </c>
      <c r="F138" s="11" t="n">
        <v>42181.7</v>
      </c>
      <c r="G138" s="10" t="s">
        <v>175</v>
      </c>
      <c r="H138" s="7" t="n">
        <v>2</v>
      </c>
      <c r="I138" s="12" t="s">
        <v>79</v>
      </c>
      <c r="J138" s="12" t="s">
        <v>80</v>
      </c>
      <c r="K138" s="10" t="s">
        <v>81</v>
      </c>
      <c r="L138" s="9" t="n">
        <f aca="false">IF(ISNUMBER(D138),COUNTIF($D$6:$D$338,"&lt;"&amp;D138)/(COUNT($D$6:$D$338)-1),"")</f>
        <v>0.917460317460317</v>
      </c>
      <c r="M138" s="9" t="n">
        <f aca="false">IF(ISNUMBER(F138),COUNTIF($F$6:$F$338,"&lt;"&amp;F138)/(COUNT($F$6:$F$338)-1),"")</f>
        <v>0.897590361445783</v>
      </c>
      <c r="N138" s="9" t="n">
        <f aca="false">IF(AND(L138="",M138=""),"",(IF(ISNUMBER(L138),$C$3*L138,0)+IF(ISNUMBER(M138),$E$3*M138,0))/(IF(ISNUMBER(L138),$C$3,0)+IF(ISNUMBER(M138),$E$3,0)))</f>
        <v>0.90752533945305</v>
      </c>
      <c r="O138" s="12"/>
      <c r="P138" s="7" t="n">
        <f aca="false">IF(O138&lt;&gt;"","",COUNTIFS($A$6:$A$338,A138,$O$6:$O$338,"",$N$6:$N$338,"&gt;"&amp;N138)+COUNTIFS($A$6:A138,A138,$O$6:O138,"",$N$6:N138,N138))</f>
        <v>1</v>
      </c>
      <c r="Q138" s="12" t="str">
        <f aca="false">IF(P138="","Excluded",IF(P138&lt;=5,"Lead",IF(P138&lt;=10,"Next wave","Long list")))</f>
        <v>Lead</v>
      </c>
      <c r="R138" s="10" t="s">
        <v>82</v>
      </c>
      <c r="S138" s="30" t="s">
        <v>315</v>
      </c>
    </row>
    <row r="139" customFormat="false" ht="23.85" hidden="false" customHeight="false" outlineLevel="0" collapsed="false">
      <c r="A139" s="12" t="s">
        <v>29</v>
      </c>
      <c r="B139" s="12" t="s">
        <v>107</v>
      </c>
      <c r="C139" s="10" t="s">
        <v>108</v>
      </c>
      <c r="D139" s="26" t="n">
        <v>83.75</v>
      </c>
      <c r="E139" s="12" t="s">
        <v>102</v>
      </c>
      <c r="F139" s="11" t="n">
        <v>59827.2</v>
      </c>
      <c r="G139" s="10" t="s">
        <v>176</v>
      </c>
      <c r="H139" s="7" t="n">
        <v>5</v>
      </c>
      <c r="I139" s="12" t="s">
        <v>79</v>
      </c>
      <c r="J139" s="12" t="s">
        <v>80</v>
      </c>
      <c r="K139" s="10" t="s">
        <v>111</v>
      </c>
      <c r="L139" s="9" t="n">
        <f aca="false">IF(ISNUMBER(D139),COUNTIF($D$6:$D$338,"&lt;"&amp;D139)/(COUNT($D$6:$D$338)-1),"")</f>
        <v>0.736507936507937</v>
      </c>
      <c r="M139" s="9" t="n">
        <f aca="false">IF(ISNUMBER(F139),COUNTIF($F$6:$F$338,"&lt;"&amp;F139)/(COUNT($F$6:$F$338)-1),"")</f>
        <v>0.957831325301205</v>
      </c>
      <c r="N139" s="9" t="n">
        <f aca="false">IF(AND(L139="",M139=""),"",(IF(ISNUMBER(L139),$C$3*L139,0)+IF(ISNUMBER(M139),$E$3*M139,0))/(IF(ISNUMBER(L139),$C$3,0)+IF(ISNUMBER(M139),$E$3,0)))</f>
        <v>0.847169630904571</v>
      </c>
      <c r="O139" s="12"/>
      <c r="P139" s="7" t="n">
        <f aca="false">IF(O139&lt;&gt;"","",COUNTIFS($A$6:$A$338,A139,$O$6:$O$338,"",$N$6:$N$338,"&gt;"&amp;N139)+COUNTIFS($A$6:A139,A139,$O$6:O139,"",$N$6:N139,N139))</f>
        <v>2</v>
      </c>
      <c r="Q139" s="12" t="str">
        <f aca="false">IF(P139="","Excluded",IF(P139&lt;=5,"Lead",IF(P139&lt;=10,"Next wave","Long list")))</f>
        <v>Lead</v>
      </c>
      <c r="R139" s="10" t="s">
        <v>82</v>
      </c>
      <c r="S139" s="30" t="s">
        <v>317</v>
      </c>
    </row>
    <row r="140" customFormat="false" ht="23.85" hidden="false" customHeight="false" outlineLevel="0" collapsed="false">
      <c r="A140" s="12" t="s">
        <v>29</v>
      </c>
      <c r="B140" s="12" t="s">
        <v>89</v>
      </c>
      <c r="C140" s="10" t="s">
        <v>90</v>
      </c>
      <c r="D140" s="26" t="n">
        <v>295.75</v>
      </c>
      <c r="E140" s="12" t="s">
        <v>77</v>
      </c>
      <c r="F140" s="11" t="n">
        <v>28093.4</v>
      </c>
      <c r="G140" s="10" t="s">
        <v>177</v>
      </c>
      <c r="H140" s="7" t="n">
        <v>8</v>
      </c>
      <c r="I140" s="12" t="s">
        <v>79</v>
      </c>
      <c r="J140" s="12" t="s">
        <v>86</v>
      </c>
      <c r="K140" s="10" t="s">
        <v>81</v>
      </c>
      <c r="L140" s="9" t="n">
        <f aca="false">IF(ISNUMBER(D140),COUNTIF($D$6:$D$338,"&lt;"&amp;D140)/(COUNT($D$6:$D$338)-1),"")</f>
        <v>0.892063492063492</v>
      </c>
      <c r="M140" s="9" t="n">
        <f aca="false">IF(ISNUMBER(F140),COUNTIF($F$6:$F$338,"&lt;"&amp;F140)/(COUNT($F$6:$F$338)-1),"")</f>
        <v>0.792168674698795</v>
      </c>
      <c r="N140" s="9" t="n">
        <f aca="false">IF(AND(L140="",M140=""),"",(IF(ISNUMBER(L140),$C$3*L140,0)+IF(ISNUMBER(M140),$E$3*M140,0))/(IF(ISNUMBER(L140),$C$3,0)+IF(ISNUMBER(M140),$E$3,0)))</f>
        <v>0.842116083381144</v>
      </c>
      <c r="O140" s="12"/>
      <c r="P140" s="7" t="n">
        <f aca="false">IF(O140&lt;&gt;"","",COUNTIFS($A$6:$A$338,A140,$O$6:$O$338,"",$N$6:$N$338,"&gt;"&amp;N140)+COUNTIFS($A$6:A140,A140,$O$6:O140,"",$N$6:N140,N140))</f>
        <v>3</v>
      </c>
      <c r="Q140" s="12" t="str">
        <f aca="false">IF(P140="","Excluded",IF(P140&lt;=5,"Lead",IF(P140&lt;=10,"Next wave","Long list")))</f>
        <v>Lead</v>
      </c>
      <c r="R140" s="10" t="s">
        <v>82</v>
      </c>
      <c r="S140" s="30" t="s">
        <v>316</v>
      </c>
    </row>
    <row r="141" customFormat="false" ht="23.85" hidden="false" customHeight="false" outlineLevel="0" collapsed="false">
      <c r="A141" s="12" t="s">
        <v>29</v>
      </c>
      <c r="B141" s="12" t="s">
        <v>112</v>
      </c>
      <c r="C141" s="10" t="s">
        <v>113</v>
      </c>
      <c r="D141" s="26" t="n">
        <v>4289.93</v>
      </c>
      <c r="E141" s="12" t="s">
        <v>77</v>
      </c>
      <c r="F141" s="11" t="n">
        <v>7904.7</v>
      </c>
      <c r="G141" s="10" t="s">
        <v>177</v>
      </c>
      <c r="H141" s="7" t="n">
        <v>7</v>
      </c>
      <c r="I141" s="12" t="s">
        <v>79</v>
      </c>
      <c r="J141" s="12" t="s">
        <v>86</v>
      </c>
      <c r="K141" s="10"/>
      <c r="L141" s="9" t="n">
        <f aca="false">IF(ISNUMBER(D141),COUNTIF($D$6:$D$338,"&lt;"&amp;D141)/(COUNT($D$6:$D$338)-1),"")</f>
        <v>0.984126984126984</v>
      </c>
      <c r="M141" s="9" t="n">
        <f aca="false">IF(ISNUMBER(F141),COUNTIF($F$6:$F$338,"&lt;"&amp;F141)/(COUNT($F$6:$F$338)-1),"")</f>
        <v>0.650602409638554</v>
      </c>
      <c r="N141" s="9" t="n">
        <f aca="false">IF(AND(L141="",M141=""),"",(IF(ISNUMBER(L141),$C$3*L141,0)+IF(ISNUMBER(M141),$E$3*M141,0))/(IF(ISNUMBER(L141),$C$3,0)+IF(ISNUMBER(M141),$E$3,0)))</f>
        <v>0.817364696882769</v>
      </c>
      <c r="O141" s="12"/>
      <c r="P141" s="7" t="n">
        <f aca="false">IF(O141&lt;&gt;"","",COUNTIFS($A$6:$A$338,A141,$O$6:$O$338,"",$N$6:$N$338,"&gt;"&amp;N141)+COUNTIFS($A$6:A141,A141,$O$6:O141,"",$N$6:N141,N141))</f>
        <v>4</v>
      </c>
      <c r="Q141" s="12" t="str">
        <f aca="false">IF(P141="","Excluded",IF(P141&lt;=5,"Lead",IF(P141&lt;=10,"Next wave","Long list")))</f>
        <v>Lead</v>
      </c>
      <c r="R141" s="10" t="s">
        <v>82</v>
      </c>
      <c r="S141" s="30" t="s">
        <v>318</v>
      </c>
    </row>
    <row r="142" customFormat="false" ht="23.85" hidden="false" customHeight="false" outlineLevel="0" collapsed="false">
      <c r="A142" s="12" t="s">
        <v>29</v>
      </c>
      <c r="B142" s="12" t="s">
        <v>117</v>
      </c>
      <c r="C142" s="10" t="s">
        <v>118</v>
      </c>
      <c r="D142" s="26" t="n">
        <v>42.15</v>
      </c>
      <c r="E142" s="12" t="s">
        <v>77</v>
      </c>
      <c r="F142" s="11" t="n">
        <v>32830.2</v>
      </c>
      <c r="G142" s="10" t="s">
        <v>177</v>
      </c>
      <c r="H142" s="7" t="n">
        <v>7</v>
      </c>
      <c r="I142" s="12" t="s">
        <v>79</v>
      </c>
      <c r="J142" s="12" t="s">
        <v>86</v>
      </c>
      <c r="K142" s="10"/>
      <c r="L142" s="9" t="n">
        <f aca="false">IF(ISNUMBER(D142),COUNTIF($D$6:$D$338,"&lt;"&amp;D142)/(COUNT($D$6:$D$338)-1),"")</f>
        <v>0.612698412698413</v>
      </c>
      <c r="M142" s="9" t="n">
        <f aca="false">IF(ISNUMBER(F142),COUNTIF($F$6:$F$338,"&lt;"&amp;F142)/(COUNT($F$6:$F$338)-1),"")</f>
        <v>0.825301204819277</v>
      </c>
      <c r="N142" s="9" t="n">
        <f aca="false">IF(AND(L142="",M142=""),"",(IF(ISNUMBER(L142),$C$3*L142,0)+IF(ISNUMBER(M142),$E$3*M142,0))/(IF(ISNUMBER(L142),$C$3,0)+IF(ISNUMBER(M142),$E$3,0)))</f>
        <v>0.718999808758845</v>
      </c>
      <c r="O142" s="12"/>
      <c r="P142" s="7" t="n">
        <f aca="false">IF(O142&lt;&gt;"","",COUNTIFS($A$6:$A$338,A142,$O$6:$O$338,"",$N$6:$N$338,"&gt;"&amp;N142)+COUNTIFS($A$6:A142,A142,$O$6:O142,"",$N$6:N142,N142))</f>
        <v>5</v>
      </c>
      <c r="Q142" s="12" t="str">
        <f aca="false">IF(P142="","Excluded",IF(P142&lt;=5,"Lead",IF(P142&lt;=10,"Next wave","Long list")))</f>
        <v>Lead</v>
      </c>
      <c r="R142" s="10" t="s">
        <v>82</v>
      </c>
      <c r="S142" s="30" t="s">
        <v>428</v>
      </c>
    </row>
    <row r="143" customFormat="false" ht="23.85" hidden="false" customHeight="false" outlineLevel="0" collapsed="false">
      <c r="A143" s="12" t="s">
        <v>29</v>
      </c>
      <c r="B143" s="12" t="s">
        <v>178</v>
      </c>
      <c r="C143" s="10" t="s">
        <v>179</v>
      </c>
      <c r="D143" s="26" t="n">
        <v>36.53</v>
      </c>
      <c r="E143" s="12" t="s">
        <v>102</v>
      </c>
      <c r="F143" s="11" t="n">
        <v>6632.6</v>
      </c>
      <c r="G143" s="10" t="s">
        <v>175</v>
      </c>
      <c r="H143" s="7" t="n">
        <v>2</v>
      </c>
      <c r="I143" s="12" t="s">
        <v>79</v>
      </c>
      <c r="J143" s="12" t="s">
        <v>86</v>
      </c>
      <c r="K143" s="10" t="s">
        <v>111</v>
      </c>
      <c r="L143" s="9" t="n">
        <f aca="false">IF(ISNUMBER(D143),COUNTIF($D$6:$D$338,"&lt;"&amp;D143)/(COUNT($D$6:$D$338)-1),"")</f>
        <v>0.574603174603175</v>
      </c>
      <c r="M143" s="9" t="n">
        <f aca="false">IF(ISNUMBER(F143),COUNTIF($F$6:$F$338,"&lt;"&amp;F143)/(COUNT($F$6:$F$338)-1),"")</f>
        <v>0.61144578313253</v>
      </c>
      <c r="N143" s="9" t="n">
        <f aca="false">IF(AND(L143="",M143=""),"",(IF(ISNUMBER(L143),$C$3*L143,0)+IF(ISNUMBER(M143),$E$3*M143,0))/(IF(ISNUMBER(L143),$C$3,0)+IF(ISNUMBER(M143),$E$3,0)))</f>
        <v>0.593024478867852</v>
      </c>
      <c r="O143" s="12"/>
      <c r="P143" s="7" t="n">
        <f aca="false">IF(O143&lt;&gt;"","",COUNTIFS($A$6:$A$338,A143,$O$6:$O$338,"",$N$6:$N$338,"&gt;"&amp;N143)+COUNTIFS($A$6:A143,A143,$O$6:O143,"",$N$6:N143,N143))</f>
        <v>6</v>
      </c>
      <c r="Q143" s="12" t="str">
        <f aca="false">IF(P143="","Excluded",IF(P143&lt;=5,"Lead",IF(P143&lt;=10,"Next wave","Long list")))</f>
        <v>Next wave</v>
      </c>
      <c r="R143" s="10" t="s">
        <v>82</v>
      </c>
      <c r="S143" s="30" t="s">
        <v>438</v>
      </c>
    </row>
    <row r="144" customFormat="false" ht="23.85" hidden="false" customHeight="false" outlineLevel="0" collapsed="false">
      <c r="A144" s="12" t="s">
        <v>29</v>
      </c>
      <c r="B144" s="12" t="s">
        <v>128</v>
      </c>
      <c r="C144" s="10" t="s">
        <v>129</v>
      </c>
      <c r="D144" s="26" t="n">
        <v>92.74</v>
      </c>
      <c r="E144" s="12" t="s">
        <v>77</v>
      </c>
      <c r="F144" s="11" t="n">
        <v>2886</v>
      </c>
      <c r="G144" s="10" t="s">
        <v>176</v>
      </c>
      <c r="H144" s="7" t="n">
        <v>5</v>
      </c>
      <c r="I144" s="12" t="s">
        <v>79</v>
      </c>
      <c r="J144" s="12" t="s">
        <v>86</v>
      </c>
      <c r="K144" s="10" t="s">
        <v>81</v>
      </c>
      <c r="L144" s="9" t="n">
        <f aca="false">IF(ISNUMBER(D144),COUNTIF($D$6:$D$338,"&lt;"&amp;D144)/(COUNT($D$6:$D$338)-1),"")</f>
        <v>0.765079365079365</v>
      </c>
      <c r="M144" s="9" t="n">
        <f aca="false">IF(ISNUMBER(F144),COUNTIF($F$6:$F$338,"&lt;"&amp;F144)/(COUNT($F$6:$F$338)-1),"")</f>
        <v>0.373493975903614</v>
      </c>
      <c r="N144" s="9" t="n">
        <f aca="false">IF(AND(L144="",M144=""),"",(IF(ISNUMBER(L144),$C$3*L144,0)+IF(ISNUMBER(M144),$E$3*M144,0))/(IF(ISNUMBER(L144),$C$3,0)+IF(ISNUMBER(M144),$E$3,0)))</f>
        <v>0.56928667049149</v>
      </c>
      <c r="O144" s="12"/>
      <c r="P144" s="7" t="n">
        <f aca="false">IF(O144&lt;&gt;"","",COUNTIFS($A$6:$A$338,A144,$O$6:$O$338,"",$N$6:$N$338,"&gt;"&amp;N144)+COUNTIFS($A$6:A144,A144,$O$6:O144,"",$N$6:N144,N144))</f>
        <v>7</v>
      </c>
      <c r="Q144" s="12" t="str">
        <f aca="false">IF(P144="","Excluded",IF(P144&lt;=5,"Lead",IF(P144&lt;=10,"Next wave","Long list")))</f>
        <v>Next wave</v>
      </c>
      <c r="R144" s="10" t="s">
        <v>82</v>
      </c>
      <c r="S144" s="30" t="s">
        <v>341</v>
      </c>
    </row>
    <row r="145" customFormat="false" ht="23.85" hidden="false" customHeight="false" outlineLevel="0" collapsed="false">
      <c r="A145" s="12" t="s">
        <v>29</v>
      </c>
      <c r="B145" s="12" t="s">
        <v>170</v>
      </c>
      <c r="C145" s="10" t="s">
        <v>171</v>
      </c>
      <c r="D145" s="26" t="n">
        <v>69.18</v>
      </c>
      <c r="E145" s="12" t="s">
        <v>102</v>
      </c>
      <c r="F145" s="11" t="n">
        <v>2931.4</v>
      </c>
      <c r="G145" s="10" t="s">
        <v>144</v>
      </c>
      <c r="H145" s="7" t="n">
        <v>1</v>
      </c>
      <c r="I145" s="12" t="s">
        <v>97</v>
      </c>
      <c r="J145" s="12" t="s">
        <v>97</v>
      </c>
      <c r="K145" s="10"/>
      <c r="L145" s="9" t="n">
        <f aca="false">IF(ISNUMBER(D145),COUNTIF($D$6:$D$338,"&lt;"&amp;D145)/(COUNT($D$6:$D$338)-1),"")</f>
        <v>0.707936507936508</v>
      </c>
      <c r="M145" s="9" t="n">
        <f aca="false">IF(ISNUMBER(F145),COUNTIF($F$6:$F$338,"&lt;"&amp;F145)/(COUNT($F$6:$F$338)-1),"")</f>
        <v>0.394578313253012</v>
      </c>
      <c r="N145" s="9" t="n">
        <f aca="false">IF(AND(L145="",M145=""),"",(IF(ISNUMBER(L145),$C$3*L145,0)+IF(ISNUMBER(M145),$E$3*M145,0))/(IF(ISNUMBER(L145),$C$3,0)+IF(ISNUMBER(M145),$E$3,0)))</f>
        <v>0.55125741059476</v>
      </c>
      <c r="O145" s="12"/>
      <c r="P145" s="7" t="n">
        <f aca="false">IF(O145&lt;&gt;"","",COUNTIFS($A$6:$A$338,A145,$O$6:$O$338,"",$N$6:$N$338,"&gt;"&amp;N145)+COUNTIFS($A$6:A145,A145,$O$6:O145,"",$N$6:N145,N145))</f>
        <v>8</v>
      </c>
      <c r="Q145" s="12" t="str">
        <f aca="false">IF(P145="","Excluded",IF(P145&lt;=5,"Lead",IF(P145&lt;=10,"Next wave","Long list")))</f>
        <v>Next wave</v>
      </c>
      <c r="R145" s="10" t="s">
        <v>99</v>
      </c>
      <c r="S145" s="30" t="s">
        <v>429</v>
      </c>
    </row>
    <row r="146" customFormat="false" ht="23.85" hidden="false" customHeight="false" outlineLevel="0" collapsed="false">
      <c r="A146" s="12" t="s">
        <v>29</v>
      </c>
      <c r="B146" s="12" t="s">
        <v>180</v>
      </c>
      <c r="C146" s="10" t="s">
        <v>181</v>
      </c>
      <c r="D146" s="26" t="n">
        <v>6.08</v>
      </c>
      <c r="E146" s="12" t="s">
        <v>102</v>
      </c>
      <c r="F146" s="11" t="n">
        <v>35276.7</v>
      </c>
      <c r="G146" s="10" t="s">
        <v>176</v>
      </c>
      <c r="H146" s="7" t="n">
        <v>5</v>
      </c>
      <c r="I146" s="12" t="s">
        <v>79</v>
      </c>
      <c r="J146" s="12" t="s">
        <v>80</v>
      </c>
      <c r="K146" s="10" t="s">
        <v>111</v>
      </c>
      <c r="L146" s="9" t="n">
        <f aca="false">IF(ISNUMBER(D146),COUNTIF($D$6:$D$338,"&lt;"&amp;D146)/(COUNT($D$6:$D$338)-1),"")</f>
        <v>0.0666666666666667</v>
      </c>
      <c r="M146" s="9" t="n">
        <f aca="false">IF(ISNUMBER(F146),COUNTIF($F$6:$F$338,"&lt;"&amp;F146)/(COUNT($F$6:$F$338)-1),"")</f>
        <v>0.870481927710843</v>
      </c>
      <c r="N146" s="9" t="n">
        <f aca="false">IF(AND(L146="",M146=""),"",(IF(ISNUMBER(L146),$C$3*L146,0)+IF(ISNUMBER(M146),$E$3*M146,0))/(IF(ISNUMBER(L146),$C$3,0)+IF(ISNUMBER(M146),$E$3,0)))</f>
        <v>0.468574297188755</v>
      </c>
      <c r="O146" s="12"/>
      <c r="P146" s="7" t="n">
        <f aca="false">IF(O146&lt;&gt;"","",COUNTIFS($A$6:$A$338,A146,$O$6:$O$338,"",$N$6:$N$338,"&gt;"&amp;N146)+COUNTIFS($A$6:A146,A146,$O$6:O146,"",$N$6:N146,N146))</f>
        <v>9</v>
      </c>
      <c r="Q146" s="12" t="str">
        <f aca="false">IF(P146="","Excluded",IF(P146&lt;=5,"Lead",IF(P146&lt;=10,"Next wave","Long list")))</f>
        <v>Next wave</v>
      </c>
      <c r="R146" s="10" t="s">
        <v>82</v>
      </c>
      <c r="S146" s="30" t="s">
        <v>356</v>
      </c>
    </row>
    <row r="147" customFormat="false" ht="23.85" hidden="false" customHeight="false" outlineLevel="0" collapsed="false">
      <c r="A147" s="12" t="s">
        <v>29</v>
      </c>
      <c r="B147" s="12" t="s">
        <v>182</v>
      </c>
      <c r="C147" s="10" t="s">
        <v>183</v>
      </c>
      <c r="D147" s="26" t="n">
        <v>9.12</v>
      </c>
      <c r="E147" s="12" t="s">
        <v>102</v>
      </c>
      <c r="F147" s="11" t="n">
        <v>11544.4</v>
      </c>
      <c r="G147" s="10" t="s">
        <v>144</v>
      </c>
      <c r="H147" s="7" t="n">
        <v>1</v>
      </c>
      <c r="I147" s="12" t="s">
        <v>79</v>
      </c>
      <c r="J147" s="12" t="s">
        <v>127</v>
      </c>
      <c r="K147" s="10"/>
      <c r="L147" s="9" t="n">
        <f aca="false">IF(ISNUMBER(D147),COUNTIF($D$6:$D$338,"&lt;"&amp;D147)/(COUNT($D$6:$D$338)-1),"")</f>
        <v>0.2</v>
      </c>
      <c r="M147" s="9" t="n">
        <f aca="false">IF(ISNUMBER(F147),COUNTIF($F$6:$F$338,"&lt;"&amp;F147)/(COUNT($F$6:$F$338)-1),"")</f>
        <v>0.713855421686747</v>
      </c>
      <c r="N147" s="9" t="n">
        <f aca="false">IF(AND(L147="",M147=""),"",(IF(ISNUMBER(L147),$C$3*L147,0)+IF(ISNUMBER(M147),$E$3*M147,0))/(IF(ISNUMBER(L147),$C$3,0)+IF(ISNUMBER(M147),$E$3,0)))</f>
        <v>0.456927710843373</v>
      </c>
      <c r="O147" s="12"/>
      <c r="P147" s="7" t="n">
        <f aca="false">IF(O147&lt;&gt;"","",COUNTIFS($A$6:$A$338,A147,$O$6:$O$338,"",$N$6:$N$338,"&gt;"&amp;N147)+COUNTIFS($A$6:A147,A147,$O$6:O147,"",$N$6:N147,N147))</f>
        <v>10</v>
      </c>
      <c r="Q147" s="12" t="str">
        <f aca="false">IF(P147="","Excluded",IF(P147&lt;=5,"Lead",IF(P147&lt;=10,"Next wave","Long list")))</f>
        <v>Next wave</v>
      </c>
      <c r="R147" s="10" t="s">
        <v>105</v>
      </c>
      <c r="S147" s="30" t="s">
        <v>483</v>
      </c>
    </row>
    <row r="148" customFormat="false" ht="35.05" hidden="false" customHeight="false" outlineLevel="0" collapsed="false">
      <c r="A148" s="12" t="s">
        <v>29</v>
      </c>
      <c r="B148" s="12" t="s">
        <v>289</v>
      </c>
      <c r="C148" s="10" t="s">
        <v>290</v>
      </c>
      <c r="D148" s="26" t="n">
        <v>7.15</v>
      </c>
      <c r="E148" s="12" t="s">
        <v>102</v>
      </c>
      <c r="F148" s="11" t="n">
        <v>13045.6</v>
      </c>
      <c r="G148" s="10" t="s">
        <v>144</v>
      </c>
      <c r="H148" s="7" t="n">
        <v>1</v>
      </c>
      <c r="I148" s="12" t="s">
        <v>97</v>
      </c>
      <c r="J148" s="12" t="s">
        <v>86</v>
      </c>
      <c r="K148" s="10" t="s">
        <v>104</v>
      </c>
      <c r="L148" s="9" t="n">
        <f aca="false">IF(ISNUMBER(D148),COUNTIF($D$6:$D$338,"&lt;"&amp;D148)/(COUNT($D$6:$D$338)-1),"")</f>
        <v>0.133333333333333</v>
      </c>
      <c r="M148" s="9" t="n">
        <f aca="false">IF(ISNUMBER(F148),COUNTIF($F$6:$F$338,"&lt;"&amp;F148)/(COUNT($F$6:$F$338)-1),"")</f>
        <v>0.719879518072289</v>
      </c>
      <c r="N148" s="9" t="n">
        <f aca="false">IF(AND(L148="",M148=""),"",(IF(ISNUMBER(L148),$C$3*L148,0)+IF(ISNUMBER(M148),$E$3*M148,0))/(IF(ISNUMBER(L148),$C$3,0)+IF(ISNUMBER(M148),$E$3,0)))</f>
        <v>0.426606425702811</v>
      </c>
      <c r="O148" s="12"/>
      <c r="P148" s="7" t="n">
        <f aca="false">IF(O148&lt;&gt;"","",COUNTIFS($A$6:$A$338,A148,$O$6:$O$338,"",$N$6:$N$338,"&gt;"&amp;N148)+COUNTIFS($A$6:A148,A148,$O$6:O148,"",$N$6:N148,N148))</f>
        <v>11</v>
      </c>
      <c r="Q148" s="12" t="str">
        <f aca="false">IF(P148="","Excluded",IF(P148&lt;=5,"Lead",IF(P148&lt;=10,"Next wave","Long list")))</f>
        <v>Long list</v>
      </c>
      <c r="R148" s="10" t="s">
        <v>99</v>
      </c>
      <c r="S148" s="30" t="s">
        <v>306</v>
      </c>
    </row>
    <row r="149" customFormat="false" ht="23.85" hidden="false" customHeight="false" outlineLevel="0" collapsed="false">
      <c r="A149" s="12" t="s">
        <v>29</v>
      </c>
      <c r="B149" s="12" t="s">
        <v>240</v>
      </c>
      <c r="C149" s="10" t="s">
        <v>241</v>
      </c>
      <c r="D149" s="26" t="n">
        <v>6.17</v>
      </c>
      <c r="E149" s="12" t="s">
        <v>153</v>
      </c>
      <c r="F149" s="11" t="n">
        <v>20184.3</v>
      </c>
      <c r="G149" s="10" t="s">
        <v>96</v>
      </c>
      <c r="H149" s="7" t="n">
        <v>1</v>
      </c>
      <c r="I149" s="12" t="s">
        <v>79</v>
      </c>
      <c r="J149" s="12" t="s">
        <v>86</v>
      </c>
      <c r="K149" s="10"/>
      <c r="L149" s="9" t="n">
        <f aca="false">IF(ISNUMBER(D149),COUNTIF($D$6:$D$338,"&lt;"&amp;D149)/(COUNT($D$6:$D$338)-1),"")</f>
        <v>0.0761904761904762</v>
      </c>
      <c r="M149" s="9" t="n">
        <f aca="false">IF(ISNUMBER(F149),COUNTIF($F$6:$F$338,"&lt;"&amp;F149)/(COUNT($F$6:$F$338)-1),"")</f>
        <v>0.774096385542169</v>
      </c>
      <c r="N149" s="9" t="n">
        <f aca="false">IF(AND(L149="",M149=""),"",(IF(ISNUMBER(L149),$C$3*L149,0)+IF(ISNUMBER(M149),$E$3*M149,0))/(IF(ISNUMBER(L149),$C$3,0)+IF(ISNUMBER(M149),$E$3,0)))</f>
        <v>0.425143430866322</v>
      </c>
      <c r="O149" s="12"/>
      <c r="P149" s="7" t="n">
        <f aca="false">IF(O149&lt;&gt;"","",COUNTIFS($A$6:$A$338,A149,$O$6:$O$338,"",$N$6:$N$338,"&gt;"&amp;N149)+COUNTIFS($A$6:A149,A149,$O$6:O149,"",$N$6:N149,N149))</f>
        <v>12</v>
      </c>
      <c r="Q149" s="12" t="str">
        <f aca="false">IF(P149="","Excluded",IF(P149&lt;=5,"Lead",IF(P149&lt;=10,"Next wave","Long list")))</f>
        <v>Long list</v>
      </c>
      <c r="R149" s="10" t="s">
        <v>82</v>
      </c>
      <c r="S149" s="30" t="s">
        <v>484</v>
      </c>
    </row>
    <row r="150" customFormat="false" ht="23.85" hidden="false" customHeight="false" outlineLevel="0" collapsed="false">
      <c r="A150" s="12" t="s">
        <v>29</v>
      </c>
      <c r="B150" s="12" t="s">
        <v>485</v>
      </c>
      <c r="C150" s="10" t="s">
        <v>486</v>
      </c>
      <c r="D150" s="26" t="n">
        <v>30.23</v>
      </c>
      <c r="E150" s="12" t="s">
        <v>77</v>
      </c>
      <c r="F150" s="11" t="n">
        <v>1332.4</v>
      </c>
      <c r="G150" s="10" t="s">
        <v>323</v>
      </c>
      <c r="H150" s="7" t="n">
        <v>1</v>
      </c>
      <c r="I150" s="12" t="s">
        <v>79</v>
      </c>
      <c r="J150" s="12" t="s">
        <v>86</v>
      </c>
      <c r="K150" s="10"/>
      <c r="L150" s="9" t="n">
        <f aca="false">IF(ISNUMBER(D150),COUNTIF($D$6:$D$338,"&lt;"&amp;D150)/(COUNT($D$6:$D$338)-1),"")</f>
        <v>0.520634920634921</v>
      </c>
      <c r="M150" s="9" t="n">
        <f aca="false">IF(ISNUMBER(F150),COUNTIF($F$6:$F$338,"&lt;"&amp;F150)/(COUNT($F$6:$F$338)-1),"")</f>
        <v>0.183734939759036</v>
      </c>
      <c r="N150" s="9" t="n">
        <f aca="false">IF(AND(L150="",M150=""),"",(IF(ISNUMBER(L150),$C$3*L150,0)+IF(ISNUMBER(M150),$E$3*M150,0))/(IF(ISNUMBER(L150),$C$3,0)+IF(ISNUMBER(M150),$E$3,0)))</f>
        <v>0.352184930196978</v>
      </c>
      <c r="O150" s="12"/>
      <c r="P150" s="7" t="n">
        <f aca="false">IF(O150&lt;&gt;"","",COUNTIFS($A$6:$A$338,A150,$O$6:$O$338,"",$N$6:$N$338,"&gt;"&amp;N150)+COUNTIFS($A$6:A150,A150,$O$6:O150,"",$N$6:N150,N150))</f>
        <v>13</v>
      </c>
      <c r="Q150" s="12" t="str">
        <f aca="false">IF(P150="","Excluded",IF(P150&lt;=5,"Lead",IF(P150&lt;=10,"Next wave","Long list")))</f>
        <v>Long list</v>
      </c>
      <c r="R150" s="10" t="s">
        <v>105</v>
      </c>
      <c r="S150" s="30" t="s">
        <v>487</v>
      </c>
    </row>
    <row r="151" customFormat="false" ht="23.85" hidden="false" customHeight="false" outlineLevel="0" collapsed="false">
      <c r="A151" s="12" t="s">
        <v>29</v>
      </c>
      <c r="B151" s="12" t="s">
        <v>400</v>
      </c>
      <c r="C151" s="10" t="s">
        <v>401</v>
      </c>
      <c r="D151" s="26" t="n">
        <v>13.99</v>
      </c>
      <c r="E151" s="12" t="s">
        <v>77</v>
      </c>
      <c r="F151" s="11" t="n">
        <v>2802.1</v>
      </c>
      <c r="G151" s="10" t="s">
        <v>323</v>
      </c>
      <c r="H151" s="7" t="n">
        <v>1</v>
      </c>
      <c r="I151" s="12" t="s">
        <v>79</v>
      </c>
      <c r="J151" s="12" t="s">
        <v>86</v>
      </c>
      <c r="K151" s="10"/>
      <c r="L151" s="9" t="n">
        <f aca="false">IF(ISNUMBER(D151),COUNTIF($D$6:$D$338,"&lt;"&amp;D151)/(COUNT($D$6:$D$338)-1),"")</f>
        <v>0.323809523809524</v>
      </c>
      <c r="M151" s="9" t="n">
        <f aca="false">IF(ISNUMBER(F151),COUNTIF($F$6:$F$338,"&lt;"&amp;F151)/(COUNT($F$6:$F$338)-1),"")</f>
        <v>0.352409638554217</v>
      </c>
      <c r="N151" s="9" t="n">
        <f aca="false">IF(AND(L151="",M151=""),"",(IF(ISNUMBER(L151),$C$3*L151,0)+IF(ISNUMBER(M151),$E$3*M151,0))/(IF(ISNUMBER(L151),$C$3,0)+IF(ISNUMBER(M151),$E$3,0)))</f>
        <v>0.33810958118187</v>
      </c>
      <c r="O151" s="12"/>
      <c r="P151" s="7" t="n">
        <f aca="false">IF(O151&lt;&gt;"","",COUNTIFS($A$6:$A$338,A151,$O$6:$O$338,"",$N$6:$N$338,"&gt;"&amp;N151)+COUNTIFS($A$6:A151,A151,$O$6:O151,"",$N$6:N151,N151))</f>
        <v>14</v>
      </c>
      <c r="Q151" s="12" t="str">
        <f aca="false">IF(P151="","Excluded",IF(P151&lt;=5,"Lead",IF(P151&lt;=10,"Next wave","Long list")))</f>
        <v>Long list</v>
      </c>
      <c r="R151" s="10" t="s">
        <v>82</v>
      </c>
      <c r="S151" s="30" t="s">
        <v>402</v>
      </c>
    </row>
    <row r="152" customFormat="false" ht="23.85" hidden="false" customHeight="false" outlineLevel="0" collapsed="false">
      <c r="A152" s="12" t="s">
        <v>29</v>
      </c>
      <c r="B152" s="12" t="s">
        <v>221</v>
      </c>
      <c r="C152" s="10" t="s">
        <v>222</v>
      </c>
      <c r="D152" s="26" t="n">
        <v>38.92</v>
      </c>
      <c r="E152" s="12" t="s">
        <v>102</v>
      </c>
      <c r="F152" s="11" t="n">
        <v>21.8</v>
      </c>
      <c r="G152" s="10" t="s">
        <v>184</v>
      </c>
      <c r="H152" s="7" t="n">
        <v>5</v>
      </c>
      <c r="I152" s="12" t="s">
        <v>79</v>
      </c>
      <c r="J152" s="12" t="s">
        <v>86</v>
      </c>
      <c r="K152" s="10"/>
      <c r="L152" s="9" t="n">
        <f aca="false">IF(ISNUMBER(D152),COUNTIF($D$6:$D$338,"&lt;"&amp;D152)/(COUNT($D$6:$D$338)-1),"")</f>
        <v>0.587301587301587</v>
      </c>
      <c r="M152" s="9" t="n">
        <f aca="false">IF(ISNUMBER(F152),COUNTIF($F$6:$F$338,"&lt;"&amp;F152)/(COUNT($F$6:$F$338)-1),"")</f>
        <v>0.0120481927710843</v>
      </c>
      <c r="N152" s="9" t="n">
        <f aca="false">IF(AND(L152="",M152=""),"",(IF(ISNUMBER(L152),$C$3*L152,0)+IF(ISNUMBER(M152),$E$3*M152,0))/(IF(ISNUMBER(L152),$C$3,0)+IF(ISNUMBER(M152),$E$3,0)))</f>
        <v>0.299674890036336</v>
      </c>
      <c r="O152" s="12"/>
      <c r="P152" s="7" t="n">
        <f aca="false">IF(O152&lt;&gt;"","",COUNTIFS($A$6:$A$338,A152,$O$6:$O$338,"",$N$6:$N$338,"&gt;"&amp;N152)+COUNTIFS($A$6:A152,A152,$O$6:O152,"",$N$6:N152,N152))</f>
        <v>15</v>
      </c>
      <c r="Q152" s="12" t="str">
        <f aca="false">IF(P152="","Excluded",IF(P152&lt;=5,"Lead",IF(P152&lt;=10,"Next wave","Long list")))</f>
        <v>Long list</v>
      </c>
      <c r="R152" s="10" t="s">
        <v>82</v>
      </c>
      <c r="S152" s="30" t="s">
        <v>488</v>
      </c>
    </row>
    <row r="153" customFormat="false" ht="23.85" hidden="false" customHeight="false" outlineLevel="0" collapsed="false">
      <c r="A153" s="12" t="s">
        <v>29</v>
      </c>
      <c r="B153" s="12" t="s">
        <v>489</v>
      </c>
      <c r="C153" s="10" t="s">
        <v>490</v>
      </c>
      <c r="D153" s="26" t="n">
        <v>6.53</v>
      </c>
      <c r="E153" s="12" t="s">
        <v>102</v>
      </c>
      <c r="F153" s="11" t="n">
        <v>3633.3</v>
      </c>
      <c r="G153" s="10" t="s">
        <v>144</v>
      </c>
      <c r="H153" s="7" t="n">
        <v>1</v>
      </c>
      <c r="I153" s="12" t="s">
        <v>79</v>
      </c>
      <c r="J153" s="12" t="s">
        <v>86</v>
      </c>
      <c r="K153" s="10"/>
      <c r="L153" s="9" t="n">
        <f aca="false">IF(ISNUMBER(D153),COUNTIF($D$6:$D$338,"&lt;"&amp;D153)/(COUNT($D$6:$D$338)-1),"")</f>
        <v>0.101587301587302</v>
      </c>
      <c r="M153" s="9" t="n">
        <f aca="false">IF(ISNUMBER(F153),COUNTIF($F$6:$F$338,"&lt;"&amp;F153)/(COUNT($F$6:$F$338)-1),"")</f>
        <v>0.469879518072289</v>
      </c>
      <c r="N153" s="9" t="n">
        <f aca="false">IF(AND(L153="",M153=""),"",(IF(ISNUMBER(L153),$C$3*L153,0)+IF(ISNUMBER(M153),$E$3*M153,0))/(IF(ISNUMBER(L153),$C$3,0)+IF(ISNUMBER(M153),$E$3,0)))</f>
        <v>0.285733409829795</v>
      </c>
      <c r="O153" s="12"/>
      <c r="P153" s="7" t="n">
        <f aca="false">IF(O153&lt;&gt;"","",COUNTIFS($A$6:$A$338,A153,$O$6:$O$338,"",$N$6:$N$338,"&gt;"&amp;N153)+COUNTIFS($A$6:A153,A153,$O$6:O153,"",$N$6:N153,N153))</f>
        <v>16</v>
      </c>
      <c r="Q153" s="12" t="str">
        <f aca="false">IF(P153="","Excluded",IF(P153&lt;=5,"Lead",IF(P153&lt;=10,"Next wave","Long list")))</f>
        <v>Long list</v>
      </c>
      <c r="R153" s="10" t="s">
        <v>105</v>
      </c>
      <c r="S153" s="30" t="s">
        <v>491</v>
      </c>
    </row>
    <row r="154" customFormat="false" ht="23.85" hidden="false" customHeight="false" outlineLevel="0" collapsed="false">
      <c r="A154" s="12" t="s">
        <v>29</v>
      </c>
      <c r="B154" s="12" t="s">
        <v>223</v>
      </c>
      <c r="C154" s="10" t="s">
        <v>224</v>
      </c>
      <c r="D154" s="26" t="n">
        <v>14.96</v>
      </c>
      <c r="E154" s="12" t="s">
        <v>102</v>
      </c>
      <c r="F154" s="11" t="n">
        <v>1352.6</v>
      </c>
      <c r="G154" s="10" t="s">
        <v>144</v>
      </c>
      <c r="H154" s="7" t="n">
        <v>1</v>
      </c>
      <c r="I154" s="12" t="s">
        <v>79</v>
      </c>
      <c r="J154" s="12" t="s">
        <v>86</v>
      </c>
      <c r="K154" s="10"/>
      <c r="L154" s="9" t="n">
        <f aca="false">IF(ISNUMBER(D154),COUNTIF($D$6:$D$338,"&lt;"&amp;D154)/(COUNT($D$6:$D$338)-1),"")</f>
        <v>0.333333333333333</v>
      </c>
      <c r="M154" s="9" t="n">
        <f aca="false">IF(ISNUMBER(F154),COUNTIF($F$6:$F$338,"&lt;"&amp;F154)/(COUNT($F$6:$F$338)-1),"")</f>
        <v>0.189759036144578</v>
      </c>
      <c r="N154" s="9" t="n">
        <f aca="false">IF(AND(L154="",M154=""),"",(IF(ISNUMBER(L154),$C$3*L154,0)+IF(ISNUMBER(M154),$E$3*M154,0))/(IF(ISNUMBER(L154),$C$3,0)+IF(ISNUMBER(M154),$E$3,0)))</f>
        <v>0.261546184738956</v>
      </c>
      <c r="O154" s="12"/>
      <c r="P154" s="7" t="n">
        <f aca="false">IF(O154&lt;&gt;"","",COUNTIFS($A$6:$A$338,A154,$O$6:$O$338,"",$N$6:$N$338,"&gt;"&amp;N154)+COUNTIFS($A$6:A154,A154,$O$6:O154,"",$N$6:N154,N154))</f>
        <v>17</v>
      </c>
      <c r="Q154" s="12" t="str">
        <f aca="false">IF(P154="","Excluded",IF(P154&lt;=5,"Lead",IF(P154&lt;=10,"Next wave","Long list")))</f>
        <v>Long list</v>
      </c>
      <c r="R154" s="10" t="s">
        <v>82</v>
      </c>
      <c r="S154" s="30" t="s">
        <v>407</v>
      </c>
    </row>
    <row r="155" customFormat="false" ht="23.85" hidden="false" customHeight="false" outlineLevel="0" collapsed="false">
      <c r="A155" s="12" t="s">
        <v>29</v>
      </c>
      <c r="B155" s="12" t="s">
        <v>265</v>
      </c>
      <c r="C155" s="10" t="s">
        <v>266</v>
      </c>
      <c r="D155" s="26" t="n">
        <v>5.56</v>
      </c>
      <c r="E155" s="12" t="s">
        <v>102</v>
      </c>
      <c r="F155" s="11" t="n">
        <v>3067.4</v>
      </c>
      <c r="G155" s="10" t="s">
        <v>144</v>
      </c>
      <c r="H155" s="7" t="n">
        <v>1</v>
      </c>
      <c r="I155" s="12" t="s">
        <v>79</v>
      </c>
      <c r="J155" s="12" t="s">
        <v>86</v>
      </c>
      <c r="K155" s="10"/>
      <c r="L155" s="9" t="n">
        <f aca="false">IF(ISNUMBER(D155),COUNTIF($D$6:$D$338,"&lt;"&amp;D155)/(COUNT($D$6:$D$338)-1),"")</f>
        <v>0.0476190476190476</v>
      </c>
      <c r="M155" s="9" t="n">
        <f aca="false">IF(ISNUMBER(F155),COUNTIF($F$6:$F$338,"&lt;"&amp;F155)/(COUNT($F$6:$F$338)-1),"")</f>
        <v>0.418674698795181</v>
      </c>
      <c r="N155" s="9" t="n">
        <f aca="false">IF(AND(L155="",M155=""),"",(IF(ISNUMBER(L155),$C$3*L155,0)+IF(ISNUMBER(M155),$E$3*M155,0))/(IF(ISNUMBER(L155),$C$3,0)+IF(ISNUMBER(M155),$E$3,0)))</f>
        <v>0.233146873207114</v>
      </c>
      <c r="O155" s="12"/>
      <c r="P155" s="7" t="n">
        <f aca="false">IF(O155&lt;&gt;"","",COUNTIFS($A$6:$A$338,A155,$O$6:$O$338,"",$N$6:$N$338,"&gt;"&amp;N155)+COUNTIFS($A$6:A155,A155,$O$6:O155,"",$N$6:N155,N155))</f>
        <v>18</v>
      </c>
      <c r="Q155" s="12" t="str">
        <f aca="false">IF(P155="","Excluded",IF(P155&lt;=5,"Lead",IF(P155&lt;=10,"Next wave","Long list")))</f>
        <v>Long list</v>
      </c>
      <c r="R155" s="10" t="s">
        <v>82</v>
      </c>
      <c r="S155" s="30" t="s">
        <v>454</v>
      </c>
    </row>
    <row r="156" customFormat="false" ht="23.85" hidden="false" customHeight="false" outlineLevel="0" collapsed="false">
      <c r="A156" s="12" t="s">
        <v>29</v>
      </c>
      <c r="B156" s="12" t="s">
        <v>466</v>
      </c>
      <c r="C156" s="10" t="s">
        <v>467</v>
      </c>
      <c r="D156" s="26"/>
      <c r="E156" s="12" t="s">
        <v>102</v>
      </c>
      <c r="F156" s="11" t="n">
        <v>54624.8</v>
      </c>
      <c r="G156" s="10" t="s">
        <v>144</v>
      </c>
      <c r="H156" s="7" t="n">
        <v>1</v>
      </c>
      <c r="I156" s="12" t="s">
        <v>97</v>
      </c>
      <c r="J156" s="12" t="s">
        <v>97</v>
      </c>
      <c r="K156" s="10"/>
      <c r="L156" s="9" t="str">
        <f aca="false">IF(ISNUMBER(D156),COUNTIF($D$6:$D$338,"&lt;"&amp;D156)/(COUNT($D$6:$D$338)-1),"")</f>
        <v/>
      </c>
      <c r="M156" s="9" t="n">
        <f aca="false">IF(ISNUMBER(F156),COUNTIF($F$6:$F$338,"&lt;"&amp;F156)/(COUNT($F$6:$F$338)-1),"")</f>
        <v>0.930722891566265</v>
      </c>
      <c r="N156" s="9" t="n">
        <f aca="false">IF(AND(L156="",M156=""),"",(IF(ISNUMBER(L156),$C$3*L156,0)+IF(ISNUMBER(M156),$E$3*M156,0))/(IF(ISNUMBER(L156),$C$3,0)+IF(ISNUMBER(M156),$E$3,0)))</f>
        <v>0.930722891566265</v>
      </c>
      <c r="O156" s="12" t="s">
        <v>310</v>
      </c>
      <c r="P156" s="7" t="str">
        <f aca="false">IF(O156&lt;&gt;"","",COUNTIFS($A$6:$A$338,A156,$O$6:$O$338,"",$N$6:$N$338,"&gt;"&amp;N156)+COUNTIFS($A$6:A156,A156,$O$6:O156,"",$N$6:N156,N156))</f>
        <v/>
      </c>
      <c r="Q156" s="12" t="str">
        <f aca="false">IF(P156="","Excluded",IF(P156&lt;=5,"Lead",IF(P156&lt;=10,"Next wave","Long list")))</f>
        <v>Excluded</v>
      </c>
      <c r="R156" s="10" t="s">
        <v>99</v>
      </c>
      <c r="S156" s="30" t="s">
        <v>468</v>
      </c>
    </row>
    <row r="157" customFormat="false" ht="23.85" hidden="false" customHeight="false" outlineLevel="0" collapsed="false">
      <c r="A157" s="12" t="s">
        <v>29</v>
      </c>
      <c r="B157" s="12" t="s">
        <v>492</v>
      </c>
      <c r="C157" s="10" t="s">
        <v>493</v>
      </c>
      <c r="D157" s="26"/>
      <c r="E157" s="12" t="s">
        <v>102</v>
      </c>
      <c r="F157" s="11" t="n">
        <v>18596.2</v>
      </c>
      <c r="G157" s="10" t="s">
        <v>144</v>
      </c>
      <c r="H157" s="7" t="n">
        <v>1</v>
      </c>
      <c r="I157" s="12" t="s">
        <v>79</v>
      </c>
      <c r="J157" s="12" t="s">
        <v>127</v>
      </c>
      <c r="K157" s="10"/>
      <c r="L157" s="9" t="str">
        <f aca="false">IF(ISNUMBER(D157),COUNTIF($D$6:$D$338,"&lt;"&amp;D157)/(COUNT($D$6:$D$338)-1),"")</f>
        <v/>
      </c>
      <c r="M157" s="9" t="n">
        <f aca="false">IF(ISNUMBER(F157),COUNTIF($F$6:$F$338,"&lt;"&amp;F157)/(COUNT($F$6:$F$338)-1),"")</f>
        <v>0.768072289156627</v>
      </c>
      <c r="N157" s="9" t="n">
        <f aca="false">IF(AND(L157="",M157=""),"",(IF(ISNUMBER(L157),$C$3*L157,0)+IF(ISNUMBER(M157),$E$3*M157,0))/(IF(ISNUMBER(L157),$C$3,0)+IF(ISNUMBER(M157),$E$3,0)))</f>
        <v>0.768072289156627</v>
      </c>
      <c r="O157" s="12" t="s">
        <v>310</v>
      </c>
      <c r="P157" s="7" t="str">
        <f aca="false">IF(O157&lt;&gt;"","",COUNTIFS($A$6:$A$338,A157,$O$6:$O$338,"",$N$6:$N$338,"&gt;"&amp;N157)+COUNTIFS($A$6:A157,A157,$O$6:O157,"",$N$6:N157,N157))</f>
        <v/>
      </c>
      <c r="Q157" s="12" t="str">
        <f aca="false">IF(P157="","Excluded",IF(P157&lt;=5,"Lead",IF(P157&lt;=10,"Next wave","Long list")))</f>
        <v>Excluded</v>
      </c>
      <c r="R157" s="10" t="s">
        <v>105</v>
      </c>
      <c r="S157" s="30" t="s">
        <v>494</v>
      </c>
    </row>
    <row r="158" customFormat="false" ht="23.85" hidden="false" customHeight="false" outlineLevel="0" collapsed="false">
      <c r="A158" s="12" t="s">
        <v>29</v>
      </c>
      <c r="B158" s="12" t="s">
        <v>261</v>
      </c>
      <c r="C158" s="10" t="s">
        <v>262</v>
      </c>
      <c r="D158" s="26"/>
      <c r="E158" s="12" t="s">
        <v>102</v>
      </c>
      <c r="F158" s="11" t="n">
        <v>2476.9</v>
      </c>
      <c r="G158" s="10" t="s">
        <v>144</v>
      </c>
      <c r="H158" s="7" t="n">
        <v>1</v>
      </c>
      <c r="I158" s="12" t="s">
        <v>97</v>
      </c>
      <c r="J158" s="12" t="s">
        <v>97</v>
      </c>
      <c r="K158" s="10"/>
      <c r="L158" s="9" t="str">
        <f aca="false">IF(ISNUMBER(D158),COUNTIF($D$6:$D$338,"&lt;"&amp;D158)/(COUNT($D$6:$D$338)-1),"")</f>
        <v/>
      </c>
      <c r="M158" s="9" t="n">
        <f aca="false">IF(ISNUMBER(F158),COUNTIF($F$6:$F$338,"&lt;"&amp;F158)/(COUNT($F$6:$F$338)-1),"")</f>
        <v>0.295180722891566</v>
      </c>
      <c r="N158" s="9" t="n">
        <f aca="false">IF(AND(L158="",M158=""),"",(IF(ISNUMBER(L158),$C$3*L158,0)+IF(ISNUMBER(M158),$E$3*M158,0))/(IF(ISNUMBER(L158),$C$3,0)+IF(ISNUMBER(M158),$E$3,0)))</f>
        <v>0.295180722891566</v>
      </c>
      <c r="O158" s="12" t="s">
        <v>310</v>
      </c>
      <c r="P158" s="7" t="str">
        <f aca="false">IF(O158&lt;&gt;"","",COUNTIFS($A$6:$A$338,A158,$O$6:$O$338,"",$N$6:$N$338,"&gt;"&amp;N158)+COUNTIFS($A$6:A158,A158,$O$6:O158,"",$N$6:N158,N158))</f>
        <v/>
      </c>
      <c r="Q158" s="12" t="str">
        <f aca="false">IF(P158="","Excluded",IF(P158&lt;=5,"Lead",IF(P158&lt;=10,"Next wave","Long list")))</f>
        <v>Excluded</v>
      </c>
      <c r="R158" s="10" t="s">
        <v>99</v>
      </c>
      <c r="S158" s="30" t="s">
        <v>393</v>
      </c>
    </row>
    <row r="159" customFormat="false" ht="23.85" hidden="false" customHeight="false" outlineLevel="0" collapsed="false">
      <c r="A159" s="12" t="s">
        <v>29</v>
      </c>
      <c r="B159" s="12" t="s">
        <v>235</v>
      </c>
      <c r="C159" s="10" t="s">
        <v>236</v>
      </c>
      <c r="D159" s="26"/>
      <c r="E159" s="12" t="s">
        <v>102</v>
      </c>
      <c r="F159" s="11" t="n">
        <v>2405.4</v>
      </c>
      <c r="G159" s="10" t="s">
        <v>144</v>
      </c>
      <c r="H159" s="7" t="n">
        <v>1</v>
      </c>
      <c r="I159" s="12" t="s">
        <v>97</v>
      </c>
      <c r="J159" s="12" t="s">
        <v>97</v>
      </c>
      <c r="K159" s="10"/>
      <c r="L159" s="9" t="str">
        <f aca="false">IF(ISNUMBER(D159),COUNTIF($D$6:$D$338,"&lt;"&amp;D159)/(COUNT($D$6:$D$338)-1),"")</f>
        <v/>
      </c>
      <c r="M159" s="9" t="n">
        <f aca="false">IF(ISNUMBER(F159),COUNTIF($F$6:$F$338,"&lt;"&amp;F159)/(COUNT($F$6:$F$338)-1),"")</f>
        <v>0.283132530120482</v>
      </c>
      <c r="N159" s="9" t="n">
        <f aca="false">IF(AND(L159="",M159=""),"",(IF(ISNUMBER(L159),$C$3*L159,0)+IF(ISNUMBER(M159),$E$3*M159,0))/(IF(ISNUMBER(L159),$C$3,0)+IF(ISNUMBER(M159),$E$3,0)))</f>
        <v>0.283132530120482</v>
      </c>
      <c r="O159" s="12" t="s">
        <v>310</v>
      </c>
      <c r="P159" s="7" t="str">
        <f aca="false">IF(O159&lt;&gt;"","",COUNTIFS($A$6:$A$338,A159,$O$6:$O$338,"",$N$6:$N$338,"&gt;"&amp;N159)+COUNTIFS($A$6:A159,A159,$O$6:O159,"",$N$6:N159,N159))</f>
        <v/>
      </c>
      <c r="Q159" s="12" t="str">
        <f aca="false">IF(P159="","Excluded",IF(P159&lt;=5,"Lead",IF(P159&lt;=10,"Next wave","Long list")))</f>
        <v>Excluded</v>
      </c>
      <c r="R159" s="10" t="s">
        <v>99</v>
      </c>
      <c r="S159" s="30" t="s">
        <v>495</v>
      </c>
    </row>
    <row r="160" customFormat="false" ht="23.85" hidden="false" customHeight="false" outlineLevel="0" collapsed="false">
      <c r="A160" s="12" t="s">
        <v>19</v>
      </c>
      <c r="B160" s="12" t="s">
        <v>75</v>
      </c>
      <c r="C160" s="10" t="s">
        <v>76</v>
      </c>
      <c r="D160" s="26" t="n">
        <v>256.12</v>
      </c>
      <c r="E160" s="12" t="s">
        <v>77</v>
      </c>
      <c r="F160" s="11" t="n">
        <v>42181.7</v>
      </c>
      <c r="G160" s="10" t="s">
        <v>78</v>
      </c>
      <c r="H160" s="7" t="n">
        <v>32</v>
      </c>
      <c r="I160" s="12" t="s">
        <v>79</v>
      </c>
      <c r="J160" s="12" t="s">
        <v>80</v>
      </c>
      <c r="K160" s="10" t="s">
        <v>81</v>
      </c>
      <c r="L160" s="9" t="n">
        <f aca="false">IF(ISNUMBER(D160),COUNTIF($D$6:$D$338,"&lt;"&amp;D160)/(COUNT($D$6:$D$338)-1),"")</f>
        <v>0.879365079365079</v>
      </c>
      <c r="M160" s="9" t="n">
        <f aca="false">IF(ISNUMBER(F160),COUNTIF($F$6:$F$338,"&lt;"&amp;F160)/(COUNT($F$6:$F$338)-1),"")</f>
        <v>0.897590361445783</v>
      </c>
      <c r="N160" s="9" t="n">
        <f aca="false">IF(AND(L160="",M160=""),"",(IF(ISNUMBER(L160),$C$3*L160,0)+IF(ISNUMBER(M160),$E$3*M160,0))/(IF(ISNUMBER(L160),$C$3,0)+IF(ISNUMBER(M160),$E$3,0)))</f>
        <v>0.888477720405431</v>
      </c>
      <c r="O160" s="12"/>
      <c r="P160" s="7" t="n">
        <f aca="false">IF(O160&lt;&gt;"","",COUNTIFS($A$6:$A$338,A160,$O$6:$O$338,"",$N$6:$N$338,"&gt;"&amp;N160)+COUNTIFS($A$6:A160,A160,$O$6:O160,"",$N$6:N160,N160))</f>
        <v>1</v>
      </c>
      <c r="Q160" s="12" t="str">
        <f aca="false">IF(P160="","Excluded",IF(P160&lt;=5,"Lead",IF(P160&lt;=10,"Next wave","Long list")))</f>
        <v>Lead</v>
      </c>
      <c r="R160" s="10" t="s">
        <v>82</v>
      </c>
      <c r="S160" s="30" t="s">
        <v>315</v>
      </c>
    </row>
    <row r="161" customFormat="false" ht="23.85" hidden="false" customHeight="false" outlineLevel="0" collapsed="false">
      <c r="A161" s="12" t="s">
        <v>19</v>
      </c>
      <c r="B161" s="12" t="s">
        <v>83</v>
      </c>
      <c r="C161" s="10" t="s">
        <v>84</v>
      </c>
      <c r="D161" s="26" t="n">
        <v>907.38</v>
      </c>
      <c r="E161" s="12" t="s">
        <v>77</v>
      </c>
      <c r="F161" s="11" t="n">
        <v>22036.1</v>
      </c>
      <c r="G161" s="10" t="s">
        <v>78</v>
      </c>
      <c r="H161" s="7" t="n">
        <v>31</v>
      </c>
      <c r="I161" s="12" t="s">
        <v>85</v>
      </c>
      <c r="J161" s="12" t="s">
        <v>86</v>
      </c>
      <c r="K161" s="10" t="s">
        <v>87</v>
      </c>
      <c r="L161" s="9" t="n">
        <f aca="false">IF(ISNUMBER(D161),COUNTIF($D$6:$D$338,"&lt;"&amp;D161)/(COUNT($D$6:$D$338)-1),"")</f>
        <v>0.971428571428571</v>
      </c>
      <c r="M161" s="9" t="n">
        <f aca="false">IF(ISNUMBER(F161),COUNTIF($F$6:$F$338,"&lt;"&amp;F161)/(COUNT($F$6:$F$338)-1),"")</f>
        <v>0.783132530120482</v>
      </c>
      <c r="N161" s="9" t="n">
        <f aca="false">IF(AND(L161="",M161=""),"",(IF(ISNUMBER(L161),$C$3*L161,0)+IF(ISNUMBER(M161),$E$3*M161,0))/(IF(ISNUMBER(L161),$C$3,0)+IF(ISNUMBER(M161),$E$3,0)))</f>
        <v>0.877280550774527</v>
      </c>
      <c r="O161" s="12"/>
      <c r="P161" s="7" t="n">
        <f aca="false">IF(O161&lt;&gt;"","",COUNTIFS($A$6:$A$338,A161,$O$6:$O$338,"",$N$6:$N$338,"&gt;"&amp;N161)+COUNTIFS($A$6:A161,A161,$O$6:O161,"",$N$6:N161,N161))</f>
        <v>2</v>
      </c>
      <c r="Q161" s="12" t="str">
        <f aca="false">IF(P161="","Excluded",IF(P161&lt;=5,"Lead",IF(P161&lt;=10,"Next wave","Long list")))</f>
        <v>Lead</v>
      </c>
      <c r="R161" s="10" t="s">
        <v>88</v>
      </c>
      <c r="S161" s="30" t="s">
        <v>496</v>
      </c>
    </row>
    <row r="162" customFormat="false" ht="23.85" hidden="false" customHeight="false" outlineLevel="0" collapsed="false">
      <c r="A162" s="12" t="s">
        <v>19</v>
      </c>
      <c r="B162" s="12" t="s">
        <v>89</v>
      </c>
      <c r="C162" s="10" t="s">
        <v>90</v>
      </c>
      <c r="D162" s="26" t="n">
        <v>569.27</v>
      </c>
      <c r="E162" s="12" t="s">
        <v>77</v>
      </c>
      <c r="F162" s="11" t="n">
        <v>28093.4</v>
      </c>
      <c r="G162" s="10" t="s">
        <v>91</v>
      </c>
      <c r="H162" s="7" t="n">
        <v>34</v>
      </c>
      <c r="I162" s="12" t="s">
        <v>92</v>
      </c>
      <c r="J162" s="12" t="s">
        <v>86</v>
      </c>
      <c r="K162" s="10" t="s">
        <v>81</v>
      </c>
      <c r="L162" s="9" t="n">
        <f aca="false">IF(ISNUMBER(D162),COUNTIF($D$6:$D$338,"&lt;"&amp;D162)/(COUNT($D$6:$D$338)-1),"")</f>
        <v>0.952380952380952</v>
      </c>
      <c r="M162" s="9" t="n">
        <f aca="false">IF(ISNUMBER(F162),COUNTIF($F$6:$F$338,"&lt;"&amp;F162)/(COUNT($F$6:$F$338)-1),"")</f>
        <v>0.792168674698795</v>
      </c>
      <c r="N162" s="9" t="n">
        <f aca="false">IF(AND(L162="",M162=""),"",(IF(ISNUMBER(L162),$C$3*L162,0)+IF(ISNUMBER(M162),$E$3*M162,0))/(IF(ISNUMBER(L162),$C$3,0)+IF(ISNUMBER(M162),$E$3,0)))</f>
        <v>0.872274813539874</v>
      </c>
      <c r="O162" s="12"/>
      <c r="P162" s="7" t="n">
        <f aca="false">IF(O162&lt;&gt;"","",COUNTIFS($A$6:$A$338,A162,$O$6:$O$338,"",$N$6:$N$338,"&gt;"&amp;N162)+COUNTIFS($A$6:A162,A162,$O$6:O162,"",$N$6:N162,N162))</f>
        <v>3</v>
      </c>
      <c r="Q162" s="12" t="str">
        <f aca="false">IF(P162="","Excluded",IF(P162&lt;=5,"Lead",IF(P162&lt;=10,"Next wave","Long list")))</f>
        <v>Lead</v>
      </c>
      <c r="R162" s="10" t="s">
        <v>82</v>
      </c>
      <c r="S162" s="30" t="s">
        <v>316</v>
      </c>
    </row>
    <row r="163" customFormat="false" ht="23.85" hidden="false" customHeight="false" outlineLevel="0" collapsed="false">
      <c r="A163" s="12" t="s">
        <v>19</v>
      </c>
      <c r="B163" s="12" t="s">
        <v>93</v>
      </c>
      <c r="C163" s="10" t="s">
        <v>94</v>
      </c>
      <c r="D163" s="26"/>
      <c r="E163" s="12" t="s">
        <v>95</v>
      </c>
      <c r="F163" s="11" t="n">
        <v>33794.9</v>
      </c>
      <c r="G163" s="10" t="s">
        <v>96</v>
      </c>
      <c r="H163" s="7" t="n">
        <v>2</v>
      </c>
      <c r="I163" s="12" t="s">
        <v>97</v>
      </c>
      <c r="J163" s="12" t="s">
        <v>97</v>
      </c>
      <c r="K163" s="10" t="s">
        <v>98</v>
      </c>
      <c r="L163" s="9" t="str">
        <f aca="false">IF(ISNUMBER(D163),COUNTIF($D$6:$D$338,"&lt;"&amp;D163)/(COUNT($D$6:$D$338)-1),"")</f>
        <v/>
      </c>
      <c r="M163" s="9" t="n">
        <f aca="false">IF(ISNUMBER(F163),COUNTIF($F$6:$F$338,"&lt;"&amp;F163)/(COUNT($F$6:$F$338)-1),"")</f>
        <v>0.86144578313253</v>
      </c>
      <c r="N163" s="9" t="n">
        <f aca="false">IF(AND(L163="",M163=""),"",(IF(ISNUMBER(L163),$C$3*L163,0)+IF(ISNUMBER(M163),$E$3*M163,0))/(IF(ISNUMBER(L163),$C$3,0)+IF(ISNUMBER(M163),$E$3,0)))</f>
        <v>0.86144578313253</v>
      </c>
      <c r="O163" s="12"/>
      <c r="P163" s="7" t="n">
        <f aca="false">IF(O163&lt;&gt;"","",COUNTIFS($A$6:$A$338,A163,$O$6:$O$338,"",$N$6:$N$338,"&gt;"&amp;N163)+COUNTIFS($A$6:A163,A163,$O$6:O163,"",$N$6:N163,N163))</f>
        <v>4</v>
      </c>
      <c r="Q163" s="12" t="str">
        <f aca="false">IF(P163="","Excluded",IF(P163&lt;=5,"Lead",IF(P163&lt;=10,"Next wave","Long list")))</f>
        <v>Lead</v>
      </c>
      <c r="R163" s="10" t="s">
        <v>99</v>
      </c>
      <c r="S163" s="30" t="s">
        <v>497</v>
      </c>
    </row>
    <row r="164" customFormat="false" ht="23.85" hidden="false" customHeight="false" outlineLevel="0" collapsed="false">
      <c r="A164" s="12" t="s">
        <v>19</v>
      </c>
      <c r="B164" s="12" t="s">
        <v>100</v>
      </c>
      <c r="C164" s="10" t="s">
        <v>101</v>
      </c>
      <c r="D164" s="26" t="n">
        <v>261.8</v>
      </c>
      <c r="E164" s="12" t="s">
        <v>102</v>
      </c>
      <c r="F164" s="11" t="n">
        <v>26948.8</v>
      </c>
      <c r="G164" s="10" t="s">
        <v>103</v>
      </c>
      <c r="H164" s="7" t="n">
        <v>32</v>
      </c>
      <c r="I164" s="12" t="s">
        <v>79</v>
      </c>
      <c r="J164" s="12" t="s">
        <v>86</v>
      </c>
      <c r="K164" s="10" t="s">
        <v>104</v>
      </c>
      <c r="L164" s="9" t="n">
        <f aca="false">IF(ISNUMBER(D164),COUNTIF($D$6:$D$338,"&lt;"&amp;D164)/(COUNT($D$6:$D$338)-1),"")</f>
        <v>0.888888888888889</v>
      </c>
      <c r="M164" s="9" t="n">
        <f aca="false">IF(ISNUMBER(F164),COUNTIF($F$6:$F$338,"&lt;"&amp;F164)/(COUNT($F$6:$F$338)-1),"")</f>
        <v>0.789156626506024</v>
      </c>
      <c r="N164" s="9" t="n">
        <f aca="false">IF(AND(L164="",M164=""),"",(IF(ISNUMBER(L164),$C$3*L164,0)+IF(ISNUMBER(M164),$E$3*M164,0))/(IF(ISNUMBER(L164),$C$3,0)+IF(ISNUMBER(M164),$E$3,0)))</f>
        <v>0.839022757697457</v>
      </c>
      <c r="O164" s="12"/>
      <c r="P164" s="7" t="n">
        <f aca="false">IF(O164&lt;&gt;"","",COUNTIFS($A$6:$A$338,A164,$O$6:$O$338,"",$N$6:$N$338,"&gt;"&amp;N164)+COUNTIFS($A$6:A164,A164,$O$6:O164,"",$N$6:N164,N164))</f>
        <v>5</v>
      </c>
      <c r="Q164" s="12" t="str">
        <f aca="false">IF(P164="","Excluded",IF(P164&lt;=5,"Lead",IF(P164&lt;=10,"Next wave","Long list")))</f>
        <v>Lead</v>
      </c>
      <c r="R164" s="10" t="s">
        <v>105</v>
      </c>
      <c r="S164" s="30" t="s">
        <v>498</v>
      </c>
    </row>
    <row r="165" customFormat="false" ht="23.85" hidden="false" customHeight="false" outlineLevel="0" collapsed="false">
      <c r="A165" s="12" t="s">
        <v>19</v>
      </c>
      <c r="B165" s="12" t="s">
        <v>107</v>
      </c>
      <c r="C165" s="10" t="s">
        <v>108</v>
      </c>
      <c r="D165" s="26" t="n">
        <v>66.76</v>
      </c>
      <c r="E165" s="12" t="s">
        <v>77</v>
      </c>
      <c r="F165" s="11" t="n">
        <v>59827.2</v>
      </c>
      <c r="G165" s="10" t="s">
        <v>109</v>
      </c>
      <c r="H165" s="7" t="n">
        <v>21</v>
      </c>
      <c r="I165" s="12" t="s">
        <v>79</v>
      </c>
      <c r="J165" s="12" t="s">
        <v>110</v>
      </c>
      <c r="K165" s="10" t="s">
        <v>111</v>
      </c>
      <c r="L165" s="9" t="n">
        <f aca="false">IF(ISNUMBER(D165),COUNTIF($D$6:$D$338,"&lt;"&amp;D165)/(COUNT($D$6:$D$338)-1),"")</f>
        <v>0.701587301587302</v>
      </c>
      <c r="M165" s="9" t="n">
        <f aca="false">IF(ISNUMBER(F165),COUNTIF($F$6:$F$338,"&lt;"&amp;F165)/(COUNT($F$6:$F$338)-1),"")</f>
        <v>0.957831325301205</v>
      </c>
      <c r="N165" s="9" t="n">
        <f aca="false">IF(AND(L165="",M165=""),"",(IF(ISNUMBER(L165),$C$3*L165,0)+IF(ISNUMBER(M165),$E$3*M165,0))/(IF(ISNUMBER(L165),$C$3,0)+IF(ISNUMBER(M165),$E$3,0)))</f>
        <v>0.829709313444253</v>
      </c>
      <c r="O165" s="12"/>
      <c r="P165" s="7" t="n">
        <f aca="false">IF(O165&lt;&gt;"","",COUNTIFS($A$6:$A$338,A165,$O$6:$O$338,"",$N$6:$N$338,"&gt;"&amp;N165)+COUNTIFS($A$6:A165,A165,$O$6:O165,"",$N$6:N165,N165))</f>
        <v>6</v>
      </c>
      <c r="Q165" s="12" t="str">
        <f aca="false">IF(P165="","Excluded",IF(P165&lt;=5,"Lead",IF(P165&lt;=10,"Next wave","Long list")))</f>
        <v>Next wave</v>
      </c>
      <c r="R165" s="10" t="s">
        <v>82</v>
      </c>
      <c r="S165" s="30" t="s">
        <v>317</v>
      </c>
    </row>
    <row r="166" customFormat="false" ht="23.85" hidden="false" customHeight="false" outlineLevel="0" collapsed="false">
      <c r="A166" s="12" t="s">
        <v>19</v>
      </c>
      <c r="B166" s="12" t="s">
        <v>112</v>
      </c>
      <c r="C166" s="10" t="s">
        <v>113</v>
      </c>
      <c r="D166" s="26" t="n">
        <v>4779</v>
      </c>
      <c r="E166" s="12" t="s">
        <v>77</v>
      </c>
      <c r="F166" s="11" t="n">
        <v>7904.7</v>
      </c>
      <c r="G166" s="10" t="s">
        <v>78</v>
      </c>
      <c r="H166" s="7" t="n">
        <v>32</v>
      </c>
      <c r="I166" s="12" t="s">
        <v>79</v>
      </c>
      <c r="J166" s="12" t="s">
        <v>86</v>
      </c>
      <c r="K166" s="10"/>
      <c r="L166" s="9" t="n">
        <f aca="false">IF(ISNUMBER(D166),COUNTIF($D$6:$D$338,"&lt;"&amp;D166)/(COUNT($D$6:$D$338)-1),"")</f>
        <v>0.987301587301587</v>
      </c>
      <c r="M166" s="9" t="n">
        <f aca="false">IF(ISNUMBER(F166),COUNTIF($F$6:$F$338,"&lt;"&amp;F166)/(COUNT($F$6:$F$338)-1),"")</f>
        <v>0.650602409638554</v>
      </c>
      <c r="N166" s="9" t="n">
        <f aca="false">IF(AND(L166="",M166=""),"",(IF(ISNUMBER(L166),$C$3*L166,0)+IF(ISNUMBER(M166),$E$3*M166,0))/(IF(ISNUMBER(L166),$C$3,0)+IF(ISNUMBER(M166),$E$3,0)))</f>
        <v>0.818951998470071</v>
      </c>
      <c r="O166" s="12"/>
      <c r="P166" s="7" t="n">
        <f aca="false">IF(O166&lt;&gt;"","",COUNTIFS($A$6:$A$338,A166,$O$6:$O$338,"",$N$6:$N$338,"&gt;"&amp;N166)+COUNTIFS($A$6:A166,A166,$O$6:O166,"",$N$6:N166,N166))</f>
        <v>7</v>
      </c>
      <c r="Q166" s="12" t="str">
        <f aca="false">IF(P166="","Excluded",IF(P166&lt;=5,"Lead",IF(P166&lt;=10,"Next wave","Long list")))</f>
        <v>Next wave</v>
      </c>
      <c r="R166" s="10" t="s">
        <v>82</v>
      </c>
      <c r="S166" s="30" t="s">
        <v>318</v>
      </c>
    </row>
    <row r="167" customFormat="false" ht="23.85" hidden="false" customHeight="false" outlineLevel="0" collapsed="false">
      <c r="A167" s="12" t="s">
        <v>19</v>
      </c>
      <c r="B167" s="12" t="s">
        <v>114</v>
      </c>
      <c r="C167" s="10" t="s">
        <v>115</v>
      </c>
      <c r="D167" s="26" t="n">
        <v>246.46</v>
      </c>
      <c r="E167" s="12" t="s">
        <v>77</v>
      </c>
      <c r="F167" s="11" t="n">
        <v>11366.1</v>
      </c>
      <c r="G167" s="10" t="s">
        <v>116</v>
      </c>
      <c r="H167" s="7" t="n">
        <v>30</v>
      </c>
      <c r="I167" s="12" t="s">
        <v>85</v>
      </c>
      <c r="J167" s="12" t="s">
        <v>86</v>
      </c>
      <c r="K167" s="10" t="s">
        <v>87</v>
      </c>
      <c r="L167" s="9" t="n">
        <f aca="false">IF(ISNUMBER(D167),COUNTIF($D$6:$D$338,"&lt;"&amp;D167)/(COUNT($D$6:$D$338)-1),"")</f>
        <v>0.86984126984127</v>
      </c>
      <c r="M167" s="9" t="n">
        <f aca="false">IF(ISNUMBER(F167),COUNTIF($F$6:$F$338,"&lt;"&amp;F167)/(COUNT($F$6:$F$338)-1),"")</f>
        <v>0.686746987951807</v>
      </c>
      <c r="N167" s="9" t="n">
        <f aca="false">IF(AND(L167="",M167=""),"",(IF(ISNUMBER(L167),$C$3*L167,0)+IF(ISNUMBER(M167),$E$3*M167,0))/(IF(ISNUMBER(L167),$C$3,0)+IF(ISNUMBER(M167),$E$3,0)))</f>
        <v>0.778294128896539</v>
      </c>
      <c r="O167" s="12"/>
      <c r="P167" s="7" t="n">
        <f aca="false">IF(O167&lt;&gt;"","",COUNTIFS($A$6:$A$338,A167,$O$6:$O$338,"",$N$6:$N$338,"&gt;"&amp;N167)+COUNTIFS($A$6:A167,A167,$O$6:O167,"",$N$6:N167,N167))</f>
        <v>8</v>
      </c>
      <c r="Q167" s="12" t="str">
        <f aca="false">IF(P167="","Excluded",IF(P167&lt;=5,"Lead",IF(P167&lt;=10,"Next wave","Long list")))</f>
        <v>Next wave</v>
      </c>
      <c r="R167" s="10" t="s">
        <v>88</v>
      </c>
      <c r="S167" s="30" t="s">
        <v>304</v>
      </c>
    </row>
    <row r="168" customFormat="false" ht="23.85" hidden="false" customHeight="false" outlineLevel="0" collapsed="false">
      <c r="A168" s="12" t="s">
        <v>19</v>
      </c>
      <c r="B168" s="12" t="s">
        <v>117</v>
      </c>
      <c r="C168" s="10" t="s">
        <v>118</v>
      </c>
      <c r="D168" s="26" t="n">
        <v>79.53</v>
      </c>
      <c r="E168" s="12" t="s">
        <v>77</v>
      </c>
      <c r="F168" s="11" t="n">
        <v>32830.2</v>
      </c>
      <c r="G168" s="10" t="s">
        <v>119</v>
      </c>
      <c r="H168" s="7" t="n">
        <v>21</v>
      </c>
      <c r="I168" s="12" t="s">
        <v>79</v>
      </c>
      <c r="J168" s="12" t="s">
        <v>86</v>
      </c>
      <c r="K168" s="10"/>
      <c r="L168" s="9" t="n">
        <f aca="false">IF(ISNUMBER(D168),COUNTIF($D$6:$D$338,"&lt;"&amp;D168)/(COUNT($D$6:$D$338)-1),"")</f>
        <v>0.720634920634921</v>
      </c>
      <c r="M168" s="9" t="n">
        <f aca="false">IF(ISNUMBER(F168),COUNTIF($F$6:$F$338,"&lt;"&amp;F168)/(COUNT($F$6:$F$338)-1),"")</f>
        <v>0.825301204819277</v>
      </c>
      <c r="N168" s="9" t="n">
        <f aca="false">IF(AND(L168="",M168=""),"",(IF(ISNUMBER(L168),$C$3*L168,0)+IF(ISNUMBER(M168),$E$3*M168,0))/(IF(ISNUMBER(L168),$C$3,0)+IF(ISNUMBER(M168),$E$3,0)))</f>
        <v>0.772968062727099</v>
      </c>
      <c r="O168" s="12"/>
      <c r="P168" s="7" t="n">
        <f aca="false">IF(O168&lt;&gt;"","",COUNTIFS($A$6:$A$338,A168,$O$6:$O$338,"",$N$6:$N$338,"&gt;"&amp;N168)+COUNTIFS($A$6:A168,A168,$O$6:O168,"",$N$6:N168,N168))</f>
        <v>9</v>
      </c>
      <c r="Q168" s="12" t="str">
        <f aca="false">IF(P168="","Excluded",IF(P168&lt;=5,"Lead",IF(P168&lt;=10,"Next wave","Long list")))</f>
        <v>Next wave</v>
      </c>
      <c r="R168" s="10" t="s">
        <v>82</v>
      </c>
      <c r="S168" s="30" t="s">
        <v>428</v>
      </c>
    </row>
    <row r="169" customFormat="false" ht="23.85" hidden="false" customHeight="false" outlineLevel="0" collapsed="false">
      <c r="A169" s="12" t="s">
        <v>19</v>
      </c>
      <c r="B169" s="12" t="s">
        <v>120</v>
      </c>
      <c r="C169" s="10" t="s">
        <v>121</v>
      </c>
      <c r="D169" s="26" t="n">
        <v>41.32</v>
      </c>
      <c r="E169" s="12" t="s">
        <v>77</v>
      </c>
      <c r="F169" s="11" t="n">
        <v>41503.2</v>
      </c>
      <c r="G169" s="10" t="s">
        <v>103</v>
      </c>
      <c r="H169" s="7" t="n">
        <v>34</v>
      </c>
      <c r="I169" s="12" t="s">
        <v>79</v>
      </c>
      <c r="J169" s="12" t="s">
        <v>86</v>
      </c>
      <c r="K169" s="10" t="s">
        <v>104</v>
      </c>
      <c r="L169" s="9" t="n">
        <f aca="false">IF(ISNUMBER(D169),COUNTIF($D$6:$D$338,"&lt;"&amp;D169)/(COUNT($D$6:$D$338)-1),"")</f>
        <v>0.606349206349206</v>
      </c>
      <c r="M169" s="9" t="n">
        <f aca="false">IF(ISNUMBER(F169),COUNTIF($F$6:$F$338,"&lt;"&amp;F169)/(COUNT($F$6:$F$338)-1),"")</f>
        <v>0.885542168674699</v>
      </c>
      <c r="N169" s="9" t="n">
        <f aca="false">IF(AND(L169="",M169=""),"",(IF(ISNUMBER(L169),$C$3*L169,0)+IF(ISNUMBER(M169),$E$3*M169,0))/(IF(ISNUMBER(L169),$C$3,0)+IF(ISNUMBER(M169),$E$3,0)))</f>
        <v>0.745945687511953</v>
      </c>
      <c r="O169" s="12"/>
      <c r="P169" s="7" t="n">
        <f aca="false">IF(O169&lt;&gt;"","",COUNTIFS($A$6:$A$338,A169,$O$6:$O$338,"",$N$6:$N$338,"&gt;"&amp;N169)+COUNTIFS($A$6:A169,A169,$O$6:O169,"",$N$6:N169,N169))</f>
        <v>10</v>
      </c>
      <c r="Q169" s="12" t="str">
        <f aca="false">IF(P169="","Excluded",IF(P169&lt;=5,"Lead",IF(P169&lt;=10,"Next wave","Long list")))</f>
        <v>Next wave</v>
      </c>
      <c r="R169" s="10" t="s">
        <v>82</v>
      </c>
      <c r="S169" s="30" t="s">
        <v>325</v>
      </c>
    </row>
    <row r="170" customFormat="false" ht="23.85" hidden="false" customHeight="false" outlineLevel="0" collapsed="false">
      <c r="A170" s="12" t="s">
        <v>19</v>
      </c>
      <c r="B170" s="12" t="s">
        <v>151</v>
      </c>
      <c r="C170" s="10" t="s">
        <v>152</v>
      </c>
      <c r="D170" s="26" t="n">
        <v>130.77</v>
      </c>
      <c r="E170" s="12" t="s">
        <v>77</v>
      </c>
      <c r="F170" s="11" t="n">
        <v>6754.2</v>
      </c>
      <c r="G170" s="10" t="s">
        <v>130</v>
      </c>
      <c r="H170" s="7" t="n">
        <v>19</v>
      </c>
      <c r="I170" s="12" t="s">
        <v>79</v>
      </c>
      <c r="J170" s="12" t="s">
        <v>80</v>
      </c>
      <c r="K170" s="10" t="s">
        <v>81</v>
      </c>
      <c r="L170" s="9" t="n">
        <f aca="false">IF(ISNUMBER(D170),COUNTIF($D$6:$D$338,"&lt;"&amp;D170)/(COUNT($D$6:$D$338)-1),"")</f>
        <v>0.806349206349206</v>
      </c>
      <c r="M170" s="9" t="n">
        <f aca="false">IF(ISNUMBER(F170),COUNTIF($F$6:$F$338,"&lt;"&amp;F170)/(COUNT($F$6:$F$338)-1),"")</f>
        <v>0.626506024096386</v>
      </c>
      <c r="N170" s="9" t="n">
        <f aca="false">IF(AND(L170="",M170=""),"",(IF(ISNUMBER(L170),$C$3*L170,0)+IF(ISNUMBER(M170),$E$3*M170,0))/(IF(ISNUMBER(L170),$C$3,0)+IF(ISNUMBER(M170),$E$3,0)))</f>
        <v>0.716427615222796</v>
      </c>
      <c r="O170" s="12"/>
      <c r="P170" s="7" t="n">
        <f aca="false">IF(O170&lt;&gt;"","",COUNTIFS($A$6:$A$338,A170,$O$6:$O$338,"",$N$6:$N$338,"&gt;"&amp;N170)+COUNTIFS($A$6:A170,A170,$O$6:O170,"",$N$6:N170,N170))</f>
        <v>11</v>
      </c>
      <c r="Q170" s="12" t="str">
        <f aca="false">IF(P170="","Excluded",IF(P170&lt;=5,"Lead",IF(P170&lt;=10,"Next wave","Long list")))</f>
        <v>Long list</v>
      </c>
      <c r="R170" s="10" t="s">
        <v>105</v>
      </c>
      <c r="S170" s="30" t="s">
        <v>324</v>
      </c>
    </row>
    <row r="171" customFormat="false" ht="23.85" hidden="false" customHeight="false" outlineLevel="0" collapsed="false">
      <c r="A171" s="12" t="s">
        <v>19</v>
      </c>
      <c r="B171" s="12" t="s">
        <v>499</v>
      </c>
      <c r="C171" s="10" t="s">
        <v>500</v>
      </c>
      <c r="D171" s="26" t="n">
        <v>167.03</v>
      </c>
      <c r="E171" s="12" t="s">
        <v>77</v>
      </c>
      <c r="F171" s="11" t="n">
        <v>4362.1</v>
      </c>
      <c r="G171" s="10" t="s">
        <v>91</v>
      </c>
      <c r="H171" s="7" t="n">
        <v>23</v>
      </c>
      <c r="I171" s="12" t="s">
        <v>79</v>
      </c>
      <c r="J171" s="12" t="s">
        <v>86</v>
      </c>
      <c r="K171" s="10" t="s">
        <v>104</v>
      </c>
      <c r="L171" s="9" t="n">
        <f aca="false">IF(ISNUMBER(D171),COUNTIF($D$6:$D$338,"&lt;"&amp;D171)/(COUNT($D$6:$D$338)-1),"")</f>
        <v>0.841269841269841</v>
      </c>
      <c r="M171" s="9" t="n">
        <f aca="false">IF(ISNUMBER(F171),COUNTIF($F$6:$F$338,"&lt;"&amp;F171)/(COUNT($F$6:$F$338)-1),"")</f>
        <v>0.521084337349398</v>
      </c>
      <c r="N171" s="9" t="n">
        <f aca="false">IF(AND(L171="",M171=""),"",(IF(ISNUMBER(L171),$C$3*L171,0)+IF(ISNUMBER(M171),$E$3*M171,0))/(IF(ISNUMBER(L171),$C$3,0)+IF(ISNUMBER(M171),$E$3,0)))</f>
        <v>0.681177089309619</v>
      </c>
      <c r="O171" s="12"/>
      <c r="P171" s="7" t="n">
        <f aca="false">IF(O171&lt;&gt;"","",COUNTIFS($A$6:$A$338,A171,$O$6:$O$338,"",$N$6:$N$338,"&gt;"&amp;N171)+COUNTIFS($A$6:A171,A171,$O$6:O171,"",$N$6:N171,N171))</f>
        <v>12</v>
      </c>
      <c r="Q171" s="12" t="str">
        <f aca="false">IF(P171="","Excluded",IF(P171&lt;=5,"Lead",IF(P171&lt;=10,"Next wave","Long list")))</f>
        <v>Long list</v>
      </c>
      <c r="R171" s="10" t="s">
        <v>105</v>
      </c>
      <c r="S171" s="30" t="s">
        <v>501</v>
      </c>
    </row>
    <row r="172" customFormat="false" ht="35.05" hidden="false" customHeight="false" outlineLevel="0" collapsed="false">
      <c r="A172" s="12" t="s">
        <v>19</v>
      </c>
      <c r="B172" s="12" t="s">
        <v>289</v>
      </c>
      <c r="C172" s="10" t="s">
        <v>290</v>
      </c>
      <c r="D172" s="26" t="n">
        <v>50.77</v>
      </c>
      <c r="E172" s="12" t="s">
        <v>77</v>
      </c>
      <c r="F172" s="11" t="n">
        <v>13045.6</v>
      </c>
      <c r="G172" s="10" t="s">
        <v>130</v>
      </c>
      <c r="H172" s="7" t="n">
        <v>29</v>
      </c>
      <c r="I172" s="12" t="s">
        <v>92</v>
      </c>
      <c r="J172" s="12" t="s">
        <v>86</v>
      </c>
      <c r="K172" s="10" t="s">
        <v>104</v>
      </c>
      <c r="L172" s="9" t="n">
        <f aca="false">IF(ISNUMBER(D172),COUNTIF($D$6:$D$338,"&lt;"&amp;D172)/(COUNT($D$6:$D$338)-1),"")</f>
        <v>0.625396825396825</v>
      </c>
      <c r="M172" s="9" t="n">
        <f aca="false">IF(ISNUMBER(F172),COUNTIF($F$6:$F$338,"&lt;"&amp;F172)/(COUNT($F$6:$F$338)-1),"")</f>
        <v>0.719879518072289</v>
      </c>
      <c r="N172" s="9" t="n">
        <f aca="false">IF(AND(L172="",M172=""),"",(IF(ISNUMBER(L172),$C$3*L172,0)+IF(ISNUMBER(M172),$E$3*M172,0))/(IF(ISNUMBER(L172),$C$3,0)+IF(ISNUMBER(M172),$E$3,0)))</f>
        <v>0.672638171734557</v>
      </c>
      <c r="O172" s="12"/>
      <c r="P172" s="7" t="n">
        <f aca="false">IF(O172&lt;&gt;"","",COUNTIFS($A$6:$A$338,A172,$O$6:$O$338,"",$N$6:$N$338,"&gt;"&amp;N172)+COUNTIFS($A$6:A172,A172,$O$6:O172,"",$N$6:N172,N172))</f>
        <v>13</v>
      </c>
      <c r="Q172" s="12" t="str">
        <f aca="false">IF(P172="","Excluded",IF(P172&lt;=5,"Lead",IF(P172&lt;=10,"Next wave","Long list")))</f>
        <v>Long list</v>
      </c>
      <c r="R172" s="10" t="s">
        <v>82</v>
      </c>
      <c r="S172" s="30" t="s">
        <v>306</v>
      </c>
    </row>
    <row r="173" customFormat="false" ht="23.85" hidden="false" customHeight="false" outlineLevel="0" collapsed="false">
      <c r="A173" s="12" t="s">
        <v>19</v>
      </c>
      <c r="B173" s="12" t="s">
        <v>502</v>
      </c>
      <c r="C173" s="10" t="s">
        <v>503</v>
      </c>
      <c r="D173" s="26" t="n">
        <v>2838.33</v>
      </c>
      <c r="E173" s="12" t="s">
        <v>77</v>
      </c>
      <c r="F173" s="11" t="n">
        <v>2485.9</v>
      </c>
      <c r="G173" s="10" t="s">
        <v>91</v>
      </c>
      <c r="H173" s="7" t="n">
        <v>32</v>
      </c>
      <c r="I173" s="12" t="s">
        <v>85</v>
      </c>
      <c r="J173" s="12" t="s">
        <v>86</v>
      </c>
      <c r="K173" s="10" t="s">
        <v>87</v>
      </c>
      <c r="L173" s="9" t="n">
        <f aca="false">IF(ISNUMBER(D173),COUNTIF($D$6:$D$338,"&lt;"&amp;D173)/(COUNT($D$6:$D$338)-1),"")</f>
        <v>0.977777777777778</v>
      </c>
      <c r="M173" s="9" t="n">
        <f aca="false">IF(ISNUMBER(F173),COUNTIF($F$6:$F$338,"&lt;"&amp;F173)/(COUNT($F$6:$F$338)-1),"")</f>
        <v>0.307228915662651</v>
      </c>
      <c r="N173" s="9" t="n">
        <f aca="false">IF(AND(L173="",M173=""),"",(IF(ISNUMBER(L173),$C$3*L173,0)+IF(ISNUMBER(M173),$E$3*M173,0))/(IF(ISNUMBER(L173),$C$3,0)+IF(ISNUMBER(M173),$E$3,0)))</f>
        <v>0.642503346720214</v>
      </c>
      <c r="O173" s="12"/>
      <c r="P173" s="7" t="n">
        <f aca="false">IF(O173&lt;&gt;"","",COUNTIFS($A$6:$A$338,A173,$O$6:$O$338,"",$N$6:$N$338,"&gt;"&amp;N173)+COUNTIFS($A$6:A173,A173,$O$6:O173,"",$N$6:N173,N173))</f>
        <v>14</v>
      </c>
      <c r="Q173" s="12" t="str">
        <f aca="false">IF(P173="","Excluded",IF(P173&lt;=5,"Lead",IF(P173&lt;=10,"Next wave","Long list")))</f>
        <v>Long list</v>
      </c>
      <c r="R173" s="10" t="s">
        <v>88</v>
      </c>
      <c r="S173" s="30" t="s">
        <v>504</v>
      </c>
    </row>
    <row r="174" customFormat="false" ht="23.85" hidden="false" customHeight="false" outlineLevel="0" collapsed="false">
      <c r="A174" s="12" t="s">
        <v>19</v>
      </c>
      <c r="B174" s="12" t="s">
        <v>505</v>
      </c>
      <c r="C174" s="10" t="s">
        <v>506</v>
      </c>
      <c r="D174" s="26" t="n">
        <v>162.77</v>
      </c>
      <c r="E174" s="12" t="s">
        <v>77</v>
      </c>
      <c r="F174" s="11" t="n">
        <v>3429.5</v>
      </c>
      <c r="G174" s="10" t="s">
        <v>78</v>
      </c>
      <c r="H174" s="7" t="n">
        <v>32</v>
      </c>
      <c r="I174" s="12" t="s">
        <v>79</v>
      </c>
      <c r="J174" s="12" t="s">
        <v>86</v>
      </c>
      <c r="K174" s="10"/>
      <c r="L174" s="9" t="n">
        <f aca="false">IF(ISNUMBER(D174),COUNTIF($D$6:$D$338,"&lt;"&amp;D174)/(COUNT($D$6:$D$338)-1),"")</f>
        <v>0.831746031746032</v>
      </c>
      <c r="M174" s="9" t="n">
        <f aca="false">IF(ISNUMBER(F174),COUNTIF($F$6:$F$338,"&lt;"&amp;F174)/(COUNT($F$6:$F$338)-1),"")</f>
        <v>0.442771084337349</v>
      </c>
      <c r="N174" s="9" t="n">
        <f aca="false">IF(AND(L174="",M174=""),"",(IF(ISNUMBER(L174),$C$3*L174,0)+IF(ISNUMBER(M174),$E$3*M174,0))/(IF(ISNUMBER(L174),$C$3,0)+IF(ISNUMBER(M174),$E$3,0)))</f>
        <v>0.637258558041691</v>
      </c>
      <c r="O174" s="12"/>
      <c r="P174" s="7" t="n">
        <f aca="false">IF(O174&lt;&gt;"","",COUNTIFS($A$6:$A$338,A174,$O$6:$O$338,"",$N$6:$N$338,"&gt;"&amp;N174)+COUNTIFS($A$6:A174,A174,$O$6:O174,"",$N$6:N174,N174))</f>
        <v>15</v>
      </c>
      <c r="Q174" s="12" t="str">
        <f aca="false">IF(P174="","Excluded",IF(P174&lt;=5,"Lead",IF(P174&lt;=10,"Next wave","Long list")))</f>
        <v>Long list</v>
      </c>
      <c r="R174" s="10" t="s">
        <v>105</v>
      </c>
      <c r="S174" s="30" t="s">
        <v>507</v>
      </c>
    </row>
    <row r="175" customFormat="false" ht="23.85" hidden="false" customHeight="false" outlineLevel="0" collapsed="false">
      <c r="A175" s="12" t="s">
        <v>19</v>
      </c>
      <c r="B175" s="12" t="s">
        <v>508</v>
      </c>
      <c r="C175" s="10" t="s">
        <v>509</v>
      </c>
      <c r="D175" s="26" t="n">
        <v>433.94</v>
      </c>
      <c r="E175" s="12" t="s">
        <v>77</v>
      </c>
      <c r="F175" s="11" t="n">
        <v>2489.4</v>
      </c>
      <c r="G175" s="10" t="s">
        <v>78</v>
      </c>
      <c r="H175" s="7" t="n">
        <v>31</v>
      </c>
      <c r="I175" s="12" t="s">
        <v>85</v>
      </c>
      <c r="J175" s="12" t="s">
        <v>86</v>
      </c>
      <c r="K175" s="10" t="s">
        <v>87</v>
      </c>
      <c r="L175" s="9" t="n">
        <f aca="false">IF(ISNUMBER(D175),COUNTIF($D$6:$D$338,"&lt;"&amp;D175)/(COUNT($D$6:$D$338)-1),"")</f>
        <v>0.936507936507937</v>
      </c>
      <c r="M175" s="9" t="n">
        <f aca="false">IF(ISNUMBER(F175),COUNTIF($F$6:$F$338,"&lt;"&amp;F175)/(COUNT($F$6:$F$338)-1),"")</f>
        <v>0.310240963855422</v>
      </c>
      <c r="N175" s="9" t="n">
        <f aca="false">IF(AND(L175="",M175=""),"",(IF(ISNUMBER(L175),$C$3*L175,0)+IF(ISNUMBER(M175),$E$3*M175,0))/(IF(ISNUMBER(L175),$C$3,0)+IF(ISNUMBER(M175),$E$3,0)))</f>
        <v>0.623374450181679</v>
      </c>
      <c r="O175" s="12"/>
      <c r="P175" s="7" t="n">
        <f aca="false">IF(O175&lt;&gt;"","",COUNTIFS($A$6:$A$338,A175,$O$6:$O$338,"",$N$6:$N$338,"&gt;"&amp;N175)+COUNTIFS($A$6:A175,A175,$O$6:O175,"",$N$6:N175,N175))</f>
        <v>16</v>
      </c>
      <c r="Q175" s="12" t="str">
        <f aca="false">IF(P175="","Excluded",IF(P175&lt;=5,"Lead",IF(P175&lt;=10,"Next wave","Long list")))</f>
        <v>Long list</v>
      </c>
      <c r="R175" s="10" t="s">
        <v>88</v>
      </c>
      <c r="S175" s="30" t="s">
        <v>510</v>
      </c>
    </row>
    <row r="176" customFormat="false" ht="23.85" hidden="false" customHeight="false" outlineLevel="0" collapsed="false">
      <c r="A176" s="12" t="s">
        <v>19</v>
      </c>
      <c r="B176" s="12" t="s">
        <v>142</v>
      </c>
      <c r="C176" s="10" t="s">
        <v>143</v>
      </c>
      <c r="D176" s="26" t="n">
        <v>62.03</v>
      </c>
      <c r="E176" s="12" t="s">
        <v>77</v>
      </c>
      <c r="F176" s="11" t="n">
        <v>5178.3</v>
      </c>
      <c r="G176" s="10" t="s">
        <v>282</v>
      </c>
      <c r="H176" s="7" t="n">
        <v>30</v>
      </c>
      <c r="I176" s="12" t="s">
        <v>79</v>
      </c>
      <c r="J176" s="12" t="s">
        <v>86</v>
      </c>
      <c r="K176" s="10"/>
      <c r="L176" s="9" t="n">
        <f aca="false">IF(ISNUMBER(D176),COUNTIF($D$6:$D$338,"&lt;"&amp;D176)/(COUNT($D$6:$D$338)-1),"")</f>
        <v>0.688888888888889</v>
      </c>
      <c r="M176" s="9" t="n">
        <f aca="false">IF(ISNUMBER(F176),COUNTIF($F$6:$F$338,"&lt;"&amp;F176)/(COUNT($F$6:$F$338)-1),"")</f>
        <v>0.55421686746988</v>
      </c>
      <c r="N176" s="9" t="n">
        <f aca="false">IF(AND(L176="",M176=""),"",(IF(ISNUMBER(L176),$C$3*L176,0)+IF(ISNUMBER(M176),$E$3*M176,0))/(IF(ISNUMBER(L176),$C$3,0)+IF(ISNUMBER(M176),$E$3,0)))</f>
        <v>0.621552878179384</v>
      </c>
      <c r="O176" s="12"/>
      <c r="P176" s="7" t="n">
        <f aca="false">IF(O176&lt;&gt;"","",COUNTIFS($A$6:$A$338,A176,$O$6:$O$338,"",$N$6:$N$338,"&gt;"&amp;N176)+COUNTIFS($A$6:A176,A176,$O$6:O176,"",$N$6:N176,N176))</f>
        <v>17</v>
      </c>
      <c r="Q176" s="12" t="str">
        <f aca="false">IF(P176="","Excluded",IF(P176&lt;=5,"Lead",IF(P176&lt;=10,"Next wave","Long list")))</f>
        <v>Long list</v>
      </c>
      <c r="R176" s="10" t="s">
        <v>105</v>
      </c>
      <c r="S176" s="30" t="s">
        <v>319</v>
      </c>
    </row>
    <row r="177" customFormat="false" ht="23.85" hidden="false" customHeight="false" outlineLevel="0" collapsed="false">
      <c r="A177" s="12" t="s">
        <v>19</v>
      </c>
      <c r="B177" s="12" t="s">
        <v>394</v>
      </c>
      <c r="C177" s="10" t="s">
        <v>395</v>
      </c>
      <c r="D177" s="26" t="n">
        <v>60.55</v>
      </c>
      <c r="E177" s="12" t="s">
        <v>77</v>
      </c>
      <c r="F177" s="11" t="n">
        <v>4878</v>
      </c>
      <c r="G177" s="10" t="s">
        <v>130</v>
      </c>
      <c r="H177" s="7" t="n">
        <v>30</v>
      </c>
      <c r="I177" s="12" t="s">
        <v>79</v>
      </c>
      <c r="J177" s="12" t="s">
        <v>86</v>
      </c>
      <c r="K177" s="10" t="s">
        <v>104</v>
      </c>
      <c r="L177" s="9" t="n">
        <f aca="false">IF(ISNUMBER(D177),COUNTIF($D$6:$D$338,"&lt;"&amp;D177)/(COUNT($D$6:$D$338)-1),"")</f>
        <v>0.679365079365079</v>
      </c>
      <c r="M177" s="9" t="n">
        <f aca="false">IF(ISNUMBER(F177),COUNTIF($F$6:$F$338,"&lt;"&amp;F177)/(COUNT($F$6:$F$338)-1),"")</f>
        <v>0.542168674698795</v>
      </c>
      <c r="N177" s="9" t="n">
        <f aca="false">IF(AND(L177="",M177=""),"",(IF(ISNUMBER(L177),$C$3*L177,0)+IF(ISNUMBER(M177),$E$3*M177,0))/(IF(ISNUMBER(L177),$C$3,0)+IF(ISNUMBER(M177),$E$3,0)))</f>
        <v>0.610766877031937</v>
      </c>
      <c r="O177" s="12"/>
      <c r="P177" s="7" t="n">
        <f aca="false">IF(O177&lt;&gt;"","",COUNTIFS($A$6:$A$338,A177,$O$6:$O$338,"",$N$6:$N$338,"&gt;"&amp;N177)+COUNTIFS($A$6:A177,A177,$O$6:O177,"",$N$6:N177,N177))</f>
        <v>18</v>
      </c>
      <c r="Q177" s="12" t="str">
        <f aca="false">IF(P177="","Excluded",IF(P177&lt;=5,"Lead",IF(P177&lt;=10,"Next wave","Long list")))</f>
        <v>Long list</v>
      </c>
      <c r="R177" s="10" t="s">
        <v>105</v>
      </c>
      <c r="S177" s="30" t="s">
        <v>396</v>
      </c>
    </row>
    <row r="178" customFormat="false" ht="23.85" hidden="false" customHeight="false" outlineLevel="0" collapsed="false">
      <c r="A178" s="12" t="s">
        <v>19</v>
      </c>
      <c r="B178" s="12" t="s">
        <v>210</v>
      </c>
      <c r="C178" s="10" t="s">
        <v>211</v>
      </c>
      <c r="D178" s="26" t="n">
        <v>24.05</v>
      </c>
      <c r="E178" s="12" t="s">
        <v>77</v>
      </c>
      <c r="F178" s="11" t="n">
        <v>17590.5</v>
      </c>
      <c r="G178" s="10" t="s">
        <v>116</v>
      </c>
      <c r="H178" s="7" t="n">
        <v>27</v>
      </c>
      <c r="I178" s="12" t="s">
        <v>511</v>
      </c>
      <c r="J178" s="12" t="s">
        <v>86</v>
      </c>
      <c r="K178" s="10"/>
      <c r="L178" s="9" t="n">
        <f aca="false">IF(ISNUMBER(D178),COUNTIF($D$6:$D$338,"&lt;"&amp;D178)/(COUNT($D$6:$D$338)-1),"")</f>
        <v>0.457142857142857</v>
      </c>
      <c r="M178" s="9" t="n">
        <f aca="false">IF(ISNUMBER(F178),COUNTIF($F$6:$F$338,"&lt;"&amp;F178)/(COUNT($F$6:$F$338)-1),"")</f>
        <v>0.746987951807229</v>
      </c>
      <c r="N178" s="9" t="n">
        <f aca="false">IF(AND(L178="",M178=""),"",(IF(ISNUMBER(L178),$C$3*L178,0)+IF(ISNUMBER(M178),$E$3*M178,0))/(IF(ISNUMBER(L178),$C$3,0)+IF(ISNUMBER(M178),$E$3,0)))</f>
        <v>0.602065404475043</v>
      </c>
      <c r="O178" s="12"/>
      <c r="P178" s="7" t="n">
        <f aca="false">IF(O178&lt;&gt;"","",COUNTIFS($A$6:$A$338,A178,$O$6:$O$338,"",$N$6:$N$338,"&gt;"&amp;N178)+COUNTIFS($A$6:A178,A178,$O$6:O178,"",$N$6:N178,N178))</f>
        <v>19</v>
      </c>
      <c r="Q178" s="12" t="str">
        <f aca="false">IF(P178="","Excluded",IF(P178&lt;=5,"Lead",IF(P178&lt;=10,"Next wave","Long list")))</f>
        <v>Long list</v>
      </c>
      <c r="R178" s="10" t="s">
        <v>82</v>
      </c>
      <c r="S178" s="30" t="s">
        <v>361</v>
      </c>
    </row>
    <row r="179" customFormat="false" ht="23.85" hidden="false" customHeight="false" outlineLevel="0" collapsed="false">
      <c r="A179" s="12" t="s">
        <v>19</v>
      </c>
      <c r="B179" s="12" t="s">
        <v>128</v>
      </c>
      <c r="C179" s="10" t="s">
        <v>129</v>
      </c>
      <c r="D179" s="26" t="n">
        <v>147.8</v>
      </c>
      <c r="E179" s="12" t="s">
        <v>153</v>
      </c>
      <c r="F179" s="11" t="n">
        <v>2886</v>
      </c>
      <c r="G179" s="10" t="s">
        <v>175</v>
      </c>
      <c r="H179" s="7" t="n">
        <v>2</v>
      </c>
      <c r="I179" s="12" t="s">
        <v>79</v>
      </c>
      <c r="J179" s="12" t="s">
        <v>86</v>
      </c>
      <c r="K179" s="10" t="s">
        <v>81</v>
      </c>
      <c r="L179" s="9" t="n">
        <f aca="false">IF(ISNUMBER(D179),COUNTIF($D$6:$D$338,"&lt;"&amp;D179)/(COUNT($D$6:$D$338)-1),"")</f>
        <v>0.819047619047619</v>
      </c>
      <c r="M179" s="9" t="n">
        <f aca="false">IF(ISNUMBER(F179),COUNTIF($F$6:$F$338,"&lt;"&amp;F179)/(COUNT($F$6:$F$338)-1),"")</f>
        <v>0.373493975903614</v>
      </c>
      <c r="N179" s="9" t="n">
        <f aca="false">IF(AND(L179="",M179=""),"",(IF(ISNUMBER(L179),$C$3*L179,0)+IF(ISNUMBER(M179),$E$3*M179,0))/(IF(ISNUMBER(L179),$C$3,0)+IF(ISNUMBER(M179),$E$3,0)))</f>
        <v>0.596270797475617</v>
      </c>
      <c r="O179" s="12"/>
      <c r="P179" s="7" t="n">
        <f aca="false">IF(O179&lt;&gt;"","",COUNTIFS($A$6:$A$338,A179,$O$6:$O$338,"",$N$6:$N$338,"&gt;"&amp;N179)+COUNTIFS($A$6:A179,A179,$O$6:O179,"",$N$6:N179,N179))</f>
        <v>20</v>
      </c>
      <c r="Q179" s="12" t="str">
        <f aca="false">IF(P179="","Excluded",IF(P179&lt;=5,"Lead",IF(P179&lt;=10,"Next wave","Long list")))</f>
        <v>Long list</v>
      </c>
      <c r="R179" s="10" t="s">
        <v>82</v>
      </c>
      <c r="S179" s="30" t="s">
        <v>341</v>
      </c>
    </row>
    <row r="180" customFormat="false" ht="23.85" hidden="false" customHeight="false" outlineLevel="0" collapsed="false">
      <c r="A180" s="12" t="s">
        <v>19</v>
      </c>
      <c r="B180" s="12" t="s">
        <v>131</v>
      </c>
      <c r="C180" s="10" t="s">
        <v>132</v>
      </c>
      <c r="D180" s="26" t="n">
        <v>471.27</v>
      </c>
      <c r="E180" s="12" t="s">
        <v>153</v>
      </c>
      <c r="F180" s="11" t="n">
        <v>1874.6</v>
      </c>
      <c r="G180" s="10" t="s">
        <v>226</v>
      </c>
      <c r="H180" s="7" t="n">
        <v>9</v>
      </c>
      <c r="I180" s="12" t="s">
        <v>79</v>
      </c>
      <c r="J180" s="12" t="s">
        <v>86</v>
      </c>
      <c r="K180" s="10" t="s">
        <v>104</v>
      </c>
      <c r="L180" s="9" t="n">
        <f aca="false">IF(ISNUMBER(D180),COUNTIF($D$6:$D$338,"&lt;"&amp;D180)/(COUNT($D$6:$D$338)-1),"")</f>
        <v>0.942857142857143</v>
      </c>
      <c r="M180" s="9" t="n">
        <f aca="false">IF(ISNUMBER(F180),COUNTIF($F$6:$F$338,"&lt;"&amp;F180)/(COUNT($F$6:$F$338)-1),"")</f>
        <v>0.243975903614458</v>
      </c>
      <c r="N180" s="9" t="n">
        <f aca="false">IF(AND(L180="",M180=""),"",(IF(ISNUMBER(L180),$C$3*L180,0)+IF(ISNUMBER(M180),$E$3*M180,0))/(IF(ISNUMBER(L180),$C$3,0)+IF(ISNUMBER(M180),$E$3,0)))</f>
        <v>0.5934165232358</v>
      </c>
      <c r="O180" s="12"/>
      <c r="P180" s="7" t="n">
        <f aca="false">IF(O180&lt;&gt;"","",COUNTIFS($A$6:$A$338,A180,$O$6:$O$338,"",$N$6:$N$338,"&gt;"&amp;N180)+COUNTIFS($A$6:A180,A180,$O$6:O180,"",$N$6:N180,N180))</f>
        <v>21</v>
      </c>
      <c r="Q180" s="12" t="str">
        <f aca="false">IF(P180="","Excluded",IF(P180&lt;=5,"Lead",IF(P180&lt;=10,"Next wave","Long list")))</f>
        <v>Long list</v>
      </c>
      <c r="R180" s="10" t="s">
        <v>82</v>
      </c>
      <c r="S180" s="30" t="s">
        <v>449</v>
      </c>
    </row>
    <row r="181" customFormat="false" ht="23.85" hidden="false" customHeight="false" outlineLevel="0" collapsed="false">
      <c r="A181" s="12" t="s">
        <v>19</v>
      </c>
      <c r="B181" s="12" t="s">
        <v>178</v>
      </c>
      <c r="C181" s="10" t="s">
        <v>179</v>
      </c>
      <c r="D181" s="26" t="n">
        <v>35.27</v>
      </c>
      <c r="E181" s="12" t="s">
        <v>153</v>
      </c>
      <c r="F181" s="11" t="n">
        <v>6632.6</v>
      </c>
      <c r="G181" s="10" t="s">
        <v>323</v>
      </c>
      <c r="H181" s="7" t="n">
        <v>3</v>
      </c>
      <c r="I181" s="12" t="s">
        <v>79</v>
      </c>
      <c r="J181" s="12" t="s">
        <v>80</v>
      </c>
      <c r="K181" s="10" t="s">
        <v>111</v>
      </c>
      <c r="L181" s="9" t="n">
        <f aca="false">IF(ISNUMBER(D181),COUNTIF($D$6:$D$338,"&lt;"&amp;D181)/(COUNT($D$6:$D$338)-1),"")</f>
        <v>0.568253968253968</v>
      </c>
      <c r="M181" s="9" t="n">
        <f aca="false">IF(ISNUMBER(F181),COUNTIF($F$6:$F$338,"&lt;"&amp;F181)/(COUNT($F$6:$F$338)-1),"")</f>
        <v>0.61144578313253</v>
      </c>
      <c r="N181" s="9" t="n">
        <f aca="false">IF(AND(L181="",M181=""),"",(IF(ISNUMBER(L181),$C$3*L181,0)+IF(ISNUMBER(M181),$E$3*M181,0))/(IF(ISNUMBER(L181),$C$3,0)+IF(ISNUMBER(M181),$E$3,0)))</f>
        <v>0.589849875693249</v>
      </c>
      <c r="O181" s="12"/>
      <c r="P181" s="7" t="n">
        <f aca="false">IF(O181&lt;&gt;"","",COUNTIFS($A$6:$A$338,A181,$O$6:$O$338,"",$N$6:$N$338,"&gt;"&amp;N181)+COUNTIFS($A$6:A181,A181,$O$6:O181,"",$N$6:N181,N181))</f>
        <v>22</v>
      </c>
      <c r="Q181" s="12" t="str">
        <f aca="false">IF(P181="","Excluded",IF(P181&lt;=5,"Lead",IF(P181&lt;=10,"Next wave","Long list")))</f>
        <v>Long list</v>
      </c>
      <c r="R181" s="10" t="s">
        <v>82</v>
      </c>
      <c r="S181" s="30" t="s">
        <v>438</v>
      </c>
    </row>
    <row r="182" customFormat="false" ht="23.85" hidden="false" customHeight="false" outlineLevel="0" collapsed="false">
      <c r="A182" s="12" t="s">
        <v>19</v>
      </c>
      <c r="B182" s="12" t="s">
        <v>124</v>
      </c>
      <c r="C182" s="10" t="s">
        <v>125</v>
      </c>
      <c r="D182" s="26" t="n">
        <v>56.21</v>
      </c>
      <c r="E182" s="12" t="s">
        <v>102</v>
      </c>
      <c r="F182" s="11" t="n">
        <v>3871.2</v>
      </c>
      <c r="G182" s="10" t="s">
        <v>91</v>
      </c>
      <c r="H182" s="7" t="n">
        <v>23</v>
      </c>
      <c r="I182" s="12" t="s">
        <v>79</v>
      </c>
      <c r="J182" s="12" t="s">
        <v>80</v>
      </c>
      <c r="K182" s="10" t="s">
        <v>81</v>
      </c>
      <c r="L182" s="9" t="n">
        <f aca="false">IF(ISNUMBER(D182),COUNTIF($D$6:$D$338,"&lt;"&amp;D182)/(COUNT($D$6:$D$338)-1),"")</f>
        <v>0.663492063492064</v>
      </c>
      <c r="M182" s="9" t="n">
        <f aca="false">IF(ISNUMBER(F182),COUNTIF($F$6:$F$338,"&lt;"&amp;F182)/(COUNT($F$6:$F$338)-1),"")</f>
        <v>0.475903614457831</v>
      </c>
      <c r="N182" s="9" t="n">
        <f aca="false">IF(AND(L182="",M182=""),"",(IF(ISNUMBER(L182),$C$3*L182,0)+IF(ISNUMBER(M182),$E$3*M182,0))/(IF(ISNUMBER(L182),$C$3,0)+IF(ISNUMBER(M182),$E$3,0)))</f>
        <v>0.569697838974947</v>
      </c>
      <c r="O182" s="12"/>
      <c r="P182" s="7" t="n">
        <f aca="false">IF(O182&lt;&gt;"","",COUNTIFS($A$6:$A$338,A182,$O$6:$O$338,"",$N$6:$N$338,"&gt;"&amp;N182)+COUNTIFS($A$6:A182,A182,$O$6:O182,"",$N$6:N182,N182))</f>
        <v>23</v>
      </c>
      <c r="Q182" s="12" t="str">
        <f aca="false">IF(P182="","Excluded",IF(P182&lt;=5,"Lead",IF(P182&lt;=10,"Next wave","Long list")))</f>
        <v>Long list</v>
      </c>
      <c r="R182" s="10" t="s">
        <v>82</v>
      </c>
      <c r="S182" s="30" t="s">
        <v>321</v>
      </c>
    </row>
    <row r="183" customFormat="false" ht="23.85" hidden="false" customHeight="false" outlineLevel="0" collapsed="false">
      <c r="A183" s="12" t="s">
        <v>19</v>
      </c>
      <c r="B183" s="12" t="s">
        <v>173</v>
      </c>
      <c r="C183" s="10" t="s">
        <v>174</v>
      </c>
      <c r="D183" s="26" t="n">
        <v>50.27</v>
      </c>
      <c r="E183" s="12" t="s">
        <v>77</v>
      </c>
      <c r="F183" s="11" t="n">
        <v>3973.7</v>
      </c>
      <c r="G183" s="10" t="s">
        <v>91</v>
      </c>
      <c r="H183" s="7" t="n">
        <v>17</v>
      </c>
      <c r="I183" s="12" t="s">
        <v>79</v>
      </c>
      <c r="J183" s="12" t="s">
        <v>80</v>
      </c>
      <c r="K183" s="10" t="s">
        <v>81</v>
      </c>
      <c r="L183" s="9" t="n">
        <f aca="false">IF(ISNUMBER(D183),COUNTIF($D$6:$D$338,"&lt;"&amp;D183)/(COUNT($D$6:$D$338)-1),"")</f>
        <v>0.622222222222222</v>
      </c>
      <c r="M183" s="9" t="n">
        <f aca="false">IF(ISNUMBER(F183),COUNTIF($F$6:$F$338,"&lt;"&amp;F183)/(COUNT($F$6:$F$338)-1),"")</f>
        <v>0.493975903614458</v>
      </c>
      <c r="N183" s="9" t="n">
        <f aca="false">IF(AND(L183="",M183=""),"",(IF(ISNUMBER(L183),$C$3*L183,0)+IF(ISNUMBER(M183),$E$3*M183,0))/(IF(ISNUMBER(L183),$C$3,0)+IF(ISNUMBER(M183),$E$3,0)))</f>
        <v>0.55809906291834</v>
      </c>
      <c r="O183" s="12"/>
      <c r="P183" s="7" t="n">
        <f aca="false">IF(O183&lt;&gt;"","",COUNTIFS($A$6:$A$338,A183,$O$6:$O$338,"",$N$6:$N$338,"&gt;"&amp;N183)+COUNTIFS($A$6:A183,A183,$O$6:O183,"",$N$6:N183,N183))</f>
        <v>24</v>
      </c>
      <c r="Q183" s="12" t="str">
        <f aca="false">IF(P183="","Excluded",IF(P183&lt;=5,"Lead",IF(P183&lt;=10,"Next wave","Long list")))</f>
        <v>Long list</v>
      </c>
      <c r="R183" s="10" t="s">
        <v>82</v>
      </c>
      <c r="S183" s="30" t="s">
        <v>430</v>
      </c>
    </row>
    <row r="184" customFormat="false" ht="23.85" hidden="false" customHeight="false" outlineLevel="0" collapsed="false">
      <c r="A184" s="12" t="s">
        <v>19</v>
      </c>
      <c r="B184" s="12" t="s">
        <v>512</v>
      </c>
      <c r="C184" s="10" t="s">
        <v>513</v>
      </c>
      <c r="D184" s="26" t="n">
        <v>655.58</v>
      </c>
      <c r="E184" s="12" t="s">
        <v>471</v>
      </c>
      <c r="F184" s="11" t="n">
        <v>843.5</v>
      </c>
      <c r="G184" s="10" t="s">
        <v>194</v>
      </c>
      <c r="H184" s="7" t="n">
        <v>1</v>
      </c>
      <c r="I184" s="12" t="s">
        <v>79</v>
      </c>
      <c r="J184" s="12" t="s">
        <v>86</v>
      </c>
      <c r="K184" s="10"/>
      <c r="L184" s="9" t="n">
        <f aca="false">IF(ISNUMBER(D184),COUNTIF($D$6:$D$338,"&lt;"&amp;D184)/(COUNT($D$6:$D$338)-1),"")</f>
        <v>0.961904761904762</v>
      </c>
      <c r="M184" s="9" t="n">
        <f aca="false">IF(ISNUMBER(F184),COUNTIF($F$6:$F$338,"&lt;"&amp;F184)/(COUNT($F$6:$F$338)-1),"")</f>
        <v>0.144578313253012</v>
      </c>
      <c r="N184" s="9" t="n">
        <f aca="false">IF(AND(L184="",M184=""),"",(IF(ISNUMBER(L184),$C$3*L184,0)+IF(ISNUMBER(M184),$E$3*M184,0))/(IF(ISNUMBER(L184),$C$3,0)+IF(ISNUMBER(M184),$E$3,0)))</f>
        <v>0.553241537578887</v>
      </c>
      <c r="O184" s="12"/>
      <c r="P184" s="7" t="n">
        <f aca="false">IF(O184&lt;&gt;"","",COUNTIFS($A$6:$A$338,A184,$O$6:$O$338,"",$N$6:$N$338,"&gt;"&amp;N184)+COUNTIFS($A$6:A184,A184,$O$6:O184,"",$N$6:N184,N184))</f>
        <v>25</v>
      </c>
      <c r="Q184" s="12" t="str">
        <f aca="false">IF(P184="","Excluded",IF(P184&lt;=5,"Lead",IF(P184&lt;=10,"Next wave","Long list")))</f>
        <v>Long list</v>
      </c>
      <c r="R184" s="10" t="s">
        <v>105</v>
      </c>
      <c r="S184" s="30" t="s">
        <v>514</v>
      </c>
    </row>
    <row r="185" customFormat="false" ht="23.85" hidden="false" customHeight="false" outlineLevel="0" collapsed="false">
      <c r="A185" s="12" t="s">
        <v>19</v>
      </c>
      <c r="B185" s="12" t="s">
        <v>440</v>
      </c>
      <c r="C185" s="10" t="s">
        <v>441</v>
      </c>
      <c r="D185" s="26" t="n">
        <v>32.6</v>
      </c>
      <c r="E185" s="12" t="s">
        <v>77</v>
      </c>
      <c r="F185" s="11" t="n">
        <v>5695.2</v>
      </c>
      <c r="G185" s="10" t="s">
        <v>323</v>
      </c>
      <c r="H185" s="7" t="n">
        <v>2</v>
      </c>
      <c r="I185" s="12" t="s">
        <v>79</v>
      </c>
      <c r="J185" s="12" t="s">
        <v>86</v>
      </c>
      <c r="K185" s="10"/>
      <c r="L185" s="9" t="n">
        <f aca="false">IF(ISNUMBER(D185),COUNTIF($D$6:$D$338,"&lt;"&amp;D185)/(COUNT($D$6:$D$338)-1),"")</f>
        <v>0.542857142857143</v>
      </c>
      <c r="M185" s="9" t="n">
        <f aca="false">IF(ISNUMBER(F185),COUNTIF($F$6:$F$338,"&lt;"&amp;F185)/(COUNT($F$6:$F$338)-1),"")</f>
        <v>0.563253012048193</v>
      </c>
      <c r="N185" s="9" t="n">
        <f aca="false">IF(AND(L185="",M185=""),"",(IF(ISNUMBER(L185),$C$3*L185,0)+IF(ISNUMBER(M185),$E$3*M185,0))/(IF(ISNUMBER(L185),$C$3,0)+IF(ISNUMBER(M185),$E$3,0)))</f>
        <v>0.553055077452668</v>
      </c>
      <c r="O185" s="12"/>
      <c r="P185" s="7" t="n">
        <f aca="false">IF(O185&lt;&gt;"","",COUNTIFS($A$6:$A$338,A185,$O$6:$O$338,"",$N$6:$N$338,"&gt;"&amp;N185)+COUNTIFS($A$6:A185,A185,$O$6:O185,"",$N$6:N185,N185))</f>
        <v>26</v>
      </c>
      <c r="Q185" s="12" t="str">
        <f aca="false">IF(P185="","Excluded",IF(P185&lt;=5,"Lead",IF(P185&lt;=10,"Next wave","Long list")))</f>
        <v>Long list</v>
      </c>
      <c r="R185" s="10" t="s">
        <v>105</v>
      </c>
      <c r="S185" s="30" t="s">
        <v>443</v>
      </c>
    </row>
    <row r="186" customFormat="false" ht="23.85" hidden="false" customHeight="false" outlineLevel="0" collapsed="false">
      <c r="A186" s="12" t="s">
        <v>19</v>
      </c>
      <c r="B186" s="12" t="s">
        <v>515</v>
      </c>
      <c r="C186" s="10" t="s">
        <v>516</v>
      </c>
      <c r="D186" s="26" t="n">
        <v>149.04</v>
      </c>
      <c r="E186" s="12" t="s">
        <v>153</v>
      </c>
      <c r="F186" s="11" t="n">
        <v>1860.1</v>
      </c>
      <c r="G186" s="10" t="s">
        <v>517</v>
      </c>
      <c r="H186" s="7" t="n">
        <v>5</v>
      </c>
      <c r="I186" s="12" t="s">
        <v>79</v>
      </c>
      <c r="J186" s="12" t="s">
        <v>86</v>
      </c>
      <c r="K186" s="10" t="s">
        <v>104</v>
      </c>
      <c r="L186" s="9" t="n">
        <f aca="false">IF(ISNUMBER(D186),COUNTIF($D$6:$D$338,"&lt;"&amp;D186)/(COUNT($D$6:$D$338)-1),"")</f>
        <v>0.822222222222222</v>
      </c>
      <c r="M186" s="9" t="n">
        <f aca="false">IF(ISNUMBER(F186),COUNTIF($F$6:$F$338,"&lt;"&amp;F186)/(COUNT($F$6:$F$338)-1),"")</f>
        <v>0.240963855421687</v>
      </c>
      <c r="N186" s="9" t="n">
        <f aca="false">IF(AND(L186="",M186=""),"",(IF(ISNUMBER(L186),$C$3*L186,0)+IF(ISNUMBER(M186),$E$3*M186,0))/(IF(ISNUMBER(L186),$C$3,0)+IF(ISNUMBER(M186),$E$3,0)))</f>
        <v>0.531593038821955</v>
      </c>
      <c r="O186" s="12"/>
      <c r="P186" s="7" t="n">
        <f aca="false">IF(O186&lt;&gt;"","",COUNTIFS($A$6:$A$338,A186,$O$6:$O$338,"",$N$6:$N$338,"&gt;"&amp;N186)+COUNTIFS($A$6:A186,A186,$O$6:O186,"",$N$6:N186,N186))</f>
        <v>27</v>
      </c>
      <c r="Q186" s="12" t="str">
        <f aca="false">IF(P186="","Excluded",IF(P186&lt;=5,"Lead",IF(P186&lt;=10,"Next wave","Long list")))</f>
        <v>Long list</v>
      </c>
      <c r="R186" s="10" t="s">
        <v>105</v>
      </c>
      <c r="S186" s="30" t="s">
        <v>518</v>
      </c>
    </row>
    <row r="187" customFormat="false" ht="23.85" hidden="false" customHeight="false" outlineLevel="0" collapsed="false">
      <c r="A187" s="12" t="s">
        <v>19</v>
      </c>
      <c r="B187" s="12" t="s">
        <v>519</v>
      </c>
      <c r="C187" s="10" t="s">
        <v>520</v>
      </c>
      <c r="D187" s="26" t="n">
        <v>23.95</v>
      </c>
      <c r="E187" s="12" t="s">
        <v>153</v>
      </c>
      <c r="F187" s="11" t="n">
        <v>6618.8</v>
      </c>
      <c r="G187" s="10" t="s">
        <v>282</v>
      </c>
      <c r="H187" s="7" t="n">
        <v>31</v>
      </c>
      <c r="I187" s="12" t="s">
        <v>79</v>
      </c>
      <c r="J187" s="12" t="s">
        <v>80</v>
      </c>
      <c r="K187" s="10" t="s">
        <v>111</v>
      </c>
      <c r="L187" s="9" t="n">
        <f aca="false">IF(ISNUMBER(D187),COUNTIF($D$6:$D$338,"&lt;"&amp;D187)/(COUNT($D$6:$D$338)-1),"")</f>
        <v>0.450793650793651</v>
      </c>
      <c r="M187" s="9" t="n">
        <f aca="false">IF(ISNUMBER(F187),COUNTIF($F$6:$F$338,"&lt;"&amp;F187)/(COUNT($F$6:$F$338)-1),"")</f>
        <v>0.608433734939759</v>
      </c>
      <c r="N187" s="9" t="n">
        <f aca="false">IF(AND(L187="",M187=""),"",(IF(ISNUMBER(L187),$C$3*L187,0)+IF(ISNUMBER(M187),$E$3*M187,0))/(IF(ISNUMBER(L187),$C$3,0)+IF(ISNUMBER(M187),$E$3,0)))</f>
        <v>0.529613692866705</v>
      </c>
      <c r="O187" s="12"/>
      <c r="P187" s="7" t="n">
        <f aca="false">IF(O187&lt;&gt;"","",COUNTIFS($A$6:$A$338,A187,$O$6:$O$338,"",$N$6:$N$338,"&gt;"&amp;N187)+COUNTIFS($A$6:A187,A187,$O$6:O187,"",$N$6:N187,N187))</f>
        <v>28</v>
      </c>
      <c r="Q187" s="12" t="str">
        <f aca="false">IF(P187="","Excluded",IF(P187&lt;=5,"Lead",IF(P187&lt;=10,"Next wave","Long list")))</f>
        <v>Long list</v>
      </c>
      <c r="R187" s="10" t="s">
        <v>105</v>
      </c>
      <c r="S187" s="30" t="s">
        <v>521</v>
      </c>
    </row>
    <row r="188" customFormat="false" ht="23.85" hidden="false" customHeight="false" outlineLevel="0" collapsed="false">
      <c r="A188" s="12" t="s">
        <v>19</v>
      </c>
      <c r="B188" s="12" t="s">
        <v>400</v>
      </c>
      <c r="C188" s="10" t="s">
        <v>401</v>
      </c>
      <c r="D188" s="26" t="n">
        <v>60.84</v>
      </c>
      <c r="E188" s="12" t="s">
        <v>77</v>
      </c>
      <c r="F188" s="11" t="n">
        <v>2802.1</v>
      </c>
      <c r="G188" s="10" t="s">
        <v>78</v>
      </c>
      <c r="H188" s="7" t="n">
        <v>32</v>
      </c>
      <c r="I188" s="12" t="s">
        <v>79</v>
      </c>
      <c r="J188" s="12" t="s">
        <v>86</v>
      </c>
      <c r="K188" s="10"/>
      <c r="L188" s="9" t="n">
        <f aca="false">IF(ISNUMBER(D188),COUNTIF($D$6:$D$338,"&lt;"&amp;D188)/(COUNT($D$6:$D$338)-1),"")</f>
        <v>0.682539682539683</v>
      </c>
      <c r="M188" s="9" t="n">
        <f aca="false">IF(ISNUMBER(F188),COUNTIF($F$6:$F$338,"&lt;"&amp;F188)/(COUNT($F$6:$F$338)-1),"")</f>
        <v>0.352409638554217</v>
      </c>
      <c r="N188" s="9" t="n">
        <f aca="false">IF(AND(L188="",M188=""),"",(IF(ISNUMBER(L188),$C$3*L188,0)+IF(ISNUMBER(M188),$E$3*M188,0))/(IF(ISNUMBER(L188),$C$3,0)+IF(ISNUMBER(M188),$E$3,0)))</f>
        <v>0.51747466054695</v>
      </c>
      <c r="O188" s="12"/>
      <c r="P188" s="7" t="n">
        <f aca="false">IF(O188&lt;&gt;"","",COUNTIFS($A$6:$A$338,A188,$O$6:$O$338,"",$N$6:$N$338,"&gt;"&amp;N188)+COUNTIFS($A$6:A188,A188,$O$6:O188,"",$N$6:N188,N188))</f>
        <v>29</v>
      </c>
      <c r="Q188" s="12" t="str">
        <f aca="false">IF(P188="","Excluded",IF(P188&lt;=5,"Lead",IF(P188&lt;=10,"Next wave","Long list")))</f>
        <v>Long list</v>
      </c>
      <c r="R188" s="10" t="s">
        <v>82</v>
      </c>
      <c r="S188" s="30" t="s">
        <v>402</v>
      </c>
    </row>
    <row r="189" customFormat="false" ht="23.85" hidden="false" customHeight="false" outlineLevel="0" collapsed="false">
      <c r="A189" s="12" t="s">
        <v>19</v>
      </c>
      <c r="B189" s="12" t="s">
        <v>357</v>
      </c>
      <c r="C189" s="10" t="s">
        <v>358</v>
      </c>
      <c r="D189" s="26" t="n">
        <v>90.4</v>
      </c>
      <c r="E189" s="12" t="s">
        <v>102</v>
      </c>
      <c r="F189" s="11" t="n">
        <v>2127.3</v>
      </c>
      <c r="G189" s="10" t="s">
        <v>522</v>
      </c>
      <c r="H189" s="7" t="n">
        <v>5</v>
      </c>
      <c r="I189" s="12" t="s">
        <v>79</v>
      </c>
      <c r="J189" s="12" t="s">
        <v>127</v>
      </c>
      <c r="K189" s="10"/>
      <c r="L189" s="9" t="n">
        <f aca="false">IF(ISNUMBER(D189),COUNTIF($D$6:$D$338,"&lt;"&amp;D189)/(COUNT($D$6:$D$338)-1),"")</f>
        <v>0.752380952380952</v>
      </c>
      <c r="M189" s="9" t="n">
        <f aca="false">IF(ISNUMBER(F189),COUNTIF($F$6:$F$338,"&lt;"&amp;F189)/(COUNT($F$6:$F$338)-1),"")</f>
        <v>0.274096385542169</v>
      </c>
      <c r="N189" s="9" t="n">
        <f aca="false">IF(AND(L189="",M189=""),"",(IF(ISNUMBER(L189),$C$3*L189,0)+IF(ISNUMBER(M189),$E$3*M189,0))/(IF(ISNUMBER(L189),$C$3,0)+IF(ISNUMBER(M189),$E$3,0)))</f>
        <v>0.513238668961561</v>
      </c>
      <c r="O189" s="12"/>
      <c r="P189" s="7" t="n">
        <f aca="false">IF(O189&lt;&gt;"","",COUNTIFS($A$6:$A$338,A189,$O$6:$O$338,"",$N$6:$N$338,"&gt;"&amp;N189)+COUNTIFS($A$6:A189,A189,$O$6:O189,"",$N$6:N189,N189))</f>
        <v>30</v>
      </c>
      <c r="Q189" s="12" t="str">
        <f aca="false">IF(P189="","Excluded",IF(P189&lt;=5,"Lead",IF(P189&lt;=10,"Next wave","Long list")))</f>
        <v>Long list</v>
      </c>
      <c r="R189" s="10" t="s">
        <v>105</v>
      </c>
      <c r="S189" s="30" t="s">
        <v>359</v>
      </c>
    </row>
    <row r="190" customFormat="false" ht="23.85" hidden="false" customHeight="false" outlineLevel="0" collapsed="false">
      <c r="A190" s="12" t="s">
        <v>19</v>
      </c>
      <c r="B190" s="12" t="s">
        <v>455</v>
      </c>
      <c r="C190" s="10" t="s">
        <v>456</v>
      </c>
      <c r="D190" s="26" t="n">
        <v>255.35</v>
      </c>
      <c r="E190" s="12" t="s">
        <v>77</v>
      </c>
      <c r="F190" s="11" t="n">
        <v>806.3</v>
      </c>
      <c r="G190" s="10" t="s">
        <v>116</v>
      </c>
      <c r="H190" s="7" t="n">
        <v>12</v>
      </c>
      <c r="I190" s="12" t="s">
        <v>79</v>
      </c>
      <c r="J190" s="12" t="s">
        <v>80</v>
      </c>
      <c r="K190" s="10" t="s">
        <v>111</v>
      </c>
      <c r="L190" s="9" t="n">
        <f aca="false">IF(ISNUMBER(D190),COUNTIF($D$6:$D$338,"&lt;"&amp;D190)/(COUNT($D$6:$D$338)-1),"")</f>
        <v>0.876190476190476</v>
      </c>
      <c r="M190" s="9" t="n">
        <f aca="false">IF(ISNUMBER(F190),COUNTIF($F$6:$F$338,"&lt;"&amp;F190)/(COUNT($F$6:$F$338)-1),"")</f>
        <v>0.13855421686747</v>
      </c>
      <c r="N190" s="9" t="n">
        <f aca="false">IF(AND(L190="",M190=""),"",(IF(ISNUMBER(L190),$C$3*L190,0)+IF(ISNUMBER(M190),$E$3*M190,0))/(IF(ISNUMBER(L190),$C$3,0)+IF(ISNUMBER(M190),$E$3,0)))</f>
        <v>0.507372346528973</v>
      </c>
      <c r="O190" s="12"/>
      <c r="P190" s="7" t="n">
        <f aca="false">IF(O190&lt;&gt;"","",COUNTIFS($A$6:$A$338,A190,$O$6:$O$338,"",$N$6:$N$338,"&gt;"&amp;N190)+COUNTIFS($A$6:A190,A190,$O$6:O190,"",$N$6:N190,N190))</f>
        <v>31</v>
      </c>
      <c r="Q190" s="12" t="str">
        <f aca="false">IF(P190="","Excluded",IF(P190&lt;=5,"Lead",IF(P190&lt;=10,"Next wave","Long list")))</f>
        <v>Long list</v>
      </c>
      <c r="R190" s="10" t="s">
        <v>105</v>
      </c>
      <c r="S190" s="30" t="s">
        <v>457</v>
      </c>
    </row>
    <row r="191" customFormat="false" ht="35.05" hidden="false" customHeight="false" outlineLevel="0" collapsed="false">
      <c r="A191" s="12" t="s">
        <v>19</v>
      </c>
      <c r="B191" s="12" t="s">
        <v>201</v>
      </c>
      <c r="C191" s="10" t="s">
        <v>202</v>
      </c>
      <c r="D191" s="26" t="n">
        <v>1.56</v>
      </c>
      <c r="E191" s="12" t="s">
        <v>153</v>
      </c>
      <c r="F191" s="11" t="n">
        <v>93119.2</v>
      </c>
      <c r="G191" s="10" t="s">
        <v>323</v>
      </c>
      <c r="H191" s="7" t="n">
        <v>1</v>
      </c>
      <c r="I191" s="12" t="s">
        <v>97</v>
      </c>
      <c r="J191" s="12" t="s">
        <v>97</v>
      </c>
      <c r="K191" s="10" t="s">
        <v>442</v>
      </c>
      <c r="L191" s="9" t="n">
        <f aca="false">IF(ISNUMBER(D191),COUNTIF($D$6:$D$338,"&lt;"&amp;D191)/(COUNT($D$6:$D$338)-1),"")</f>
        <v>0.00317460317460317</v>
      </c>
      <c r="M191" s="9" t="n">
        <f aca="false">IF(ISNUMBER(F191),COUNTIF($F$6:$F$338,"&lt;"&amp;F191)/(COUNT($F$6:$F$338)-1),"")</f>
        <v>0.981927710843374</v>
      </c>
      <c r="N191" s="9" t="n">
        <f aca="false">IF(AND(L191="",M191=""),"",(IF(ISNUMBER(L191),$C$3*L191,0)+IF(ISNUMBER(M191),$E$3*M191,0))/(IF(ISNUMBER(L191),$C$3,0)+IF(ISNUMBER(M191),$E$3,0)))</f>
        <v>0.492551157008988</v>
      </c>
      <c r="O191" s="12"/>
      <c r="P191" s="7" t="n">
        <f aca="false">IF(O191&lt;&gt;"","",COUNTIFS($A$6:$A$338,A191,$O$6:$O$338,"",$N$6:$N$338,"&gt;"&amp;N191)+COUNTIFS($A$6:A191,A191,$O$6:O191,"",$N$6:N191,N191))</f>
        <v>32</v>
      </c>
      <c r="Q191" s="12" t="str">
        <f aca="false">IF(P191="","Excluded",IF(P191&lt;=5,"Lead",IF(P191&lt;=10,"Next wave","Long list")))</f>
        <v>Long list</v>
      </c>
      <c r="R191" s="10" t="s">
        <v>99</v>
      </c>
      <c r="S191" s="30" t="s">
        <v>350</v>
      </c>
    </row>
    <row r="192" customFormat="false" ht="23.85" hidden="false" customHeight="false" outlineLevel="0" collapsed="false">
      <c r="A192" s="12" t="s">
        <v>19</v>
      </c>
      <c r="B192" s="12" t="s">
        <v>523</v>
      </c>
      <c r="C192" s="10" t="s">
        <v>524</v>
      </c>
      <c r="D192" s="26" t="n">
        <v>28.67</v>
      </c>
      <c r="E192" s="12" t="s">
        <v>153</v>
      </c>
      <c r="F192" s="11" t="n">
        <v>3722.3</v>
      </c>
      <c r="G192" s="10" t="s">
        <v>133</v>
      </c>
      <c r="H192" s="7" t="n">
        <v>3</v>
      </c>
      <c r="I192" s="12" t="s">
        <v>85</v>
      </c>
      <c r="J192" s="12" t="s">
        <v>86</v>
      </c>
      <c r="K192" s="10" t="s">
        <v>87</v>
      </c>
      <c r="L192" s="9" t="n">
        <f aca="false">IF(ISNUMBER(D192),COUNTIF($D$6:$D$338,"&lt;"&amp;D192)/(COUNT($D$6:$D$338)-1),"")</f>
        <v>0.495238095238095</v>
      </c>
      <c r="M192" s="9" t="n">
        <f aca="false">IF(ISNUMBER(F192),COUNTIF($F$6:$F$338,"&lt;"&amp;F192)/(COUNT($F$6:$F$338)-1),"")</f>
        <v>0.47289156626506</v>
      </c>
      <c r="N192" s="9" t="n">
        <f aca="false">IF(AND(L192="",M192=""),"",(IF(ISNUMBER(L192),$C$3*L192,0)+IF(ISNUMBER(M192),$E$3*M192,0))/(IF(ISNUMBER(L192),$C$3,0)+IF(ISNUMBER(M192),$E$3,0)))</f>
        <v>0.484064830751578</v>
      </c>
      <c r="O192" s="12"/>
      <c r="P192" s="7" t="n">
        <f aca="false">IF(O192&lt;&gt;"","",COUNTIFS($A$6:$A$338,A192,$O$6:$O$338,"",$N$6:$N$338,"&gt;"&amp;N192)+COUNTIFS($A$6:A192,A192,$O$6:O192,"",$N$6:N192,N192))</f>
        <v>33</v>
      </c>
      <c r="Q192" s="12" t="str">
        <f aca="false">IF(P192="","Excluded",IF(P192&lt;=5,"Lead",IF(P192&lt;=10,"Next wave","Long list")))</f>
        <v>Long list</v>
      </c>
      <c r="R192" s="10" t="s">
        <v>88</v>
      </c>
      <c r="S192" s="30" t="s">
        <v>525</v>
      </c>
    </row>
    <row r="193" customFormat="false" ht="23.85" hidden="false" customHeight="false" outlineLevel="0" collapsed="false">
      <c r="A193" s="12" t="s">
        <v>19</v>
      </c>
      <c r="B193" s="12" t="s">
        <v>526</v>
      </c>
      <c r="C193" s="10" t="s">
        <v>527</v>
      </c>
      <c r="D193" s="26" t="n">
        <v>16.48</v>
      </c>
      <c r="E193" s="12" t="s">
        <v>77</v>
      </c>
      <c r="F193" s="11" t="n">
        <v>6526.6</v>
      </c>
      <c r="G193" s="10" t="s">
        <v>160</v>
      </c>
      <c r="H193" s="7" t="n">
        <v>16</v>
      </c>
      <c r="I193" s="12" t="s">
        <v>92</v>
      </c>
      <c r="J193" s="12" t="s">
        <v>86</v>
      </c>
      <c r="K193" s="10"/>
      <c r="L193" s="9" t="n">
        <f aca="false">IF(ISNUMBER(D193),COUNTIF($D$6:$D$338,"&lt;"&amp;D193)/(COUNT($D$6:$D$338)-1),"")</f>
        <v>0.355555555555556</v>
      </c>
      <c r="M193" s="9" t="n">
        <f aca="false">IF(ISNUMBER(F193),COUNTIF($F$6:$F$338,"&lt;"&amp;F193)/(COUNT($F$6:$F$338)-1),"")</f>
        <v>0.605421686746988</v>
      </c>
      <c r="N193" s="9" t="n">
        <f aca="false">IF(AND(L193="",M193=""),"",(IF(ISNUMBER(L193),$C$3*L193,0)+IF(ISNUMBER(M193),$E$3*M193,0))/(IF(ISNUMBER(L193),$C$3,0)+IF(ISNUMBER(M193),$E$3,0)))</f>
        <v>0.480488621151272</v>
      </c>
      <c r="O193" s="12"/>
      <c r="P193" s="7" t="n">
        <f aca="false">IF(O193&lt;&gt;"","",COUNTIFS($A$6:$A$338,A193,$O$6:$O$338,"",$N$6:$N$338,"&gt;"&amp;N193)+COUNTIFS($A$6:A193,A193,$O$6:O193,"",$N$6:N193,N193))</f>
        <v>34</v>
      </c>
      <c r="Q193" s="12" t="str">
        <f aca="false">IF(P193="","Excluded",IF(P193&lt;=5,"Lead",IF(P193&lt;=10,"Next wave","Long list")))</f>
        <v>Long list</v>
      </c>
      <c r="R193" s="10" t="s">
        <v>105</v>
      </c>
      <c r="S193" s="30" t="s">
        <v>528</v>
      </c>
    </row>
    <row r="194" customFormat="false" ht="23.85" hidden="false" customHeight="false" outlineLevel="0" collapsed="false">
      <c r="A194" s="12" t="s">
        <v>19</v>
      </c>
      <c r="B194" s="12" t="s">
        <v>180</v>
      </c>
      <c r="C194" s="10" t="s">
        <v>181</v>
      </c>
      <c r="D194" s="26" t="n">
        <v>6.08</v>
      </c>
      <c r="E194" s="12" t="s">
        <v>102</v>
      </c>
      <c r="F194" s="11" t="n">
        <v>35276.7</v>
      </c>
      <c r="G194" s="10" t="s">
        <v>529</v>
      </c>
      <c r="H194" s="7" t="n">
        <v>14</v>
      </c>
      <c r="I194" s="12" t="s">
        <v>79</v>
      </c>
      <c r="J194" s="12" t="s">
        <v>80</v>
      </c>
      <c r="K194" s="10" t="s">
        <v>111</v>
      </c>
      <c r="L194" s="9" t="n">
        <f aca="false">IF(ISNUMBER(D194),COUNTIF($D$6:$D$338,"&lt;"&amp;D194)/(COUNT($D$6:$D$338)-1),"")</f>
        <v>0.0666666666666667</v>
      </c>
      <c r="M194" s="9" t="n">
        <f aca="false">IF(ISNUMBER(F194),COUNTIF($F$6:$F$338,"&lt;"&amp;F194)/(COUNT($F$6:$F$338)-1),"")</f>
        <v>0.870481927710843</v>
      </c>
      <c r="N194" s="9" t="n">
        <f aca="false">IF(AND(L194="",M194=""),"",(IF(ISNUMBER(L194),$C$3*L194,0)+IF(ISNUMBER(M194),$E$3*M194,0))/(IF(ISNUMBER(L194),$C$3,0)+IF(ISNUMBER(M194),$E$3,0)))</f>
        <v>0.468574297188755</v>
      </c>
      <c r="O194" s="12"/>
      <c r="P194" s="7" t="n">
        <f aca="false">IF(O194&lt;&gt;"","",COUNTIFS($A$6:$A$338,A194,$O$6:$O$338,"",$N$6:$N$338,"&gt;"&amp;N194)+COUNTIFS($A$6:A194,A194,$O$6:O194,"",$N$6:N194,N194))</f>
        <v>35</v>
      </c>
      <c r="Q194" s="12" t="str">
        <f aca="false">IF(P194="","Excluded",IF(P194&lt;=5,"Lead",IF(P194&lt;=10,"Next wave","Long list")))</f>
        <v>Long list</v>
      </c>
      <c r="R194" s="10" t="s">
        <v>82</v>
      </c>
      <c r="S194" s="30" t="s">
        <v>356</v>
      </c>
    </row>
    <row r="195" customFormat="false" ht="23.85" hidden="false" customHeight="false" outlineLevel="0" collapsed="false">
      <c r="A195" s="12" t="s">
        <v>19</v>
      </c>
      <c r="B195" s="12" t="s">
        <v>530</v>
      </c>
      <c r="C195" s="10" t="s">
        <v>531</v>
      </c>
      <c r="D195" s="26" t="n">
        <v>122.21</v>
      </c>
      <c r="E195" s="12" t="s">
        <v>153</v>
      </c>
      <c r="F195" s="11" t="n">
        <v>578.1</v>
      </c>
      <c r="G195" s="10" t="s">
        <v>532</v>
      </c>
      <c r="H195" s="7" t="n">
        <v>4</v>
      </c>
      <c r="I195" s="12" t="s">
        <v>79</v>
      </c>
      <c r="J195" s="12" t="s">
        <v>86</v>
      </c>
      <c r="K195" s="10" t="s">
        <v>104</v>
      </c>
      <c r="L195" s="9" t="n">
        <f aca="false">IF(ISNUMBER(D195),COUNTIF($D$6:$D$338,"&lt;"&amp;D195)/(COUNT($D$6:$D$338)-1),"")</f>
        <v>0.793650793650794</v>
      </c>
      <c r="M195" s="9" t="n">
        <f aca="false">IF(ISNUMBER(F195),COUNTIF($F$6:$F$338,"&lt;"&amp;F195)/(COUNT($F$6:$F$338)-1),"")</f>
        <v>0.129518072289157</v>
      </c>
      <c r="N195" s="9" t="n">
        <f aca="false">IF(AND(L195="",M195=""),"",(IF(ISNUMBER(L195),$C$3*L195,0)+IF(ISNUMBER(M195),$E$3*M195,0))/(IF(ISNUMBER(L195),$C$3,0)+IF(ISNUMBER(M195),$E$3,0)))</f>
        <v>0.461584432969975</v>
      </c>
      <c r="O195" s="12"/>
      <c r="P195" s="7" t="n">
        <f aca="false">IF(O195&lt;&gt;"","",COUNTIFS($A$6:$A$338,A195,$O$6:$O$338,"",$N$6:$N$338,"&gt;"&amp;N195)+COUNTIFS($A$6:A195,A195,$O$6:O195,"",$N$6:N195,N195))</f>
        <v>36</v>
      </c>
      <c r="Q195" s="12" t="str">
        <f aca="false">IF(P195="","Excluded",IF(P195&lt;=5,"Lead",IF(P195&lt;=10,"Next wave","Long list")))</f>
        <v>Long list</v>
      </c>
      <c r="R195" s="10" t="s">
        <v>105</v>
      </c>
      <c r="S195" s="30" t="s">
        <v>533</v>
      </c>
    </row>
    <row r="196" customFormat="false" ht="23.85" hidden="false" customHeight="false" outlineLevel="0" collapsed="false">
      <c r="A196" s="12" t="s">
        <v>19</v>
      </c>
      <c r="B196" s="12" t="s">
        <v>245</v>
      </c>
      <c r="C196" s="10" t="s">
        <v>246</v>
      </c>
      <c r="D196" s="26" t="n">
        <v>39.05</v>
      </c>
      <c r="E196" s="12" t="s">
        <v>77</v>
      </c>
      <c r="F196" s="11" t="n">
        <v>2508.1</v>
      </c>
      <c r="G196" s="10" t="s">
        <v>119</v>
      </c>
      <c r="H196" s="7" t="n">
        <v>15</v>
      </c>
      <c r="I196" s="12" t="s">
        <v>79</v>
      </c>
      <c r="J196" s="12" t="s">
        <v>86</v>
      </c>
      <c r="K196" s="10"/>
      <c r="L196" s="9" t="n">
        <f aca="false">IF(ISNUMBER(D196),COUNTIF($D$6:$D$338,"&lt;"&amp;D196)/(COUNT($D$6:$D$338)-1),"")</f>
        <v>0.590476190476191</v>
      </c>
      <c r="M196" s="9" t="n">
        <f aca="false">IF(ISNUMBER(F196),COUNTIF($F$6:$F$338,"&lt;"&amp;F196)/(COUNT($F$6:$F$338)-1),"")</f>
        <v>0.313253012048193</v>
      </c>
      <c r="N196" s="9" t="n">
        <f aca="false">IF(AND(L196="",M196=""),"",(IF(ISNUMBER(L196),$C$3*L196,0)+IF(ISNUMBER(M196),$E$3*M196,0))/(IF(ISNUMBER(L196),$C$3,0)+IF(ISNUMBER(M196),$E$3,0)))</f>
        <v>0.451864601262192</v>
      </c>
      <c r="O196" s="12"/>
      <c r="P196" s="7" t="n">
        <f aca="false">IF(O196&lt;&gt;"","",COUNTIFS($A$6:$A$338,A196,$O$6:$O$338,"",$N$6:$N$338,"&gt;"&amp;N196)+COUNTIFS($A$6:A196,A196,$O$6:O196,"",$N$6:N196,N196))</f>
        <v>37</v>
      </c>
      <c r="Q196" s="12" t="str">
        <f aca="false">IF(P196="","Excluded",IF(P196&lt;=5,"Lead",IF(P196&lt;=10,"Next wave","Long list")))</f>
        <v>Long list</v>
      </c>
      <c r="R196" s="10" t="s">
        <v>82</v>
      </c>
      <c r="S196" s="30" t="s">
        <v>534</v>
      </c>
    </row>
    <row r="197" customFormat="false" ht="23.85" hidden="false" customHeight="false" outlineLevel="0" collapsed="false">
      <c r="A197" s="12" t="s">
        <v>19</v>
      </c>
      <c r="B197" s="12" t="s">
        <v>535</v>
      </c>
      <c r="C197" s="10" t="s">
        <v>536</v>
      </c>
      <c r="D197" s="26" t="n">
        <v>14.69</v>
      </c>
      <c r="E197" s="12" t="s">
        <v>77</v>
      </c>
      <c r="F197" s="11" t="n">
        <v>5633.9</v>
      </c>
      <c r="G197" s="10" t="s">
        <v>96</v>
      </c>
      <c r="H197" s="7" t="n">
        <v>2</v>
      </c>
      <c r="I197" s="12" t="s">
        <v>85</v>
      </c>
      <c r="J197" s="12" t="s">
        <v>86</v>
      </c>
      <c r="K197" s="10" t="s">
        <v>87</v>
      </c>
      <c r="L197" s="9" t="n">
        <f aca="false">IF(ISNUMBER(D197),COUNTIF($D$6:$D$338,"&lt;"&amp;D197)/(COUNT($D$6:$D$338)-1),"")</f>
        <v>0.33015873015873</v>
      </c>
      <c r="M197" s="9" t="n">
        <f aca="false">IF(ISNUMBER(F197),COUNTIF($F$6:$F$338,"&lt;"&amp;F197)/(COUNT($F$6:$F$338)-1),"")</f>
        <v>0.560240963855422</v>
      </c>
      <c r="N197" s="9" t="n">
        <f aca="false">IF(AND(L197="",M197=""),"",(IF(ISNUMBER(L197),$C$3*L197,0)+IF(ISNUMBER(M197),$E$3*M197,0))/(IF(ISNUMBER(L197),$C$3,0)+IF(ISNUMBER(M197),$E$3,0)))</f>
        <v>0.445199847007076</v>
      </c>
      <c r="O197" s="12"/>
      <c r="P197" s="7" t="n">
        <f aca="false">IF(O197&lt;&gt;"","",COUNTIFS($A$6:$A$338,A197,$O$6:$O$338,"",$N$6:$N$338,"&gt;"&amp;N197)+COUNTIFS($A$6:A197,A197,$O$6:O197,"",$N$6:N197,N197))</f>
        <v>38</v>
      </c>
      <c r="Q197" s="12" t="str">
        <f aca="false">IF(P197="","Excluded",IF(P197&lt;=5,"Lead",IF(P197&lt;=10,"Next wave","Long list")))</f>
        <v>Long list</v>
      </c>
      <c r="R197" s="10" t="s">
        <v>88</v>
      </c>
      <c r="S197" s="30" t="s">
        <v>537</v>
      </c>
    </row>
    <row r="198" customFormat="false" ht="23.85" hidden="false" customHeight="false" outlineLevel="0" collapsed="false">
      <c r="A198" s="12" t="s">
        <v>19</v>
      </c>
      <c r="B198" s="12" t="s">
        <v>368</v>
      </c>
      <c r="C198" s="10" t="s">
        <v>369</v>
      </c>
      <c r="D198" s="26" t="n">
        <v>101.76</v>
      </c>
      <c r="E198" s="12" t="s">
        <v>77</v>
      </c>
      <c r="F198" s="11" t="n">
        <v>517.1</v>
      </c>
      <c r="G198" s="10" t="s">
        <v>538</v>
      </c>
      <c r="H198" s="7" t="n">
        <v>32</v>
      </c>
      <c r="I198" s="12" t="s">
        <v>85</v>
      </c>
      <c r="J198" s="12" t="s">
        <v>86</v>
      </c>
      <c r="K198" s="10" t="s">
        <v>87</v>
      </c>
      <c r="L198" s="9" t="n">
        <f aca="false">IF(ISNUMBER(D198),COUNTIF($D$6:$D$338,"&lt;"&amp;D198)/(COUNT($D$6:$D$338)-1),"")</f>
        <v>0.780952380952381</v>
      </c>
      <c r="M198" s="9" t="n">
        <f aca="false">IF(ISNUMBER(F198),COUNTIF($F$6:$F$338,"&lt;"&amp;F198)/(COUNT($F$6:$F$338)-1),"")</f>
        <v>0.108433734939759</v>
      </c>
      <c r="N198" s="9" t="n">
        <f aca="false">IF(AND(L198="",M198=""),"",(IF(ISNUMBER(L198),$C$3*L198,0)+IF(ISNUMBER(M198),$E$3*M198,0))/(IF(ISNUMBER(L198),$C$3,0)+IF(ISNUMBER(M198),$E$3,0)))</f>
        <v>0.44469305794607</v>
      </c>
      <c r="O198" s="12"/>
      <c r="P198" s="7" t="n">
        <f aca="false">IF(O198&lt;&gt;"","",COUNTIFS($A$6:$A$338,A198,$O$6:$O$338,"",$N$6:$N$338,"&gt;"&amp;N198)+COUNTIFS($A$6:A198,A198,$O$6:O198,"",$N$6:N198,N198))</f>
        <v>39</v>
      </c>
      <c r="Q198" s="12" t="str">
        <f aca="false">IF(P198="","Excluded",IF(P198&lt;=5,"Lead",IF(P198&lt;=10,"Next wave","Long list")))</f>
        <v>Long list</v>
      </c>
      <c r="R198" s="10" t="s">
        <v>88</v>
      </c>
      <c r="S198" s="30" t="s">
        <v>370</v>
      </c>
    </row>
    <row r="199" customFormat="false" ht="23.85" hidden="false" customHeight="false" outlineLevel="0" collapsed="false">
      <c r="A199" s="12" t="s">
        <v>19</v>
      </c>
      <c r="B199" s="12" t="s">
        <v>403</v>
      </c>
      <c r="C199" s="10" t="s">
        <v>404</v>
      </c>
      <c r="D199" s="26" t="n">
        <v>113.73</v>
      </c>
      <c r="E199" s="12" t="s">
        <v>77</v>
      </c>
      <c r="F199" s="11" t="n">
        <v>301.7</v>
      </c>
      <c r="G199" s="10" t="s">
        <v>279</v>
      </c>
      <c r="H199" s="7" t="n">
        <v>22</v>
      </c>
      <c r="I199" s="12" t="s">
        <v>79</v>
      </c>
      <c r="J199" s="12" t="s">
        <v>86</v>
      </c>
      <c r="K199" s="10" t="s">
        <v>104</v>
      </c>
      <c r="L199" s="9" t="n">
        <f aca="false">IF(ISNUMBER(D199),COUNTIF($D$6:$D$338,"&lt;"&amp;D199)/(COUNT($D$6:$D$338)-1),"")</f>
        <v>0.784126984126984</v>
      </c>
      <c r="M199" s="9" t="n">
        <f aca="false">IF(ISNUMBER(F199),COUNTIF($F$6:$F$338,"&lt;"&amp;F199)/(COUNT($F$6:$F$338)-1),"")</f>
        <v>0.0813253012048193</v>
      </c>
      <c r="N199" s="9" t="n">
        <f aca="false">IF(AND(L199="",M199=""),"",(IF(ISNUMBER(L199),$C$3*L199,0)+IF(ISNUMBER(M199),$E$3*M199,0))/(IF(ISNUMBER(L199),$C$3,0)+IF(ISNUMBER(M199),$E$3,0)))</f>
        <v>0.432726142665902</v>
      </c>
      <c r="O199" s="12"/>
      <c r="P199" s="7" t="n">
        <f aca="false">IF(O199&lt;&gt;"","",COUNTIFS($A$6:$A$338,A199,$O$6:$O$338,"",$N$6:$N$338,"&gt;"&amp;N199)+COUNTIFS($A$6:A199,A199,$O$6:O199,"",$N$6:N199,N199))</f>
        <v>40</v>
      </c>
      <c r="Q199" s="12" t="str">
        <f aca="false">IF(P199="","Excluded",IF(P199&lt;=5,"Lead",IF(P199&lt;=10,"Next wave","Long list")))</f>
        <v>Long list</v>
      </c>
      <c r="R199" s="10" t="s">
        <v>82</v>
      </c>
      <c r="S199" s="30" t="s">
        <v>406</v>
      </c>
    </row>
    <row r="200" customFormat="false" ht="23.85" hidden="false" customHeight="false" outlineLevel="0" collapsed="false">
      <c r="A200" s="12" t="s">
        <v>19</v>
      </c>
      <c r="B200" s="12" t="s">
        <v>342</v>
      </c>
      <c r="C200" s="10" t="s">
        <v>343</v>
      </c>
      <c r="D200" s="26" t="n">
        <v>25.16</v>
      </c>
      <c r="E200" s="12" t="s">
        <v>77</v>
      </c>
      <c r="F200" s="11" t="n">
        <v>2770.2</v>
      </c>
      <c r="G200" s="10" t="s">
        <v>539</v>
      </c>
      <c r="H200" s="7" t="n">
        <v>24</v>
      </c>
      <c r="I200" s="12" t="s">
        <v>79</v>
      </c>
      <c r="J200" s="12" t="s">
        <v>86</v>
      </c>
      <c r="K200" s="10" t="s">
        <v>104</v>
      </c>
      <c r="L200" s="9" t="n">
        <f aca="false">IF(ISNUMBER(D200),COUNTIF($D$6:$D$338,"&lt;"&amp;D200)/(COUNT($D$6:$D$338)-1),"")</f>
        <v>0.479365079365079</v>
      </c>
      <c r="M200" s="9" t="n">
        <f aca="false">IF(ISNUMBER(F200),COUNTIF($F$6:$F$338,"&lt;"&amp;F200)/(COUNT($F$6:$F$338)-1),"")</f>
        <v>0.346385542168675</v>
      </c>
      <c r="N200" s="9" t="n">
        <f aca="false">IF(AND(L200="",M200=""),"",(IF(ISNUMBER(L200),$C$3*L200,0)+IF(ISNUMBER(M200),$E$3*M200,0))/(IF(ISNUMBER(L200),$C$3,0)+IF(ISNUMBER(M200),$E$3,0)))</f>
        <v>0.412875310766877</v>
      </c>
      <c r="O200" s="12"/>
      <c r="P200" s="7" t="n">
        <f aca="false">IF(O200&lt;&gt;"","",COUNTIFS($A$6:$A$338,A200,$O$6:$O$338,"",$N$6:$N$338,"&gt;"&amp;N200)+COUNTIFS($A$6:A200,A200,$O$6:O200,"",$N$6:N200,N200))</f>
        <v>41</v>
      </c>
      <c r="Q200" s="12" t="str">
        <f aca="false">IF(P200="","Excluded",IF(P200&lt;=5,"Lead",IF(P200&lt;=10,"Next wave","Long list")))</f>
        <v>Long list</v>
      </c>
      <c r="R200" s="10" t="s">
        <v>105</v>
      </c>
      <c r="S200" s="30" t="s">
        <v>345</v>
      </c>
    </row>
    <row r="201" customFormat="false" ht="23.85" hidden="false" customHeight="false" outlineLevel="0" collapsed="false">
      <c r="A201" s="12" t="s">
        <v>19</v>
      </c>
      <c r="B201" s="12" t="s">
        <v>473</v>
      </c>
      <c r="C201" s="10" t="s">
        <v>474</v>
      </c>
      <c r="D201" s="26" t="n">
        <v>6.44</v>
      </c>
      <c r="E201" s="12" t="s">
        <v>102</v>
      </c>
      <c r="F201" s="11" t="n">
        <v>13516.1</v>
      </c>
      <c r="G201" s="10" t="s">
        <v>187</v>
      </c>
      <c r="H201" s="7" t="n">
        <v>6</v>
      </c>
      <c r="I201" s="12" t="s">
        <v>79</v>
      </c>
      <c r="J201" s="12" t="s">
        <v>80</v>
      </c>
      <c r="K201" s="10" t="s">
        <v>111</v>
      </c>
      <c r="L201" s="9" t="n">
        <f aca="false">IF(ISNUMBER(D201),COUNTIF($D$6:$D$338,"&lt;"&amp;D201)/(COUNT($D$6:$D$338)-1),"")</f>
        <v>0.0920634920634921</v>
      </c>
      <c r="M201" s="9" t="n">
        <f aca="false">IF(ISNUMBER(F201),COUNTIF($F$6:$F$338,"&lt;"&amp;F201)/(COUNT($F$6:$F$338)-1),"")</f>
        <v>0.731927710843374</v>
      </c>
      <c r="N201" s="9" t="n">
        <f aca="false">IF(AND(L201="",M201=""),"",(IF(ISNUMBER(L201),$C$3*L201,0)+IF(ISNUMBER(M201),$E$3*M201,0))/(IF(ISNUMBER(L201),$C$3,0)+IF(ISNUMBER(M201),$E$3,0)))</f>
        <v>0.411995601453433</v>
      </c>
      <c r="O201" s="12"/>
      <c r="P201" s="7" t="n">
        <f aca="false">IF(O201&lt;&gt;"","",COUNTIFS($A$6:$A$338,A201,$O$6:$O$338,"",$N$6:$N$338,"&gt;"&amp;N201)+COUNTIFS($A$6:A201,A201,$O$6:O201,"",$N$6:N201,N201))</f>
        <v>42</v>
      </c>
      <c r="Q201" s="12" t="str">
        <f aca="false">IF(P201="","Excluded",IF(P201&lt;=5,"Lead",IF(P201&lt;=10,"Next wave","Long list")))</f>
        <v>Long list</v>
      </c>
      <c r="R201" s="10" t="s">
        <v>82</v>
      </c>
      <c r="S201" s="30" t="s">
        <v>476</v>
      </c>
    </row>
    <row r="202" customFormat="false" ht="23.85" hidden="false" customHeight="false" outlineLevel="0" collapsed="false">
      <c r="A202" s="12" t="s">
        <v>19</v>
      </c>
      <c r="B202" s="12" t="s">
        <v>540</v>
      </c>
      <c r="C202" s="10" t="s">
        <v>509</v>
      </c>
      <c r="D202" s="26" t="n">
        <v>92.62</v>
      </c>
      <c r="E202" s="12" t="s">
        <v>77</v>
      </c>
      <c r="F202" s="11" t="n">
        <v>140.9</v>
      </c>
      <c r="G202" s="10" t="s">
        <v>78</v>
      </c>
      <c r="H202" s="7" t="n">
        <v>31</v>
      </c>
      <c r="I202" s="12" t="s">
        <v>79</v>
      </c>
      <c r="J202" s="12" t="s">
        <v>86</v>
      </c>
      <c r="K202" s="10" t="s">
        <v>111</v>
      </c>
      <c r="L202" s="9" t="n">
        <f aca="false">IF(ISNUMBER(D202),COUNTIF($D$6:$D$338,"&lt;"&amp;D202)/(COUNT($D$6:$D$338)-1),"")</f>
        <v>0.761904761904762</v>
      </c>
      <c r="M202" s="9" t="n">
        <f aca="false">IF(ISNUMBER(F202),COUNTIF($F$6:$F$338,"&lt;"&amp;F202)/(COUNT($F$6:$F$338)-1),"")</f>
        <v>0.0421686746987952</v>
      </c>
      <c r="N202" s="9" t="n">
        <f aca="false">IF(AND(L202="",M202=""),"",(IF(ISNUMBER(L202),$C$3*L202,0)+IF(ISNUMBER(M202),$E$3*M202,0))/(IF(ISNUMBER(L202),$C$3,0)+IF(ISNUMBER(M202),$E$3,0)))</f>
        <v>0.402036718301779</v>
      </c>
      <c r="O202" s="12"/>
      <c r="P202" s="7" t="n">
        <f aca="false">IF(O202&lt;&gt;"","",COUNTIFS($A$6:$A$338,A202,$O$6:$O$338,"",$N$6:$N$338,"&gt;"&amp;N202)+COUNTIFS($A$6:A202,A202,$O$6:O202,"",$N$6:N202,N202))</f>
        <v>43</v>
      </c>
      <c r="Q202" s="12" t="str">
        <f aca="false">IF(P202="","Excluded",IF(P202&lt;=5,"Lead",IF(P202&lt;=10,"Next wave","Long list")))</f>
        <v>Long list</v>
      </c>
      <c r="R202" s="10" t="s">
        <v>105</v>
      </c>
      <c r="S202" s="30" t="s">
        <v>541</v>
      </c>
    </row>
    <row r="203" customFormat="false" ht="23.85" hidden="false" customHeight="false" outlineLevel="0" collapsed="false">
      <c r="A203" s="12" t="s">
        <v>19</v>
      </c>
      <c r="B203" s="12" t="s">
        <v>542</v>
      </c>
      <c r="C203" s="10" t="s">
        <v>543</v>
      </c>
      <c r="D203" s="26" t="n">
        <v>11.33</v>
      </c>
      <c r="E203" s="12" t="s">
        <v>102</v>
      </c>
      <c r="F203" s="11" t="n">
        <v>4675.1</v>
      </c>
      <c r="G203" s="10" t="s">
        <v>279</v>
      </c>
      <c r="H203" s="7" t="n">
        <v>24</v>
      </c>
      <c r="I203" s="12" t="s">
        <v>544</v>
      </c>
      <c r="J203" s="12" t="s">
        <v>86</v>
      </c>
      <c r="K203" s="10"/>
      <c r="L203" s="9" t="n">
        <f aca="false">IF(ISNUMBER(D203),COUNTIF($D$6:$D$338,"&lt;"&amp;D203)/(COUNT($D$6:$D$338)-1),"")</f>
        <v>0.273015873015873</v>
      </c>
      <c r="M203" s="9" t="n">
        <f aca="false">IF(ISNUMBER(F203),COUNTIF($F$6:$F$338,"&lt;"&amp;F203)/(COUNT($F$6:$F$338)-1),"")</f>
        <v>0.52710843373494</v>
      </c>
      <c r="N203" s="9" t="n">
        <f aca="false">IF(AND(L203="",M203=""),"",(IF(ISNUMBER(L203),$C$3*L203,0)+IF(ISNUMBER(M203),$E$3*M203,0))/(IF(ISNUMBER(L203),$C$3,0)+IF(ISNUMBER(M203),$E$3,0)))</f>
        <v>0.400062153375406</v>
      </c>
      <c r="O203" s="12"/>
      <c r="P203" s="7" t="n">
        <f aca="false">IF(O203&lt;&gt;"","",COUNTIFS($A$6:$A$338,A203,$O$6:$O$338,"",$N$6:$N$338,"&gt;"&amp;N203)+COUNTIFS($A$6:A203,A203,$O$6:O203,"",$N$6:N203,N203))</f>
        <v>44</v>
      </c>
      <c r="Q203" s="12" t="str">
        <f aca="false">IF(P203="","Excluded",IF(P203&lt;=5,"Lead",IF(P203&lt;=10,"Next wave","Long list")))</f>
        <v>Long list</v>
      </c>
      <c r="R203" s="10" t="s">
        <v>105</v>
      </c>
      <c r="S203" s="30" t="s">
        <v>545</v>
      </c>
    </row>
    <row r="204" customFormat="false" ht="35.05" hidden="false" customHeight="false" outlineLevel="0" collapsed="false">
      <c r="A204" s="12" t="s">
        <v>19</v>
      </c>
      <c r="B204" s="12" t="s">
        <v>269</v>
      </c>
      <c r="C204" s="10" t="s">
        <v>270</v>
      </c>
      <c r="D204" s="26" t="n">
        <v>9.65</v>
      </c>
      <c r="E204" s="12" t="s">
        <v>153</v>
      </c>
      <c r="F204" s="11" t="n">
        <v>6294.9</v>
      </c>
      <c r="G204" s="10" t="s">
        <v>140</v>
      </c>
      <c r="H204" s="7" t="n">
        <v>4</v>
      </c>
      <c r="I204" s="12" t="s">
        <v>79</v>
      </c>
      <c r="J204" s="12" t="s">
        <v>80</v>
      </c>
      <c r="K204" s="10" t="s">
        <v>111</v>
      </c>
      <c r="L204" s="9" t="n">
        <f aca="false">IF(ISNUMBER(D204),COUNTIF($D$6:$D$338,"&lt;"&amp;D204)/(COUNT($D$6:$D$338)-1),"")</f>
        <v>0.203174603174603</v>
      </c>
      <c r="M204" s="9" t="n">
        <f aca="false">IF(ISNUMBER(F204),COUNTIF($F$6:$F$338,"&lt;"&amp;F204)/(COUNT($F$6:$F$338)-1),"")</f>
        <v>0.593373493975904</v>
      </c>
      <c r="N204" s="9" t="n">
        <f aca="false">IF(AND(L204="",M204=""),"",(IF(ISNUMBER(L204),$C$3*L204,0)+IF(ISNUMBER(M204),$E$3*M204,0))/(IF(ISNUMBER(L204),$C$3,0)+IF(ISNUMBER(M204),$E$3,0)))</f>
        <v>0.398274048575253</v>
      </c>
      <c r="O204" s="12"/>
      <c r="P204" s="7" t="n">
        <f aca="false">IF(O204&lt;&gt;"","",COUNTIFS($A$6:$A$338,A204,$O$6:$O$338,"",$N$6:$N$338,"&gt;"&amp;N204)+COUNTIFS($A$6:A204,A204,$O$6:O204,"",$N$6:N204,N204))</f>
        <v>45</v>
      </c>
      <c r="Q204" s="12" t="str">
        <f aca="false">IF(P204="","Excluded",IF(P204&lt;=5,"Lead",IF(P204&lt;=10,"Next wave","Long list")))</f>
        <v>Long list</v>
      </c>
      <c r="R204" s="10" t="s">
        <v>82</v>
      </c>
      <c r="S204" s="30" t="s">
        <v>378</v>
      </c>
    </row>
    <row r="205" customFormat="false" ht="23.85" hidden="false" customHeight="false" outlineLevel="0" collapsed="false">
      <c r="A205" s="12" t="s">
        <v>19</v>
      </c>
      <c r="B205" s="12" t="s">
        <v>240</v>
      </c>
      <c r="C205" s="10" t="s">
        <v>241</v>
      </c>
      <c r="D205" s="26" t="n">
        <v>5.1</v>
      </c>
      <c r="E205" s="12" t="s">
        <v>102</v>
      </c>
      <c r="F205" s="11" t="n">
        <v>20184.3</v>
      </c>
      <c r="G205" s="10" t="s">
        <v>379</v>
      </c>
      <c r="H205" s="7" t="n">
        <v>12</v>
      </c>
      <c r="I205" s="12" t="s">
        <v>172</v>
      </c>
      <c r="J205" s="12" t="s">
        <v>86</v>
      </c>
      <c r="K205" s="10"/>
      <c r="L205" s="9" t="n">
        <f aca="false">IF(ISNUMBER(D205),COUNTIF($D$6:$D$338,"&lt;"&amp;D205)/(COUNT($D$6:$D$338)-1),"")</f>
        <v>0.0158730158730159</v>
      </c>
      <c r="M205" s="9" t="n">
        <f aca="false">IF(ISNUMBER(F205),COUNTIF($F$6:$F$338,"&lt;"&amp;F205)/(COUNT($F$6:$F$338)-1),"")</f>
        <v>0.774096385542169</v>
      </c>
      <c r="N205" s="9" t="n">
        <f aca="false">IF(AND(L205="",M205=""),"",(IF(ISNUMBER(L205),$C$3*L205,0)+IF(ISNUMBER(M205),$E$3*M205,0))/(IF(ISNUMBER(L205),$C$3,0)+IF(ISNUMBER(M205),$E$3,0)))</f>
        <v>0.394984700707592</v>
      </c>
      <c r="O205" s="12"/>
      <c r="P205" s="7" t="n">
        <f aca="false">IF(O205&lt;&gt;"","",COUNTIFS($A$6:$A$338,A205,$O$6:$O$338,"",$N$6:$N$338,"&gt;"&amp;N205)+COUNTIFS($A$6:A205,A205,$O$6:O205,"",$N$6:N205,N205))</f>
        <v>46</v>
      </c>
      <c r="Q205" s="12" t="str">
        <f aca="false">IF(P205="","Excluded",IF(P205&lt;=5,"Lead",IF(P205&lt;=10,"Next wave","Long list")))</f>
        <v>Long list</v>
      </c>
      <c r="R205" s="10" t="s">
        <v>82</v>
      </c>
      <c r="S205" s="30" t="s">
        <v>484</v>
      </c>
    </row>
    <row r="206" customFormat="false" ht="23.85" hidden="false" customHeight="false" outlineLevel="0" collapsed="false">
      <c r="A206" s="12" t="s">
        <v>19</v>
      </c>
      <c r="B206" s="12" t="s">
        <v>546</v>
      </c>
      <c r="C206" s="10" t="s">
        <v>547</v>
      </c>
      <c r="D206" s="26" t="n">
        <v>6.7</v>
      </c>
      <c r="E206" s="12" t="s">
        <v>77</v>
      </c>
      <c r="F206" s="11" t="n">
        <v>7739</v>
      </c>
      <c r="G206" s="10" t="s">
        <v>91</v>
      </c>
      <c r="H206" s="7" t="n">
        <v>28</v>
      </c>
      <c r="I206" s="12" t="s">
        <v>79</v>
      </c>
      <c r="J206" s="12" t="s">
        <v>86</v>
      </c>
      <c r="K206" s="10" t="s">
        <v>104</v>
      </c>
      <c r="L206" s="9" t="n">
        <f aca="false">IF(ISNUMBER(D206),COUNTIF($D$6:$D$338,"&lt;"&amp;D206)/(COUNT($D$6:$D$338)-1),"")</f>
        <v>0.107936507936508</v>
      </c>
      <c r="M206" s="9" t="n">
        <f aca="false">IF(ISNUMBER(F206),COUNTIF($F$6:$F$338,"&lt;"&amp;F206)/(COUNT($F$6:$F$338)-1),"")</f>
        <v>0.647590361445783</v>
      </c>
      <c r="N206" s="9" t="n">
        <f aca="false">IF(AND(L206="",M206=""),"",(IF(ISNUMBER(L206),$C$3*L206,0)+IF(ISNUMBER(M206),$E$3*M206,0))/(IF(ISNUMBER(L206),$C$3,0)+IF(ISNUMBER(M206),$E$3,0)))</f>
        <v>0.377763434691146</v>
      </c>
      <c r="O206" s="12"/>
      <c r="P206" s="7" t="n">
        <f aca="false">IF(O206&lt;&gt;"","",COUNTIFS($A$6:$A$338,A206,$O$6:$O$338,"",$N$6:$N$338,"&gt;"&amp;N206)+COUNTIFS($A$6:A206,A206,$O$6:O206,"",$N$6:N206,N206))</f>
        <v>47</v>
      </c>
      <c r="Q206" s="12" t="str">
        <f aca="false">IF(P206="","Excluded",IF(P206&lt;=5,"Lead",IF(P206&lt;=10,"Next wave","Long list")))</f>
        <v>Long list</v>
      </c>
      <c r="R206" s="10" t="s">
        <v>105</v>
      </c>
      <c r="S206" s="30" t="s">
        <v>548</v>
      </c>
    </row>
    <row r="207" customFormat="false" ht="23.85" hidden="false" customHeight="false" outlineLevel="0" collapsed="false">
      <c r="A207" s="12" t="s">
        <v>19</v>
      </c>
      <c r="B207" s="12" t="s">
        <v>549</v>
      </c>
      <c r="C207" s="10" t="s">
        <v>550</v>
      </c>
      <c r="D207" s="26" t="n">
        <v>13.54</v>
      </c>
      <c r="E207" s="12" t="s">
        <v>102</v>
      </c>
      <c r="F207" s="11" t="n">
        <v>2902.1</v>
      </c>
      <c r="G207" s="10" t="s">
        <v>551</v>
      </c>
      <c r="H207" s="7" t="n">
        <v>6</v>
      </c>
      <c r="I207" s="12" t="s">
        <v>79</v>
      </c>
      <c r="J207" s="12" t="s">
        <v>86</v>
      </c>
      <c r="K207" s="10"/>
      <c r="L207" s="9" t="n">
        <f aca="false">IF(ISNUMBER(D207),COUNTIF($D$6:$D$338,"&lt;"&amp;D207)/(COUNT($D$6:$D$338)-1),"")</f>
        <v>0.304761904761905</v>
      </c>
      <c r="M207" s="9" t="n">
        <f aca="false">IF(ISNUMBER(F207),COUNTIF($F$6:$F$338,"&lt;"&amp;F207)/(COUNT($F$6:$F$338)-1),"")</f>
        <v>0.38855421686747</v>
      </c>
      <c r="N207" s="9" t="n">
        <f aca="false">IF(AND(L207="",M207=""),"",(IF(ISNUMBER(L207),$C$3*L207,0)+IF(ISNUMBER(M207),$E$3*M207,0))/(IF(ISNUMBER(L207),$C$3,0)+IF(ISNUMBER(M207),$E$3,0)))</f>
        <v>0.346658060814687</v>
      </c>
      <c r="O207" s="12"/>
      <c r="P207" s="7" t="n">
        <f aca="false">IF(O207&lt;&gt;"","",COUNTIFS($A$6:$A$338,A207,$O$6:$O$338,"",$N$6:$N$338,"&gt;"&amp;N207)+COUNTIFS($A$6:A207,A207,$O$6:O207,"",$N$6:N207,N207))</f>
        <v>48</v>
      </c>
      <c r="Q207" s="12" t="str">
        <f aca="false">IF(P207="","Excluded",IF(P207&lt;=5,"Lead",IF(P207&lt;=10,"Next wave","Long list")))</f>
        <v>Long list</v>
      </c>
      <c r="R207" s="10" t="s">
        <v>105</v>
      </c>
      <c r="S207" s="30" t="s">
        <v>552</v>
      </c>
    </row>
    <row r="208" customFormat="false" ht="23.85" hidden="false" customHeight="false" outlineLevel="0" collapsed="false">
      <c r="A208" s="12" t="s">
        <v>19</v>
      </c>
      <c r="B208" s="12" t="s">
        <v>423</v>
      </c>
      <c r="C208" s="10" t="s">
        <v>424</v>
      </c>
      <c r="D208" s="26" t="n">
        <v>6.07</v>
      </c>
      <c r="E208" s="12" t="s">
        <v>153</v>
      </c>
      <c r="F208" s="11" t="n">
        <v>6287.6</v>
      </c>
      <c r="G208" s="10" t="s">
        <v>96</v>
      </c>
      <c r="H208" s="7" t="n">
        <v>1</v>
      </c>
      <c r="I208" s="12" t="s">
        <v>79</v>
      </c>
      <c r="J208" s="12" t="s">
        <v>80</v>
      </c>
      <c r="K208" s="10" t="s">
        <v>111</v>
      </c>
      <c r="L208" s="9" t="n">
        <f aca="false">IF(ISNUMBER(D208),COUNTIF($D$6:$D$338,"&lt;"&amp;D208)/(COUNT($D$6:$D$338)-1),"")</f>
        <v>0.0634920634920635</v>
      </c>
      <c r="M208" s="9" t="n">
        <f aca="false">IF(ISNUMBER(F208),COUNTIF($F$6:$F$338,"&lt;"&amp;F208)/(COUNT($F$6:$F$338)-1),"")</f>
        <v>0.587349397590361</v>
      </c>
      <c r="N208" s="9" t="n">
        <f aca="false">IF(AND(L208="",M208=""),"",(IF(ISNUMBER(L208),$C$3*L208,0)+IF(ISNUMBER(M208),$E$3*M208,0))/(IF(ISNUMBER(L208),$C$3,0)+IF(ISNUMBER(M208),$E$3,0)))</f>
        <v>0.325420730541212</v>
      </c>
      <c r="O208" s="12"/>
      <c r="P208" s="7" t="n">
        <f aca="false">IF(O208&lt;&gt;"","",COUNTIFS($A$6:$A$338,A208,$O$6:$O$338,"",$N$6:$N$338,"&gt;"&amp;N208)+COUNTIFS($A$6:A208,A208,$O$6:O208,"",$N$6:N208,N208))</f>
        <v>49</v>
      </c>
      <c r="Q208" s="12" t="str">
        <f aca="false">IF(P208="","Excluded",IF(P208&lt;=5,"Lead",IF(P208&lt;=10,"Next wave","Long list")))</f>
        <v>Long list</v>
      </c>
      <c r="R208" s="10" t="s">
        <v>105</v>
      </c>
      <c r="S208" s="30" t="s">
        <v>425</v>
      </c>
    </row>
    <row r="209" customFormat="false" ht="23.85" hidden="false" customHeight="false" outlineLevel="0" collapsed="false">
      <c r="A209" s="12" t="s">
        <v>19</v>
      </c>
      <c r="B209" s="12" t="s">
        <v>553</v>
      </c>
      <c r="C209" s="10" t="s">
        <v>241</v>
      </c>
      <c r="D209" s="26" t="n">
        <v>5.48</v>
      </c>
      <c r="E209" s="12" t="s">
        <v>153</v>
      </c>
      <c r="F209" s="11" t="n">
        <v>3257.6</v>
      </c>
      <c r="G209" s="10" t="s">
        <v>96</v>
      </c>
      <c r="H209" s="7" t="n">
        <v>1</v>
      </c>
      <c r="I209" s="12" t="s">
        <v>97</v>
      </c>
      <c r="J209" s="12" t="s">
        <v>97</v>
      </c>
      <c r="K209" s="10"/>
      <c r="L209" s="9" t="n">
        <f aca="false">IF(ISNUMBER(D209),COUNTIF($D$6:$D$338,"&lt;"&amp;D209)/(COUNT($D$6:$D$338)-1),"")</f>
        <v>0.0444444444444444</v>
      </c>
      <c r="M209" s="9" t="n">
        <f aca="false">IF(ISNUMBER(F209),COUNTIF($F$6:$F$338,"&lt;"&amp;F209)/(COUNT($F$6:$F$338)-1),"")</f>
        <v>0.433734939759036</v>
      </c>
      <c r="N209" s="9" t="n">
        <f aca="false">IF(AND(L209="",M209=""),"",(IF(ISNUMBER(L209),$C$3*L209,0)+IF(ISNUMBER(M209),$E$3*M209,0))/(IF(ISNUMBER(L209),$C$3,0)+IF(ISNUMBER(M209),$E$3,0)))</f>
        <v>0.23908969210174</v>
      </c>
      <c r="O209" s="12"/>
      <c r="P209" s="7" t="n">
        <f aca="false">IF(O209&lt;&gt;"","",COUNTIFS($A$6:$A$338,A209,$O$6:$O$338,"",$N$6:$N$338,"&gt;"&amp;N209)+COUNTIFS($A$6:A209,A209,$O$6:O209,"",$N$6:N209,N209))</f>
        <v>50</v>
      </c>
      <c r="Q209" s="12" t="str">
        <f aca="false">IF(P209="","Excluded",IF(P209&lt;=5,"Lead",IF(P209&lt;=10,"Next wave","Long list")))</f>
        <v>Long list</v>
      </c>
      <c r="R209" s="10" t="s">
        <v>99</v>
      </c>
      <c r="S209" s="30" t="s">
        <v>554</v>
      </c>
    </row>
    <row r="210" customFormat="false" ht="23.85" hidden="false" customHeight="false" outlineLevel="0" collapsed="false">
      <c r="A210" s="12" t="s">
        <v>19</v>
      </c>
      <c r="B210" s="12" t="s">
        <v>477</v>
      </c>
      <c r="C210" s="10" t="s">
        <v>478</v>
      </c>
      <c r="D210" s="26" t="n">
        <v>9.75</v>
      </c>
      <c r="E210" s="12" t="s">
        <v>77</v>
      </c>
      <c r="F210" s="11" t="n">
        <v>2033.7</v>
      </c>
      <c r="G210" s="10" t="s">
        <v>539</v>
      </c>
      <c r="H210" s="7" t="n">
        <v>22</v>
      </c>
      <c r="I210" s="12" t="s">
        <v>79</v>
      </c>
      <c r="J210" s="12" t="s">
        <v>80</v>
      </c>
      <c r="K210" s="10" t="s">
        <v>111</v>
      </c>
      <c r="L210" s="9" t="n">
        <f aca="false">IF(ISNUMBER(D210),COUNTIF($D$6:$D$338,"&lt;"&amp;D210)/(COUNT($D$6:$D$338)-1),"")</f>
        <v>0.20952380952381</v>
      </c>
      <c r="M210" s="9" t="n">
        <f aca="false">IF(ISNUMBER(F210),COUNTIF($F$6:$F$338,"&lt;"&amp;F210)/(COUNT($F$6:$F$338)-1),"")</f>
        <v>0.268072289156627</v>
      </c>
      <c r="N210" s="9" t="n">
        <f aca="false">IF(AND(L210="",M210=""),"",(IF(ISNUMBER(L210),$C$3*L210,0)+IF(ISNUMBER(M210),$E$3*M210,0))/(IF(ISNUMBER(L210),$C$3,0)+IF(ISNUMBER(M210),$E$3,0)))</f>
        <v>0.238798049340218</v>
      </c>
      <c r="O210" s="12"/>
      <c r="P210" s="7" t="n">
        <f aca="false">IF(O210&lt;&gt;"","",COUNTIFS($A$6:$A$338,A210,$O$6:$O$338,"",$N$6:$N$338,"&gt;"&amp;N210)+COUNTIFS($A$6:A210,A210,$O$6:O210,"",$N$6:N210,N210))</f>
        <v>51</v>
      </c>
      <c r="Q210" s="12" t="str">
        <f aca="false">IF(P210="","Excluded",IF(P210&lt;=5,"Lead",IF(P210&lt;=10,"Next wave","Long list")))</f>
        <v>Long list</v>
      </c>
      <c r="R210" s="10" t="s">
        <v>105</v>
      </c>
      <c r="S210" s="30" t="s">
        <v>479</v>
      </c>
    </row>
    <row r="211" customFormat="false" ht="23.85" hidden="false" customHeight="false" outlineLevel="0" collapsed="false">
      <c r="A211" s="12" t="s">
        <v>19</v>
      </c>
      <c r="B211" s="12" t="s">
        <v>265</v>
      </c>
      <c r="C211" s="10" t="s">
        <v>266</v>
      </c>
      <c r="D211" s="26" t="n">
        <v>5.12</v>
      </c>
      <c r="E211" s="12" t="s">
        <v>153</v>
      </c>
      <c r="F211" s="11" t="n">
        <v>3067.4</v>
      </c>
      <c r="G211" s="10" t="s">
        <v>323</v>
      </c>
      <c r="H211" s="7" t="n">
        <v>1</v>
      </c>
      <c r="I211" s="12" t="s">
        <v>85</v>
      </c>
      <c r="J211" s="12" t="s">
        <v>86</v>
      </c>
      <c r="K211" s="10" t="s">
        <v>87</v>
      </c>
      <c r="L211" s="9" t="n">
        <f aca="false">IF(ISNUMBER(D211),COUNTIF($D$6:$D$338,"&lt;"&amp;D211)/(COUNT($D$6:$D$338)-1),"")</f>
        <v>0.0190476190476191</v>
      </c>
      <c r="M211" s="9" t="n">
        <f aca="false">IF(ISNUMBER(F211),COUNTIF($F$6:$F$338,"&lt;"&amp;F211)/(COUNT($F$6:$F$338)-1),"")</f>
        <v>0.418674698795181</v>
      </c>
      <c r="N211" s="9" t="n">
        <f aca="false">IF(AND(L211="",M211=""),"",(IF(ISNUMBER(L211),$C$3*L211,0)+IF(ISNUMBER(M211),$E$3*M211,0))/(IF(ISNUMBER(L211),$C$3,0)+IF(ISNUMBER(M211),$E$3,0)))</f>
        <v>0.2188611589214</v>
      </c>
      <c r="O211" s="12"/>
      <c r="P211" s="7" t="n">
        <f aca="false">IF(O211&lt;&gt;"","",COUNTIFS($A$6:$A$338,A211,$O$6:$O$338,"",$N$6:$N$338,"&gt;"&amp;N211)+COUNTIFS($A$6:A211,A211,$O$6:O211,"",$N$6:N211,N211))</f>
        <v>52</v>
      </c>
      <c r="Q211" s="12" t="str">
        <f aca="false">IF(P211="","Excluded",IF(P211&lt;=5,"Lead",IF(P211&lt;=10,"Next wave","Long list")))</f>
        <v>Long list</v>
      </c>
      <c r="R211" s="10" t="s">
        <v>88</v>
      </c>
      <c r="S211" s="30" t="s">
        <v>454</v>
      </c>
    </row>
    <row r="212" customFormat="false" ht="23.85" hidden="false" customHeight="false" outlineLevel="0" collapsed="false">
      <c r="A212" s="12" t="s">
        <v>19</v>
      </c>
      <c r="B212" s="12" t="s">
        <v>555</v>
      </c>
      <c r="C212" s="10" t="s">
        <v>556</v>
      </c>
      <c r="D212" s="26" t="n">
        <v>9.93</v>
      </c>
      <c r="E212" s="12" t="s">
        <v>77</v>
      </c>
      <c r="F212" s="11" t="n">
        <v>1228.5</v>
      </c>
      <c r="G212" s="10" t="s">
        <v>323</v>
      </c>
      <c r="H212" s="7" t="n">
        <v>1</v>
      </c>
      <c r="I212" s="12" t="s">
        <v>79</v>
      </c>
      <c r="J212" s="12" t="s">
        <v>86</v>
      </c>
      <c r="K212" s="10" t="s">
        <v>104</v>
      </c>
      <c r="L212" s="9" t="n">
        <f aca="false">IF(ISNUMBER(D212),COUNTIF($D$6:$D$338,"&lt;"&amp;D212)/(COUNT($D$6:$D$338)-1),"")</f>
        <v>0.228571428571429</v>
      </c>
      <c r="M212" s="9" t="n">
        <f aca="false">IF(ISNUMBER(F212),COUNTIF($F$6:$F$338,"&lt;"&amp;F212)/(COUNT($F$6:$F$338)-1),"")</f>
        <v>0.177710843373494</v>
      </c>
      <c r="N212" s="9" t="n">
        <f aca="false">IF(AND(L212="",M212=""),"",(IF(ISNUMBER(L212),$C$3*L212,0)+IF(ISNUMBER(M212),$E$3*M212,0))/(IF(ISNUMBER(L212),$C$3,0)+IF(ISNUMBER(M212),$E$3,0)))</f>
        <v>0.203141135972461</v>
      </c>
      <c r="O212" s="12"/>
      <c r="P212" s="7" t="n">
        <f aca="false">IF(O212&lt;&gt;"","",COUNTIFS($A$6:$A$338,A212,$O$6:$O$338,"",$N$6:$N$338,"&gt;"&amp;N212)+COUNTIFS($A$6:A212,A212,$O$6:O212,"",$N$6:N212,N212))</f>
        <v>53</v>
      </c>
      <c r="Q212" s="12" t="str">
        <f aca="false">IF(P212="","Excluded",IF(P212&lt;=5,"Lead",IF(P212&lt;=10,"Next wave","Long list")))</f>
        <v>Long list</v>
      </c>
      <c r="R212" s="10" t="s">
        <v>105</v>
      </c>
      <c r="S212" s="30" t="s">
        <v>557</v>
      </c>
    </row>
    <row r="213" customFormat="false" ht="23.85" hidden="false" customHeight="false" outlineLevel="0" collapsed="false">
      <c r="A213" s="12" t="s">
        <v>19</v>
      </c>
      <c r="B213" s="12" t="s">
        <v>415</v>
      </c>
      <c r="C213" s="10" t="s">
        <v>416</v>
      </c>
      <c r="D213" s="26" t="n">
        <v>10.03</v>
      </c>
      <c r="E213" s="12" t="s">
        <v>102</v>
      </c>
      <c r="F213" s="11" t="n">
        <v>1127.6</v>
      </c>
      <c r="G213" s="10" t="s">
        <v>144</v>
      </c>
      <c r="H213" s="7" t="n">
        <v>1</v>
      </c>
      <c r="I213" s="12" t="s">
        <v>85</v>
      </c>
      <c r="J213" s="12" t="s">
        <v>86</v>
      </c>
      <c r="K213" s="10" t="s">
        <v>87</v>
      </c>
      <c r="L213" s="9" t="n">
        <f aca="false">IF(ISNUMBER(D213),COUNTIF($D$6:$D$338,"&lt;"&amp;D213)/(COUNT($D$6:$D$338)-1),"")</f>
        <v>0.231746031746032</v>
      </c>
      <c r="M213" s="9" t="n">
        <f aca="false">IF(ISNUMBER(F213),COUNTIF($F$6:$F$338,"&lt;"&amp;F213)/(COUNT($F$6:$F$338)-1),"")</f>
        <v>0.162650602409639</v>
      </c>
      <c r="N213" s="9" t="n">
        <f aca="false">IF(AND(L213="",M213=""),"",(IF(ISNUMBER(L213),$C$3*L213,0)+IF(ISNUMBER(M213),$E$3*M213,0))/(IF(ISNUMBER(L213),$C$3,0)+IF(ISNUMBER(M213),$E$3,0)))</f>
        <v>0.197198317077835</v>
      </c>
      <c r="O213" s="12"/>
      <c r="P213" s="7" t="n">
        <f aca="false">IF(O213&lt;&gt;"","",COUNTIFS($A$6:$A$338,A213,$O$6:$O$338,"",$N$6:$N$338,"&gt;"&amp;N213)+COUNTIFS($A$6:A213,A213,$O$6:O213,"",$N$6:N213,N213))</f>
        <v>54</v>
      </c>
      <c r="Q213" s="12" t="str">
        <f aca="false">IF(P213="","Excluded",IF(P213&lt;=5,"Lead",IF(P213&lt;=10,"Next wave","Long list")))</f>
        <v>Long list</v>
      </c>
      <c r="R213" s="10" t="s">
        <v>88</v>
      </c>
      <c r="S213" s="30" t="s">
        <v>417</v>
      </c>
    </row>
    <row r="214" customFormat="false" ht="23.85" hidden="false" customHeight="false" outlineLevel="0" collapsed="false">
      <c r="A214" s="12" t="s">
        <v>19</v>
      </c>
      <c r="B214" s="12" t="s">
        <v>388</v>
      </c>
      <c r="C214" s="10" t="s">
        <v>389</v>
      </c>
      <c r="D214" s="26" t="n">
        <v>6.23</v>
      </c>
      <c r="E214" s="12" t="s">
        <v>102</v>
      </c>
      <c r="F214" s="11" t="n">
        <v>2441.2</v>
      </c>
      <c r="G214" s="10" t="s">
        <v>144</v>
      </c>
      <c r="H214" s="7" t="n">
        <v>1</v>
      </c>
      <c r="I214" s="12" t="s">
        <v>97</v>
      </c>
      <c r="J214" s="12" t="s">
        <v>97</v>
      </c>
      <c r="K214" s="10"/>
      <c r="L214" s="9" t="n">
        <f aca="false">IF(ISNUMBER(D214),COUNTIF($D$6:$D$338,"&lt;"&amp;D214)/(COUNT($D$6:$D$338)-1),"")</f>
        <v>0.0793650793650794</v>
      </c>
      <c r="M214" s="9" t="n">
        <f aca="false">IF(ISNUMBER(F214),COUNTIF($F$6:$F$338,"&lt;"&amp;F214)/(COUNT($F$6:$F$338)-1),"")</f>
        <v>0.289156626506024</v>
      </c>
      <c r="N214" s="9" t="n">
        <f aca="false">IF(AND(L214="",M214=""),"",(IF(ISNUMBER(L214),$C$3*L214,0)+IF(ISNUMBER(M214),$E$3*M214,0))/(IF(ISNUMBER(L214),$C$3,0)+IF(ISNUMBER(M214),$E$3,0)))</f>
        <v>0.184260852935552</v>
      </c>
      <c r="O214" s="12"/>
      <c r="P214" s="7" t="n">
        <f aca="false">IF(O214&lt;&gt;"","",COUNTIFS($A$6:$A$338,A214,$O$6:$O$338,"",$N$6:$N$338,"&gt;"&amp;N214)+COUNTIFS($A$6:A214,A214,$O$6:O214,"",$N$6:N214,N214))</f>
        <v>55</v>
      </c>
      <c r="Q214" s="12" t="str">
        <f aca="false">IF(P214="","Excluded",IF(P214&lt;=5,"Lead",IF(P214&lt;=10,"Next wave","Long list")))</f>
        <v>Long list</v>
      </c>
      <c r="R214" s="10" t="s">
        <v>99</v>
      </c>
      <c r="S214" s="30" t="s">
        <v>390</v>
      </c>
    </row>
    <row r="215" customFormat="false" ht="23.85" hidden="false" customHeight="false" outlineLevel="0" collapsed="false">
      <c r="A215" s="12" t="s">
        <v>19</v>
      </c>
      <c r="B215" s="12" t="s">
        <v>558</v>
      </c>
      <c r="C215" s="10" t="s">
        <v>559</v>
      </c>
      <c r="D215" s="26" t="n">
        <v>9.83</v>
      </c>
      <c r="E215" s="12" t="s">
        <v>153</v>
      </c>
      <c r="F215" s="11" t="n">
        <v>315.7</v>
      </c>
      <c r="G215" s="10" t="s">
        <v>96</v>
      </c>
      <c r="H215" s="7" t="n">
        <v>1</v>
      </c>
      <c r="I215" s="12" t="s">
        <v>97</v>
      </c>
      <c r="J215" s="12" t="s">
        <v>86</v>
      </c>
      <c r="K215" s="10"/>
      <c r="L215" s="9" t="n">
        <f aca="false">IF(ISNUMBER(D215),COUNTIF($D$6:$D$338,"&lt;"&amp;D215)/(COUNT($D$6:$D$338)-1),"")</f>
        <v>0.222222222222222</v>
      </c>
      <c r="M215" s="9" t="n">
        <f aca="false">IF(ISNUMBER(F215),COUNTIF($F$6:$F$338,"&lt;"&amp;F215)/(COUNT($F$6:$F$338)-1),"")</f>
        <v>0.0903614457831325</v>
      </c>
      <c r="N215" s="9" t="n">
        <f aca="false">IF(AND(L215="",M215=""),"",(IF(ISNUMBER(L215),$C$3*L215,0)+IF(ISNUMBER(M215),$E$3*M215,0))/(IF(ISNUMBER(L215),$C$3,0)+IF(ISNUMBER(M215),$E$3,0)))</f>
        <v>0.156291834002677</v>
      </c>
      <c r="O215" s="12"/>
      <c r="P215" s="7" t="n">
        <f aca="false">IF(O215&lt;&gt;"","",COUNTIFS($A$6:$A$338,A215,$O$6:$O$338,"",$N$6:$N$338,"&gt;"&amp;N215)+COUNTIFS($A$6:A215,A215,$O$6:O215,"",$N$6:N215,N215))</f>
        <v>56</v>
      </c>
      <c r="Q215" s="12" t="str">
        <f aca="false">IF(P215="","Excluded",IF(P215&lt;=5,"Lead",IF(P215&lt;=10,"Next wave","Long list")))</f>
        <v>Long list</v>
      </c>
      <c r="R215" s="10" t="s">
        <v>99</v>
      </c>
      <c r="S215" s="30" t="s">
        <v>560</v>
      </c>
    </row>
    <row r="216" customFormat="false" ht="23.85" hidden="false" customHeight="false" outlineLevel="0" collapsed="false">
      <c r="A216" s="12" t="s">
        <v>19</v>
      </c>
      <c r="B216" s="12" t="s">
        <v>374</v>
      </c>
      <c r="C216" s="10" t="s">
        <v>375</v>
      </c>
      <c r="D216" s="26" t="n">
        <v>5.42</v>
      </c>
      <c r="E216" s="12" t="s">
        <v>102</v>
      </c>
      <c r="F216" s="11" t="n">
        <v>1437.9</v>
      </c>
      <c r="G216" s="10" t="s">
        <v>160</v>
      </c>
      <c r="H216" s="7" t="n">
        <v>15</v>
      </c>
      <c r="I216" s="12" t="s">
        <v>85</v>
      </c>
      <c r="J216" s="12" t="s">
        <v>97</v>
      </c>
      <c r="K216" s="10" t="s">
        <v>87</v>
      </c>
      <c r="L216" s="9" t="n">
        <f aca="false">IF(ISNUMBER(D216),COUNTIF($D$6:$D$338,"&lt;"&amp;D216)/(COUNT($D$6:$D$338)-1),"")</f>
        <v>0.0412698412698413</v>
      </c>
      <c r="M216" s="9" t="n">
        <f aca="false">IF(ISNUMBER(F216),COUNTIF($F$6:$F$338,"&lt;"&amp;F216)/(COUNT($F$6:$F$338)-1),"")</f>
        <v>0.207831325301205</v>
      </c>
      <c r="N216" s="9" t="n">
        <f aca="false">IF(AND(L216="",M216=""),"",(IF(ISNUMBER(L216),$C$3*L216,0)+IF(ISNUMBER(M216),$E$3*M216,0))/(IF(ISNUMBER(L216),$C$3,0)+IF(ISNUMBER(M216),$E$3,0)))</f>
        <v>0.124550583285523</v>
      </c>
      <c r="O216" s="12"/>
      <c r="P216" s="7" t="n">
        <f aca="false">IF(O216&lt;&gt;"","",COUNTIFS($A$6:$A$338,A216,$O$6:$O$338,"",$N$6:$N$338,"&gt;"&amp;N216)+COUNTIFS($A$6:A216,A216,$O$6:O216,"",$N$6:N216,N216))</f>
        <v>57</v>
      </c>
      <c r="Q216" s="12" t="str">
        <f aca="false">IF(P216="","Excluded",IF(P216&lt;=5,"Lead",IF(P216&lt;=10,"Next wave","Long list")))</f>
        <v>Long list</v>
      </c>
      <c r="R216" s="10" t="s">
        <v>88</v>
      </c>
      <c r="S216" s="30" t="s">
        <v>377</v>
      </c>
    </row>
    <row r="217" customFormat="false" ht="23.85" hidden="false" customHeight="false" outlineLevel="0" collapsed="false">
      <c r="A217" s="12" t="s">
        <v>19</v>
      </c>
      <c r="B217" s="12" t="s">
        <v>492</v>
      </c>
      <c r="C217" s="10" t="s">
        <v>493</v>
      </c>
      <c r="D217" s="26"/>
      <c r="E217" s="12" t="s">
        <v>102</v>
      </c>
      <c r="F217" s="11" t="n">
        <v>18596.2</v>
      </c>
      <c r="G217" s="10" t="s">
        <v>96</v>
      </c>
      <c r="H217" s="7" t="n">
        <v>9</v>
      </c>
      <c r="I217" s="12" t="s">
        <v>200</v>
      </c>
      <c r="J217" s="12" t="s">
        <v>86</v>
      </c>
      <c r="K217" s="10"/>
      <c r="L217" s="9" t="str">
        <f aca="false">IF(ISNUMBER(D217),COUNTIF($D$6:$D$338,"&lt;"&amp;D217)/(COUNT($D$6:$D$338)-1),"")</f>
        <v/>
      </c>
      <c r="M217" s="9" t="n">
        <f aca="false">IF(ISNUMBER(F217),COUNTIF($F$6:$F$338,"&lt;"&amp;F217)/(COUNT($F$6:$F$338)-1),"")</f>
        <v>0.768072289156627</v>
      </c>
      <c r="N217" s="9" t="n">
        <f aca="false">IF(AND(L217="",M217=""),"",(IF(ISNUMBER(L217),$C$3*L217,0)+IF(ISNUMBER(M217),$E$3*M217,0))/(IF(ISNUMBER(L217),$C$3,0)+IF(ISNUMBER(M217),$E$3,0)))</f>
        <v>0.768072289156627</v>
      </c>
      <c r="O217" s="12" t="s">
        <v>310</v>
      </c>
      <c r="P217" s="7" t="str">
        <f aca="false">IF(O217&lt;&gt;"","",COUNTIFS($A$6:$A$338,A217,$O$6:$O$338,"",$N$6:$N$338,"&gt;"&amp;N217)+COUNTIFS($A$6:A217,A217,$O$6:O217,"",$N$6:N217,N217))</f>
        <v/>
      </c>
      <c r="Q217" s="12" t="str">
        <f aca="false">IF(P217="","Excluded",IF(P217&lt;=5,"Lead",IF(P217&lt;=10,"Next wave","Long list")))</f>
        <v>Excluded</v>
      </c>
      <c r="R217" s="10" t="s">
        <v>105</v>
      </c>
      <c r="S217" s="30" t="s">
        <v>494</v>
      </c>
    </row>
    <row r="218" customFormat="false" ht="23.85" hidden="false" customHeight="false" outlineLevel="0" collapsed="false">
      <c r="A218" s="12" t="s">
        <v>19</v>
      </c>
      <c r="B218" s="12" t="s">
        <v>561</v>
      </c>
      <c r="C218" s="10" t="s">
        <v>562</v>
      </c>
      <c r="D218" s="26"/>
      <c r="E218" s="12" t="s">
        <v>102</v>
      </c>
      <c r="F218" s="11" t="n">
        <v>2009.5</v>
      </c>
      <c r="G218" s="10" t="s">
        <v>96</v>
      </c>
      <c r="H218" s="7" t="n">
        <v>2</v>
      </c>
      <c r="I218" s="12" t="s">
        <v>97</v>
      </c>
      <c r="J218" s="12" t="s">
        <v>86</v>
      </c>
      <c r="K218" s="10"/>
      <c r="L218" s="9" t="str">
        <f aca="false">IF(ISNUMBER(D218),COUNTIF($D$6:$D$338,"&lt;"&amp;D218)/(COUNT($D$6:$D$338)-1),"")</f>
        <v/>
      </c>
      <c r="M218" s="9" t="n">
        <f aca="false">IF(ISNUMBER(F218),COUNTIF($F$6:$F$338,"&lt;"&amp;F218)/(COUNT($F$6:$F$338)-1),"")</f>
        <v>0.265060240963855</v>
      </c>
      <c r="N218" s="9" t="n">
        <f aca="false">IF(AND(L218="",M218=""),"",(IF(ISNUMBER(L218),$C$3*L218,0)+IF(ISNUMBER(M218),$E$3*M218,0))/(IF(ISNUMBER(L218),$C$3,0)+IF(ISNUMBER(M218),$E$3,0)))</f>
        <v>0.265060240963855</v>
      </c>
      <c r="O218" s="12" t="s">
        <v>310</v>
      </c>
      <c r="P218" s="7" t="str">
        <f aca="false">IF(O218&lt;&gt;"","",COUNTIFS($A$6:$A$338,A218,$O$6:$O$338,"",$N$6:$N$338,"&gt;"&amp;N218)+COUNTIFS($A$6:A218,A218,$O$6:O218,"",$N$6:N218,N218))</f>
        <v/>
      </c>
      <c r="Q218" s="12" t="str">
        <f aca="false">IF(P218="","Excluded",IF(P218&lt;=5,"Lead",IF(P218&lt;=10,"Next wave","Long list")))</f>
        <v>Excluded</v>
      </c>
      <c r="R218" s="10" t="s">
        <v>99</v>
      </c>
      <c r="S218" s="30" t="s">
        <v>563</v>
      </c>
    </row>
    <row r="219" customFormat="false" ht="23.85" hidden="false" customHeight="false" outlineLevel="0" collapsed="false">
      <c r="A219" s="12" t="s">
        <v>19</v>
      </c>
      <c r="B219" s="12" t="s">
        <v>485</v>
      </c>
      <c r="C219" s="10" t="s">
        <v>486</v>
      </c>
      <c r="D219" s="26"/>
      <c r="E219" s="12" t="s">
        <v>102</v>
      </c>
      <c r="F219" s="11" t="n">
        <v>1332.4</v>
      </c>
      <c r="G219" s="10" t="s">
        <v>199</v>
      </c>
      <c r="H219" s="7" t="n">
        <v>8</v>
      </c>
      <c r="I219" s="12" t="s">
        <v>172</v>
      </c>
      <c r="J219" s="12" t="s">
        <v>86</v>
      </c>
      <c r="K219" s="10"/>
      <c r="L219" s="9" t="str">
        <f aca="false">IF(ISNUMBER(D219),COUNTIF($D$6:$D$338,"&lt;"&amp;D219)/(COUNT($D$6:$D$338)-1),"")</f>
        <v/>
      </c>
      <c r="M219" s="9" t="n">
        <f aca="false">IF(ISNUMBER(F219),COUNTIF($F$6:$F$338,"&lt;"&amp;F219)/(COUNT($F$6:$F$338)-1),"")</f>
        <v>0.183734939759036</v>
      </c>
      <c r="N219" s="9" t="n">
        <f aca="false">IF(AND(L219="",M219=""),"",(IF(ISNUMBER(L219),$C$3*L219,0)+IF(ISNUMBER(M219),$E$3*M219,0))/(IF(ISNUMBER(L219),$C$3,0)+IF(ISNUMBER(M219),$E$3,0)))</f>
        <v>0.183734939759036</v>
      </c>
      <c r="O219" s="12" t="s">
        <v>310</v>
      </c>
      <c r="P219" s="7" t="str">
        <f aca="false">IF(O219&lt;&gt;"","",COUNTIFS($A$6:$A$338,A219,$O$6:$O$338,"",$N$6:$N$338,"&gt;"&amp;N219)+COUNTIFS($A$6:A219,A219,$O$6:O219,"",$N$6:N219,N219))</f>
        <v/>
      </c>
      <c r="Q219" s="12" t="str">
        <f aca="false">IF(P219="","Excluded",IF(P219&lt;=5,"Lead",IF(P219&lt;=10,"Next wave","Long list")))</f>
        <v>Excluded</v>
      </c>
      <c r="R219" s="10" t="s">
        <v>105</v>
      </c>
      <c r="S219" s="30" t="s">
        <v>487</v>
      </c>
    </row>
    <row r="220" customFormat="false" ht="23.85" hidden="false" customHeight="false" outlineLevel="0" collapsed="false">
      <c r="A220" s="12" t="s">
        <v>43</v>
      </c>
      <c r="B220" s="12" t="s">
        <v>117</v>
      </c>
      <c r="C220" s="10" t="s">
        <v>118</v>
      </c>
      <c r="D220" s="26" t="n">
        <v>35.03</v>
      </c>
      <c r="E220" s="12" t="s">
        <v>102</v>
      </c>
      <c r="F220" s="11" t="n">
        <v>32830.2</v>
      </c>
      <c r="G220" s="10" t="s">
        <v>144</v>
      </c>
      <c r="H220" s="7" t="n">
        <v>2</v>
      </c>
      <c r="I220" s="12" t="s">
        <v>79</v>
      </c>
      <c r="J220" s="12" t="s">
        <v>86</v>
      </c>
      <c r="K220" s="10"/>
      <c r="L220" s="9" t="n">
        <f aca="false">IF(ISNUMBER(D220),COUNTIF($D$6:$D$338,"&lt;"&amp;D220)/(COUNT($D$6:$D$338)-1),"")</f>
        <v>0.558730158730159</v>
      </c>
      <c r="M220" s="9" t="n">
        <f aca="false">IF(ISNUMBER(F220),COUNTIF($F$6:$F$338,"&lt;"&amp;F220)/(COUNT($F$6:$F$338)-1),"")</f>
        <v>0.825301204819277</v>
      </c>
      <c r="N220" s="9" t="n">
        <f aca="false">IF(AND(L220="",M220=""),"",(IF(ISNUMBER(L220),$C$3*L220,0)+IF(ISNUMBER(M220),$E$3*M220,0))/(IF(ISNUMBER(L220),$C$3,0)+IF(ISNUMBER(M220),$E$3,0)))</f>
        <v>0.692015681774718</v>
      </c>
      <c r="O220" s="12"/>
      <c r="P220" s="7" t="n">
        <f aca="false">IF(O220&lt;&gt;"","",COUNTIFS($A$6:$A$338,A220,$O$6:$O$338,"",$N$6:$N$338,"&gt;"&amp;N220)+COUNTIFS($A$6:A220,A220,$O$6:O220,"",$N$6:N220,N220))</f>
        <v>1</v>
      </c>
      <c r="Q220" s="12" t="str">
        <f aca="false">IF(P220="","Excluded",IF(P220&lt;=5,"Lead",IF(P220&lt;=10,"Next wave","Long list")))</f>
        <v>Lead</v>
      </c>
      <c r="R220" s="10" t="s">
        <v>82</v>
      </c>
      <c r="S220" s="30" t="s">
        <v>428</v>
      </c>
    </row>
    <row r="221" customFormat="false" ht="23.85" hidden="false" customHeight="false" outlineLevel="0" collapsed="false">
      <c r="A221" s="12" t="s">
        <v>43</v>
      </c>
      <c r="B221" s="12" t="s">
        <v>145</v>
      </c>
      <c r="C221" s="10" t="s">
        <v>146</v>
      </c>
      <c r="D221" s="26" t="n">
        <v>21.3</v>
      </c>
      <c r="E221" s="12" t="s">
        <v>77</v>
      </c>
      <c r="F221" s="11" t="n">
        <v>53539.9</v>
      </c>
      <c r="G221" s="10" t="s">
        <v>323</v>
      </c>
      <c r="H221" s="7" t="n">
        <v>1</v>
      </c>
      <c r="I221" s="12" t="s">
        <v>79</v>
      </c>
      <c r="J221" s="12" t="s">
        <v>110</v>
      </c>
      <c r="K221" s="10" t="s">
        <v>111</v>
      </c>
      <c r="L221" s="9" t="n">
        <f aca="false">IF(ISNUMBER(D221),COUNTIF($D$6:$D$338,"&lt;"&amp;D221)/(COUNT($D$6:$D$338)-1),"")</f>
        <v>0.412698412698413</v>
      </c>
      <c r="M221" s="9" t="n">
        <f aca="false">IF(ISNUMBER(F221),COUNTIF($F$6:$F$338,"&lt;"&amp;F221)/(COUNT($F$6:$F$338)-1),"")</f>
        <v>0.921686746987952</v>
      </c>
      <c r="N221" s="9" t="n">
        <f aca="false">IF(AND(L221="",M221=""),"",(IF(ISNUMBER(L221),$C$3*L221,0)+IF(ISNUMBER(M221),$E$3*M221,0))/(IF(ISNUMBER(L221),$C$3,0)+IF(ISNUMBER(M221),$E$3,0)))</f>
        <v>0.667192579843182</v>
      </c>
      <c r="O221" s="12"/>
      <c r="P221" s="7" t="n">
        <f aca="false">IF(O221&lt;&gt;"","",COUNTIFS($A$6:$A$338,A221,$O$6:$O$338,"",$N$6:$N$338,"&gt;"&amp;N221)+COUNTIFS($A$6:A221,A221,$O$6:O221,"",$N$6:N221,N221))</f>
        <v>2</v>
      </c>
      <c r="Q221" s="12" t="str">
        <f aca="false">IF(P221="","Excluded",IF(P221&lt;=5,"Lead",IF(P221&lt;=10,"Next wave","Long list")))</f>
        <v>Lead</v>
      </c>
      <c r="R221" s="10" t="s">
        <v>82</v>
      </c>
      <c r="S221" s="30" t="s">
        <v>320</v>
      </c>
    </row>
    <row r="222" customFormat="false" ht="23.85" hidden="false" customHeight="false" outlineLevel="0" collapsed="false">
      <c r="A222" s="12" t="s">
        <v>43</v>
      </c>
      <c r="B222" s="12" t="s">
        <v>107</v>
      </c>
      <c r="C222" s="10" t="s">
        <v>108</v>
      </c>
      <c r="D222" s="26" t="n">
        <v>11.48</v>
      </c>
      <c r="E222" s="12" t="s">
        <v>153</v>
      </c>
      <c r="F222" s="11" t="n">
        <v>59827.2</v>
      </c>
      <c r="G222" s="10" t="s">
        <v>323</v>
      </c>
      <c r="H222" s="7" t="n">
        <v>1</v>
      </c>
      <c r="I222" s="12" t="s">
        <v>79</v>
      </c>
      <c r="J222" s="12" t="s">
        <v>80</v>
      </c>
      <c r="K222" s="10" t="s">
        <v>111</v>
      </c>
      <c r="L222" s="9" t="n">
        <f aca="false">IF(ISNUMBER(D222),COUNTIF($D$6:$D$338,"&lt;"&amp;D222)/(COUNT($D$6:$D$338)-1),"")</f>
        <v>0.276190476190476</v>
      </c>
      <c r="M222" s="9" t="n">
        <f aca="false">IF(ISNUMBER(F222),COUNTIF($F$6:$F$338,"&lt;"&amp;F222)/(COUNT($F$6:$F$338)-1),"")</f>
        <v>0.957831325301205</v>
      </c>
      <c r="N222" s="9" t="n">
        <f aca="false">IF(AND(L222="",M222=""),"",(IF(ISNUMBER(L222),$C$3*L222,0)+IF(ISNUMBER(M222),$E$3*M222,0))/(IF(ISNUMBER(L222),$C$3,0)+IF(ISNUMBER(M222),$E$3,0)))</f>
        <v>0.617010900745841</v>
      </c>
      <c r="O222" s="12"/>
      <c r="P222" s="7" t="n">
        <f aca="false">IF(O222&lt;&gt;"","",COUNTIFS($A$6:$A$338,A222,$O$6:$O$338,"",$N$6:$N$338,"&gt;"&amp;N222)+COUNTIFS($A$6:A222,A222,$O$6:O222,"",$N$6:N222,N222))</f>
        <v>3</v>
      </c>
      <c r="Q222" s="12" t="str">
        <f aca="false">IF(P222="","Excluded",IF(P222&lt;=5,"Lead",IF(P222&lt;=10,"Next wave","Long list")))</f>
        <v>Lead</v>
      </c>
      <c r="R222" s="10" t="s">
        <v>82</v>
      </c>
      <c r="S222" s="30" t="s">
        <v>317</v>
      </c>
    </row>
    <row r="223" customFormat="false" ht="23.85" hidden="false" customHeight="false" outlineLevel="0" collapsed="false">
      <c r="A223" s="12" t="s">
        <v>43</v>
      </c>
      <c r="B223" s="12" t="s">
        <v>148</v>
      </c>
      <c r="C223" s="10" t="s">
        <v>149</v>
      </c>
      <c r="D223" s="26" t="n">
        <v>11.1</v>
      </c>
      <c r="E223" s="12" t="s">
        <v>77</v>
      </c>
      <c r="F223" s="11" t="n">
        <v>58920.4</v>
      </c>
      <c r="G223" s="10" t="s">
        <v>323</v>
      </c>
      <c r="H223" s="7" t="n">
        <v>2</v>
      </c>
      <c r="I223" s="12" t="s">
        <v>79</v>
      </c>
      <c r="J223" s="12" t="s">
        <v>110</v>
      </c>
      <c r="K223" s="10" t="s">
        <v>111</v>
      </c>
      <c r="L223" s="9" t="n">
        <f aca="false">IF(ISNUMBER(D223),COUNTIF($D$6:$D$338,"&lt;"&amp;D223)/(COUNT($D$6:$D$338)-1),"")</f>
        <v>0.26984126984127</v>
      </c>
      <c r="M223" s="9" t="n">
        <f aca="false">IF(ISNUMBER(F223),COUNTIF($F$6:$F$338,"&lt;"&amp;F223)/(COUNT($F$6:$F$338)-1),"")</f>
        <v>0.936746987951807</v>
      </c>
      <c r="N223" s="9" t="n">
        <f aca="false">IF(AND(L223="",M223=""),"",(IF(ISNUMBER(L223),$C$3*L223,0)+IF(ISNUMBER(M223),$E$3*M223,0))/(IF(ISNUMBER(L223),$C$3,0)+IF(ISNUMBER(M223),$E$3,0)))</f>
        <v>0.603294128896539</v>
      </c>
      <c r="O223" s="12"/>
      <c r="P223" s="7" t="n">
        <f aca="false">IF(O223&lt;&gt;"","",COUNTIFS($A$6:$A$338,A223,$O$6:$O$338,"",$N$6:$N$338,"&gt;"&amp;N223)+COUNTIFS($A$6:A223,A223,$O$6:O223,"",$N$6:N223,N223))</f>
        <v>4</v>
      </c>
      <c r="Q223" s="12" t="str">
        <f aca="false">IF(P223="","Excluded",IF(P223&lt;=5,"Lead",IF(P223&lt;=10,"Next wave","Long list")))</f>
        <v>Lead</v>
      </c>
      <c r="R223" s="10" t="s">
        <v>82</v>
      </c>
      <c r="S223" s="30" t="s">
        <v>322</v>
      </c>
    </row>
    <row r="224" customFormat="false" ht="23.85" hidden="false" customHeight="false" outlineLevel="0" collapsed="false">
      <c r="A224" s="12" t="s">
        <v>43</v>
      </c>
      <c r="B224" s="12" t="s">
        <v>178</v>
      </c>
      <c r="C224" s="10" t="s">
        <v>179</v>
      </c>
      <c r="D224" s="26" t="n">
        <v>32.43</v>
      </c>
      <c r="E224" s="12" t="s">
        <v>77</v>
      </c>
      <c r="F224" s="11" t="n">
        <v>6632.6</v>
      </c>
      <c r="G224" s="10" t="s">
        <v>323</v>
      </c>
      <c r="H224" s="7" t="n">
        <v>2</v>
      </c>
      <c r="I224" s="12" t="s">
        <v>79</v>
      </c>
      <c r="J224" s="12" t="s">
        <v>86</v>
      </c>
      <c r="K224" s="10" t="s">
        <v>111</v>
      </c>
      <c r="L224" s="9" t="n">
        <f aca="false">IF(ISNUMBER(D224),COUNTIF($D$6:$D$338,"&lt;"&amp;D224)/(COUNT($D$6:$D$338)-1),"")</f>
        <v>0.53968253968254</v>
      </c>
      <c r="M224" s="9" t="n">
        <f aca="false">IF(ISNUMBER(F224),COUNTIF($F$6:$F$338,"&lt;"&amp;F224)/(COUNT($F$6:$F$338)-1),"")</f>
        <v>0.61144578313253</v>
      </c>
      <c r="N224" s="9" t="n">
        <f aca="false">IF(AND(L224="",M224=""),"",(IF(ISNUMBER(L224),$C$3*L224,0)+IF(ISNUMBER(M224),$E$3*M224,0))/(IF(ISNUMBER(L224),$C$3,0)+IF(ISNUMBER(M224),$E$3,0)))</f>
        <v>0.575564161407535</v>
      </c>
      <c r="O224" s="12"/>
      <c r="P224" s="7" t="n">
        <f aca="false">IF(O224&lt;&gt;"","",COUNTIFS($A$6:$A$338,A224,$O$6:$O$338,"",$N$6:$N$338,"&gt;"&amp;N224)+COUNTIFS($A$6:A224,A224,$O$6:O224,"",$N$6:N224,N224))</f>
        <v>5</v>
      </c>
      <c r="Q224" s="12" t="str">
        <f aca="false">IF(P224="","Excluded",IF(P224&lt;=5,"Lead",IF(P224&lt;=10,"Next wave","Long list")))</f>
        <v>Lead</v>
      </c>
      <c r="R224" s="10" t="s">
        <v>82</v>
      </c>
      <c r="S224" s="30" t="s">
        <v>438</v>
      </c>
    </row>
    <row r="225" customFormat="false" ht="23.85" hidden="false" customHeight="false" outlineLevel="0" collapsed="false">
      <c r="A225" s="12" t="s">
        <v>43</v>
      </c>
      <c r="B225" s="12" t="s">
        <v>245</v>
      </c>
      <c r="C225" s="10" t="s">
        <v>246</v>
      </c>
      <c r="D225" s="26" t="n">
        <v>32.88</v>
      </c>
      <c r="E225" s="12" t="s">
        <v>153</v>
      </c>
      <c r="F225" s="11" t="n">
        <v>2508.1</v>
      </c>
      <c r="G225" s="10" t="s">
        <v>323</v>
      </c>
      <c r="H225" s="7" t="n">
        <v>1</v>
      </c>
      <c r="I225" s="12" t="s">
        <v>79</v>
      </c>
      <c r="J225" s="12" t="s">
        <v>86</v>
      </c>
      <c r="K225" s="10"/>
      <c r="L225" s="9" t="n">
        <f aca="false">IF(ISNUMBER(D225),COUNTIF($D$6:$D$338,"&lt;"&amp;D225)/(COUNT($D$6:$D$338)-1),"")</f>
        <v>0.546031746031746</v>
      </c>
      <c r="M225" s="9" t="n">
        <f aca="false">IF(ISNUMBER(F225),COUNTIF($F$6:$F$338,"&lt;"&amp;F225)/(COUNT($F$6:$F$338)-1),"")</f>
        <v>0.313253012048193</v>
      </c>
      <c r="N225" s="9" t="n">
        <f aca="false">IF(AND(L225="",M225=""),"",(IF(ISNUMBER(L225),$C$3*L225,0)+IF(ISNUMBER(M225),$E$3*M225,0))/(IF(ISNUMBER(L225),$C$3,0)+IF(ISNUMBER(M225),$E$3,0)))</f>
        <v>0.429642379039969</v>
      </c>
      <c r="O225" s="12"/>
      <c r="P225" s="7" t="n">
        <f aca="false">IF(O225&lt;&gt;"","",COUNTIFS($A$6:$A$338,A225,$O$6:$O$338,"",$N$6:$N$338,"&gt;"&amp;N225)+COUNTIFS($A$6:A225,A225,$O$6:O225,"",$N$6:N225,N225))</f>
        <v>6</v>
      </c>
      <c r="Q225" s="12" t="str">
        <f aca="false">IF(P225="","Excluded",IF(P225&lt;=5,"Lead",IF(P225&lt;=10,"Next wave","Long list")))</f>
        <v>Next wave</v>
      </c>
      <c r="R225" s="10" t="s">
        <v>82</v>
      </c>
      <c r="S225" s="30" t="s">
        <v>534</v>
      </c>
    </row>
    <row r="226" customFormat="false" ht="23.85" hidden="false" customHeight="false" outlineLevel="0" collapsed="false">
      <c r="A226" s="12" t="s">
        <v>43</v>
      </c>
      <c r="B226" s="12" t="s">
        <v>247</v>
      </c>
      <c r="C226" s="10" t="s">
        <v>248</v>
      </c>
      <c r="D226" s="26" t="n">
        <v>125.38</v>
      </c>
      <c r="E226" s="12" t="s">
        <v>77</v>
      </c>
      <c r="F226" s="11" t="n">
        <v>184.9</v>
      </c>
      <c r="G226" s="10" t="s">
        <v>323</v>
      </c>
      <c r="H226" s="7" t="n">
        <v>1</v>
      </c>
      <c r="I226" s="12" t="s">
        <v>79</v>
      </c>
      <c r="J226" s="12" t="s">
        <v>86</v>
      </c>
      <c r="K226" s="10"/>
      <c r="L226" s="9" t="n">
        <f aca="false">IF(ISNUMBER(D226),COUNTIF($D$6:$D$338,"&lt;"&amp;D226)/(COUNT($D$6:$D$338)-1),"")</f>
        <v>0.8</v>
      </c>
      <c r="M226" s="9" t="n">
        <f aca="false">IF(ISNUMBER(F226),COUNTIF($F$6:$F$338,"&lt;"&amp;F226)/(COUNT($F$6:$F$338)-1),"")</f>
        <v>0.0572289156626506</v>
      </c>
      <c r="N226" s="9" t="n">
        <f aca="false">IF(AND(L226="",M226=""),"",(IF(ISNUMBER(L226),$C$3*L226,0)+IF(ISNUMBER(M226),$E$3*M226,0))/(IF(ISNUMBER(L226),$C$3,0)+IF(ISNUMBER(M226),$E$3,0)))</f>
        <v>0.428614457831325</v>
      </c>
      <c r="O226" s="12"/>
      <c r="P226" s="7" t="n">
        <f aca="false">IF(O226&lt;&gt;"","",COUNTIFS($A$6:$A$338,A226,$O$6:$O$338,"",$N$6:$N$338,"&gt;"&amp;N226)+COUNTIFS($A$6:A226,A226,$O$6:O226,"",$N$6:N226,N226))</f>
        <v>7</v>
      </c>
      <c r="Q226" s="12" t="str">
        <f aca="false">IF(P226="","Excluded",IF(P226&lt;=5,"Lead",IF(P226&lt;=10,"Next wave","Long list")))</f>
        <v>Next wave</v>
      </c>
      <c r="R226" s="10" t="s">
        <v>82</v>
      </c>
      <c r="S226" s="30" t="s">
        <v>439</v>
      </c>
    </row>
    <row r="227" customFormat="false" ht="23.85" hidden="false" customHeight="false" outlineLevel="0" collapsed="false">
      <c r="A227" s="12" t="s">
        <v>43</v>
      </c>
      <c r="B227" s="12" t="s">
        <v>249</v>
      </c>
      <c r="C227" s="10" t="s">
        <v>250</v>
      </c>
      <c r="D227" s="26" t="n">
        <v>8.11</v>
      </c>
      <c r="E227" s="12" t="s">
        <v>102</v>
      </c>
      <c r="F227" s="11" t="n">
        <v>7218.2</v>
      </c>
      <c r="G227" s="10" t="s">
        <v>323</v>
      </c>
      <c r="H227" s="7" t="n">
        <v>1</v>
      </c>
      <c r="I227" s="12" t="s">
        <v>172</v>
      </c>
      <c r="J227" s="12" t="s">
        <v>86</v>
      </c>
      <c r="K227" s="10"/>
      <c r="L227" s="9" t="n">
        <f aca="false">IF(ISNUMBER(D227),COUNTIF($D$6:$D$338,"&lt;"&amp;D227)/(COUNT($D$6:$D$338)-1),"")</f>
        <v>0.177777777777778</v>
      </c>
      <c r="M227" s="9" t="n">
        <f aca="false">IF(ISNUMBER(F227),COUNTIF($F$6:$F$338,"&lt;"&amp;F227)/(COUNT($F$6:$F$338)-1),"")</f>
        <v>0.641566265060241</v>
      </c>
      <c r="N227" s="9" t="n">
        <f aca="false">IF(AND(L227="",M227=""),"",(IF(ISNUMBER(L227),$C$3*L227,0)+IF(ISNUMBER(M227),$E$3*M227,0))/(IF(ISNUMBER(L227),$C$3,0)+IF(ISNUMBER(M227),$E$3,0)))</f>
        <v>0.409672021419009</v>
      </c>
      <c r="O227" s="12"/>
      <c r="P227" s="7" t="n">
        <f aca="false">IF(O227&lt;&gt;"","",COUNTIFS($A$6:$A$338,A227,$O$6:$O$338,"",$N$6:$N$338,"&gt;"&amp;N227)+COUNTIFS($A$6:A227,A227,$O$6:O227,"",$N$6:N227,N227))</f>
        <v>8</v>
      </c>
      <c r="Q227" s="12" t="str">
        <f aca="false">IF(P227="","Excluded",IF(P227&lt;=5,"Lead",IF(P227&lt;=10,"Next wave","Long list")))</f>
        <v>Next wave</v>
      </c>
      <c r="R227" s="10" t="s">
        <v>105</v>
      </c>
      <c r="S227" s="30" t="s">
        <v>564</v>
      </c>
    </row>
    <row r="228" customFormat="false" ht="23.85" hidden="false" customHeight="false" outlineLevel="0" collapsed="false">
      <c r="A228" s="12" t="s">
        <v>43</v>
      </c>
      <c r="B228" s="12" t="s">
        <v>251</v>
      </c>
      <c r="C228" s="10" t="s">
        <v>252</v>
      </c>
      <c r="D228" s="26" t="n">
        <v>7.55</v>
      </c>
      <c r="E228" s="12" t="s">
        <v>77</v>
      </c>
      <c r="F228" s="11" t="n">
        <v>4930.6</v>
      </c>
      <c r="G228" s="10" t="s">
        <v>323</v>
      </c>
      <c r="H228" s="7" t="n">
        <v>1</v>
      </c>
      <c r="I228" s="12" t="s">
        <v>79</v>
      </c>
      <c r="J228" s="12" t="s">
        <v>86</v>
      </c>
      <c r="K228" s="10"/>
      <c r="L228" s="9" t="n">
        <f aca="false">IF(ISNUMBER(D228),COUNTIF($D$6:$D$338,"&lt;"&amp;D228)/(COUNT($D$6:$D$338)-1),"")</f>
        <v>0.152380952380952</v>
      </c>
      <c r="M228" s="9" t="n">
        <f aca="false">IF(ISNUMBER(F228),COUNTIF($F$6:$F$338,"&lt;"&amp;F228)/(COUNT($F$6:$F$338)-1),"")</f>
        <v>0.548192771084337</v>
      </c>
      <c r="N228" s="9" t="n">
        <f aca="false">IF(AND(L228="",M228=""),"",(IF(ISNUMBER(L228),$C$3*L228,0)+IF(ISNUMBER(M228),$E$3*M228,0))/(IF(ISNUMBER(L228),$C$3,0)+IF(ISNUMBER(M228),$E$3,0)))</f>
        <v>0.350286861732645</v>
      </c>
      <c r="O228" s="12"/>
      <c r="P228" s="7" t="n">
        <f aca="false">IF(O228&lt;&gt;"","",COUNTIFS($A$6:$A$338,A228,$O$6:$O$338,"",$N$6:$N$338,"&gt;"&amp;N228)+COUNTIFS($A$6:A228,A228,$O$6:O228,"",$N$6:N228,N228))</f>
        <v>9</v>
      </c>
      <c r="Q228" s="12" t="str">
        <f aca="false">IF(P228="","Excluded",IF(P228&lt;=5,"Lead",IF(P228&lt;=10,"Next wave","Long list")))</f>
        <v>Next wave</v>
      </c>
      <c r="R228" s="10" t="s">
        <v>105</v>
      </c>
      <c r="S228" s="30" t="s">
        <v>565</v>
      </c>
    </row>
    <row r="229" customFormat="false" ht="23.85" hidden="false" customHeight="false" outlineLevel="0" collapsed="false">
      <c r="A229" s="12" t="s">
        <v>43</v>
      </c>
      <c r="B229" s="12" t="s">
        <v>253</v>
      </c>
      <c r="C229" s="10" t="s">
        <v>254</v>
      </c>
      <c r="D229" s="26" t="n">
        <v>18.28</v>
      </c>
      <c r="E229" s="12" t="s">
        <v>102</v>
      </c>
      <c r="F229" s="11" t="n">
        <v>1223.2</v>
      </c>
      <c r="G229" s="10" t="s">
        <v>323</v>
      </c>
      <c r="H229" s="7" t="n">
        <v>1</v>
      </c>
      <c r="I229" s="12" t="s">
        <v>79</v>
      </c>
      <c r="J229" s="12" t="s">
        <v>80</v>
      </c>
      <c r="K229" s="10" t="s">
        <v>111</v>
      </c>
      <c r="L229" s="9" t="n">
        <f aca="false">IF(ISNUMBER(D229),COUNTIF($D$6:$D$338,"&lt;"&amp;D229)/(COUNT($D$6:$D$338)-1),"")</f>
        <v>0.380952380952381</v>
      </c>
      <c r="M229" s="9" t="n">
        <f aca="false">IF(ISNUMBER(F229),COUNTIF($F$6:$F$338,"&lt;"&amp;F229)/(COUNT($F$6:$F$338)-1),"")</f>
        <v>0.174698795180723</v>
      </c>
      <c r="N229" s="9" t="n">
        <f aca="false">IF(AND(L229="",M229=""),"",(IF(ISNUMBER(L229),$C$3*L229,0)+IF(ISNUMBER(M229),$E$3*M229,0))/(IF(ISNUMBER(L229),$C$3,0)+IF(ISNUMBER(M229),$E$3,0)))</f>
        <v>0.277825588066552</v>
      </c>
      <c r="O229" s="12"/>
      <c r="P229" s="7" t="n">
        <f aca="false">IF(O229&lt;&gt;"","",COUNTIFS($A$6:$A$338,A229,$O$6:$O$338,"",$N$6:$N$338,"&gt;"&amp;N229)+COUNTIFS($A$6:A229,A229,$O$6:O229,"",$N$6:N229,N229))</f>
        <v>10</v>
      </c>
      <c r="Q229" s="12" t="str">
        <f aca="false">IF(P229="","Excluded",IF(P229&lt;=5,"Lead",IF(P229&lt;=10,"Next wave","Long list")))</f>
        <v>Next wave</v>
      </c>
      <c r="R229" s="10" t="s">
        <v>105</v>
      </c>
      <c r="S229" s="30" t="s">
        <v>566</v>
      </c>
    </row>
    <row r="230" customFormat="false" ht="35.05" hidden="false" customHeight="false" outlineLevel="0" collapsed="false">
      <c r="A230" s="12" t="s">
        <v>43</v>
      </c>
      <c r="B230" s="12" t="s">
        <v>208</v>
      </c>
      <c r="C230" s="10" t="s">
        <v>209</v>
      </c>
      <c r="D230" s="26" t="n">
        <v>2.29</v>
      </c>
      <c r="E230" s="12" t="s">
        <v>153</v>
      </c>
      <c r="F230" s="11" t="n">
        <v>4036.6</v>
      </c>
      <c r="G230" s="10" t="s">
        <v>323</v>
      </c>
      <c r="H230" s="7" t="n">
        <v>1</v>
      </c>
      <c r="I230" s="12" t="s">
        <v>172</v>
      </c>
      <c r="J230" s="12" t="s">
        <v>86</v>
      </c>
      <c r="K230" s="10" t="s">
        <v>442</v>
      </c>
      <c r="L230" s="9" t="n">
        <f aca="false">IF(ISNUMBER(D230),COUNTIF($D$6:$D$338,"&lt;"&amp;D230)/(COUNT($D$6:$D$338)-1),"")</f>
        <v>0.00634920634920635</v>
      </c>
      <c r="M230" s="9" t="n">
        <f aca="false">IF(ISNUMBER(F230),COUNTIF($F$6:$F$338,"&lt;"&amp;F230)/(COUNT($F$6:$F$338)-1),"")</f>
        <v>0.503012048192771</v>
      </c>
      <c r="N230" s="9" t="n">
        <f aca="false">IF(AND(L230="",M230=""),"",(IF(ISNUMBER(L230),$C$3*L230,0)+IF(ISNUMBER(M230),$E$3*M230,0))/(IF(ISNUMBER(L230),$C$3,0)+IF(ISNUMBER(M230),$E$3,0)))</f>
        <v>0.254680627270989</v>
      </c>
      <c r="O230" s="12"/>
      <c r="P230" s="7" t="n">
        <f aca="false">IF(O230&lt;&gt;"","",COUNTIFS($A$6:$A$338,A230,$O$6:$O$338,"",$N$6:$N$338,"&gt;"&amp;N230)+COUNTIFS($A$6:A230,A230,$O$6:O230,"",$N$6:N230,N230))</f>
        <v>11</v>
      </c>
      <c r="Q230" s="12" t="str">
        <f aca="false">IF(P230="","Excluded",IF(P230&lt;=5,"Lead",IF(P230&lt;=10,"Next wave","Long list")))</f>
        <v>Long list</v>
      </c>
      <c r="R230" s="10" t="s">
        <v>82</v>
      </c>
      <c r="S230" s="30" t="s">
        <v>470</v>
      </c>
    </row>
    <row r="231" customFormat="false" ht="23.85" hidden="false" customHeight="false" outlineLevel="0" collapsed="false">
      <c r="A231" s="12" t="s">
        <v>43</v>
      </c>
      <c r="B231" s="12" t="s">
        <v>273</v>
      </c>
      <c r="C231" s="10" t="s">
        <v>274</v>
      </c>
      <c r="D231" s="26" t="n">
        <v>24.71</v>
      </c>
      <c r="E231" s="12" t="s">
        <v>102</v>
      </c>
      <c r="F231" s="11" t="n">
        <v>14.3</v>
      </c>
      <c r="G231" s="10" t="s">
        <v>323</v>
      </c>
      <c r="H231" s="7" t="n">
        <v>1</v>
      </c>
      <c r="I231" s="12" t="s">
        <v>172</v>
      </c>
      <c r="J231" s="12" t="s">
        <v>86</v>
      </c>
      <c r="K231" s="10"/>
      <c r="L231" s="9" t="n">
        <f aca="false">IF(ISNUMBER(D231),COUNTIF($D$6:$D$338,"&lt;"&amp;D231)/(COUNT($D$6:$D$338)-1),"")</f>
        <v>0.473015873015873</v>
      </c>
      <c r="M231" s="9" t="n">
        <f aca="false">IF(ISNUMBER(F231),COUNTIF($F$6:$F$338,"&lt;"&amp;F231)/(COUNT($F$6:$F$338)-1),"")</f>
        <v>0.00301204819277108</v>
      </c>
      <c r="N231" s="9" t="n">
        <f aca="false">IF(AND(L231="",M231=""),"",(IF(ISNUMBER(L231),$C$3*L231,0)+IF(ISNUMBER(M231),$E$3*M231,0))/(IF(ISNUMBER(L231),$C$3,0)+IF(ISNUMBER(M231),$E$3,0)))</f>
        <v>0.238013960604322</v>
      </c>
      <c r="O231" s="12"/>
      <c r="P231" s="7" t="n">
        <f aca="false">IF(O231&lt;&gt;"","",COUNTIFS($A$6:$A$338,A231,$O$6:$O$338,"",$N$6:$N$338,"&gt;"&amp;N231)+COUNTIFS($A$6:A231,A231,$O$6:O231,"",$N$6:N231,N231))</f>
        <v>12</v>
      </c>
      <c r="Q231" s="12" t="str">
        <f aca="false">IF(P231="","Excluded",IF(P231&lt;=5,"Lead",IF(P231&lt;=10,"Next wave","Long list")))</f>
        <v>Long list</v>
      </c>
      <c r="R231" s="10" t="s">
        <v>105</v>
      </c>
      <c r="S231" s="30" t="s">
        <v>567</v>
      </c>
    </row>
    <row r="232" customFormat="false" ht="35.05" hidden="false" customHeight="false" outlineLevel="0" collapsed="false">
      <c r="A232" s="12" t="s">
        <v>43</v>
      </c>
      <c r="B232" s="12" t="s">
        <v>411</v>
      </c>
      <c r="C232" s="10" t="s">
        <v>412</v>
      </c>
      <c r="D232" s="26" t="n">
        <v>3.53</v>
      </c>
      <c r="E232" s="12" t="s">
        <v>153</v>
      </c>
      <c r="F232" s="11" t="n">
        <v>2937.3</v>
      </c>
      <c r="G232" s="10" t="s">
        <v>323</v>
      </c>
      <c r="H232" s="7" t="n">
        <v>1</v>
      </c>
      <c r="I232" s="12" t="s">
        <v>172</v>
      </c>
      <c r="J232" s="12" t="s">
        <v>97</v>
      </c>
      <c r="K232" s="10" t="s">
        <v>442</v>
      </c>
      <c r="L232" s="9" t="n">
        <f aca="false">IF(ISNUMBER(D232),COUNTIF($D$6:$D$338,"&lt;"&amp;D232)/(COUNT($D$6:$D$338)-1),"")</f>
        <v>0.0126984126984127</v>
      </c>
      <c r="M232" s="9" t="n">
        <f aca="false">IF(ISNUMBER(F232),COUNTIF($F$6:$F$338,"&lt;"&amp;F232)/(COUNT($F$6:$F$338)-1),"")</f>
        <v>0.406626506024096</v>
      </c>
      <c r="N232" s="9" t="n">
        <f aca="false">IF(AND(L232="",M232=""),"",(IF(ISNUMBER(L232),$C$3*L232,0)+IF(ISNUMBER(M232),$E$3*M232,0))/(IF(ISNUMBER(L232),$C$3,0)+IF(ISNUMBER(M232),$E$3,0)))</f>
        <v>0.209662459361255</v>
      </c>
      <c r="O232" s="12"/>
      <c r="P232" s="7" t="n">
        <f aca="false">IF(O232&lt;&gt;"","",COUNTIFS($A$6:$A$338,A232,$O$6:$O$338,"",$N$6:$N$338,"&gt;"&amp;N232)+COUNTIFS($A$6:A232,A232,$O$6:O232,"",$N$6:N232,N232))</f>
        <v>13</v>
      </c>
      <c r="Q232" s="12" t="str">
        <f aca="false">IF(P232="","Excluded",IF(P232&lt;=5,"Lead",IF(P232&lt;=10,"Next wave","Long list")))</f>
        <v>Long list</v>
      </c>
      <c r="R232" s="10" t="s">
        <v>82</v>
      </c>
      <c r="S232" s="30" t="s">
        <v>414</v>
      </c>
    </row>
    <row r="233" customFormat="false" ht="23.85" hidden="false" customHeight="false" outlineLevel="0" collapsed="false">
      <c r="A233" s="12" t="s">
        <v>43</v>
      </c>
      <c r="B233" s="12" t="s">
        <v>291</v>
      </c>
      <c r="C233" s="10" t="s">
        <v>292</v>
      </c>
      <c r="D233" s="26" t="n">
        <v>10.14</v>
      </c>
      <c r="E233" s="12" t="s">
        <v>102</v>
      </c>
      <c r="F233" s="11" t="n">
        <v>1053.6</v>
      </c>
      <c r="G233" s="10" t="s">
        <v>144</v>
      </c>
      <c r="H233" s="7" t="n">
        <v>1</v>
      </c>
      <c r="I233" s="12" t="s">
        <v>97</v>
      </c>
      <c r="J233" s="12" t="s">
        <v>86</v>
      </c>
      <c r="K233" s="10"/>
      <c r="L233" s="9" t="n">
        <f aca="false">IF(ISNUMBER(D233),COUNTIF($D$6:$D$338,"&lt;"&amp;D233)/(COUNT($D$6:$D$338)-1),"")</f>
        <v>0.244444444444444</v>
      </c>
      <c r="M233" s="9" t="n">
        <f aca="false">IF(ISNUMBER(F233),COUNTIF($F$6:$F$338,"&lt;"&amp;F233)/(COUNT($F$6:$F$338)-1),"")</f>
        <v>0.150602409638554</v>
      </c>
      <c r="N233" s="9" t="n">
        <f aca="false">IF(AND(L233="",M233=""),"",(IF(ISNUMBER(L233),$C$3*L233,0)+IF(ISNUMBER(M233),$E$3*M233,0))/(IF(ISNUMBER(L233),$C$3,0)+IF(ISNUMBER(M233),$E$3,0)))</f>
        <v>0.197523427041499</v>
      </c>
      <c r="O233" s="12"/>
      <c r="P233" s="7" t="n">
        <f aca="false">IF(O233&lt;&gt;"","",COUNTIFS($A$6:$A$338,A233,$O$6:$O$338,"",$N$6:$N$338,"&gt;"&amp;N233)+COUNTIFS($A$6:A233,A233,$O$6:O233,"",$N$6:N233,N233))</f>
        <v>14</v>
      </c>
      <c r="Q233" s="12" t="str">
        <f aca="false">IF(P233="","Excluded",IF(P233&lt;=5,"Lead",IF(P233&lt;=10,"Next wave","Long list")))</f>
        <v>Long list</v>
      </c>
      <c r="R233" s="10" t="s">
        <v>99</v>
      </c>
      <c r="S233" s="30" t="s">
        <v>307</v>
      </c>
    </row>
    <row r="234" customFormat="false" ht="23.85" hidden="false" customHeight="false" outlineLevel="0" collapsed="false">
      <c r="A234" s="12" t="s">
        <v>43</v>
      </c>
      <c r="B234" s="12" t="s">
        <v>275</v>
      </c>
      <c r="C234" s="10" t="s">
        <v>276</v>
      </c>
      <c r="D234" s="26" t="n">
        <v>13.94</v>
      </c>
      <c r="E234" s="12" t="s">
        <v>77</v>
      </c>
      <c r="F234" s="11" t="n">
        <v>71.4</v>
      </c>
      <c r="G234" s="10" t="s">
        <v>323</v>
      </c>
      <c r="H234" s="7" t="n">
        <v>1</v>
      </c>
      <c r="I234" s="12" t="s">
        <v>79</v>
      </c>
      <c r="J234" s="12" t="s">
        <v>86</v>
      </c>
      <c r="K234" s="10" t="s">
        <v>111</v>
      </c>
      <c r="L234" s="9" t="n">
        <f aca="false">IF(ISNUMBER(D234),COUNTIF($D$6:$D$338,"&lt;"&amp;D234)/(COUNT($D$6:$D$338)-1),"")</f>
        <v>0.317460317460317</v>
      </c>
      <c r="M234" s="9" t="n">
        <f aca="false">IF(ISNUMBER(F234),COUNTIF($F$6:$F$338,"&lt;"&amp;F234)/(COUNT($F$6:$F$338)-1),"")</f>
        <v>0.0210843373493976</v>
      </c>
      <c r="N234" s="9" t="n">
        <f aca="false">IF(AND(L234="",M234=""),"",(IF(ISNUMBER(L234),$C$3*L234,0)+IF(ISNUMBER(M234),$E$3*M234,0))/(IF(ISNUMBER(L234),$C$3,0)+IF(ISNUMBER(M234),$E$3,0)))</f>
        <v>0.169272327404858</v>
      </c>
      <c r="O234" s="12"/>
      <c r="P234" s="7" t="n">
        <f aca="false">IF(O234&lt;&gt;"","",COUNTIFS($A$6:$A$338,A234,$O$6:$O$338,"",$N$6:$N$338,"&gt;"&amp;N234)+COUNTIFS($A$6:A234,A234,$O$6:O234,"",$N$6:N234,N234))</f>
        <v>15</v>
      </c>
      <c r="Q234" s="12" t="str">
        <f aca="false">IF(P234="","Excluded",IF(P234&lt;=5,"Lead",IF(P234&lt;=10,"Next wave","Long list")))</f>
        <v>Long list</v>
      </c>
      <c r="R234" s="10" t="s">
        <v>82</v>
      </c>
      <c r="S234" s="30" t="s">
        <v>422</v>
      </c>
    </row>
    <row r="235" customFormat="false" ht="23.85" hidden="false" customHeight="false" outlineLevel="0" collapsed="false">
      <c r="A235" s="12" t="s">
        <v>43</v>
      </c>
      <c r="B235" s="12" t="s">
        <v>277</v>
      </c>
      <c r="C235" s="10" t="s">
        <v>278</v>
      </c>
      <c r="D235" s="26" t="n">
        <v>6.81</v>
      </c>
      <c r="E235" s="12" t="s">
        <v>153</v>
      </c>
      <c r="F235" s="11" t="n">
        <v>287.5</v>
      </c>
      <c r="G235" s="10" t="s">
        <v>323</v>
      </c>
      <c r="H235" s="7" t="n">
        <v>1</v>
      </c>
      <c r="I235" s="12" t="s">
        <v>172</v>
      </c>
      <c r="J235" s="12" t="s">
        <v>86</v>
      </c>
      <c r="K235" s="10"/>
      <c r="L235" s="9" t="n">
        <f aca="false">IF(ISNUMBER(D235),COUNTIF($D$6:$D$338,"&lt;"&amp;D235)/(COUNT($D$6:$D$338)-1),"")</f>
        <v>0.120634920634921</v>
      </c>
      <c r="M235" s="9" t="n">
        <f aca="false">IF(ISNUMBER(F235),COUNTIF($F$6:$F$338,"&lt;"&amp;F235)/(COUNT($F$6:$F$338)-1),"")</f>
        <v>0.0753012048192771</v>
      </c>
      <c r="N235" s="9" t="n">
        <f aca="false">IF(AND(L235="",M235=""),"",(IF(ISNUMBER(L235),$C$3*L235,0)+IF(ISNUMBER(M235),$E$3*M235,0))/(IF(ISNUMBER(L235),$C$3,0)+IF(ISNUMBER(M235),$E$3,0)))</f>
        <v>0.0979680627270989</v>
      </c>
      <c r="O235" s="12"/>
      <c r="P235" s="7" t="n">
        <f aca="false">IF(O235&lt;&gt;"","",COUNTIFS($A$6:$A$338,A235,$O$6:$O$338,"",$N$6:$N$338,"&gt;"&amp;N235)+COUNTIFS($A$6:A235,A235,$O$6:O235,"",$N$6:N235,N235))</f>
        <v>16</v>
      </c>
      <c r="Q235" s="12" t="str">
        <f aca="false">IF(P235="","Excluded",IF(P235&lt;=5,"Lead",IF(P235&lt;=10,"Next wave","Long list")))</f>
        <v>Long list</v>
      </c>
      <c r="R235" s="10" t="s">
        <v>105</v>
      </c>
      <c r="S235" s="30" t="s">
        <v>568</v>
      </c>
    </row>
    <row r="236" customFormat="false" ht="23.85" hidden="false" customHeight="false" outlineLevel="0" collapsed="false">
      <c r="A236" s="12" t="s">
        <v>43</v>
      </c>
      <c r="B236" s="12" t="s">
        <v>569</v>
      </c>
      <c r="C236" s="10" t="s">
        <v>570</v>
      </c>
      <c r="D236" s="26" t="n">
        <v>5.35</v>
      </c>
      <c r="E236" s="12" t="s">
        <v>153</v>
      </c>
      <c r="F236" s="11" t="n">
        <v>170.5</v>
      </c>
      <c r="G236" s="10" t="s">
        <v>323</v>
      </c>
      <c r="H236" s="7" t="n">
        <v>1</v>
      </c>
      <c r="I236" s="12" t="s">
        <v>172</v>
      </c>
      <c r="J236" s="12" t="s">
        <v>86</v>
      </c>
      <c r="K236" s="10"/>
      <c r="L236" s="9" t="n">
        <f aca="false">IF(ISNUMBER(D236),COUNTIF($D$6:$D$338,"&lt;"&amp;D236)/(COUNT($D$6:$D$338)-1),"")</f>
        <v>0.0317460317460317</v>
      </c>
      <c r="M236" s="9" t="n">
        <f aca="false">IF(ISNUMBER(F236),COUNTIF($F$6:$F$338,"&lt;"&amp;F236)/(COUNT($F$6:$F$338)-1),"")</f>
        <v>0.0542168674698795</v>
      </c>
      <c r="N236" s="9" t="n">
        <f aca="false">IF(AND(L236="",M236=""),"",(IF(ISNUMBER(L236),$C$3*L236,0)+IF(ISNUMBER(M236),$E$3*M236,0))/(IF(ISNUMBER(L236),$C$3,0)+IF(ISNUMBER(M236),$E$3,0)))</f>
        <v>0.0429814496079556</v>
      </c>
      <c r="O236" s="12"/>
      <c r="P236" s="7" t="n">
        <f aca="false">IF(O236&lt;&gt;"","",COUNTIFS($A$6:$A$338,A236,$O$6:$O$338,"",$N$6:$N$338,"&gt;"&amp;N236)+COUNTIFS($A$6:A236,A236,$O$6:O236,"",$N$6:N236,N236))</f>
        <v>17</v>
      </c>
      <c r="Q236" s="12" t="str">
        <f aca="false">IF(P236="","Excluded",IF(P236&lt;=5,"Lead",IF(P236&lt;=10,"Next wave","Long list")))</f>
        <v>Long list</v>
      </c>
      <c r="R236" s="10" t="s">
        <v>105</v>
      </c>
      <c r="S236" s="30" t="s">
        <v>571</v>
      </c>
    </row>
    <row r="237" customFormat="false" ht="23.85" hidden="false" customHeight="false" outlineLevel="0" collapsed="false">
      <c r="A237" s="12" t="s">
        <v>43</v>
      </c>
      <c r="B237" s="12" t="s">
        <v>572</v>
      </c>
      <c r="C237" s="10" t="s">
        <v>573</v>
      </c>
      <c r="D237" s="26"/>
      <c r="E237" s="12" t="s">
        <v>102</v>
      </c>
      <c r="F237" s="11" t="n">
        <v>1930</v>
      </c>
      <c r="G237" s="10" t="s">
        <v>323</v>
      </c>
      <c r="H237" s="7" t="n">
        <v>1</v>
      </c>
      <c r="I237" s="12" t="s">
        <v>79</v>
      </c>
      <c r="J237" s="12" t="s">
        <v>80</v>
      </c>
      <c r="K237" s="10" t="s">
        <v>111</v>
      </c>
      <c r="L237" s="9" t="str">
        <f aca="false">IF(ISNUMBER(D237),COUNTIF($D$6:$D$338,"&lt;"&amp;D237)/(COUNT($D$6:$D$338)-1),"")</f>
        <v/>
      </c>
      <c r="M237" s="9" t="n">
        <f aca="false">IF(ISNUMBER(F237),COUNTIF($F$6:$F$338,"&lt;"&amp;F237)/(COUNT($F$6:$F$338)-1),"")</f>
        <v>0.259036144578313</v>
      </c>
      <c r="N237" s="9" t="n">
        <f aca="false">IF(AND(L237="",M237=""),"",(IF(ISNUMBER(L237),$C$3*L237,0)+IF(ISNUMBER(M237),$E$3*M237,0))/(IF(ISNUMBER(L237),$C$3,0)+IF(ISNUMBER(M237),$E$3,0)))</f>
        <v>0.259036144578313</v>
      </c>
      <c r="O237" s="12" t="s">
        <v>310</v>
      </c>
      <c r="P237" s="7" t="str">
        <f aca="false">IF(O237&lt;&gt;"","",COUNTIFS($A$6:$A$338,A237,$O$6:$O$338,"",$N$6:$N$338,"&gt;"&amp;N237)+COUNTIFS($A$6:A237,A237,$O$6:O237,"",$N$6:N237,N237))</f>
        <v/>
      </c>
      <c r="Q237" s="12" t="str">
        <f aca="false">IF(P237="","Excluded",IF(P237&lt;=5,"Lead",IF(P237&lt;=10,"Next wave","Long list")))</f>
        <v>Excluded</v>
      </c>
      <c r="R237" s="10" t="s">
        <v>105</v>
      </c>
      <c r="S237" s="30" t="s">
        <v>574</v>
      </c>
    </row>
    <row r="238" customFormat="false" ht="23.85" hidden="false" customHeight="false" outlineLevel="0" collapsed="false">
      <c r="A238" s="12" t="s">
        <v>43</v>
      </c>
      <c r="B238" s="12" t="s">
        <v>575</v>
      </c>
      <c r="C238" s="10" t="s">
        <v>576</v>
      </c>
      <c r="D238" s="26"/>
      <c r="E238" s="12" t="s">
        <v>102</v>
      </c>
      <c r="F238" s="11" t="n">
        <v>1578.9</v>
      </c>
      <c r="G238" s="10" t="s">
        <v>144</v>
      </c>
      <c r="H238" s="7" t="n">
        <v>1</v>
      </c>
      <c r="I238" s="12" t="s">
        <v>97</v>
      </c>
      <c r="J238" s="12" t="s">
        <v>97</v>
      </c>
      <c r="K238" s="10"/>
      <c r="L238" s="9" t="str">
        <f aca="false">IF(ISNUMBER(D238),COUNTIF($D$6:$D$338,"&lt;"&amp;D238)/(COUNT($D$6:$D$338)-1),"")</f>
        <v/>
      </c>
      <c r="M238" s="9" t="n">
        <f aca="false">IF(ISNUMBER(F238),COUNTIF($F$6:$F$338,"&lt;"&amp;F238)/(COUNT($F$6:$F$338)-1),"")</f>
        <v>0.216867469879518</v>
      </c>
      <c r="N238" s="9" t="n">
        <f aca="false">IF(AND(L238="",M238=""),"",(IF(ISNUMBER(L238),$C$3*L238,0)+IF(ISNUMBER(M238),$E$3*M238,0))/(IF(ISNUMBER(L238),$C$3,0)+IF(ISNUMBER(M238),$E$3,0)))</f>
        <v>0.216867469879518</v>
      </c>
      <c r="O238" s="12" t="s">
        <v>310</v>
      </c>
      <c r="P238" s="7" t="str">
        <f aca="false">IF(O238&lt;&gt;"","",COUNTIFS($A$6:$A$338,A238,$O$6:$O$338,"",$N$6:$N$338,"&gt;"&amp;N238)+COUNTIFS($A$6:A238,A238,$O$6:O238,"",$N$6:N238,N238))</f>
        <v/>
      </c>
      <c r="Q238" s="12" t="str">
        <f aca="false">IF(P238="","Excluded",IF(P238&lt;=5,"Lead",IF(P238&lt;=10,"Next wave","Long list")))</f>
        <v>Excluded</v>
      </c>
      <c r="R238" s="10" t="s">
        <v>99</v>
      </c>
      <c r="S238" s="30" t="s">
        <v>577</v>
      </c>
    </row>
    <row r="239" customFormat="false" ht="23.85" hidden="false" customHeight="false" outlineLevel="0" collapsed="false">
      <c r="A239" s="12" t="s">
        <v>37</v>
      </c>
      <c r="B239" s="12" t="s">
        <v>89</v>
      </c>
      <c r="C239" s="10" t="s">
        <v>90</v>
      </c>
      <c r="D239" s="26" t="n">
        <v>360.02</v>
      </c>
      <c r="E239" s="12" t="s">
        <v>77</v>
      </c>
      <c r="F239" s="11" t="n">
        <v>28093.4</v>
      </c>
      <c r="G239" s="10" t="s">
        <v>186</v>
      </c>
      <c r="H239" s="7" t="n">
        <v>5</v>
      </c>
      <c r="I239" s="12" t="s">
        <v>79</v>
      </c>
      <c r="J239" s="12" t="s">
        <v>80</v>
      </c>
      <c r="K239" s="10" t="s">
        <v>81</v>
      </c>
      <c r="L239" s="9" t="n">
        <f aca="false">IF(ISNUMBER(D239),COUNTIF($D$6:$D$338,"&lt;"&amp;D239)/(COUNT($D$6:$D$338)-1),"")</f>
        <v>0.914285714285714</v>
      </c>
      <c r="M239" s="9" t="n">
        <f aca="false">IF(ISNUMBER(F239),COUNTIF($F$6:$F$338,"&lt;"&amp;F239)/(COUNT($F$6:$F$338)-1),"")</f>
        <v>0.792168674698795</v>
      </c>
      <c r="N239" s="9" t="n">
        <f aca="false">IF(AND(L239="",M239=""),"",(IF(ISNUMBER(L239),$C$3*L239,0)+IF(ISNUMBER(M239),$E$3*M239,0))/(IF(ISNUMBER(L239),$C$3,0)+IF(ISNUMBER(M239),$E$3,0)))</f>
        <v>0.853227194492255</v>
      </c>
      <c r="O239" s="12"/>
      <c r="P239" s="7" t="n">
        <f aca="false">IF(O239&lt;&gt;"","",COUNTIFS($A$6:$A$338,A239,$O$6:$O$338,"",$N$6:$N$338,"&gt;"&amp;N239)+COUNTIFS($A$6:A239,A239,$O$6:O239,"",$N$6:N239,N239))</f>
        <v>1</v>
      </c>
      <c r="Q239" s="12" t="str">
        <f aca="false">IF(P239="","Excluded",IF(P239&lt;=5,"Lead",IF(P239&lt;=10,"Next wave","Long list")))</f>
        <v>Lead</v>
      </c>
      <c r="R239" s="10" t="s">
        <v>82</v>
      </c>
      <c r="S239" s="30" t="s">
        <v>316</v>
      </c>
    </row>
    <row r="240" customFormat="false" ht="23.85" hidden="false" customHeight="false" outlineLevel="0" collapsed="false">
      <c r="A240" s="12" t="s">
        <v>37</v>
      </c>
      <c r="B240" s="12" t="s">
        <v>112</v>
      </c>
      <c r="C240" s="10" t="s">
        <v>113</v>
      </c>
      <c r="D240" s="26" t="n">
        <v>343.8</v>
      </c>
      <c r="E240" s="12" t="s">
        <v>102</v>
      </c>
      <c r="F240" s="11" t="n">
        <v>7904.7</v>
      </c>
      <c r="G240" s="10" t="s">
        <v>144</v>
      </c>
      <c r="H240" s="7" t="n">
        <v>9</v>
      </c>
      <c r="I240" s="12" t="s">
        <v>79</v>
      </c>
      <c r="J240" s="12" t="s">
        <v>86</v>
      </c>
      <c r="K240" s="10"/>
      <c r="L240" s="9" t="n">
        <f aca="false">IF(ISNUMBER(D240),COUNTIF($D$6:$D$338,"&lt;"&amp;D240)/(COUNT($D$6:$D$338)-1),"")</f>
        <v>0.904761904761905</v>
      </c>
      <c r="M240" s="9" t="n">
        <f aca="false">IF(ISNUMBER(F240),COUNTIF($F$6:$F$338,"&lt;"&amp;F240)/(COUNT($F$6:$F$338)-1),"")</f>
        <v>0.650602409638554</v>
      </c>
      <c r="N240" s="9" t="n">
        <f aca="false">IF(AND(L240="",M240=""),"",(IF(ISNUMBER(L240),$C$3*L240,0)+IF(ISNUMBER(M240),$E$3*M240,0))/(IF(ISNUMBER(L240),$C$3,0)+IF(ISNUMBER(M240),$E$3,0)))</f>
        <v>0.77768215720023</v>
      </c>
      <c r="O240" s="12"/>
      <c r="P240" s="7" t="n">
        <f aca="false">IF(O240&lt;&gt;"","",COUNTIFS($A$6:$A$338,A240,$O$6:$O$338,"",$N$6:$N$338,"&gt;"&amp;N240)+COUNTIFS($A$6:A240,A240,$O$6:O240,"",$N$6:N240,N240))</f>
        <v>2</v>
      </c>
      <c r="Q240" s="12" t="str">
        <f aca="false">IF(P240="","Excluded",IF(P240&lt;=5,"Lead",IF(P240&lt;=10,"Next wave","Long list")))</f>
        <v>Lead</v>
      </c>
      <c r="R240" s="10" t="s">
        <v>82</v>
      </c>
      <c r="S240" s="30" t="s">
        <v>318</v>
      </c>
    </row>
    <row r="241" customFormat="false" ht="23.85" hidden="false" customHeight="false" outlineLevel="0" collapsed="false">
      <c r="A241" s="12" t="s">
        <v>37</v>
      </c>
      <c r="B241" s="12" t="s">
        <v>117</v>
      </c>
      <c r="C241" s="10" t="s">
        <v>118</v>
      </c>
      <c r="D241" s="26" t="n">
        <v>41.77</v>
      </c>
      <c r="E241" s="12" t="s">
        <v>77</v>
      </c>
      <c r="F241" s="11" t="n">
        <v>32830.2</v>
      </c>
      <c r="G241" s="10" t="s">
        <v>216</v>
      </c>
      <c r="H241" s="7" t="n">
        <v>11</v>
      </c>
      <c r="I241" s="12" t="s">
        <v>79</v>
      </c>
      <c r="J241" s="12" t="s">
        <v>86</v>
      </c>
      <c r="K241" s="10"/>
      <c r="L241" s="9" t="n">
        <f aca="false">IF(ISNUMBER(D241),COUNTIF($D$6:$D$338,"&lt;"&amp;D241)/(COUNT($D$6:$D$338)-1),"")</f>
        <v>0.60952380952381</v>
      </c>
      <c r="M241" s="9" t="n">
        <f aca="false">IF(ISNUMBER(F241),COUNTIF($F$6:$F$338,"&lt;"&amp;F241)/(COUNT($F$6:$F$338)-1),"")</f>
        <v>0.825301204819277</v>
      </c>
      <c r="N241" s="9" t="n">
        <f aca="false">IF(AND(L241="",M241=""),"",(IF(ISNUMBER(L241),$C$3*L241,0)+IF(ISNUMBER(M241),$E$3*M241,0))/(IF(ISNUMBER(L241),$C$3,0)+IF(ISNUMBER(M241),$E$3,0)))</f>
        <v>0.717412507171543</v>
      </c>
      <c r="O241" s="12"/>
      <c r="P241" s="7" t="n">
        <f aca="false">IF(O241&lt;&gt;"","",COUNTIFS($A$6:$A$338,A241,$O$6:$O$338,"",$N$6:$N$338,"&gt;"&amp;N241)+COUNTIFS($A$6:A241,A241,$O$6:O241,"",$N$6:N241,N241))</f>
        <v>3</v>
      </c>
      <c r="Q241" s="12" t="str">
        <f aca="false">IF(P241="","Excluded",IF(P241&lt;=5,"Lead",IF(P241&lt;=10,"Next wave","Long list")))</f>
        <v>Lead</v>
      </c>
      <c r="R241" s="10" t="s">
        <v>82</v>
      </c>
      <c r="S241" s="30" t="s">
        <v>428</v>
      </c>
    </row>
    <row r="242" customFormat="false" ht="23.85" hidden="false" customHeight="false" outlineLevel="0" collapsed="false">
      <c r="A242" s="12" t="s">
        <v>37</v>
      </c>
      <c r="B242" s="12" t="s">
        <v>217</v>
      </c>
      <c r="C242" s="10" t="s">
        <v>218</v>
      </c>
      <c r="D242" s="26" t="n">
        <v>54.55</v>
      </c>
      <c r="E242" s="12" t="s">
        <v>102</v>
      </c>
      <c r="F242" s="11" t="n">
        <v>3407.5</v>
      </c>
      <c r="G242" s="10" t="s">
        <v>144</v>
      </c>
      <c r="H242" s="7" t="n">
        <v>1</v>
      </c>
      <c r="I242" s="12" t="s">
        <v>79</v>
      </c>
      <c r="J242" s="12" t="s">
        <v>86</v>
      </c>
      <c r="K242" s="10"/>
      <c r="L242" s="9" t="n">
        <f aca="false">IF(ISNUMBER(D242),COUNTIF($D$6:$D$338,"&lt;"&amp;D242)/(COUNT($D$6:$D$338)-1),"")</f>
        <v>0.650793650793651</v>
      </c>
      <c r="M242" s="9" t="n">
        <f aca="false">IF(ISNUMBER(F242),COUNTIF($F$6:$F$338,"&lt;"&amp;F242)/(COUNT($F$6:$F$338)-1),"")</f>
        <v>0.436746987951807</v>
      </c>
      <c r="N242" s="9" t="n">
        <f aca="false">IF(AND(L242="",M242=""),"",(IF(ISNUMBER(L242),$C$3*L242,0)+IF(ISNUMBER(M242),$E$3*M242,0))/(IF(ISNUMBER(L242),$C$3,0)+IF(ISNUMBER(M242),$E$3,0)))</f>
        <v>0.543770319372729</v>
      </c>
      <c r="O242" s="12"/>
      <c r="P242" s="7" t="n">
        <f aca="false">IF(O242&lt;&gt;"","",COUNTIFS($A$6:$A$338,A242,$O$6:$O$338,"",$N$6:$N$338,"&gt;"&amp;N242)+COUNTIFS($A$6:A242,A242,$O$6:O242,"",$N$6:N242,N242))</f>
        <v>4</v>
      </c>
      <c r="Q242" s="12" t="str">
        <f aca="false">IF(P242="","Excluded",IF(P242&lt;=5,"Lead",IF(P242&lt;=10,"Next wave","Long list")))</f>
        <v>Lead</v>
      </c>
      <c r="R242" s="10" t="s">
        <v>105</v>
      </c>
      <c r="S242" s="30" t="s">
        <v>349</v>
      </c>
    </row>
    <row r="243" customFormat="false" ht="15" hidden="false" customHeight="false" outlineLevel="0" collapsed="false">
      <c r="A243" s="12" t="s">
        <v>37</v>
      </c>
      <c r="B243" s="12" t="s">
        <v>219</v>
      </c>
      <c r="C243" s="10" t="s">
        <v>220</v>
      </c>
      <c r="D243" s="26" t="n">
        <v>66.93</v>
      </c>
      <c r="E243" s="12" t="s">
        <v>102</v>
      </c>
      <c r="F243" s="11" t="n">
        <v>135.1</v>
      </c>
      <c r="G243" s="10" t="s">
        <v>175</v>
      </c>
      <c r="H243" s="7" t="n">
        <v>2</v>
      </c>
      <c r="I243" s="12" t="s">
        <v>79</v>
      </c>
      <c r="J243" s="12" t="s">
        <v>86</v>
      </c>
      <c r="K243" s="10"/>
      <c r="L243" s="9" t="n">
        <f aca="false">IF(ISNUMBER(D243),COUNTIF($D$6:$D$338,"&lt;"&amp;D243)/(COUNT($D$6:$D$338)-1),"")</f>
        <v>0.704761904761905</v>
      </c>
      <c r="M243" s="9" t="n">
        <f aca="false">IF(ISNUMBER(F243),COUNTIF($F$6:$F$338,"&lt;"&amp;F243)/(COUNT($F$6:$F$338)-1),"")</f>
        <v>0.0391566265060241</v>
      </c>
      <c r="N243" s="9" t="n">
        <f aca="false">IF(AND(L243="",M243=""),"",(IF(ISNUMBER(L243),$C$3*L243,0)+IF(ISNUMBER(M243),$E$3*M243,0))/(IF(ISNUMBER(L243),$C$3,0)+IF(ISNUMBER(M243),$E$3,0)))</f>
        <v>0.371959265633965</v>
      </c>
      <c r="O243" s="12"/>
      <c r="P243" s="7" t="n">
        <f aca="false">IF(O243&lt;&gt;"","",COUNTIFS($A$6:$A$338,A243,$O$6:$O$338,"",$N$6:$N$338,"&gt;"&amp;N243)+COUNTIFS($A$6:A243,A243,$O$6:O243,"",$N$6:N243,N243))</f>
        <v>5</v>
      </c>
      <c r="Q243" s="12" t="str">
        <f aca="false">IF(P243="","Excluded",IF(P243&lt;=5,"Lead",IF(P243&lt;=10,"Next wave","Long list")))</f>
        <v>Lead</v>
      </c>
      <c r="R243" s="10" t="s">
        <v>105</v>
      </c>
      <c r="S243" s="30" t="s">
        <v>578</v>
      </c>
    </row>
    <row r="244" customFormat="false" ht="23.85" hidden="false" customHeight="false" outlineLevel="0" collapsed="false">
      <c r="A244" s="12" t="s">
        <v>37</v>
      </c>
      <c r="B244" s="12" t="s">
        <v>221</v>
      </c>
      <c r="C244" s="10" t="s">
        <v>222</v>
      </c>
      <c r="D244" s="26" t="n">
        <v>51.79</v>
      </c>
      <c r="E244" s="12" t="s">
        <v>102</v>
      </c>
      <c r="F244" s="11" t="n">
        <v>21.8</v>
      </c>
      <c r="G244" s="10" t="s">
        <v>144</v>
      </c>
      <c r="H244" s="7" t="n">
        <v>1</v>
      </c>
      <c r="I244" s="12" t="s">
        <v>79</v>
      </c>
      <c r="J244" s="12" t="s">
        <v>86</v>
      </c>
      <c r="K244" s="10"/>
      <c r="L244" s="9" t="n">
        <f aca="false">IF(ISNUMBER(D244),COUNTIF($D$6:$D$338,"&lt;"&amp;D244)/(COUNT($D$6:$D$338)-1),"")</f>
        <v>0.634920634920635</v>
      </c>
      <c r="M244" s="9" t="n">
        <f aca="false">IF(ISNUMBER(F244),COUNTIF($F$6:$F$338,"&lt;"&amp;F244)/(COUNT($F$6:$F$338)-1),"")</f>
        <v>0.0120481927710843</v>
      </c>
      <c r="N244" s="9" t="n">
        <f aca="false">IF(AND(L244="",M244=""),"",(IF(ISNUMBER(L244),$C$3*L244,0)+IF(ISNUMBER(M244),$E$3*M244,0))/(IF(ISNUMBER(L244),$C$3,0)+IF(ISNUMBER(M244),$E$3,0)))</f>
        <v>0.32348441384586</v>
      </c>
      <c r="O244" s="12"/>
      <c r="P244" s="7" t="n">
        <f aca="false">IF(O244&lt;&gt;"","",COUNTIFS($A$6:$A$338,A244,$O$6:$O$338,"",$N$6:$N$338,"&gt;"&amp;N244)+COUNTIFS($A$6:A244,A244,$O$6:O244,"",$N$6:N244,N244))</f>
        <v>6</v>
      </c>
      <c r="Q244" s="12" t="str">
        <f aca="false">IF(P244="","Excluded",IF(P244&lt;=5,"Lead",IF(P244&lt;=10,"Next wave","Long list")))</f>
        <v>Next wave</v>
      </c>
      <c r="R244" s="10" t="s">
        <v>82</v>
      </c>
      <c r="S244" s="30" t="s">
        <v>488</v>
      </c>
    </row>
    <row r="245" customFormat="false" ht="23.85" hidden="false" customHeight="false" outlineLevel="0" collapsed="false">
      <c r="A245" s="12" t="s">
        <v>37</v>
      </c>
      <c r="B245" s="12" t="s">
        <v>223</v>
      </c>
      <c r="C245" s="10" t="s">
        <v>224</v>
      </c>
      <c r="D245" s="26" t="n">
        <v>14.96</v>
      </c>
      <c r="E245" s="12" t="s">
        <v>102</v>
      </c>
      <c r="F245" s="11" t="n">
        <v>1352.6</v>
      </c>
      <c r="G245" s="10" t="s">
        <v>144</v>
      </c>
      <c r="H245" s="7" t="n">
        <v>1</v>
      </c>
      <c r="I245" s="12" t="s">
        <v>79</v>
      </c>
      <c r="J245" s="12" t="s">
        <v>86</v>
      </c>
      <c r="K245" s="10"/>
      <c r="L245" s="9" t="n">
        <f aca="false">IF(ISNUMBER(D245),COUNTIF($D$6:$D$338,"&lt;"&amp;D245)/(COUNT($D$6:$D$338)-1),"")</f>
        <v>0.333333333333333</v>
      </c>
      <c r="M245" s="9" t="n">
        <f aca="false">IF(ISNUMBER(F245),COUNTIF($F$6:$F$338,"&lt;"&amp;F245)/(COUNT($F$6:$F$338)-1),"")</f>
        <v>0.189759036144578</v>
      </c>
      <c r="N245" s="9" t="n">
        <f aca="false">IF(AND(L245="",M245=""),"",(IF(ISNUMBER(L245),$C$3*L245,0)+IF(ISNUMBER(M245),$E$3*M245,0))/(IF(ISNUMBER(L245),$C$3,0)+IF(ISNUMBER(M245),$E$3,0)))</f>
        <v>0.261546184738956</v>
      </c>
      <c r="O245" s="12"/>
      <c r="P245" s="7" t="n">
        <f aca="false">IF(O245&lt;&gt;"","",COUNTIFS($A$6:$A$338,A245,$O$6:$O$338,"",$N$6:$N$338,"&gt;"&amp;N245)+COUNTIFS($A$6:A245,A245,$O$6:O245,"",$N$6:N245,N245))</f>
        <v>7</v>
      </c>
      <c r="Q245" s="12" t="str">
        <f aca="false">IF(P245="","Excluded",IF(P245&lt;=5,"Lead",IF(P245&lt;=10,"Next wave","Long list")))</f>
        <v>Next wave</v>
      </c>
      <c r="R245" s="10" t="s">
        <v>82</v>
      </c>
      <c r="S245" s="30" t="s">
        <v>407</v>
      </c>
    </row>
    <row r="246" customFormat="false" ht="23.85" hidden="false" customHeight="false" outlineLevel="0" collapsed="false">
      <c r="A246" s="12" t="s">
        <v>45</v>
      </c>
      <c r="B246" s="12" t="s">
        <v>239</v>
      </c>
      <c r="C246" s="10" t="s">
        <v>205</v>
      </c>
      <c r="D246" s="26" t="n">
        <v>90.21</v>
      </c>
      <c r="E246" s="12" t="s">
        <v>102</v>
      </c>
      <c r="F246" s="11" t="n">
        <v>18568.8</v>
      </c>
      <c r="G246" s="10" t="s">
        <v>169</v>
      </c>
      <c r="H246" s="7" t="n">
        <v>3</v>
      </c>
      <c r="I246" s="12" t="s">
        <v>79</v>
      </c>
      <c r="J246" s="12" t="s">
        <v>86</v>
      </c>
      <c r="K246" s="10"/>
      <c r="L246" s="9" t="n">
        <f aca="false">IF(ISNUMBER(D246),COUNTIF($D$6:$D$338,"&lt;"&amp;D246)/(COUNT($D$6:$D$338)-1),"")</f>
        <v>0.749206349206349</v>
      </c>
      <c r="M246" s="9" t="n">
        <f aca="false">IF(ISNUMBER(F246),COUNTIF($F$6:$F$338,"&lt;"&amp;F246)/(COUNT($F$6:$F$338)-1),"")</f>
        <v>0.762048192771084</v>
      </c>
      <c r="N246" s="9" t="n">
        <f aca="false">IF(AND(L246="",M246=""),"",(IF(ISNUMBER(L246),$C$3*L246,0)+IF(ISNUMBER(M246),$E$3*M246,0))/(IF(ISNUMBER(L246),$C$3,0)+IF(ISNUMBER(M246),$E$3,0)))</f>
        <v>0.755627270988717</v>
      </c>
      <c r="O246" s="12"/>
      <c r="P246" s="7" t="n">
        <f aca="false">IF(O246&lt;&gt;"","",COUNTIFS($A$6:$A$338,A246,$O$6:$O$338,"",$N$6:$N$338,"&gt;"&amp;N246)+COUNTIFS($A$6:A246,A246,$O$6:O246,"",$N$6:N246,N246))</f>
        <v>1</v>
      </c>
      <c r="Q246" s="12" t="str">
        <f aca="false">IF(P246="","Excluded",IF(P246&lt;=5,"Lead",IF(P246&lt;=10,"Next wave","Long list")))</f>
        <v>Lead</v>
      </c>
      <c r="R246" s="10" t="s">
        <v>105</v>
      </c>
      <c r="S246" s="30" t="s">
        <v>579</v>
      </c>
    </row>
    <row r="247" customFormat="false" ht="15" hidden="false" customHeight="false" outlineLevel="0" collapsed="false">
      <c r="A247" s="12" t="s">
        <v>45</v>
      </c>
      <c r="B247" s="12" t="s">
        <v>255</v>
      </c>
      <c r="C247" s="10" t="s">
        <v>256</v>
      </c>
      <c r="D247" s="26" t="n">
        <v>69.37</v>
      </c>
      <c r="E247" s="12" t="s">
        <v>153</v>
      </c>
      <c r="F247" s="11" t="n">
        <v>2557.1</v>
      </c>
      <c r="G247" s="10" t="s">
        <v>96</v>
      </c>
      <c r="H247" s="7" t="n">
        <v>1</v>
      </c>
      <c r="I247" s="12" t="s">
        <v>79</v>
      </c>
      <c r="J247" s="12" t="s">
        <v>86</v>
      </c>
      <c r="K247" s="10"/>
      <c r="L247" s="9" t="n">
        <f aca="false">IF(ISNUMBER(D247),COUNTIF($D$6:$D$338,"&lt;"&amp;D247)/(COUNT($D$6:$D$338)-1),"")</f>
        <v>0.711111111111111</v>
      </c>
      <c r="M247" s="9" t="n">
        <f aca="false">IF(ISNUMBER(F247),COUNTIF($F$6:$F$338,"&lt;"&amp;F247)/(COUNT($F$6:$F$338)-1),"")</f>
        <v>0.325301204819277</v>
      </c>
      <c r="N247" s="9" t="n">
        <f aca="false">IF(AND(L247="",M247=""),"",(IF(ISNUMBER(L247),$C$3*L247,0)+IF(ISNUMBER(M247),$E$3*M247,0))/(IF(ISNUMBER(L247),$C$3,0)+IF(ISNUMBER(M247),$E$3,0)))</f>
        <v>0.518206157965194</v>
      </c>
      <c r="O247" s="12"/>
      <c r="P247" s="7" t="n">
        <f aca="false">IF(O247&lt;&gt;"","",COUNTIFS($A$6:$A$338,A247,$O$6:$O$338,"",$N$6:$N$338,"&gt;"&amp;N247)+COUNTIFS($A$6:A247,A247,$O$6:O247,"",$N$6:N247,N247))</f>
        <v>2</v>
      </c>
      <c r="Q247" s="12" t="str">
        <f aca="false">IF(P247="","Excluded",IF(P247&lt;=5,"Lead",IF(P247&lt;=10,"Next wave","Long list")))</f>
        <v>Lead</v>
      </c>
      <c r="R247" s="10" t="s">
        <v>105</v>
      </c>
      <c r="S247" s="30" t="s">
        <v>580</v>
      </c>
    </row>
    <row r="248" customFormat="false" ht="23.85" hidden="false" customHeight="false" outlineLevel="0" collapsed="false">
      <c r="A248" s="12" t="s">
        <v>45</v>
      </c>
      <c r="B248" s="12" t="s">
        <v>170</v>
      </c>
      <c r="C248" s="10" t="s">
        <v>171</v>
      </c>
      <c r="D248" s="26" t="n">
        <v>51.18</v>
      </c>
      <c r="E248" s="12" t="s">
        <v>102</v>
      </c>
      <c r="F248" s="11" t="n">
        <v>2931.4</v>
      </c>
      <c r="G248" s="10" t="s">
        <v>144</v>
      </c>
      <c r="H248" s="7" t="n">
        <v>2</v>
      </c>
      <c r="I248" s="12" t="s">
        <v>172</v>
      </c>
      <c r="J248" s="12" t="s">
        <v>86</v>
      </c>
      <c r="K248" s="10"/>
      <c r="L248" s="9" t="n">
        <f aca="false">IF(ISNUMBER(D248),COUNTIF($D$6:$D$338,"&lt;"&amp;D248)/(COUNT($D$6:$D$338)-1),"")</f>
        <v>0.628571428571429</v>
      </c>
      <c r="M248" s="9" t="n">
        <f aca="false">IF(ISNUMBER(F248),COUNTIF($F$6:$F$338,"&lt;"&amp;F248)/(COUNT($F$6:$F$338)-1),"")</f>
        <v>0.394578313253012</v>
      </c>
      <c r="N248" s="9" t="n">
        <f aca="false">IF(AND(L248="",M248=""),"",(IF(ISNUMBER(L248),$C$3*L248,0)+IF(ISNUMBER(M248),$E$3*M248,0))/(IF(ISNUMBER(L248),$C$3,0)+IF(ISNUMBER(M248),$E$3,0)))</f>
        <v>0.51157487091222</v>
      </c>
      <c r="O248" s="12"/>
      <c r="P248" s="7" t="n">
        <f aca="false">IF(O248&lt;&gt;"","",COUNTIFS($A$6:$A$338,A248,$O$6:$O$338,"",$N$6:$N$338,"&gt;"&amp;N248)+COUNTIFS($A$6:A248,A248,$O$6:O248,"",$N$6:N248,N248))</f>
        <v>3</v>
      </c>
      <c r="Q248" s="12" t="str">
        <f aca="false">IF(P248="","Excluded",IF(P248&lt;=5,"Lead",IF(P248&lt;=10,"Next wave","Long list")))</f>
        <v>Lead</v>
      </c>
      <c r="R248" s="10" t="s">
        <v>82</v>
      </c>
      <c r="S248" s="30" t="s">
        <v>429</v>
      </c>
    </row>
    <row r="249" customFormat="false" ht="23.85" hidden="false" customHeight="false" outlineLevel="0" collapsed="false">
      <c r="A249" s="12" t="s">
        <v>45</v>
      </c>
      <c r="B249" s="12" t="s">
        <v>162</v>
      </c>
      <c r="C249" s="10" t="s">
        <v>163</v>
      </c>
      <c r="D249" s="26" t="n">
        <v>30.01</v>
      </c>
      <c r="E249" s="12" t="s">
        <v>102</v>
      </c>
      <c r="F249" s="11" t="n">
        <v>3625.3</v>
      </c>
      <c r="G249" s="10" t="s">
        <v>144</v>
      </c>
      <c r="H249" s="7" t="n">
        <v>1</v>
      </c>
      <c r="I249" s="12" t="s">
        <v>79</v>
      </c>
      <c r="J249" s="12" t="s">
        <v>86</v>
      </c>
      <c r="K249" s="10"/>
      <c r="L249" s="9" t="n">
        <f aca="false">IF(ISNUMBER(D249),COUNTIF($D$6:$D$338,"&lt;"&amp;D249)/(COUNT($D$6:$D$338)-1),"")</f>
        <v>0.511111111111111</v>
      </c>
      <c r="M249" s="9" t="n">
        <f aca="false">IF(ISNUMBER(F249),COUNTIF($F$6:$F$338,"&lt;"&amp;F249)/(COUNT($F$6:$F$338)-1),"")</f>
        <v>0.454819277108434</v>
      </c>
      <c r="N249" s="9" t="n">
        <f aca="false">IF(AND(L249="",M249=""),"",(IF(ISNUMBER(L249),$C$3*L249,0)+IF(ISNUMBER(M249),$E$3*M249,0))/(IF(ISNUMBER(L249),$C$3,0)+IF(ISNUMBER(M249),$E$3,0)))</f>
        <v>0.482965194109772</v>
      </c>
      <c r="O249" s="12"/>
      <c r="P249" s="7" t="n">
        <f aca="false">IF(O249&lt;&gt;"","",COUNTIFS($A$6:$A$338,A249,$O$6:$O$338,"",$N$6:$N$338,"&gt;"&amp;N249)+COUNTIFS($A$6:A249,A249,$O$6:O249,"",$N$6:N249,N249))</f>
        <v>4</v>
      </c>
      <c r="Q249" s="12" t="str">
        <f aca="false">IF(P249="","Excluded",IF(P249&lt;=5,"Lead",IF(P249&lt;=10,"Next wave","Long list")))</f>
        <v>Lead</v>
      </c>
      <c r="R249" s="10" t="s">
        <v>82</v>
      </c>
      <c r="S249" s="30" t="s">
        <v>305</v>
      </c>
    </row>
    <row r="250" customFormat="false" ht="23.85" hidden="false" customHeight="false" outlineLevel="0" collapsed="false">
      <c r="A250" s="12" t="s">
        <v>45</v>
      </c>
      <c r="B250" s="12" t="s">
        <v>257</v>
      </c>
      <c r="C250" s="10" t="s">
        <v>258</v>
      </c>
      <c r="D250" s="26" t="n">
        <v>30.35</v>
      </c>
      <c r="E250" s="12" t="s">
        <v>102</v>
      </c>
      <c r="F250" s="11" t="n">
        <v>1296.8</v>
      </c>
      <c r="G250" s="10" t="s">
        <v>96</v>
      </c>
      <c r="H250" s="7" t="n">
        <v>2</v>
      </c>
      <c r="I250" s="12" t="s">
        <v>172</v>
      </c>
      <c r="J250" s="12" t="s">
        <v>86</v>
      </c>
      <c r="K250" s="10"/>
      <c r="L250" s="9" t="n">
        <f aca="false">IF(ISNUMBER(D250),COUNTIF($D$6:$D$338,"&lt;"&amp;D250)/(COUNT($D$6:$D$338)-1),"")</f>
        <v>0.523809523809524</v>
      </c>
      <c r="M250" s="9" t="n">
        <f aca="false">IF(ISNUMBER(F250),COUNTIF($F$6:$F$338,"&lt;"&amp;F250)/(COUNT($F$6:$F$338)-1),"")</f>
        <v>0.180722891566265</v>
      </c>
      <c r="N250" s="9" t="n">
        <f aca="false">IF(AND(L250="",M250=""),"",(IF(ISNUMBER(L250),$C$3*L250,0)+IF(ISNUMBER(M250),$E$3*M250,0))/(IF(ISNUMBER(L250),$C$3,0)+IF(ISNUMBER(M250),$E$3,0)))</f>
        <v>0.352266207687894</v>
      </c>
      <c r="O250" s="12"/>
      <c r="P250" s="7" t="n">
        <f aca="false">IF(O250&lt;&gt;"","",COUNTIFS($A$6:$A$338,A250,$O$6:$O$338,"",$N$6:$N$338,"&gt;"&amp;N250)+COUNTIFS($A$6:A250,A250,$O$6:O250,"",$N$6:N250,N250))</f>
        <v>5</v>
      </c>
      <c r="Q250" s="12" t="str">
        <f aca="false">IF(P250="","Excluded",IF(P250&lt;=5,"Lead",IF(P250&lt;=10,"Next wave","Long list")))</f>
        <v>Lead</v>
      </c>
      <c r="R250" s="10" t="s">
        <v>105</v>
      </c>
      <c r="S250" s="30" t="s">
        <v>581</v>
      </c>
    </row>
    <row r="251" customFormat="false" ht="23.85" hidden="false" customHeight="false" outlineLevel="0" collapsed="false">
      <c r="A251" s="12" t="s">
        <v>45</v>
      </c>
      <c r="B251" s="12" t="s">
        <v>221</v>
      </c>
      <c r="C251" s="10" t="s">
        <v>222</v>
      </c>
      <c r="D251" s="26" t="n">
        <v>51.79</v>
      </c>
      <c r="E251" s="12" t="s">
        <v>102</v>
      </c>
      <c r="F251" s="11" t="n">
        <v>21.8</v>
      </c>
      <c r="G251" s="10" t="s">
        <v>144</v>
      </c>
      <c r="H251" s="7" t="n">
        <v>1</v>
      </c>
      <c r="I251" s="12" t="s">
        <v>79</v>
      </c>
      <c r="J251" s="12" t="s">
        <v>86</v>
      </c>
      <c r="K251" s="10"/>
      <c r="L251" s="9" t="n">
        <f aca="false">IF(ISNUMBER(D251),COUNTIF($D$6:$D$338,"&lt;"&amp;D251)/(COUNT($D$6:$D$338)-1),"")</f>
        <v>0.634920634920635</v>
      </c>
      <c r="M251" s="9" t="n">
        <f aca="false">IF(ISNUMBER(F251),COUNTIF($F$6:$F$338,"&lt;"&amp;F251)/(COUNT($F$6:$F$338)-1),"")</f>
        <v>0.0120481927710843</v>
      </c>
      <c r="N251" s="9" t="n">
        <f aca="false">IF(AND(L251="",M251=""),"",(IF(ISNUMBER(L251),$C$3*L251,0)+IF(ISNUMBER(M251),$E$3*M251,0))/(IF(ISNUMBER(L251),$C$3,0)+IF(ISNUMBER(M251),$E$3,0)))</f>
        <v>0.32348441384586</v>
      </c>
      <c r="O251" s="12"/>
      <c r="P251" s="7" t="n">
        <f aca="false">IF(O251&lt;&gt;"","",COUNTIFS($A$6:$A$338,A251,$O$6:$O$338,"",$N$6:$N$338,"&gt;"&amp;N251)+COUNTIFS($A$6:A251,A251,$O$6:O251,"",$N$6:N251,N251))</f>
        <v>6</v>
      </c>
      <c r="Q251" s="12" t="str">
        <f aca="false">IF(P251="","Excluded",IF(P251&lt;=5,"Lead",IF(P251&lt;=10,"Next wave","Long list")))</f>
        <v>Next wave</v>
      </c>
      <c r="R251" s="10" t="s">
        <v>82</v>
      </c>
      <c r="S251" s="30" t="s">
        <v>488</v>
      </c>
    </row>
    <row r="252" customFormat="false" ht="23.85" hidden="false" customHeight="false" outlineLevel="0" collapsed="false">
      <c r="A252" s="12" t="s">
        <v>45</v>
      </c>
      <c r="B252" s="12" t="s">
        <v>259</v>
      </c>
      <c r="C252" s="10" t="s">
        <v>260</v>
      </c>
      <c r="D252" s="26" t="n">
        <v>22.55</v>
      </c>
      <c r="E252" s="12" t="s">
        <v>102</v>
      </c>
      <c r="F252" s="11" t="n">
        <v>1076.1</v>
      </c>
      <c r="G252" s="10" t="s">
        <v>144</v>
      </c>
      <c r="H252" s="7" t="n">
        <v>1</v>
      </c>
      <c r="I252" s="12" t="s">
        <v>79</v>
      </c>
      <c r="J252" s="12" t="s">
        <v>86</v>
      </c>
      <c r="K252" s="10"/>
      <c r="L252" s="9" t="n">
        <f aca="false">IF(ISNUMBER(D252),COUNTIF($D$6:$D$338,"&lt;"&amp;D252)/(COUNT($D$6:$D$338)-1),"")</f>
        <v>0.431746031746032</v>
      </c>
      <c r="M252" s="9" t="n">
        <f aca="false">IF(ISNUMBER(F252),COUNTIF($F$6:$F$338,"&lt;"&amp;F252)/(COUNT($F$6:$F$338)-1),"")</f>
        <v>0.159638554216867</v>
      </c>
      <c r="N252" s="9" t="n">
        <f aca="false">IF(AND(L252="",M252=""),"",(IF(ISNUMBER(L252),$C$3*L252,0)+IF(ISNUMBER(M252),$E$3*M252,0))/(IF(ISNUMBER(L252),$C$3,0)+IF(ISNUMBER(M252),$E$3,0)))</f>
        <v>0.29569229298145</v>
      </c>
      <c r="O252" s="12"/>
      <c r="P252" s="7" t="n">
        <f aca="false">IF(O252&lt;&gt;"","",COUNTIFS($A$6:$A$338,A252,$O$6:$O$338,"",$N$6:$N$338,"&gt;"&amp;N252)+COUNTIFS($A$6:A252,A252,$O$6:O252,"",$N$6:N252,N252))</f>
        <v>7</v>
      </c>
      <c r="Q252" s="12" t="str">
        <f aca="false">IF(P252="","Excluded",IF(P252&lt;=5,"Lead",IF(P252&lt;=10,"Next wave","Long list")))</f>
        <v>Next wave</v>
      </c>
      <c r="R252" s="10" t="s">
        <v>105</v>
      </c>
      <c r="S252" s="30" t="s">
        <v>582</v>
      </c>
    </row>
    <row r="253" customFormat="false" ht="23.85" hidden="false" customHeight="false" outlineLevel="0" collapsed="false">
      <c r="A253" s="12" t="s">
        <v>45</v>
      </c>
      <c r="B253" s="12" t="s">
        <v>261</v>
      </c>
      <c r="C253" s="10" t="s">
        <v>262</v>
      </c>
      <c r="D253" s="26" t="n">
        <v>10.13</v>
      </c>
      <c r="E253" s="12" t="s">
        <v>102</v>
      </c>
      <c r="F253" s="11" t="n">
        <v>2476.9</v>
      </c>
      <c r="G253" s="10" t="s">
        <v>144</v>
      </c>
      <c r="H253" s="7" t="n">
        <v>1</v>
      </c>
      <c r="I253" s="12" t="s">
        <v>79</v>
      </c>
      <c r="J253" s="12" t="s">
        <v>86</v>
      </c>
      <c r="K253" s="10"/>
      <c r="L253" s="9" t="n">
        <f aca="false">IF(ISNUMBER(D253),COUNTIF($D$6:$D$338,"&lt;"&amp;D253)/(COUNT($D$6:$D$338)-1),"")</f>
        <v>0.241269841269841</v>
      </c>
      <c r="M253" s="9" t="n">
        <f aca="false">IF(ISNUMBER(F253),COUNTIF($F$6:$F$338,"&lt;"&amp;F253)/(COUNT($F$6:$F$338)-1),"")</f>
        <v>0.295180722891566</v>
      </c>
      <c r="N253" s="9" t="n">
        <f aca="false">IF(AND(L253="",M253=""),"",(IF(ISNUMBER(L253),$C$3*L253,0)+IF(ISNUMBER(M253),$E$3*M253,0))/(IF(ISNUMBER(L253),$C$3,0)+IF(ISNUMBER(M253),$E$3,0)))</f>
        <v>0.268225282080704</v>
      </c>
      <c r="O253" s="12"/>
      <c r="P253" s="7" t="n">
        <f aca="false">IF(O253&lt;&gt;"","",COUNTIFS($A$6:$A$338,A253,$O$6:$O$338,"",$N$6:$N$338,"&gt;"&amp;N253)+COUNTIFS($A$6:A253,A253,$O$6:O253,"",$N$6:N253,N253))</f>
        <v>8</v>
      </c>
      <c r="Q253" s="12" t="str">
        <f aca="false">IF(P253="","Excluded",IF(P253&lt;=5,"Lead",IF(P253&lt;=10,"Next wave","Long list")))</f>
        <v>Next wave</v>
      </c>
      <c r="R253" s="10" t="s">
        <v>82</v>
      </c>
      <c r="S253" s="30" t="s">
        <v>393</v>
      </c>
    </row>
    <row r="254" customFormat="false" ht="23.85" hidden="false" customHeight="false" outlineLevel="0" collapsed="false">
      <c r="A254" s="12" t="s">
        <v>45</v>
      </c>
      <c r="B254" s="12" t="s">
        <v>263</v>
      </c>
      <c r="C254" s="10" t="s">
        <v>264</v>
      </c>
      <c r="D254" s="26" t="n">
        <v>18</v>
      </c>
      <c r="E254" s="12" t="s">
        <v>102</v>
      </c>
      <c r="F254" s="11" t="n">
        <v>513.2</v>
      </c>
      <c r="G254" s="10" t="s">
        <v>144</v>
      </c>
      <c r="H254" s="7" t="n">
        <v>1</v>
      </c>
      <c r="I254" s="12" t="s">
        <v>79</v>
      </c>
      <c r="J254" s="12" t="s">
        <v>86</v>
      </c>
      <c r="K254" s="10"/>
      <c r="L254" s="9" t="n">
        <f aca="false">IF(ISNUMBER(D254),COUNTIF($D$6:$D$338,"&lt;"&amp;D254)/(COUNT($D$6:$D$338)-1),"")</f>
        <v>0.377777777777778</v>
      </c>
      <c r="M254" s="9" t="n">
        <f aca="false">IF(ISNUMBER(F254),COUNTIF($F$6:$F$338,"&lt;"&amp;F254)/(COUNT($F$6:$F$338)-1),"")</f>
        <v>0.105421686746988</v>
      </c>
      <c r="N254" s="9" t="n">
        <f aca="false">IF(AND(L254="",M254=""),"",(IF(ISNUMBER(L254),$C$3*L254,0)+IF(ISNUMBER(M254),$E$3*M254,0))/(IF(ISNUMBER(L254),$C$3,0)+IF(ISNUMBER(M254),$E$3,0)))</f>
        <v>0.241599732262383</v>
      </c>
      <c r="O254" s="12"/>
      <c r="P254" s="7" t="n">
        <f aca="false">IF(O254&lt;&gt;"","",COUNTIFS($A$6:$A$338,A254,$O$6:$O$338,"",$N$6:$N$338,"&gt;"&amp;N254)+COUNTIFS($A$6:A254,A254,$O$6:O254,"",$N$6:N254,N254))</f>
        <v>9</v>
      </c>
      <c r="Q254" s="12" t="str">
        <f aca="false">IF(P254="","Excluded",IF(P254&lt;=5,"Lead",IF(P254&lt;=10,"Next wave","Long list")))</f>
        <v>Next wave</v>
      </c>
      <c r="R254" s="10" t="s">
        <v>105</v>
      </c>
      <c r="S254" s="30" t="s">
        <v>583</v>
      </c>
    </row>
    <row r="255" customFormat="false" ht="23.85" hidden="false" customHeight="false" outlineLevel="0" collapsed="false">
      <c r="A255" s="12" t="s">
        <v>45</v>
      </c>
      <c r="B255" s="12" t="s">
        <v>265</v>
      </c>
      <c r="C255" s="10" t="s">
        <v>266</v>
      </c>
      <c r="D255" s="26" t="n">
        <v>5.56</v>
      </c>
      <c r="E255" s="12" t="s">
        <v>102</v>
      </c>
      <c r="F255" s="11" t="n">
        <v>3067.4</v>
      </c>
      <c r="G255" s="10" t="s">
        <v>144</v>
      </c>
      <c r="H255" s="7" t="n">
        <v>1</v>
      </c>
      <c r="I255" s="12" t="s">
        <v>79</v>
      </c>
      <c r="J255" s="12" t="s">
        <v>86</v>
      </c>
      <c r="K255" s="10"/>
      <c r="L255" s="9" t="n">
        <f aca="false">IF(ISNUMBER(D255),COUNTIF($D$6:$D$338,"&lt;"&amp;D255)/(COUNT($D$6:$D$338)-1),"")</f>
        <v>0.0476190476190476</v>
      </c>
      <c r="M255" s="9" t="n">
        <f aca="false">IF(ISNUMBER(F255),COUNTIF($F$6:$F$338,"&lt;"&amp;F255)/(COUNT($F$6:$F$338)-1),"")</f>
        <v>0.418674698795181</v>
      </c>
      <c r="N255" s="9" t="n">
        <f aca="false">IF(AND(L255="",M255=""),"",(IF(ISNUMBER(L255),$C$3*L255,0)+IF(ISNUMBER(M255),$E$3*M255,0))/(IF(ISNUMBER(L255),$C$3,0)+IF(ISNUMBER(M255),$E$3,0)))</f>
        <v>0.233146873207114</v>
      </c>
      <c r="O255" s="12"/>
      <c r="P255" s="7" t="n">
        <f aca="false">IF(O255&lt;&gt;"","",COUNTIFS($A$6:$A$338,A255,$O$6:$O$338,"",$N$6:$N$338,"&gt;"&amp;N255)+COUNTIFS($A$6:A255,A255,$O$6:O255,"",$N$6:N255,N255))</f>
        <v>10</v>
      </c>
      <c r="Q255" s="12" t="str">
        <f aca="false">IF(P255="","Excluded",IF(P255&lt;=5,"Lead",IF(P255&lt;=10,"Next wave","Long list")))</f>
        <v>Next wave</v>
      </c>
      <c r="R255" s="10" t="s">
        <v>82</v>
      </c>
      <c r="S255" s="30" t="s">
        <v>454</v>
      </c>
    </row>
    <row r="256" customFormat="false" ht="23.85" hidden="false" customHeight="false" outlineLevel="0" collapsed="false">
      <c r="A256" s="12" t="s">
        <v>53</v>
      </c>
      <c r="B256" s="12" t="s">
        <v>148</v>
      </c>
      <c r="C256" s="10" t="s">
        <v>149</v>
      </c>
      <c r="D256" s="26" t="n">
        <v>24.1</v>
      </c>
      <c r="E256" s="12" t="s">
        <v>102</v>
      </c>
      <c r="F256" s="11" t="n">
        <v>58920.4</v>
      </c>
      <c r="G256" s="10" t="s">
        <v>282</v>
      </c>
      <c r="H256" s="7" t="n">
        <v>23</v>
      </c>
      <c r="I256" s="12" t="s">
        <v>79</v>
      </c>
      <c r="J256" s="12" t="s">
        <v>80</v>
      </c>
      <c r="K256" s="10" t="s">
        <v>111</v>
      </c>
      <c r="L256" s="9" t="n">
        <f aca="false">IF(ISNUMBER(D256),COUNTIF($D$6:$D$338,"&lt;"&amp;D256)/(COUNT($D$6:$D$338)-1),"")</f>
        <v>0.46031746031746</v>
      </c>
      <c r="M256" s="9" t="n">
        <f aca="false">IF(ISNUMBER(F256),COUNTIF($F$6:$F$338,"&lt;"&amp;F256)/(COUNT($F$6:$F$338)-1),"")</f>
        <v>0.936746987951807</v>
      </c>
      <c r="N256" s="9" t="n">
        <f aca="false">IF(AND(L256="",M256=""),"",(IF(ISNUMBER(L256),$C$3*L256,0)+IF(ISNUMBER(M256),$E$3*M256,0))/(IF(ISNUMBER(L256),$C$3,0)+IF(ISNUMBER(M256),$E$3,0)))</f>
        <v>0.698532224134634</v>
      </c>
      <c r="O256" s="12"/>
      <c r="P256" s="7" t="n">
        <f aca="false">IF(O256&lt;&gt;"","",COUNTIFS($A$6:$A$338,A256,$O$6:$O$338,"",$N$6:$N$338,"&gt;"&amp;N256)+COUNTIFS($A$6:A256,A256,$O$6:O256,"",$N$6:N256,N256))</f>
        <v>1</v>
      </c>
      <c r="Q256" s="12" t="str">
        <f aca="false">IF(P256="","Excluded",IF(P256&lt;=5,"Lead",IF(P256&lt;=10,"Next wave","Long list")))</f>
        <v>Lead</v>
      </c>
      <c r="R256" s="10" t="s">
        <v>82</v>
      </c>
      <c r="S256" s="30" t="s">
        <v>322</v>
      </c>
    </row>
    <row r="257" customFormat="false" ht="23.85" hidden="false" customHeight="false" outlineLevel="0" collapsed="false">
      <c r="A257" s="12" t="s">
        <v>53</v>
      </c>
      <c r="B257" s="12" t="s">
        <v>162</v>
      </c>
      <c r="C257" s="10" t="s">
        <v>163</v>
      </c>
      <c r="D257" s="26" t="n">
        <v>30.01</v>
      </c>
      <c r="E257" s="12" t="s">
        <v>102</v>
      </c>
      <c r="F257" s="11" t="n">
        <v>3625.3</v>
      </c>
      <c r="G257" s="10" t="s">
        <v>144</v>
      </c>
      <c r="H257" s="7" t="n">
        <v>1</v>
      </c>
      <c r="I257" s="12" t="s">
        <v>79</v>
      </c>
      <c r="J257" s="12" t="s">
        <v>86</v>
      </c>
      <c r="K257" s="10"/>
      <c r="L257" s="9" t="n">
        <f aca="false">IF(ISNUMBER(D257),COUNTIF($D$6:$D$338,"&lt;"&amp;D257)/(COUNT($D$6:$D$338)-1),"")</f>
        <v>0.511111111111111</v>
      </c>
      <c r="M257" s="9" t="n">
        <f aca="false">IF(ISNUMBER(F257),COUNTIF($F$6:$F$338,"&lt;"&amp;F257)/(COUNT($F$6:$F$338)-1),"")</f>
        <v>0.454819277108434</v>
      </c>
      <c r="N257" s="9" t="n">
        <f aca="false">IF(AND(L257="",M257=""),"",(IF(ISNUMBER(L257),$C$3*L257,0)+IF(ISNUMBER(M257),$E$3*M257,0))/(IF(ISNUMBER(L257),$C$3,0)+IF(ISNUMBER(M257),$E$3,0)))</f>
        <v>0.482965194109772</v>
      </c>
      <c r="O257" s="12"/>
      <c r="P257" s="7" t="n">
        <f aca="false">IF(O257&lt;&gt;"","",COUNTIFS($A$6:$A$338,A257,$O$6:$O$338,"",$N$6:$N$338,"&gt;"&amp;N257)+COUNTIFS($A$6:A257,A257,$O$6:O257,"",$N$6:N257,N257))</f>
        <v>2</v>
      </c>
      <c r="Q257" s="12" t="str">
        <f aca="false">IF(P257="","Excluded",IF(P257&lt;=5,"Lead",IF(P257&lt;=10,"Next wave","Long list")))</f>
        <v>Lead</v>
      </c>
      <c r="R257" s="10" t="s">
        <v>82</v>
      </c>
      <c r="S257" s="30" t="s">
        <v>305</v>
      </c>
    </row>
    <row r="258" customFormat="false" ht="23.85" hidden="false" customHeight="false" outlineLevel="0" collapsed="false">
      <c r="A258" s="12" t="s">
        <v>53</v>
      </c>
      <c r="B258" s="12" t="s">
        <v>283</v>
      </c>
      <c r="C258" s="10" t="s">
        <v>284</v>
      </c>
      <c r="D258" s="26" t="n">
        <v>6.38</v>
      </c>
      <c r="E258" s="12" t="s">
        <v>102</v>
      </c>
      <c r="F258" s="11" t="n">
        <v>16359.3</v>
      </c>
      <c r="G258" s="10" t="s">
        <v>144</v>
      </c>
      <c r="H258" s="7" t="n">
        <v>1</v>
      </c>
      <c r="I258" s="12" t="s">
        <v>79</v>
      </c>
      <c r="J258" s="12" t="s">
        <v>86</v>
      </c>
      <c r="K258" s="10"/>
      <c r="L258" s="9" t="n">
        <f aca="false">IF(ISNUMBER(D258),COUNTIF($D$6:$D$338,"&lt;"&amp;D258)/(COUNT($D$6:$D$338)-1),"")</f>
        <v>0.0857142857142857</v>
      </c>
      <c r="M258" s="9" t="n">
        <f aca="false">IF(ISNUMBER(F258),COUNTIF($F$6:$F$338,"&lt;"&amp;F258)/(COUNT($F$6:$F$338)-1),"")</f>
        <v>0.740963855421687</v>
      </c>
      <c r="N258" s="9" t="n">
        <f aca="false">IF(AND(L258="",M258=""),"",(IF(ISNUMBER(L258),$C$3*L258,0)+IF(ISNUMBER(M258),$E$3*M258,0))/(IF(ISNUMBER(L258),$C$3,0)+IF(ISNUMBER(M258),$E$3,0)))</f>
        <v>0.413339070567986</v>
      </c>
      <c r="O258" s="12"/>
      <c r="P258" s="7" t="n">
        <f aca="false">IF(O258&lt;&gt;"","",COUNTIFS($A$6:$A$338,A258,$O$6:$O$338,"",$N$6:$N$338,"&gt;"&amp;N258)+COUNTIFS($A$6:A258,A258,$O$6:O258,"",$N$6:N258,N258))</f>
        <v>3</v>
      </c>
      <c r="Q258" s="12" t="str">
        <f aca="false">IF(P258="","Excluded",IF(P258&lt;=5,"Lead",IF(P258&lt;=10,"Next wave","Long list")))</f>
        <v>Lead</v>
      </c>
      <c r="R258" s="10" t="s">
        <v>105</v>
      </c>
      <c r="S258" s="30" t="s">
        <v>380</v>
      </c>
    </row>
    <row r="259" customFormat="false" ht="23.85" hidden="false" customHeight="false" outlineLevel="0" collapsed="false">
      <c r="A259" s="12" t="s">
        <v>53</v>
      </c>
      <c r="B259" s="12" t="s">
        <v>285</v>
      </c>
      <c r="C259" s="10" t="s">
        <v>286</v>
      </c>
      <c r="D259" s="26" t="n">
        <v>54.62</v>
      </c>
      <c r="E259" s="12" t="s">
        <v>102</v>
      </c>
      <c r="F259" s="11" t="n">
        <v>117.1</v>
      </c>
      <c r="G259" s="10" t="s">
        <v>144</v>
      </c>
      <c r="H259" s="7" t="n">
        <v>1</v>
      </c>
      <c r="I259" s="12" t="s">
        <v>79</v>
      </c>
      <c r="J259" s="12" t="s">
        <v>97</v>
      </c>
      <c r="K259" s="10"/>
      <c r="L259" s="9" t="n">
        <f aca="false">IF(ISNUMBER(D259),COUNTIF($D$6:$D$338,"&lt;"&amp;D259)/(COUNT($D$6:$D$338)-1),"")</f>
        <v>0.657142857142857</v>
      </c>
      <c r="M259" s="9" t="n">
        <f aca="false">IF(ISNUMBER(F259),COUNTIF($F$6:$F$338,"&lt;"&amp;F259)/(COUNT($F$6:$F$338)-1),"")</f>
        <v>0.036144578313253</v>
      </c>
      <c r="N259" s="9" t="n">
        <f aca="false">IF(AND(L259="",M259=""),"",(IF(ISNUMBER(L259),$C$3*L259,0)+IF(ISNUMBER(M259),$E$3*M259,0))/(IF(ISNUMBER(L259),$C$3,0)+IF(ISNUMBER(M259),$E$3,0)))</f>
        <v>0.346643717728055</v>
      </c>
      <c r="O259" s="12"/>
      <c r="P259" s="7" t="n">
        <f aca="false">IF(O259&lt;&gt;"","",COUNTIFS($A$6:$A$338,A259,$O$6:$O$338,"",$N$6:$N$338,"&gt;"&amp;N259)+COUNTIFS($A$6:A259,A259,$O$6:O259,"",$N$6:N259,N259))</f>
        <v>4</v>
      </c>
      <c r="Q259" s="12" t="str">
        <f aca="false">IF(P259="","Excluded",IF(P259&lt;=5,"Lead",IF(P259&lt;=10,"Next wave","Long list")))</f>
        <v>Lead</v>
      </c>
      <c r="R259" s="10" t="s">
        <v>105</v>
      </c>
      <c r="S259" s="30" t="s">
        <v>584</v>
      </c>
    </row>
    <row r="260" customFormat="false" ht="23.85" hidden="false" customHeight="false" outlineLevel="0" collapsed="false">
      <c r="A260" s="12" t="s">
        <v>53</v>
      </c>
      <c r="B260" s="12" t="s">
        <v>287</v>
      </c>
      <c r="C260" s="10" t="s">
        <v>288</v>
      </c>
      <c r="D260" s="26" t="n">
        <v>7.41</v>
      </c>
      <c r="E260" s="12" t="s">
        <v>102</v>
      </c>
      <c r="F260" s="11" t="n">
        <v>570.1</v>
      </c>
      <c r="G260" s="10" t="s">
        <v>144</v>
      </c>
      <c r="H260" s="7" t="n">
        <v>1</v>
      </c>
      <c r="I260" s="12" t="s">
        <v>79</v>
      </c>
      <c r="J260" s="12" t="s">
        <v>80</v>
      </c>
      <c r="K260" s="10" t="s">
        <v>111</v>
      </c>
      <c r="L260" s="9" t="n">
        <f aca="false">IF(ISNUMBER(D260),COUNTIF($D$6:$D$338,"&lt;"&amp;D260)/(COUNT($D$6:$D$338)-1),"")</f>
        <v>0.146031746031746</v>
      </c>
      <c r="M260" s="9" t="n">
        <f aca="false">IF(ISNUMBER(F260),COUNTIF($F$6:$F$338,"&lt;"&amp;F260)/(COUNT($F$6:$F$338)-1),"")</f>
        <v>0.123493975903614</v>
      </c>
      <c r="N260" s="9" t="n">
        <f aca="false">IF(AND(L260="",M260=""),"",(IF(ISNUMBER(L260),$C$3*L260,0)+IF(ISNUMBER(M260),$E$3*M260,0))/(IF(ISNUMBER(L260),$C$3,0)+IF(ISNUMBER(M260),$E$3,0)))</f>
        <v>0.13476286096768</v>
      </c>
      <c r="O260" s="12"/>
      <c r="P260" s="7" t="n">
        <f aca="false">IF(O260&lt;&gt;"","",COUNTIFS($A$6:$A$338,A260,$O$6:$O$338,"",$N$6:$N$338,"&gt;"&amp;N260)+COUNTIFS($A$6:A260,A260,$O$6:O260,"",$N$6:N260,N260))</f>
        <v>5</v>
      </c>
      <c r="Q260" s="12" t="str">
        <f aca="false">IF(P260="","Excluded",IF(P260&lt;=5,"Lead",IF(P260&lt;=10,"Next wave","Long list")))</f>
        <v>Lead</v>
      </c>
      <c r="R260" s="10" t="s">
        <v>105</v>
      </c>
      <c r="S260" s="30" t="s">
        <v>420</v>
      </c>
    </row>
    <row r="261" customFormat="false" ht="23.85" hidden="false" customHeight="false" outlineLevel="0" collapsed="false">
      <c r="A261" s="12" t="s">
        <v>51</v>
      </c>
      <c r="B261" s="12" t="s">
        <v>117</v>
      </c>
      <c r="C261" s="10" t="s">
        <v>118</v>
      </c>
      <c r="D261" s="26" t="n">
        <v>79.53</v>
      </c>
      <c r="E261" s="12" t="s">
        <v>102</v>
      </c>
      <c r="F261" s="11" t="n">
        <v>32830.2</v>
      </c>
      <c r="G261" s="10" t="s">
        <v>91</v>
      </c>
      <c r="H261" s="7" t="n">
        <v>32</v>
      </c>
      <c r="I261" s="12" t="s">
        <v>79</v>
      </c>
      <c r="J261" s="12" t="s">
        <v>86</v>
      </c>
      <c r="K261" s="10"/>
      <c r="L261" s="9" t="n">
        <f aca="false">IF(ISNUMBER(D261),COUNTIF($D$6:$D$338,"&lt;"&amp;D261)/(COUNT($D$6:$D$338)-1),"")</f>
        <v>0.720634920634921</v>
      </c>
      <c r="M261" s="9" t="n">
        <f aca="false">IF(ISNUMBER(F261),COUNTIF($F$6:$F$338,"&lt;"&amp;F261)/(COUNT($F$6:$F$338)-1),"")</f>
        <v>0.825301204819277</v>
      </c>
      <c r="N261" s="9" t="n">
        <f aca="false">IF(AND(L261="",M261=""),"",(IF(ISNUMBER(L261),$C$3*L261,0)+IF(ISNUMBER(M261),$E$3*M261,0))/(IF(ISNUMBER(L261),$C$3,0)+IF(ISNUMBER(M261),$E$3,0)))</f>
        <v>0.772968062727099</v>
      </c>
      <c r="O261" s="12"/>
      <c r="P261" s="7" t="n">
        <f aca="false">IF(O261&lt;&gt;"","",COUNTIFS($A$6:$A$338,A261,$O$6:$O$338,"",$N$6:$N$338,"&gt;"&amp;N261)+COUNTIFS($A$6:A261,A261,$O$6:O261,"",$N$6:N261,N261))</f>
        <v>1</v>
      </c>
      <c r="Q261" s="12" t="str">
        <f aca="false">IF(P261="","Excluded",IF(P261&lt;=5,"Lead",IF(P261&lt;=10,"Next wave","Long list")))</f>
        <v>Lead</v>
      </c>
      <c r="R261" s="10" t="s">
        <v>82</v>
      </c>
      <c r="S261" s="30" t="s">
        <v>428</v>
      </c>
    </row>
    <row r="262" customFormat="false" ht="23.85" hidden="false" customHeight="false" outlineLevel="0" collapsed="false">
      <c r="A262" s="12" t="s">
        <v>51</v>
      </c>
      <c r="B262" s="12" t="s">
        <v>271</v>
      </c>
      <c r="C262" s="10" t="s">
        <v>272</v>
      </c>
      <c r="D262" s="26" t="n">
        <v>59.3</v>
      </c>
      <c r="E262" s="12" t="s">
        <v>77</v>
      </c>
      <c r="F262" s="11" t="n">
        <v>5118.1</v>
      </c>
      <c r="G262" s="10" t="s">
        <v>116</v>
      </c>
      <c r="H262" s="7" t="n">
        <v>9</v>
      </c>
      <c r="I262" s="12" t="s">
        <v>85</v>
      </c>
      <c r="J262" s="12" t="s">
        <v>86</v>
      </c>
      <c r="K262" s="10" t="s">
        <v>87</v>
      </c>
      <c r="L262" s="9" t="n">
        <f aca="false">IF(ISNUMBER(D262),COUNTIF($D$6:$D$338,"&lt;"&amp;D262)/(COUNT($D$6:$D$338)-1),"")</f>
        <v>0.673015873015873</v>
      </c>
      <c r="M262" s="9" t="n">
        <f aca="false">IF(ISNUMBER(F262),COUNTIF($F$6:$F$338,"&lt;"&amp;F262)/(COUNT($F$6:$F$338)-1),"")</f>
        <v>0.551204819277108</v>
      </c>
      <c r="N262" s="9" t="n">
        <f aca="false">IF(AND(L262="",M262=""),"",(IF(ISNUMBER(L262),$C$3*L262,0)+IF(ISNUMBER(M262),$E$3*M262,0))/(IF(ISNUMBER(L262),$C$3,0)+IF(ISNUMBER(M262),$E$3,0)))</f>
        <v>0.612110346146491</v>
      </c>
      <c r="O262" s="12"/>
      <c r="P262" s="7" t="n">
        <f aca="false">IF(O262&lt;&gt;"","",COUNTIFS($A$6:$A$338,A262,$O$6:$O$338,"",$N$6:$N$338,"&gt;"&amp;N262)+COUNTIFS($A$6:A262,A262,$O$6:O262,"",$N$6:N262,N262))</f>
        <v>2</v>
      </c>
      <c r="Q262" s="12" t="str">
        <f aca="false">IF(P262="","Excluded",IF(P262&lt;=5,"Lead",IF(P262&lt;=10,"Next wave","Long list")))</f>
        <v>Lead</v>
      </c>
      <c r="R262" s="10" t="s">
        <v>88</v>
      </c>
      <c r="S262" s="30" t="s">
        <v>585</v>
      </c>
    </row>
    <row r="263" customFormat="false" ht="23.85" hidden="false" customHeight="false" outlineLevel="0" collapsed="false">
      <c r="A263" s="12" t="s">
        <v>51</v>
      </c>
      <c r="B263" s="12" t="s">
        <v>273</v>
      </c>
      <c r="C263" s="10" t="s">
        <v>274</v>
      </c>
      <c r="D263" s="26" t="n">
        <v>163.51</v>
      </c>
      <c r="E263" s="12" t="s">
        <v>77</v>
      </c>
      <c r="F263" s="11" t="n">
        <v>14.3</v>
      </c>
      <c r="G263" s="10" t="s">
        <v>91</v>
      </c>
      <c r="H263" s="7" t="n">
        <v>19</v>
      </c>
      <c r="I263" s="12" t="s">
        <v>172</v>
      </c>
      <c r="J263" s="12" t="s">
        <v>86</v>
      </c>
      <c r="K263" s="10"/>
      <c r="L263" s="9" t="n">
        <f aca="false">IF(ISNUMBER(D263),COUNTIF($D$6:$D$338,"&lt;"&amp;D263)/(COUNT($D$6:$D$338)-1),"")</f>
        <v>0.838095238095238</v>
      </c>
      <c r="M263" s="9" t="n">
        <f aca="false">IF(ISNUMBER(F263),COUNTIF($F$6:$F$338,"&lt;"&amp;F263)/(COUNT($F$6:$F$338)-1),"")</f>
        <v>0.00301204819277108</v>
      </c>
      <c r="N263" s="9" t="n">
        <f aca="false">IF(AND(L263="",M263=""),"",(IF(ISNUMBER(L263),$C$3*L263,0)+IF(ISNUMBER(M263),$E$3*M263,0))/(IF(ISNUMBER(L263),$C$3,0)+IF(ISNUMBER(M263),$E$3,0)))</f>
        <v>0.420553643144005</v>
      </c>
      <c r="O263" s="12"/>
      <c r="P263" s="7" t="n">
        <f aca="false">IF(O263&lt;&gt;"","",COUNTIFS($A$6:$A$338,A263,$O$6:$O$338,"",$N$6:$N$338,"&gt;"&amp;N263)+COUNTIFS($A$6:A263,A263,$O$6:O263,"",$N$6:N263,N263))</f>
        <v>3</v>
      </c>
      <c r="Q263" s="12" t="str">
        <f aca="false">IF(P263="","Excluded",IF(P263&lt;=5,"Lead",IF(P263&lt;=10,"Next wave","Long list")))</f>
        <v>Lead</v>
      </c>
      <c r="R263" s="10" t="s">
        <v>105</v>
      </c>
      <c r="S263" s="30" t="s">
        <v>567</v>
      </c>
    </row>
    <row r="264" customFormat="false" ht="23.85" hidden="false" customHeight="false" outlineLevel="0" collapsed="false">
      <c r="A264" s="12" t="s">
        <v>51</v>
      </c>
      <c r="B264" s="12" t="s">
        <v>245</v>
      </c>
      <c r="C264" s="10" t="s">
        <v>246</v>
      </c>
      <c r="D264" s="26" t="n">
        <v>22.39</v>
      </c>
      <c r="E264" s="12" t="s">
        <v>102</v>
      </c>
      <c r="F264" s="11" t="n">
        <v>2508.1</v>
      </c>
      <c r="G264" s="10" t="s">
        <v>144</v>
      </c>
      <c r="H264" s="7" t="n">
        <v>1</v>
      </c>
      <c r="I264" s="12" t="s">
        <v>79</v>
      </c>
      <c r="J264" s="12" t="s">
        <v>86</v>
      </c>
      <c r="K264" s="10"/>
      <c r="L264" s="9" t="n">
        <f aca="false">IF(ISNUMBER(D264),COUNTIF($D$6:$D$338,"&lt;"&amp;D264)/(COUNT($D$6:$D$338)-1),"")</f>
        <v>0.425396825396825</v>
      </c>
      <c r="M264" s="9" t="n">
        <f aca="false">IF(ISNUMBER(F264),COUNTIF($F$6:$F$338,"&lt;"&amp;F264)/(COUNT($F$6:$F$338)-1),"")</f>
        <v>0.313253012048193</v>
      </c>
      <c r="N264" s="9" t="n">
        <f aca="false">IF(AND(L264="",M264=""),"",(IF(ISNUMBER(L264),$C$3*L264,0)+IF(ISNUMBER(M264),$E$3*M264,0))/(IF(ISNUMBER(L264),$C$3,0)+IF(ISNUMBER(M264),$E$3,0)))</f>
        <v>0.369324918722509</v>
      </c>
      <c r="O264" s="12"/>
      <c r="P264" s="7" t="n">
        <f aca="false">IF(O264&lt;&gt;"","",COUNTIFS($A$6:$A$338,A264,$O$6:$O$338,"",$N$6:$N$338,"&gt;"&amp;N264)+COUNTIFS($A$6:A264,A264,$O$6:O264,"",$N$6:N264,N264))</f>
        <v>4</v>
      </c>
      <c r="Q264" s="12" t="str">
        <f aca="false">IF(P264="","Excluded",IF(P264&lt;=5,"Lead",IF(P264&lt;=10,"Next wave","Long list")))</f>
        <v>Lead</v>
      </c>
      <c r="R264" s="10" t="s">
        <v>82</v>
      </c>
      <c r="S264" s="30" t="s">
        <v>534</v>
      </c>
    </row>
    <row r="265" customFormat="false" ht="23.85" hidden="false" customHeight="false" outlineLevel="0" collapsed="false">
      <c r="A265" s="12" t="s">
        <v>51</v>
      </c>
      <c r="B265" s="12" t="s">
        <v>275</v>
      </c>
      <c r="C265" s="10" t="s">
        <v>276</v>
      </c>
      <c r="D265" s="26" t="n">
        <v>42.21</v>
      </c>
      <c r="E265" s="12" t="s">
        <v>153</v>
      </c>
      <c r="F265" s="11" t="n">
        <v>71.4</v>
      </c>
      <c r="G265" s="10" t="s">
        <v>226</v>
      </c>
      <c r="H265" s="7" t="n">
        <v>1</v>
      </c>
      <c r="I265" s="12" t="s">
        <v>97</v>
      </c>
      <c r="J265" s="12" t="s">
        <v>97</v>
      </c>
      <c r="K265" s="10"/>
      <c r="L265" s="9" t="n">
        <f aca="false">IF(ISNUMBER(D265),COUNTIF($D$6:$D$338,"&lt;"&amp;D265)/(COUNT($D$6:$D$338)-1),"")</f>
        <v>0.615873015873016</v>
      </c>
      <c r="M265" s="9" t="n">
        <f aca="false">IF(ISNUMBER(F265),COUNTIF($F$6:$F$338,"&lt;"&amp;F265)/(COUNT($F$6:$F$338)-1),"")</f>
        <v>0.0210843373493976</v>
      </c>
      <c r="N265" s="9" t="n">
        <f aca="false">IF(AND(L265="",M265=""),"",(IF(ISNUMBER(L265),$C$3*L265,0)+IF(ISNUMBER(M265),$E$3*M265,0))/(IF(ISNUMBER(L265),$C$3,0)+IF(ISNUMBER(M265),$E$3,0)))</f>
        <v>0.318478676611207</v>
      </c>
      <c r="O265" s="12"/>
      <c r="P265" s="7" t="n">
        <f aca="false">IF(O265&lt;&gt;"","",COUNTIFS($A$6:$A$338,A265,$O$6:$O$338,"",$N$6:$N$338,"&gt;"&amp;N265)+COUNTIFS($A$6:A265,A265,$O$6:O265,"",$N$6:N265,N265))</f>
        <v>5</v>
      </c>
      <c r="Q265" s="12" t="str">
        <f aca="false">IF(P265="","Excluded",IF(P265&lt;=5,"Lead",IF(P265&lt;=10,"Next wave","Long list")))</f>
        <v>Lead</v>
      </c>
      <c r="R265" s="10" t="s">
        <v>99</v>
      </c>
      <c r="S265" s="30" t="s">
        <v>422</v>
      </c>
    </row>
    <row r="266" customFormat="false" ht="23.85" hidden="false" customHeight="false" outlineLevel="0" collapsed="false">
      <c r="A266" s="12" t="s">
        <v>51</v>
      </c>
      <c r="B266" s="12" t="s">
        <v>277</v>
      </c>
      <c r="C266" s="10" t="s">
        <v>278</v>
      </c>
      <c r="D266" s="26" t="n">
        <v>15.8</v>
      </c>
      <c r="E266" s="12" t="s">
        <v>77</v>
      </c>
      <c r="F266" s="11" t="n">
        <v>287.5</v>
      </c>
      <c r="G266" s="10" t="s">
        <v>279</v>
      </c>
      <c r="H266" s="7" t="n">
        <v>18</v>
      </c>
      <c r="I266" s="12" t="s">
        <v>172</v>
      </c>
      <c r="J266" s="12" t="s">
        <v>86</v>
      </c>
      <c r="K266" s="10"/>
      <c r="L266" s="9" t="n">
        <f aca="false">IF(ISNUMBER(D266),COUNTIF($D$6:$D$338,"&lt;"&amp;D266)/(COUNT($D$6:$D$338)-1),"")</f>
        <v>0.349206349206349</v>
      </c>
      <c r="M266" s="9" t="n">
        <f aca="false">IF(ISNUMBER(F266),COUNTIF($F$6:$F$338,"&lt;"&amp;F266)/(COUNT($F$6:$F$338)-1),"")</f>
        <v>0.0753012048192771</v>
      </c>
      <c r="N266" s="9" t="n">
        <f aca="false">IF(AND(L266="",M266=""),"",(IF(ISNUMBER(L266),$C$3*L266,0)+IF(ISNUMBER(M266),$E$3*M266,0))/(IF(ISNUMBER(L266),$C$3,0)+IF(ISNUMBER(M266),$E$3,0)))</f>
        <v>0.212253777012813</v>
      </c>
      <c r="O266" s="12"/>
      <c r="P266" s="7" t="n">
        <f aca="false">IF(O266&lt;&gt;"","",COUNTIFS($A$6:$A$338,A266,$O$6:$O$338,"",$N$6:$N$338,"&gt;"&amp;N266)+COUNTIFS($A$6:A266,A266,$O$6:O266,"",$N$6:N266,N266))</f>
        <v>6</v>
      </c>
      <c r="Q266" s="12" t="str">
        <f aca="false">IF(P266="","Excluded",IF(P266&lt;=5,"Lead",IF(P266&lt;=10,"Next wave","Long list")))</f>
        <v>Next wave</v>
      </c>
      <c r="R266" s="10" t="s">
        <v>105</v>
      </c>
      <c r="S266" s="30" t="s">
        <v>568</v>
      </c>
    </row>
    <row r="267" customFormat="false" ht="23.85" hidden="false" customHeight="false" outlineLevel="0" collapsed="false">
      <c r="A267" s="12" t="s">
        <v>51</v>
      </c>
      <c r="B267" s="12" t="s">
        <v>280</v>
      </c>
      <c r="C267" s="10" t="s">
        <v>281</v>
      </c>
      <c r="D267" s="26" t="n">
        <v>8.71</v>
      </c>
      <c r="E267" s="12" t="s">
        <v>77</v>
      </c>
      <c r="F267" s="11" t="n">
        <v>1781.1</v>
      </c>
      <c r="G267" s="10" t="s">
        <v>279</v>
      </c>
      <c r="H267" s="7" t="n">
        <v>12</v>
      </c>
      <c r="I267" s="12" t="s">
        <v>172</v>
      </c>
      <c r="J267" s="12" t="s">
        <v>86</v>
      </c>
      <c r="K267" s="10"/>
      <c r="L267" s="9" t="n">
        <f aca="false">IF(ISNUMBER(D267),COUNTIF($D$6:$D$338,"&lt;"&amp;D267)/(COUNT($D$6:$D$338)-1),"")</f>
        <v>0.184126984126984</v>
      </c>
      <c r="M267" s="9" t="n">
        <f aca="false">IF(ISNUMBER(F267),COUNTIF($F$6:$F$338,"&lt;"&amp;F267)/(COUNT($F$6:$F$338)-1),"")</f>
        <v>0.228915662650602</v>
      </c>
      <c r="N267" s="9" t="n">
        <f aca="false">IF(AND(L267="",M267=""),"",(IF(ISNUMBER(L267),$C$3*L267,0)+IF(ISNUMBER(M267),$E$3*M267,0))/(IF(ISNUMBER(L267),$C$3,0)+IF(ISNUMBER(M267),$E$3,0)))</f>
        <v>0.206521323388793</v>
      </c>
      <c r="O267" s="12"/>
      <c r="P267" s="7" t="n">
        <f aca="false">IF(O267&lt;&gt;"","",COUNTIFS($A$6:$A$338,A267,$O$6:$O$338,"",$N$6:$N$338,"&gt;"&amp;N267)+COUNTIFS($A$6:A267,A267,$O$6:O267,"",$N$6:N267,N267))</f>
        <v>7</v>
      </c>
      <c r="Q267" s="12" t="str">
        <f aca="false">IF(P267="","Excluded",IF(P267&lt;=5,"Lead",IF(P267&lt;=10,"Next wave","Long list")))</f>
        <v>Next wave</v>
      </c>
      <c r="R267" s="10" t="s">
        <v>105</v>
      </c>
      <c r="S267" s="30" t="s">
        <v>586</v>
      </c>
    </row>
    <row r="268" customFormat="false" ht="23.85" hidden="false" customHeight="false" outlineLevel="0" collapsed="false">
      <c r="A268" s="12" t="s">
        <v>49</v>
      </c>
      <c r="B268" s="12" t="s">
        <v>148</v>
      </c>
      <c r="C268" s="10" t="s">
        <v>149</v>
      </c>
      <c r="D268" s="26" t="n">
        <v>11.71</v>
      </c>
      <c r="E268" s="12" t="s">
        <v>102</v>
      </c>
      <c r="F268" s="11" t="n">
        <v>58920.4</v>
      </c>
      <c r="G268" s="10" t="s">
        <v>175</v>
      </c>
      <c r="H268" s="7" t="n">
        <v>2</v>
      </c>
      <c r="I268" s="12" t="s">
        <v>79</v>
      </c>
      <c r="J268" s="12" t="s">
        <v>80</v>
      </c>
      <c r="K268" s="10" t="s">
        <v>111</v>
      </c>
      <c r="L268" s="9" t="n">
        <f aca="false">IF(ISNUMBER(D268),COUNTIF($D$6:$D$338,"&lt;"&amp;D268)/(COUNT($D$6:$D$338)-1),"")</f>
        <v>0.279365079365079</v>
      </c>
      <c r="M268" s="9" t="n">
        <f aca="false">IF(ISNUMBER(F268),COUNTIF($F$6:$F$338,"&lt;"&amp;F268)/(COUNT($F$6:$F$338)-1),"")</f>
        <v>0.936746987951807</v>
      </c>
      <c r="N268" s="9" t="n">
        <f aca="false">IF(AND(L268="",M268=""),"",(IF(ISNUMBER(L268),$C$3*L268,0)+IF(ISNUMBER(M268),$E$3*M268,0))/(IF(ISNUMBER(L268),$C$3,0)+IF(ISNUMBER(M268),$E$3,0)))</f>
        <v>0.608056033658443</v>
      </c>
      <c r="O268" s="12"/>
      <c r="P268" s="7" t="n">
        <f aca="false">IF(O268&lt;&gt;"","",COUNTIFS($A$6:$A$338,A268,$O$6:$O$338,"",$N$6:$N$338,"&gt;"&amp;N268)+COUNTIFS($A$6:A268,A268,$O$6:O268,"",$N$6:N268,N268))</f>
        <v>1</v>
      </c>
      <c r="Q268" s="12" t="str">
        <f aca="false">IF(P268="","Excluded",IF(P268&lt;=5,"Lead",IF(P268&lt;=10,"Next wave","Long list")))</f>
        <v>Lead</v>
      </c>
      <c r="R268" s="10" t="s">
        <v>82</v>
      </c>
      <c r="S268" s="30" t="s">
        <v>322</v>
      </c>
    </row>
    <row r="269" customFormat="false" ht="35.05" hidden="false" customHeight="false" outlineLevel="0" collapsed="false">
      <c r="A269" s="12" t="s">
        <v>49</v>
      </c>
      <c r="B269" s="12" t="s">
        <v>267</v>
      </c>
      <c r="C269" s="10" t="s">
        <v>268</v>
      </c>
      <c r="D269" s="26" t="n">
        <v>20.23</v>
      </c>
      <c r="E269" s="12" t="s">
        <v>102</v>
      </c>
      <c r="F269" s="11" t="n">
        <v>32204.5</v>
      </c>
      <c r="G269" s="10" t="s">
        <v>323</v>
      </c>
      <c r="H269" s="7" t="n">
        <v>1</v>
      </c>
      <c r="I269" s="12" t="s">
        <v>79</v>
      </c>
      <c r="J269" s="12" t="s">
        <v>80</v>
      </c>
      <c r="K269" s="10" t="s">
        <v>111</v>
      </c>
      <c r="L269" s="9" t="n">
        <f aca="false">IF(ISNUMBER(D269),COUNTIF($D$6:$D$338,"&lt;"&amp;D269)/(COUNT($D$6:$D$338)-1),"")</f>
        <v>0.393650793650794</v>
      </c>
      <c r="M269" s="9" t="n">
        <f aca="false">IF(ISNUMBER(F269),COUNTIF($F$6:$F$338,"&lt;"&amp;F269)/(COUNT($F$6:$F$338)-1),"")</f>
        <v>0.822289156626506</v>
      </c>
      <c r="N269" s="9" t="n">
        <f aca="false">IF(AND(L269="",M269=""),"",(IF(ISNUMBER(L269),$C$3*L269,0)+IF(ISNUMBER(M269),$E$3*M269,0))/(IF(ISNUMBER(L269),$C$3,0)+IF(ISNUMBER(M269),$E$3,0)))</f>
        <v>0.60796997513865</v>
      </c>
      <c r="O269" s="12"/>
      <c r="P269" s="7" t="n">
        <f aca="false">IF(O269&lt;&gt;"","",COUNTIFS($A$6:$A$338,A269,$O$6:$O$338,"",$N$6:$N$338,"&gt;"&amp;N269)+COUNTIFS($A$6:A269,A269,$O$6:O269,"",$N$6:N269,N269))</f>
        <v>2</v>
      </c>
      <c r="Q269" s="12" t="str">
        <f aca="false">IF(P269="","Excluded",IF(P269&lt;=5,"Lead",IF(P269&lt;=10,"Next wave","Long list")))</f>
        <v>Lead</v>
      </c>
      <c r="R269" s="10" t="s">
        <v>105</v>
      </c>
      <c r="S269" s="30" t="s">
        <v>587</v>
      </c>
    </row>
    <row r="270" customFormat="false" ht="23.85" hidden="false" customHeight="false" outlineLevel="0" collapsed="false">
      <c r="A270" s="12" t="s">
        <v>49</v>
      </c>
      <c r="B270" s="12" t="s">
        <v>206</v>
      </c>
      <c r="C270" s="10" t="s">
        <v>207</v>
      </c>
      <c r="D270" s="26" t="n">
        <v>23.05</v>
      </c>
      <c r="E270" s="12" t="s">
        <v>102</v>
      </c>
      <c r="F270" s="11" t="n">
        <v>5713.6</v>
      </c>
      <c r="G270" s="10" t="s">
        <v>323</v>
      </c>
      <c r="H270" s="7" t="n">
        <v>1</v>
      </c>
      <c r="I270" s="12" t="s">
        <v>79</v>
      </c>
      <c r="J270" s="12" t="s">
        <v>80</v>
      </c>
      <c r="K270" s="10" t="s">
        <v>111</v>
      </c>
      <c r="L270" s="9" t="n">
        <f aca="false">IF(ISNUMBER(D270),COUNTIF($D$6:$D$338,"&lt;"&amp;D270)/(COUNT($D$6:$D$338)-1),"")</f>
        <v>0.438095238095238</v>
      </c>
      <c r="M270" s="9" t="n">
        <f aca="false">IF(ISNUMBER(F270),COUNTIF($F$6:$F$338,"&lt;"&amp;F270)/(COUNT($F$6:$F$338)-1),"")</f>
        <v>0.569277108433735</v>
      </c>
      <c r="N270" s="9" t="n">
        <f aca="false">IF(AND(L270="",M270=""),"",(IF(ISNUMBER(L270),$C$3*L270,0)+IF(ISNUMBER(M270),$E$3*M270,0))/(IF(ISNUMBER(L270),$C$3,0)+IF(ISNUMBER(M270),$E$3,0)))</f>
        <v>0.503686173264487</v>
      </c>
      <c r="O270" s="12"/>
      <c r="P270" s="7" t="n">
        <f aca="false">IF(O270&lt;&gt;"","",COUNTIFS($A$6:$A$338,A270,$O$6:$O$338,"",$N$6:$N$338,"&gt;"&amp;N270)+COUNTIFS($A$6:A270,A270,$O$6:O270,"",$N$6:N270,N270))</f>
        <v>3</v>
      </c>
      <c r="Q270" s="12" t="str">
        <f aca="false">IF(P270="","Excluded",IF(P270&lt;=5,"Lead",IF(P270&lt;=10,"Next wave","Long list")))</f>
        <v>Lead</v>
      </c>
      <c r="R270" s="10" t="s">
        <v>82</v>
      </c>
      <c r="S270" s="30" t="s">
        <v>384</v>
      </c>
    </row>
    <row r="271" customFormat="false" ht="35.05" hidden="false" customHeight="false" outlineLevel="0" collapsed="false">
      <c r="A271" s="12" t="s">
        <v>49</v>
      </c>
      <c r="B271" s="12" t="s">
        <v>269</v>
      </c>
      <c r="C271" s="10" t="s">
        <v>270</v>
      </c>
      <c r="D271" s="26" t="n">
        <v>13.03</v>
      </c>
      <c r="E271" s="12" t="s">
        <v>102</v>
      </c>
      <c r="F271" s="11" t="n">
        <v>6294.9</v>
      </c>
      <c r="G271" s="10" t="s">
        <v>323</v>
      </c>
      <c r="H271" s="7" t="n">
        <v>1</v>
      </c>
      <c r="I271" s="12" t="s">
        <v>79</v>
      </c>
      <c r="J271" s="12" t="s">
        <v>80</v>
      </c>
      <c r="K271" s="10" t="s">
        <v>111</v>
      </c>
      <c r="L271" s="9" t="n">
        <f aca="false">IF(ISNUMBER(D271),COUNTIF($D$6:$D$338,"&lt;"&amp;D271)/(COUNT($D$6:$D$338)-1),"")</f>
        <v>0.298412698412698</v>
      </c>
      <c r="M271" s="9" t="n">
        <f aca="false">IF(ISNUMBER(F271),COUNTIF($F$6:$F$338,"&lt;"&amp;F271)/(COUNT($F$6:$F$338)-1),"")</f>
        <v>0.593373493975904</v>
      </c>
      <c r="N271" s="9" t="n">
        <f aca="false">IF(AND(L271="",M271=""),"",(IF(ISNUMBER(L271),$C$3*L271,0)+IF(ISNUMBER(M271),$E$3*M271,0))/(IF(ISNUMBER(L271),$C$3,0)+IF(ISNUMBER(M271),$E$3,0)))</f>
        <v>0.445893096194301</v>
      </c>
      <c r="O271" s="12"/>
      <c r="P271" s="7" t="n">
        <f aca="false">IF(O271&lt;&gt;"","",COUNTIFS($A$6:$A$338,A271,$O$6:$O$338,"",$N$6:$N$338,"&gt;"&amp;N271)+COUNTIFS($A$6:A271,A271,$O$6:O271,"",$N$6:N271,N271))</f>
        <v>4</v>
      </c>
      <c r="Q271" s="12" t="str">
        <f aca="false">IF(P271="","Excluded",IF(P271&lt;=5,"Lead",IF(P271&lt;=10,"Next wave","Long list")))</f>
        <v>Lead</v>
      </c>
      <c r="R271" s="10" t="s">
        <v>82</v>
      </c>
      <c r="S271" s="30" t="s">
        <v>378</v>
      </c>
    </row>
    <row r="272" customFormat="false" ht="23.85" hidden="false" customHeight="false" outlineLevel="0" collapsed="false">
      <c r="A272" s="12" t="s">
        <v>49</v>
      </c>
      <c r="B272" s="12" t="s">
        <v>229</v>
      </c>
      <c r="C272" s="10" t="s">
        <v>230</v>
      </c>
      <c r="D272" s="26" t="n">
        <v>6.94</v>
      </c>
      <c r="E272" s="12" t="s">
        <v>77</v>
      </c>
      <c r="F272" s="11" t="n">
        <v>4790.5</v>
      </c>
      <c r="G272" s="10" t="s">
        <v>323</v>
      </c>
      <c r="H272" s="7" t="n">
        <v>1</v>
      </c>
      <c r="I272" s="12" t="s">
        <v>79</v>
      </c>
      <c r="J272" s="12" t="s">
        <v>86</v>
      </c>
      <c r="K272" s="10"/>
      <c r="L272" s="9" t="n">
        <f aca="false">IF(ISNUMBER(D272),COUNTIF($D$6:$D$338,"&lt;"&amp;D272)/(COUNT($D$6:$D$338)-1),"")</f>
        <v>0.123809523809524</v>
      </c>
      <c r="M272" s="9" t="n">
        <f aca="false">IF(ISNUMBER(F272),COUNTIF($F$6:$F$338,"&lt;"&amp;F272)/(COUNT($F$6:$F$338)-1),"")</f>
        <v>0.533132530120482</v>
      </c>
      <c r="N272" s="9" t="n">
        <f aca="false">IF(AND(L272="",M272=""),"",(IF(ISNUMBER(L272),$C$3*L272,0)+IF(ISNUMBER(M272),$E$3*M272,0))/(IF(ISNUMBER(L272),$C$3,0)+IF(ISNUMBER(M272),$E$3,0)))</f>
        <v>0.328471026965003</v>
      </c>
      <c r="O272" s="12"/>
      <c r="P272" s="7" t="n">
        <f aca="false">IF(O272&lt;&gt;"","",COUNTIFS($A$6:$A$338,A272,$O$6:$O$338,"",$N$6:$N$338,"&gt;"&amp;N272)+COUNTIFS($A$6:A272,A272,$O$6:O272,"",$N$6:N272,N272))</f>
        <v>5</v>
      </c>
      <c r="Q272" s="12" t="str">
        <f aca="false">IF(P272="","Excluded",IF(P272&lt;=5,"Lead",IF(P272&lt;=10,"Next wave","Long list")))</f>
        <v>Lead</v>
      </c>
      <c r="R272" s="10" t="s">
        <v>82</v>
      </c>
      <c r="S272" s="30" t="s">
        <v>434</v>
      </c>
    </row>
    <row r="273" customFormat="false" ht="23.85" hidden="false" customHeight="false" outlineLevel="0" collapsed="false">
      <c r="A273" s="12" t="s">
        <v>33</v>
      </c>
      <c r="B273" s="12" t="s">
        <v>89</v>
      </c>
      <c r="C273" s="10" t="s">
        <v>90</v>
      </c>
      <c r="D273" s="26" t="n">
        <v>887.33</v>
      </c>
      <c r="E273" s="12" t="s">
        <v>77</v>
      </c>
      <c r="F273" s="11" t="n">
        <v>28093.4</v>
      </c>
      <c r="G273" s="10" t="s">
        <v>130</v>
      </c>
      <c r="H273" s="7" t="n">
        <v>34</v>
      </c>
      <c r="I273" s="12" t="s">
        <v>79</v>
      </c>
      <c r="J273" s="12" t="s">
        <v>86</v>
      </c>
      <c r="K273" s="10" t="s">
        <v>81</v>
      </c>
      <c r="L273" s="9" t="n">
        <f aca="false">IF(ISNUMBER(D273),COUNTIF($D$6:$D$338,"&lt;"&amp;D273)/(COUNT($D$6:$D$338)-1),"")</f>
        <v>0.968253968253968</v>
      </c>
      <c r="M273" s="9" t="n">
        <f aca="false">IF(ISNUMBER(F273),COUNTIF($F$6:$F$338,"&lt;"&amp;F273)/(COUNT($F$6:$F$338)-1),"")</f>
        <v>0.792168674698795</v>
      </c>
      <c r="N273" s="9" t="n">
        <f aca="false">IF(AND(L273="",M273=""),"",(IF(ISNUMBER(L273),$C$3*L273,0)+IF(ISNUMBER(M273),$E$3*M273,0))/(IF(ISNUMBER(L273),$C$3,0)+IF(ISNUMBER(M273),$E$3,0)))</f>
        <v>0.880211321476382</v>
      </c>
      <c r="O273" s="12"/>
      <c r="P273" s="7" t="n">
        <f aca="false">IF(O273&lt;&gt;"","",COUNTIFS($A$6:$A$338,A273,$O$6:$O$338,"",$N$6:$N$338,"&gt;"&amp;N273)+COUNTIFS($A$6:A273,A273,$O$6:O273,"",$N$6:N273,N273))</f>
        <v>1</v>
      </c>
      <c r="Q273" s="12" t="str">
        <f aca="false">IF(P273="","Excluded",IF(P273&lt;=5,"Lead",IF(P273&lt;=10,"Next wave","Long list")))</f>
        <v>Lead</v>
      </c>
      <c r="R273" s="10" t="s">
        <v>82</v>
      </c>
      <c r="S273" s="30" t="s">
        <v>316</v>
      </c>
    </row>
    <row r="274" customFormat="false" ht="23.85" hidden="false" customHeight="false" outlineLevel="0" collapsed="false">
      <c r="A274" s="12" t="s">
        <v>33</v>
      </c>
      <c r="B274" s="12" t="s">
        <v>114</v>
      </c>
      <c r="C274" s="10" t="s">
        <v>115</v>
      </c>
      <c r="D274" s="26" t="n">
        <v>438.59</v>
      </c>
      <c r="E274" s="12" t="s">
        <v>102</v>
      </c>
      <c r="F274" s="11" t="n">
        <v>11366.1</v>
      </c>
      <c r="G274" s="10" t="s">
        <v>187</v>
      </c>
      <c r="H274" s="7" t="n">
        <v>7</v>
      </c>
      <c r="I274" s="12" t="s">
        <v>85</v>
      </c>
      <c r="J274" s="12" t="s">
        <v>86</v>
      </c>
      <c r="K274" s="10" t="s">
        <v>87</v>
      </c>
      <c r="L274" s="9" t="n">
        <f aca="false">IF(ISNUMBER(D274),COUNTIF($D$6:$D$338,"&lt;"&amp;D274)/(COUNT($D$6:$D$338)-1),"")</f>
        <v>0.93968253968254</v>
      </c>
      <c r="M274" s="9" t="n">
        <f aca="false">IF(ISNUMBER(F274),COUNTIF($F$6:$F$338,"&lt;"&amp;F274)/(COUNT($F$6:$F$338)-1),"")</f>
        <v>0.686746987951807</v>
      </c>
      <c r="N274" s="9" t="n">
        <f aca="false">IF(AND(L274="",M274=""),"",(IF(ISNUMBER(L274),$C$3*L274,0)+IF(ISNUMBER(M274),$E$3*M274,0))/(IF(ISNUMBER(L274),$C$3,0)+IF(ISNUMBER(M274),$E$3,0)))</f>
        <v>0.813214763817173</v>
      </c>
      <c r="O274" s="12"/>
      <c r="P274" s="7" t="n">
        <f aca="false">IF(O274&lt;&gt;"","",COUNTIFS($A$6:$A$338,A274,$O$6:$O$338,"",$N$6:$N$338,"&gt;"&amp;N274)+COUNTIFS($A$6:A274,A274,$O$6:O274,"",$N$6:N274,N274))</f>
        <v>2</v>
      </c>
      <c r="Q274" s="12" t="str">
        <f aca="false">IF(P274="","Excluded",IF(P274&lt;=5,"Lead",IF(P274&lt;=10,"Next wave","Long list")))</f>
        <v>Lead</v>
      </c>
      <c r="R274" s="10" t="s">
        <v>88</v>
      </c>
      <c r="S274" s="30" t="s">
        <v>304</v>
      </c>
    </row>
    <row r="275" customFormat="false" ht="23.85" hidden="false" customHeight="false" outlineLevel="0" collapsed="false">
      <c r="A275" s="12" t="s">
        <v>33</v>
      </c>
      <c r="B275" s="12" t="s">
        <v>117</v>
      </c>
      <c r="C275" s="10" t="s">
        <v>118</v>
      </c>
      <c r="D275" s="26" t="n">
        <v>40.14</v>
      </c>
      <c r="E275" s="12" t="s">
        <v>77</v>
      </c>
      <c r="F275" s="11" t="n">
        <v>32830.2</v>
      </c>
      <c r="G275" s="10" t="s">
        <v>188</v>
      </c>
      <c r="H275" s="7" t="n">
        <v>7</v>
      </c>
      <c r="I275" s="12" t="s">
        <v>79</v>
      </c>
      <c r="J275" s="12" t="s">
        <v>86</v>
      </c>
      <c r="K275" s="10"/>
      <c r="L275" s="9" t="n">
        <f aca="false">IF(ISNUMBER(D275),COUNTIF($D$6:$D$338,"&lt;"&amp;D275)/(COUNT($D$6:$D$338)-1),"")</f>
        <v>0.6</v>
      </c>
      <c r="M275" s="9" t="n">
        <f aca="false">IF(ISNUMBER(F275),COUNTIF($F$6:$F$338,"&lt;"&amp;F275)/(COUNT($F$6:$F$338)-1),"")</f>
        <v>0.825301204819277</v>
      </c>
      <c r="N275" s="9" t="n">
        <f aca="false">IF(AND(L275="",M275=""),"",(IF(ISNUMBER(L275),$C$3*L275,0)+IF(ISNUMBER(M275),$E$3*M275,0))/(IF(ISNUMBER(L275),$C$3,0)+IF(ISNUMBER(M275),$E$3,0)))</f>
        <v>0.712650602409639</v>
      </c>
      <c r="O275" s="12"/>
      <c r="P275" s="7" t="n">
        <f aca="false">IF(O275&lt;&gt;"","",COUNTIFS($A$6:$A$338,A275,$O$6:$O$338,"",$N$6:$N$338,"&gt;"&amp;N275)+COUNTIFS($A$6:A275,A275,$O$6:O275,"",$N$6:N275,N275))</f>
        <v>3</v>
      </c>
      <c r="Q275" s="12" t="str">
        <f aca="false">IF(P275="","Excluded",IF(P275&lt;=5,"Lead",IF(P275&lt;=10,"Next wave","Long list")))</f>
        <v>Lead</v>
      </c>
      <c r="R275" s="10" t="s">
        <v>82</v>
      </c>
      <c r="S275" s="30" t="s">
        <v>428</v>
      </c>
    </row>
    <row r="276" customFormat="false" ht="23.85" hidden="false" customHeight="false" outlineLevel="0" collapsed="false">
      <c r="A276" s="12" t="s">
        <v>33</v>
      </c>
      <c r="B276" s="12" t="s">
        <v>120</v>
      </c>
      <c r="C276" s="10" t="s">
        <v>121</v>
      </c>
      <c r="D276" s="26" t="n">
        <v>15.95</v>
      </c>
      <c r="E276" s="12" t="s">
        <v>102</v>
      </c>
      <c r="F276" s="11" t="n">
        <v>41503.2</v>
      </c>
      <c r="G276" s="10" t="s">
        <v>189</v>
      </c>
      <c r="H276" s="7" t="n">
        <v>2</v>
      </c>
      <c r="I276" s="12" t="s">
        <v>79</v>
      </c>
      <c r="J276" s="12" t="s">
        <v>127</v>
      </c>
      <c r="K276" s="10" t="s">
        <v>104</v>
      </c>
      <c r="L276" s="9" t="n">
        <f aca="false">IF(ISNUMBER(D276),COUNTIF($D$6:$D$338,"&lt;"&amp;D276)/(COUNT($D$6:$D$338)-1),"")</f>
        <v>0.352380952380952</v>
      </c>
      <c r="M276" s="9" t="n">
        <f aca="false">IF(ISNUMBER(F276),COUNTIF($F$6:$F$338,"&lt;"&amp;F276)/(COUNT($F$6:$F$338)-1),"")</f>
        <v>0.885542168674699</v>
      </c>
      <c r="N276" s="9" t="n">
        <f aca="false">IF(AND(L276="",M276=""),"",(IF(ISNUMBER(L276),$C$3*L276,0)+IF(ISNUMBER(M276),$E$3*M276,0))/(IF(ISNUMBER(L276),$C$3,0)+IF(ISNUMBER(M276),$E$3,0)))</f>
        <v>0.618961560527826</v>
      </c>
      <c r="O276" s="12"/>
      <c r="P276" s="7" t="n">
        <f aca="false">IF(O276&lt;&gt;"","",COUNTIFS($A$6:$A$338,A276,$O$6:$O$338,"",$N$6:$N$338,"&gt;"&amp;N276)+COUNTIFS($A$6:A276,A276,$O$6:O276,"",$N$6:N276,N276))</f>
        <v>4</v>
      </c>
      <c r="Q276" s="12" t="str">
        <f aca="false">IF(P276="","Excluded",IF(P276&lt;=5,"Lead",IF(P276&lt;=10,"Next wave","Long list")))</f>
        <v>Lead</v>
      </c>
      <c r="R276" s="10" t="s">
        <v>82</v>
      </c>
      <c r="S276" s="30" t="s">
        <v>325</v>
      </c>
    </row>
    <row r="277" customFormat="false" ht="23.85" hidden="false" customHeight="false" outlineLevel="0" collapsed="false">
      <c r="A277" s="12" t="s">
        <v>33</v>
      </c>
      <c r="B277" s="12" t="s">
        <v>148</v>
      </c>
      <c r="C277" s="10" t="s">
        <v>149</v>
      </c>
      <c r="D277" s="26" t="n">
        <v>11.91</v>
      </c>
      <c r="E277" s="12" t="s">
        <v>77</v>
      </c>
      <c r="F277" s="11" t="n">
        <v>58920.4</v>
      </c>
      <c r="G277" s="10" t="s">
        <v>190</v>
      </c>
      <c r="H277" s="7" t="n">
        <v>18</v>
      </c>
      <c r="I277" s="12" t="s">
        <v>79</v>
      </c>
      <c r="J277" s="12" t="s">
        <v>110</v>
      </c>
      <c r="K277" s="10" t="s">
        <v>111</v>
      </c>
      <c r="L277" s="9" t="n">
        <f aca="false">IF(ISNUMBER(D277),COUNTIF($D$6:$D$338,"&lt;"&amp;D277)/(COUNT($D$6:$D$338)-1),"")</f>
        <v>0.285714285714286</v>
      </c>
      <c r="M277" s="9" t="n">
        <f aca="false">IF(ISNUMBER(F277),COUNTIF($F$6:$F$338,"&lt;"&amp;F277)/(COUNT($F$6:$F$338)-1),"")</f>
        <v>0.936746987951807</v>
      </c>
      <c r="N277" s="9" t="n">
        <f aca="false">IF(AND(L277="",M277=""),"",(IF(ISNUMBER(L277),$C$3*L277,0)+IF(ISNUMBER(M277),$E$3*M277,0))/(IF(ISNUMBER(L277),$C$3,0)+IF(ISNUMBER(M277),$E$3,0)))</f>
        <v>0.611230636833047</v>
      </c>
      <c r="O277" s="12"/>
      <c r="P277" s="7" t="n">
        <f aca="false">IF(O277&lt;&gt;"","",COUNTIFS($A$6:$A$338,A277,$O$6:$O$338,"",$N$6:$N$338,"&gt;"&amp;N277)+COUNTIFS($A$6:A277,A277,$O$6:O277,"",$N$6:N277,N277))</f>
        <v>5</v>
      </c>
      <c r="Q277" s="12" t="str">
        <f aca="false">IF(P277="","Excluded",IF(P277&lt;=5,"Lead",IF(P277&lt;=10,"Next wave","Long list")))</f>
        <v>Lead</v>
      </c>
      <c r="R277" s="10" t="s">
        <v>82</v>
      </c>
      <c r="S277" s="30" t="s">
        <v>322</v>
      </c>
    </row>
    <row r="278" customFormat="false" ht="23.85" hidden="false" customHeight="false" outlineLevel="0" collapsed="false">
      <c r="A278" s="12" t="s">
        <v>33</v>
      </c>
      <c r="B278" s="12" t="s">
        <v>128</v>
      </c>
      <c r="C278" s="10" t="s">
        <v>129</v>
      </c>
      <c r="D278" s="26" t="n">
        <v>180.42</v>
      </c>
      <c r="E278" s="12" t="s">
        <v>77</v>
      </c>
      <c r="F278" s="11" t="n">
        <v>2886</v>
      </c>
      <c r="G278" s="10" t="s">
        <v>191</v>
      </c>
      <c r="H278" s="7" t="n">
        <v>9</v>
      </c>
      <c r="I278" s="12" t="s">
        <v>79</v>
      </c>
      <c r="J278" s="12" t="s">
        <v>86</v>
      </c>
      <c r="K278" s="10" t="s">
        <v>81</v>
      </c>
      <c r="L278" s="9" t="n">
        <f aca="false">IF(ISNUMBER(D278),COUNTIF($D$6:$D$338,"&lt;"&amp;D278)/(COUNT($D$6:$D$338)-1),"")</f>
        <v>0.847619047619048</v>
      </c>
      <c r="M278" s="9" t="n">
        <f aca="false">IF(ISNUMBER(F278),COUNTIF($F$6:$F$338,"&lt;"&amp;F278)/(COUNT($F$6:$F$338)-1),"")</f>
        <v>0.373493975903614</v>
      </c>
      <c r="N278" s="9" t="n">
        <f aca="false">IF(AND(L278="",M278=""),"",(IF(ISNUMBER(L278),$C$3*L278,0)+IF(ISNUMBER(M278),$E$3*M278,0))/(IF(ISNUMBER(L278),$C$3,0)+IF(ISNUMBER(M278),$E$3,0)))</f>
        <v>0.610556511761331</v>
      </c>
      <c r="O278" s="12"/>
      <c r="P278" s="7" t="n">
        <f aca="false">IF(O278&lt;&gt;"","",COUNTIFS($A$6:$A$338,A278,$O$6:$O$338,"",$N$6:$N$338,"&gt;"&amp;N278)+COUNTIFS($A$6:A278,A278,$O$6:O278,"",$N$6:N278,N278))</f>
        <v>6</v>
      </c>
      <c r="Q278" s="12" t="str">
        <f aca="false">IF(P278="","Excluded",IF(P278&lt;=5,"Lead",IF(P278&lt;=10,"Next wave","Long list")))</f>
        <v>Next wave</v>
      </c>
      <c r="R278" s="10" t="s">
        <v>82</v>
      </c>
      <c r="S278" s="30" t="s">
        <v>341</v>
      </c>
    </row>
    <row r="279" customFormat="false" ht="23.85" hidden="false" customHeight="false" outlineLevel="0" collapsed="false">
      <c r="A279" s="12" t="s">
        <v>33</v>
      </c>
      <c r="B279" s="12" t="s">
        <v>178</v>
      </c>
      <c r="C279" s="10" t="s">
        <v>179</v>
      </c>
      <c r="D279" s="26" t="n">
        <v>36.53</v>
      </c>
      <c r="E279" s="12" t="s">
        <v>102</v>
      </c>
      <c r="F279" s="11" t="n">
        <v>6632.6</v>
      </c>
      <c r="G279" s="10" t="s">
        <v>187</v>
      </c>
      <c r="H279" s="7" t="n">
        <v>4</v>
      </c>
      <c r="I279" s="12" t="s">
        <v>79</v>
      </c>
      <c r="J279" s="12" t="s">
        <v>86</v>
      </c>
      <c r="K279" s="10" t="s">
        <v>111</v>
      </c>
      <c r="L279" s="9" t="n">
        <f aca="false">IF(ISNUMBER(D279),COUNTIF($D$6:$D$338,"&lt;"&amp;D279)/(COUNT($D$6:$D$338)-1),"")</f>
        <v>0.574603174603175</v>
      </c>
      <c r="M279" s="9" t="n">
        <f aca="false">IF(ISNUMBER(F279),COUNTIF($F$6:$F$338,"&lt;"&amp;F279)/(COUNT($F$6:$F$338)-1),"")</f>
        <v>0.61144578313253</v>
      </c>
      <c r="N279" s="9" t="n">
        <f aca="false">IF(AND(L279="",M279=""),"",(IF(ISNUMBER(L279),$C$3*L279,0)+IF(ISNUMBER(M279),$E$3*M279,0))/(IF(ISNUMBER(L279),$C$3,0)+IF(ISNUMBER(M279),$E$3,0)))</f>
        <v>0.593024478867852</v>
      </c>
      <c r="O279" s="12"/>
      <c r="P279" s="7" t="n">
        <f aca="false">IF(O279&lt;&gt;"","",COUNTIFS($A$6:$A$338,A279,$O$6:$O$338,"",$N$6:$N$338,"&gt;"&amp;N279)+COUNTIFS($A$6:A279,A279,$O$6:O279,"",$N$6:N279,N279))</f>
        <v>7</v>
      </c>
      <c r="Q279" s="12" t="str">
        <f aca="false">IF(P279="","Excluded",IF(P279&lt;=5,"Lead",IF(P279&lt;=10,"Next wave","Long list")))</f>
        <v>Next wave</v>
      </c>
      <c r="R279" s="10" t="s">
        <v>82</v>
      </c>
      <c r="S279" s="30" t="s">
        <v>438</v>
      </c>
    </row>
    <row r="280" customFormat="false" ht="23.85" hidden="false" customHeight="false" outlineLevel="0" collapsed="false">
      <c r="A280" s="12" t="s">
        <v>33</v>
      </c>
      <c r="B280" s="12" t="s">
        <v>192</v>
      </c>
      <c r="C280" s="10" t="s">
        <v>193</v>
      </c>
      <c r="D280" s="26" t="n">
        <v>198.74</v>
      </c>
      <c r="E280" s="12" t="s">
        <v>77</v>
      </c>
      <c r="F280" s="11" t="n">
        <v>1976.6</v>
      </c>
      <c r="G280" s="10" t="s">
        <v>194</v>
      </c>
      <c r="H280" s="7" t="n">
        <v>2</v>
      </c>
      <c r="I280" s="12" t="s">
        <v>79</v>
      </c>
      <c r="J280" s="12" t="s">
        <v>86</v>
      </c>
      <c r="K280" s="10" t="s">
        <v>111</v>
      </c>
      <c r="L280" s="9" t="n">
        <f aca="false">IF(ISNUMBER(D280),COUNTIF($D$6:$D$338,"&lt;"&amp;D280)/(COUNT($D$6:$D$338)-1),"")</f>
        <v>0.857142857142857</v>
      </c>
      <c r="M280" s="9" t="n">
        <f aca="false">IF(ISNUMBER(F280),COUNTIF($F$6:$F$338,"&lt;"&amp;F280)/(COUNT($F$6:$F$338)-1),"")</f>
        <v>0.262048192771084</v>
      </c>
      <c r="N280" s="9" t="n">
        <f aca="false">IF(AND(L280="",M280=""),"",(IF(ISNUMBER(L280),$C$3*L280,0)+IF(ISNUMBER(M280),$E$3*M280,0))/(IF(ISNUMBER(L280),$C$3,0)+IF(ISNUMBER(M280),$E$3,0)))</f>
        <v>0.559595524956971</v>
      </c>
      <c r="O280" s="12"/>
      <c r="P280" s="7" t="n">
        <f aca="false">IF(O280&lt;&gt;"","",COUNTIFS($A$6:$A$338,A280,$O$6:$O$338,"",$N$6:$N$338,"&gt;"&amp;N280)+COUNTIFS($A$6:A280,A280,$O$6:O280,"",$N$6:N280,N280))</f>
        <v>8</v>
      </c>
      <c r="Q280" s="12" t="str">
        <f aca="false">IF(P280="","Excluded",IF(P280&lt;=5,"Lead",IF(P280&lt;=10,"Next wave","Long list")))</f>
        <v>Next wave</v>
      </c>
      <c r="R280" s="10" t="s">
        <v>105</v>
      </c>
      <c r="S280" s="30" t="s">
        <v>588</v>
      </c>
    </row>
    <row r="281" customFormat="false" ht="23.85" hidden="false" customHeight="false" outlineLevel="0" collapsed="false">
      <c r="A281" s="12" t="s">
        <v>33</v>
      </c>
      <c r="B281" s="12" t="s">
        <v>195</v>
      </c>
      <c r="C281" s="10" t="s">
        <v>196</v>
      </c>
      <c r="D281" s="26" t="n">
        <v>24.41</v>
      </c>
      <c r="E281" s="12" t="s">
        <v>77</v>
      </c>
      <c r="F281" s="11" t="n">
        <v>6893.7</v>
      </c>
      <c r="G281" s="10" t="s">
        <v>126</v>
      </c>
      <c r="H281" s="7" t="n">
        <v>1</v>
      </c>
      <c r="I281" s="12" t="s">
        <v>79</v>
      </c>
      <c r="J281" s="12" t="s">
        <v>86</v>
      </c>
      <c r="K281" s="10"/>
      <c r="L281" s="9" t="n">
        <f aca="false">IF(ISNUMBER(D281),COUNTIF($D$6:$D$338,"&lt;"&amp;D281)/(COUNT($D$6:$D$338)-1),"")</f>
        <v>0.466666666666667</v>
      </c>
      <c r="M281" s="9" t="n">
        <f aca="false">IF(ISNUMBER(F281),COUNTIF($F$6:$F$338,"&lt;"&amp;F281)/(COUNT($F$6:$F$338)-1),"")</f>
        <v>0.632530120481928</v>
      </c>
      <c r="N281" s="9" t="n">
        <f aca="false">IF(AND(L281="",M281=""),"",(IF(ISNUMBER(L281),$C$3*L281,0)+IF(ISNUMBER(M281),$E$3*M281,0))/(IF(ISNUMBER(L281),$C$3,0)+IF(ISNUMBER(M281),$E$3,0)))</f>
        <v>0.549598393574297</v>
      </c>
      <c r="O281" s="12"/>
      <c r="P281" s="7" t="n">
        <f aca="false">IF(O281&lt;&gt;"","",COUNTIFS($A$6:$A$338,A281,$O$6:$O$338,"",$N$6:$N$338,"&gt;"&amp;N281)+COUNTIFS($A$6:A281,A281,$O$6:O281,"",$N$6:N281,N281))</f>
        <v>9</v>
      </c>
      <c r="Q281" s="12" t="str">
        <f aca="false">IF(P281="","Excluded",IF(P281&lt;=5,"Lead",IF(P281&lt;=10,"Next wave","Long list")))</f>
        <v>Next wave</v>
      </c>
      <c r="R281" s="10" t="s">
        <v>82</v>
      </c>
      <c r="S281" s="30" t="s">
        <v>351</v>
      </c>
    </row>
    <row r="282" customFormat="false" ht="23.85" hidden="false" customHeight="false" outlineLevel="0" collapsed="false">
      <c r="A282" s="12" t="s">
        <v>33</v>
      </c>
      <c r="B282" s="12" t="s">
        <v>197</v>
      </c>
      <c r="C282" s="10" t="s">
        <v>198</v>
      </c>
      <c r="D282" s="26" t="n">
        <v>14.55</v>
      </c>
      <c r="E282" s="12" t="s">
        <v>77</v>
      </c>
      <c r="F282" s="11" t="n">
        <v>8594.3</v>
      </c>
      <c r="G282" s="10" t="s">
        <v>199</v>
      </c>
      <c r="H282" s="7" t="n">
        <v>7</v>
      </c>
      <c r="I282" s="12" t="s">
        <v>172</v>
      </c>
      <c r="J282" s="12" t="s">
        <v>86</v>
      </c>
      <c r="K282" s="10"/>
      <c r="L282" s="9" t="n">
        <f aca="false">IF(ISNUMBER(D282),COUNTIF($D$6:$D$338,"&lt;"&amp;D282)/(COUNT($D$6:$D$338)-1),"")</f>
        <v>0.326984126984127</v>
      </c>
      <c r="M282" s="9" t="n">
        <f aca="false">IF(ISNUMBER(F282),COUNTIF($F$6:$F$338,"&lt;"&amp;F282)/(COUNT($F$6:$F$338)-1),"")</f>
        <v>0.680722891566265</v>
      </c>
      <c r="N282" s="9" t="n">
        <f aca="false">IF(AND(L282="",M282=""),"",(IF(ISNUMBER(L282),$C$3*L282,0)+IF(ISNUMBER(M282),$E$3*M282,0))/(IF(ISNUMBER(L282),$C$3,0)+IF(ISNUMBER(M282),$E$3,0)))</f>
        <v>0.503853509275196</v>
      </c>
      <c r="O282" s="12"/>
      <c r="P282" s="7" t="n">
        <f aca="false">IF(O282&lt;&gt;"","",COUNTIFS($A$6:$A$338,A282,$O$6:$O$338,"",$N$6:$N$338,"&gt;"&amp;N282)+COUNTIFS($A$6:A282,A282,$O$6:O282,"",$N$6:N282,N282))</f>
        <v>10</v>
      </c>
      <c r="Q282" s="12" t="str">
        <f aca="false">IF(P282="","Excluded",IF(P282&lt;=5,"Lead",IF(P282&lt;=10,"Next wave","Long list")))</f>
        <v>Next wave</v>
      </c>
      <c r="R282" s="10" t="s">
        <v>105</v>
      </c>
      <c r="S282" s="30" t="s">
        <v>589</v>
      </c>
    </row>
    <row r="283" customFormat="false" ht="23.85" hidden="false" customHeight="false" outlineLevel="0" collapsed="false">
      <c r="A283" s="12" t="s">
        <v>33</v>
      </c>
      <c r="B283" s="12" t="s">
        <v>180</v>
      </c>
      <c r="C283" s="10" t="s">
        <v>181</v>
      </c>
      <c r="D283" s="26" t="n">
        <v>6.08</v>
      </c>
      <c r="E283" s="12" t="s">
        <v>77</v>
      </c>
      <c r="F283" s="11" t="n">
        <v>35276.7</v>
      </c>
      <c r="G283" s="10" t="s">
        <v>91</v>
      </c>
      <c r="H283" s="7" t="n">
        <v>14</v>
      </c>
      <c r="I283" s="12" t="s">
        <v>79</v>
      </c>
      <c r="J283" s="12" t="s">
        <v>80</v>
      </c>
      <c r="K283" s="10" t="s">
        <v>111</v>
      </c>
      <c r="L283" s="9" t="n">
        <f aca="false">IF(ISNUMBER(D283),COUNTIF($D$6:$D$338,"&lt;"&amp;D283)/(COUNT($D$6:$D$338)-1),"")</f>
        <v>0.0666666666666667</v>
      </c>
      <c r="M283" s="9" t="n">
        <f aca="false">IF(ISNUMBER(F283),COUNTIF($F$6:$F$338,"&lt;"&amp;F283)/(COUNT($F$6:$F$338)-1),"")</f>
        <v>0.870481927710843</v>
      </c>
      <c r="N283" s="9" t="n">
        <f aca="false">IF(AND(L283="",M283=""),"",(IF(ISNUMBER(L283),$C$3*L283,0)+IF(ISNUMBER(M283),$E$3*M283,0))/(IF(ISNUMBER(L283),$C$3,0)+IF(ISNUMBER(M283),$E$3,0)))</f>
        <v>0.468574297188755</v>
      </c>
      <c r="O283" s="12"/>
      <c r="P283" s="7" t="n">
        <f aca="false">IF(O283&lt;&gt;"","",COUNTIFS($A$6:$A$338,A283,$O$6:$O$338,"",$N$6:$N$338,"&gt;"&amp;N283)+COUNTIFS($A$6:A283,A283,$O$6:O283,"",$N$6:N283,N283))</f>
        <v>11</v>
      </c>
      <c r="Q283" s="12" t="str">
        <f aca="false">IF(P283="","Excluded",IF(P283&lt;=5,"Lead",IF(P283&lt;=10,"Next wave","Long list")))</f>
        <v>Long list</v>
      </c>
      <c r="R283" s="10" t="s">
        <v>82</v>
      </c>
      <c r="S283" s="30" t="s">
        <v>356</v>
      </c>
    </row>
    <row r="284" customFormat="false" ht="23.85" hidden="false" customHeight="false" outlineLevel="0" collapsed="false">
      <c r="A284" s="12" t="s">
        <v>33</v>
      </c>
      <c r="B284" s="12" t="s">
        <v>590</v>
      </c>
      <c r="C284" s="10" t="s">
        <v>591</v>
      </c>
      <c r="D284" s="26" t="n">
        <v>29.39</v>
      </c>
      <c r="E284" s="12" t="s">
        <v>102</v>
      </c>
      <c r="F284" s="11" t="n">
        <v>2991.3</v>
      </c>
      <c r="G284" s="10" t="s">
        <v>144</v>
      </c>
      <c r="H284" s="7" t="n">
        <v>1</v>
      </c>
      <c r="I284" s="12" t="s">
        <v>79</v>
      </c>
      <c r="J284" s="12" t="s">
        <v>110</v>
      </c>
      <c r="K284" s="10" t="s">
        <v>111</v>
      </c>
      <c r="L284" s="9" t="n">
        <f aca="false">IF(ISNUMBER(D284),COUNTIF($D$6:$D$338,"&lt;"&amp;D284)/(COUNT($D$6:$D$338)-1),"")</f>
        <v>0.498412698412698</v>
      </c>
      <c r="M284" s="9" t="n">
        <f aca="false">IF(ISNUMBER(F284),COUNTIF($F$6:$F$338,"&lt;"&amp;F284)/(COUNT($F$6:$F$338)-1),"")</f>
        <v>0.41566265060241</v>
      </c>
      <c r="N284" s="9" t="n">
        <f aca="false">IF(AND(L284="",M284=""),"",(IF(ISNUMBER(L284),$C$3*L284,0)+IF(ISNUMBER(M284),$E$3*M284,0))/(IF(ISNUMBER(L284),$C$3,0)+IF(ISNUMBER(M284),$E$3,0)))</f>
        <v>0.457037674507554</v>
      </c>
      <c r="O284" s="12"/>
      <c r="P284" s="7" t="n">
        <f aca="false">IF(O284&lt;&gt;"","",COUNTIFS($A$6:$A$338,A284,$O$6:$O$338,"",$N$6:$N$338,"&gt;"&amp;N284)+COUNTIFS($A$6:A284,A284,$O$6:O284,"",$N$6:N284,N284))</f>
        <v>12</v>
      </c>
      <c r="Q284" s="12" t="str">
        <f aca="false">IF(P284="","Excluded",IF(P284&lt;=5,"Lead",IF(P284&lt;=10,"Next wave","Long list")))</f>
        <v>Long list</v>
      </c>
      <c r="R284" s="10" t="s">
        <v>105</v>
      </c>
      <c r="S284" s="30" t="s">
        <v>592</v>
      </c>
    </row>
    <row r="285" customFormat="false" ht="23.85" hidden="false" customHeight="false" outlineLevel="0" collapsed="false">
      <c r="A285" s="12" t="s">
        <v>33</v>
      </c>
      <c r="B285" s="12" t="s">
        <v>473</v>
      </c>
      <c r="C285" s="10" t="s">
        <v>474</v>
      </c>
      <c r="D285" s="26" t="n">
        <v>7.27</v>
      </c>
      <c r="E285" s="12" t="s">
        <v>77</v>
      </c>
      <c r="F285" s="11" t="n">
        <v>13516.1</v>
      </c>
      <c r="G285" s="10" t="s">
        <v>475</v>
      </c>
      <c r="H285" s="7" t="n">
        <v>10</v>
      </c>
      <c r="I285" s="12" t="s">
        <v>79</v>
      </c>
      <c r="J285" s="12" t="s">
        <v>80</v>
      </c>
      <c r="K285" s="10" t="s">
        <v>111</v>
      </c>
      <c r="L285" s="9" t="n">
        <f aca="false">IF(ISNUMBER(D285),COUNTIF($D$6:$D$338,"&lt;"&amp;D285)/(COUNT($D$6:$D$338)-1),"")</f>
        <v>0.136507936507937</v>
      </c>
      <c r="M285" s="9" t="n">
        <f aca="false">IF(ISNUMBER(F285),COUNTIF($F$6:$F$338,"&lt;"&amp;F285)/(COUNT($F$6:$F$338)-1),"")</f>
        <v>0.731927710843374</v>
      </c>
      <c r="N285" s="9" t="n">
        <f aca="false">IF(AND(L285="",M285=""),"",(IF(ISNUMBER(L285),$C$3*L285,0)+IF(ISNUMBER(M285),$E$3*M285,0))/(IF(ISNUMBER(L285),$C$3,0)+IF(ISNUMBER(M285),$E$3,0)))</f>
        <v>0.434217823675655</v>
      </c>
      <c r="O285" s="12"/>
      <c r="P285" s="7" t="n">
        <f aca="false">IF(O285&lt;&gt;"","",COUNTIFS($A$6:$A$338,A285,$O$6:$O$338,"",$N$6:$N$338,"&gt;"&amp;N285)+COUNTIFS($A$6:A285,A285,$O$6:O285,"",$N$6:N285,N285))</f>
        <v>13</v>
      </c>
      <c r="Q285" s="12" t="str">
        <f aca="false">IF(P285="","Excluded",IF(P285&lt;=5,"Lead",IF(P285&lt;=10,"Next wave","Long list")))</f>
        <v>Long list</v>
      </c>
      <c r="R285" s="10" t="s">
        <v>82</v>
      </c>
      <c r="S285" s="30" t="s">
        <v>476</v>
      </c>
    </row>
    <row r="286" customFormat="false" ht="23.85" hidden="false" customHeight="false" outlineLevel="0" collapsed="false">
      <c r="A286" s="12" t="s">
        <v>33</v>
      </c>
      <c r="B286" s="12" t="s">
        <v>549</v>
      </c>
      <c r="C286" s="10" t="s">
        <v>550</v>
      </c>
      <c r="D286" s="26" t="n">
        <v>17.63</v>
      </c>
      <c r="E286" s="12" t="s">
        <v>102</v>
      </c>
      <c r="F286" s="11" t="n">
        <v>2902.1</v>
      </c>
      <c r="G286" s="10" t="s">
        <v>169</v>
      </c>
      <c r="H286" s="7" t="n">
        <v>2</v>
      </c>
      <c r="I286" s="12" t="s">
        <v>79</v>
      </c>
      <c r="J286" s="12" t="s">
        <v>86</v>
      </c>
      <c r="K286" s="10"/>
      <c r="L286" s="9" t="n">
        <f aca="false">IF(ISNUMBER(D286),COUNTIF($D$6:$D$338,"&lt;"&amp;D286)/(COUNT($D$6:$D$338)-1),"")</f>
        <v>0.368253968253968</v>
      </c>
      <c r="M286" s="9" t="n">
        <f aca="false">IF(ISNUMBER(F286),COUNTIF($F$6:$F$338,"&lt;"&amp;F286)/(COUNT($F$6:$F$338)-1),"")</f>
        <v>0.38855421686747</v>
      </c>
      <c r="N286" s="9" t="n">
        <f aca="false">IF(AND(L286="",M286=""),"",(IF(ISNUMBER(L286),$C$3*L286,0)+IF(ISNUMBER(M286),$E$3*M286,0))/(IF(ISNUMBER(L286),$C$3,0)+IF(ISNUMBER(M286),$E$3,0)))</f>
        <v>0.378404092560719</v>
      </c>
      <c r="O286" s="12"/>
      <c r="P286" s="7" t="n">
        <f aca="false">IF(O286&lt;&gt;"","",COUNTIFS($A$6:$A$338,A286,$O$6:$O$338,"",$N$6:$N$338,"&gt;"&amp;N286)+COUNTIFS($A$6:A286,A286,$O$6:O286,"",$N$6:N286,N286))</f>
        <v>14</v>
      </c>
      <c r="Q286" s="12" t="str">
        <f aca="false">IF(P286="","Excluded",IF(P286&lt;=5,"Lead",IF(P286&lt;=10,"Next wave","Long list")))</f>
        <v>Long list</v>
      </c>
      <c r="R286" s="10" t="s">
        <v>105</v>
      </c>
      <c r="S286" s="30" t="s">
        <v>552</v>
      </c>
    </row>
    <row r="287" customFormat="false" ht="23.85" hidden="false" customHeight="false" outlineLevel="0" collapsed="false">
      <c r="A287" s="12" t="s">
        <v>33</v>
      </c>
      <c r="B287" s="12" t="s">
        <v>247</v>
      </c>
      <c r="C287" s="10" t="s">
        <v>248</v>
      </c>
      <c r="D287" s="26" t="n">
        <v>64.26</v>
      </c>
      <c r="E287" s="12" t="s">
        <v>77</v>
      </c>
      <c r="F287" s="11" t="n">
        <v>184.9</v>
      </c>
      <c r="G287" s="10" t="s">
        <v>593</v>
      </c>
      <c r="H287" s="7" t="n">
        <v>12</v>
      </c>
      <c r="I287" s="12" t="s">
        <v>79</v>
      </c>
      <c r="J287" s="12" t="s">
        <v>86</v>
      </c>
      <c r="K287" s="10"/>
      <c r="L287" s="9" t="n">
        <f aca="false">IF(ISNUMBER(D287),COUNTIF($D$6:$D$338,"&lt;"&amp;D287)/(COUNT($D$6:$D$338)-1),"")</f>
        <v>0.692063492063492</v>
      </c>
      <c r="M287" s="9" t="n">
        <f aca="false">IF(ISNUMBER(F287),COUNTIF($F$6:$F$338,"&lt;"&amp;F287)/(COUNT($F$6:$F$338)-1),"")</f>
        <v>0.0572289156626506</v>
      </c>
      <c r="N287" s="9" t="n">
        <f aca="false">IF(AND(L287="",M287=""),"",(IF(ISNUMBER(L287),$C$3*L287,0)+IF(ISNUMBER(M287),$E$3*M287,0))/(IF(ISNUMBER(L287),$C$3,0)+IF(ISNUMBER(M287),$E$3,0)))</f>
        <v>0.374646203863071</v>
      </c>
      <c r="O287" s="12"/>
      <c r="P287" s="7" t="n">
        <f aca="false">IF(O287&lt;&gt;"","",COUNTIFS($A$6:$A$338,A287,$O$6:$O$338,"",$N$6:$N$338,"&gt;"&amp;N287)+COUNTIFS($A$6:A287,A287,$O$6:O287,"",$N$6:N287,N287))</f>
        <v>15</v>
      </c>
      <c r="Q287" s="12" t="str">
        <f aca="false">IF(P287="","Excluded",IF(P287&lt;=5,"Lead",IF(P287&lt;=10,"Next wave","Long list")))</f>
        <v>Long list</v>
      </c>
      <c r="R287" s="10" t="s">
        <v>82</v>
      </c>
      <c r="S287" s="30" t="s">
        <v>439</v>
      </c>
    </row>
    <row r="288" customFormat="false" ht="23.85" hidden="false" customHeight="false" outlineLevel="0" collapsed="false">
      <c r="A288" s="12" t="s">
        <v>33</v>
      </c>
      <c r="B288" s="12" t="s">
        <v>391</v>
      </c>
      <c r="C288" s="10" t="s">
        <v>241</v>
      </c>
      <c r="D288" s="26" t="n">
        <v>9.75</v>
      </c>
      <c r="E288" s="12" t="s">
        <v>77</v>
      </c>
      <c r="F288" s="11" t="n">
        <v>3923.6</v>
      </c>
      <c r="G288" s="10" t="s">
        <v>187</v>
      </c>
      <c r="H288" s="7" t="n">
        <v>5</v>
      </c>
      <c r="I288" s="12" t="s">
        <v>79</v>
      </c>
      <c r="J288" s="12" t="s">
        <v>86</v>
      </c>
      <c r="K288" s="10" t="s">
        <v>111</v>
      </c>
      <c r="L288" s="9" t="n">
        <f aca="false">IF(ISNUMBER(D288),COUNTIF($D$6:$D$338,"&lt;"&amp;D288)/(COUNT($D$6:$D$338)-1),"")</f>
        <v>0.20952380952381</v>
      </c>
      <c r="M288" s="9" t="n">
        <f aca="false">IF(ISNUMBER(F288),COUNTIF($F$6:$F$338,"&lt;"&amp;F288)/(COUNT($F$6:$F$338)-1),"")</f>
        <v>0.487951807228916</v>
      </c>
      <c r="N288" s="9" t="n">
        <f aca="false">IF(AND(L288="",M288=""),"",(IF(ISNUMBER(L288),$C$3*L288,0)+IF(ISNUMBER(M288),$E$3*M288,0))/(IF(ISNUMBER(L288),$C$3,0)+IF(ISNUMBER(M288),$E$3,0)))</f>
        <v>0.348737808376363</v>
      </c>
      <c r="O288" s="12"/>
      <c r="P288" s="7" t="n">
        <f aca="false">IF(O288&lt;&gt;"","",COUNTIFS($A$6:$A$338,A288,$O$6:$O$338,"",$N$6:$N$338,"&gt;"&amp;N288)+COUNTIFS($A$6:A288,A288,$O$6:O288,"",$N$6:N288,N288))</f>
        <v>16</v>
      </c>
      <c r="Q288" s="12" t="str">
        <f aca="false">IF(P288="","Excluded",IF(P288&lt;=5,"Lead",IF(P288&lt;=10,"Next wave","Long list")))</f>
        <v>Long list</v>
      </c>
      <c r="R288" s="10" t="s">
        <v>105</v>
      </c>
      <c r="S288" s="30" t="s">
        <v>392</v>
      </c>
    </row>
    <row r="289" customFormat="false" ht="23.85" hidden="false" customHeight="false" outlineLevel="0" collapsed="false">
      <c r="A289" s="12" t="s">
        <v>33</v>
      </c>
      <c r="B289" s="12" t="s">
        <v>594</v>
      </c>
      <c r="C289" s="10" t="s">
        <v>595</v>
      </c>
      <c r="D289" s="26" t="n">
        <v>30.66</v>
      </c>
      <c r="E289" s="12" t="s">
        <v>77</v>
      </c>
      <c r="F289" s="11" t="n">
        <v>77.4</v>
      </c>
      <c r="G289" s="10" t="s">
        <v>109</v>
      </c>
      <c r="H289" s="7" t="n">
        <v>11</v>
      </c>
      <c r="I289" s="12" t="s">
        <v>172</v>
      </c>
      <c r="J289" s="12" t="s">
        <v>86</v>
      </c>
      <c r="K289" s="10"/>
      <c r="L289" s="9" t="n">
        <f aca="false">IF(ISNUMBER(D289),COUNTIF($D$6:$D$338,"&lt;"&amp;D289)/(COUNT($D$6:$D$338)-1),"")</f>
        <v>0.53015873015873</v>
      </c>
      <c r="M289" s="9" t="n">
        <f aca="false">IF(ISNUMBER(F289),COUNTIF($F$6:$F$338,"&lt;"&amp;F289)/(COUNT($F$6:$F$338)-1),"")</f>
        <v>0.0331325301204819</v>
      </c>
      <c r="N289" s="9" t="n">
        <f aca="false">IF(AND(L289="",M289=""),"",(IF(ISNUMBER(L289),$C$3*L289,0)+IF(ISNUMBER(M289),$E$3*M289,0))/(IF(ISNUMBER(L289),$C$3,0)+IF(ISNUMBER(M289),$E$3,0)))</f>
        <v>0.281645630139606</v>
      </c>
      <c r="O289" s="12"/>
      <c r="P289" s="7" t="n">
        <f aca="false">IF(O289&lt;&gt;"","",COUNTIFS($A$6:$A$338,A289,$O$6:$O$338,"",$N$6:$N$338,"&gt;"&amp;N289)+COUNTIFS($A$6:A289,A289,$O$6:O289,"",$N$6:N289,N289))</f>
        <v>17</v>
      </c>
      <c r="Q289" s="12" t="str">
        <f aca="false">IF(P289="","Excluded",IF(P289&lt;=5,"Lead",IF(P289&lt;=10,"Next wave","Long list")))</f>
        <v>Long list</v>
      </c>
      <c r="R289" s="10" t="s">
        <v>105</v>
      </c>
      <c r="S289" s="30" t="s">
        <v>596</v>
      </c>
    </row>
    <row r="290" customFormat="false" ht="23.85" hidden="false" customHeight="false" outlineLevel="0" collapsed="false">
      <c r="A290" s="12" t="s">
        <v>41</v>
      </c>
      <c r="B290" s="12" t="s">
        <v>114</v>
      </c>
      <c r="C290" s="10" t="s">
        <v>115</v>
      </c>
      <c r="D290" s="26" t="n">
        <v>531.87</v>
      </c>
      <c r="E290" s="12" t="s">
        <v>153</v>
      </c>
      <c r="F290" s="11" t="n">
        <v>11366.1</v>
      </c>
      <c r="G290" s="10" t="s">
        <v>169</v>
      </c>
      <c r="H290" s="7" t="n">
        <v>1</v>
      </c>
      <c r="I290" s="12" t="s">
        <v>85</v>
      </c>
      <c r="J290" s="12" t="s">
        <v>86</v>
      </c>
      <c r="K290" s="10" t="s">
        <v>87</v>
      </c>
      <c r="L290" s="9" t="n">
        <f aca="false">IF(ISNUMBER(D290),COUNTIF($D$6:$D$338,"&lt;"&amp;D290)/(COUNT($D$6:$D$338)-1),"")</f>
        <v>0.946031746031746</v>
      </c>
      <c r="M290" s="9" t="n">
        <f aca="false">IF(ISNUMBER(F290),COUNTIF($F$6:$F$338,"&lt;"&amp;F290)/(COUNT($F$6:$F$338)-1),"")</f>
        <v>0.686746987951807</v>
      </c>
      <c r="N290" s="9" t="n">
        <f aca="false">IF(AND(L290="",M290=""),"",(IF(ISNUMBER(L290),$C$3*L290,0)+IF(ISNUMBER(M290),$E$3*M290,0))/(IF(ISNUMBER(L290),$C$3,0)+IF(ISNUMBER(M290),$E$3,0)))</f>
        <v>0.816389366991777</v>
      </c>
      <c r="O290" s="12"/>
      <c r="P290" s="7" t="n">
        <f aca="false">IF(O290&lt;&gt;"","",COUNTIFS($A$6:$A$338,A290,$O$6:$O$338,"",$N$6:$N$338,"&gt;"&amp;N290)+COUNTIFS($A$6:A290,A290,$O$6:O290,"",$N$6:N290,N290))</f>
        <v>1</v>
      </c>
      <c r="Q290" s="12" t="str">
        <f aca="false">IF(P290="","Excluded",IF(P290&lt;=5,"Lead",IF(P290&lt;=10,"Next wave","Long list")))</f>
        <v>Lead</v>
      </c>
      <c r="R290" s="10" t="s">
        <v>88</v>
      </c>
      <c r="S290" s="30" t="s">
        <v>304</v>
      </c>
    </row>
    <row r="291" customFormat="false" ht="23.85" hidden="false" customHeight="false" outlineLevel="0" collapsed="false">
      <c r="A291" s="12" t="s">
        <v>41</v>
      </c>
      <c r="B291" s="12" t="s">
        <v>237</v>
      </c>
      <c r="C291" s="10" t="s">
        <v>238</v>
      </c>
      <c r="D291" s="26" t="n">
        <v>118.34</v>
      </c>
      <c r="E291" s="12" t="s">
        <v>153</v>
      </c>
      <c r="F291" s="11" t="n">
        <v>6183.2</v>
      </c>
      <c r="G291" s="10" t="s">
        <v>169</v>
      </c>
      <c r="H291" s="7" t="n">
        <v>2</v>
      </c>
      <c r="I291" s="12" t="s">
        <v>85</v>
      </c>
      <c r="J291" s="12" t="s">
        <v>86</v>
      </c>
      <c r="K291" s="10" t="s">
        <v>87</v>
      </c>
      <c r="L291" s="9" t="n">
        <f aca="false">IF(ISNUMBER(D291),COUNTIF($D$6:$D$338,"&lt;"&amp;D291)/(COUNT($D$6:$D$338)-1),"")</f>
        <v>0.787301587301587</v>
      </c>
      <c r="M291" s="9" t="n">
        <f aca="false">IF(ISNUMBER(F291),COUNTIF($F$6:$F$338,"&lt;"&amp;F291)/(COUNT($F$6:$F$338)-1),"")</f>
        <v>0.58433734939759</v>
      </c>
      <c r="N291" s="9" t="n">
        <f aca="false">IF(AND(L291="",M291=""),"",(IF(ISNUMBER(L291),$C$3*L291,0)+IF(ISNUMBER(M291),$E$3*M291,0))/(IF(ISNUMBER(L291),$C$3,0)+IF(ISNUMBER(M291),$E$3,0)))</f>
        <v>0.685819468349589</v>
      </c>
      <c r="O291" s="12"/>
      <c r="P291" s="7" t="n">
        <f aca="false">IF(O291&lt;&gt;"","",COUNTIFS($A$6:$A$338,A291,$O$6:$O$338,"",$N$6:$N$338,"&gt;"&amp;N291)+COUNTIFS($A$6:A291,A291,$O$6:O291,"",$N$6:N291,N291))</f>
        <v>2</v>
      </c>
      <c r="Q291" s="12" t="str">
        <f aca="false">IF(P291="","Excluded",IF(P291&lt;=5,"Lead",IF(P291&lt;=10,"Next wave","Long list")))</f>
        <v>Lead</v>
      </c>
      <c r="R291" s="10" t="s">
        <v>88</v>
      </c>
      <c r="S291" s="30" t="s">
        <v>597</v>
      </c>
    </row>
    <row r="292" customFormat="false" ht="23.85" hidden="false" customHeight="false" outlineLevel="0" collapsed="false">
      <c r="A292" s="12" t="s">
        <v>41</v>
      </c>
      <c r="B292" s="12" t="s">
        <v>148</v>
      </c>
      <c r="C292" s="10" t="s">
        <v>149</v>
      </c>
      <c r="D292" s="26" t="n">
        <v>12.08</v>
      </c>
      <c r="E292" s="12" t="s">
        <v>153</v>
      </c>
      <c r="F292" s="11" t="n">
        <v>58920.4</v>
      </c>
      <c r="G292" s="10" t="s">
        <v>169</v>
      </c>
      <c r="H292" s="7" t="n">
        <v>1</v>
      </c>
      <c r="I292" s="12" t="s">
        <v>79</v>
      </c>
      <c r="J292" s="12" t="s">
        <v>80</v>
      </c>
      <c r="K292" s="10" t="s">
        <v>111</v>
      </c>
      <c r="L292" s="9" t="n">
        <f aca="false">IF(ISNUMBER(D292),COUNTIF($D$6:$D$338,"&lt;"&amp;D292)/(COUNT($D$6:$D$338)-1),"")</f>
        <v>0.288888888888889</v>
      </c>
      <c r="M292" s="9" t="n">
        <f aca="false">IF(ISNUMBER(F292),COUNTIF($F$6:$F$338,"&lt;"&amp;F292)/(COUNT($F$6:$F$338)-1),"")</f>
        <v>0.936746987951807</v>
      </c>
      <c r="N292" s="9" t="n">
        <f aca="false">IF(AND(L292="",M292=""),"",(IF(ISNUMBER(L292),$C$3*L292,0)+IF(ISNUMBER(M292),$E$3*M292,0))/(IF(ISNUMBER(L292),$C$3,0)+IF(ISNUMBER(M292),$E$3,0)))</f>
        <v>0.612817938420348</v>
      </c>
      <c r="O292" s="12"/>
      <c r="P292" s="7" t="n">
        <f aca="false">IF(O292&lt;&gt;"","",COUNTIFS($A$6:$A$338,A292,$O$6:$O$338,"",$N$6:$N$338,"&gt;"&amp;N292)+COUNTIFS($A$6:A292,A292,$O$6:O292,"",$N$6:N292,N292))</f>
        <v>3</v>
      </c>
      <c r="Q292" s="12" t="str">
        <f aca="false">IF(P292="","Excluded",IF(P292&lt;=5,"Lead",IF(P292&lt;=10,"Next wave","Long list")))</f>
        <v>Lead</v>
      </c>
      <c r="R292" s="10" t="s">
        <v>82</v>
      </c>
      <c r="S292" s="30" t="s">
        <v>322</v>
      </c>
    </row>
    <row r="293" customFormat="false" ht="23.85" hidden="false" customHeight="false" outlineLevel="0" collapsed="false">
      <c r="A293" s="12" t="s">
        <v>41</v>
      </c>
      <c r="B293" s="12" t="s">
        <v>239</v>
      </c>
      <c r="C293" s="10" t="s">
        <v>205</v>
      </c>
      <c r="D293" s="26" t="n">
        <v>20.65</v>
      </c>
      <c r="E293" s="12" t="s">
        <v>102</v>
      </c>
      <c r="F293" s="11" t="n">
        <v>18568.8</v>
      </c>
      <c r="G293" s="10" t="s">
        <v>169</v>
      </c>
      <c r="H293" s="7" t="n">
        <v>1</v>
      </c>
      <c r="I293" s="12" t="s">
        <v>97</v>
      </c>
      <c r="J293" s="12" t="s">
        <v>97</v>
      </c>
      <c r="K293" s="10"/>
      <c r="L293" s="9" t="n">
        <f aca="false">IF(ISNUMBER(D293),COUNTIF($D$6:$D$338,"&lt;"&amp;D293)/(COUNT($D$6:$D$338)-1),"")</f>
        <v>0.406349206349206</v>
      </c>
      <c r="M293" s="9" t="n">
        <f aca="false">IF(ISNUMBER(F293),COUNTIF($F$6:$F$338,"&lt;"&amp;F293)/(COUNT($F$6:$F$338)-1),"")</f>
        <v>0.762048192771084</v>
      </c>
      <c r="N293" s="9" t="n">
        <f aca="false">IF(AND(L293="",M293=""),"",(IF(ISNUMBER(L293),$C$3*L293,0)+IF(ISNUMBER(M293),$E$3*M293,0))/(IF(ISNUMBER(L293),$C$3,0)+IF(ISNUMBER(M293),$E$3,0)))</f>
        <v>0.584198699560145</v>
      </c>
      <c r="O293" s="12"/>
      <c r="P293" s="7" t="n">
        <f aca="false">IF(O293&lt;&gt;"","",COUNTIFS($A$6:$A$338,A293,$O$6:$O$338,"",$N$6:$N$338,"&gt;"&amp;N293)+COUNTIFS($A$6:A293,A293,$O$6:O293,"",$N$6:N293,N293))</f>
        <v>4</v>
      </c>
      <c r="Q293" s="12" t="str">
        <f aca="false">IF(P293="","Excluded",IF(P293&lt;=5,"Lead",IF(P293&lt;=10,"Next wave","Long list")))</f>
        <v>Lead</v>
      </c>
      <c r="R293" s="10" t="s">
        <v>99</v>
      </c>
      <c r="S293" s="30" t="s">
        <v>579</v>
      </c>
    </row>
    <row r="294" customFormat="false" ht="23.85" hidden="false" customHeight="false" outlineLevel="0" collapsed="false">
      <c r="A294" s="12" t="s">
        <v>41</v>
      </c>
      <c r="B294" s="12" t="s">
        <v>240</v>
      </c>
      <c r="C294" s="10" t="s">
        <v>241</v>
      </c>
      <c r="D294" s="26" t="n">
        <v>7.72</v>
      </c>
      <c r="E294" s="12" t="s">
        <v>77</v>
      </c>
      <c r="F294" s="11" t="n">
        <v>20184.3</v>
      </c>
      <c r="G294" s="10" t="s">
        <v>323</v>
      </c>
      <c r="H294" s="7" t="n">
        <v>1</v>
      </c>
      <c r="I294" s="12" t="s">
        <v>79</v>
      </c>
      <c r="J294" s="12" t="s">
        <v>86</v>
      </c>
      <c r="K294" s="10"/>
      <c r="L294" s="9" t="n">
        <f aca="false">IF(ISNUMBER(D294),COUNTIF($D$6:$D$338,"&lt;"&amp;D294)/(COUNT($D$6:$D$338)-1),"")</f>
        <v>0.161904761904762</v>
      </c>
      <c r="M294" s="9" t="n">
        <f aca="false">IF(ISNUMBER(F294),COUNTIF($F$6:$F$338,"&lt;"&amp;F294)/(COUNT($F$6:$F$338)-1),"")</f>
        <v>0.774096385542169</v>
      </c>
      <c r="N294" s="9" t="n">
        <f aca="false">IF(AND(L294="",M294=""),"",(IF(ISNUMBER(L294),$C$3*L294,0)+IF(ISNUMBER(M294),$E$3*M294,0))/(IF(ISNUMBER(L294),$C$3,0)+IF(ISNUMBER(M294),$E$3,0)))</f>
        <v>0.468000573723465</v>
      </c>
      <c r="O294" s="12"/>
      <c r="P294" s="7" t="n">
        <f aca="false">IF(O294&lt;&gt;"","",COUNTIFS($A$6:$A$338,A294,$O$6:$O$338,"",$N$6:$N$338,"&gt;"&amp;N294)+COUNTIFS($A$6:A294,A294,$O$6:O294,"",$N$6:N294,N294))</f>
        <v>5</v>
      </c>
      <c r="Q294" s="12" t="str">
        <f aca="false">IF(P294="","Excluded",IF(P294&lt;=5,"Lead",IF(P294&lt;=10,"Next wave","Long list")))</f>
        <v>Lead</v>
      </c>
      <c r="R294" s="10" t="s">
        <v>82</v>
      </c>
      <c r="S294" s="30" t="s">
        <v>484</v>
      </c>
    </row>
    <row r="295" customFormat="false" ht="23.85" hidden="false" customHeight="false" outlineLevel="0" collapsed="false">
      <c r="A295" s="12" t="s">
        <v>41</v>
      </c>
      <c r="B295" s="12" t="s">
        <v>242</v>
      </c>
      <c r="C295" s="10" t="s">
        <v>243</v>
      </c>
      <c r="D295" s="26" t="n">
        <v>10.96</v>
      </c>
      <c r="E295" s="12" t="s">
        <v>153</v>
      </c>
      <c r="F295" s="11" t="n">
        <v>7260.1</v>
      </c>
      <c r="G295" s="10" t="s">
        <v>169</v>
      </c>
      <c r="H295" s="7" t="n">
        <v>1</v>
      </c>
      <c r="I295" s="12" t="s">
        <v>97</v>
      </c>
      <c r="J295" s="12" t="s">
        <v>97</v>
      </c>
      <c r="K295" s="10"/>
      <c r="L295" s="9" t="n">
        <f aca="false">IF(ISNUMBER(D295),COUNTIF($D$6:$D$338,"&lt;"&amp;D295)/(COUNT($D$6:$D$338)-1),"")</f>
        <v>0.266666666666667</v>
      </c>
      <c r="M295" s="9" t="n">
        <f aca="false">IF(ISNUMBER(F295),COUNTIF($F$6:$F$338,"&lt;"&amp;F295)/(COUNT($F$6:$F$338)-1),"")</f>
        <v>0.644578313253012</v>
      </c>
      <c r="N295" s="9" t="n">
        <f aca="false">IF(AND(L295="",M295=""),"",(IF(ISNUMBER(L295),$C$3*L295,0)+IF(ISNUMBER(M295),$E$3*M295,0))/(IF(ISNUMBER(L295),$C$3,0)+IF(ISNUMBER(M295),$E$3,0)))</f>
        <v>0.455622489959839</v>
      </c>
      <c r="O295" s="12"/>
      <c r="P295" s="7" t="n">
        <f aca="false">IF(O295&lt;&gt;"","",COUNTIFS($A$6:$A$338,A295,$O$6:$O$338,"",$N$6:$N$338,"&gt;"&amp;N295)+COUNTIFS($A$6:A295,A295,$O$6:O295,"",$N$6:N295,N295))</f>
        <v>6</v>
      </c>
      <c r="Q295" s="12" t="str">
        <f aca="false">IF(P295="","Excluded",IF(P295&lt;=5,"Lead",IF(P295&lt;=10,"Next wave","Long list")))</f>
        <v>Next wave</v>
      </c>
      <c r="R295" s="10" t="s">
        <v>99</v>
      </c>
      <c r="S295" s="30" t="s">
        <v>598</v>
      </c>
    </row>
    <row r="296" customFormat="false" ht="23.85" hidden="false" customHeight="false" outlineLevel="0" collapsed="false">
      <c r="A296" s="12" t="s">
        <v>41</v>
      </c>
      <c r="B296" s="12" t="s">
        <v>244</v>
      </c>
      <c r="C296" s="10" t="s">
        <v>211</v>
      </c>
      <c r="D296" s="26" t="n">
        <v>12.21</v>
      </c>
      <c r="E296" s="12" t="s">
        <v>102</v>
      </c>
      <c r="F296" s="11" t="n">
        <v>701.3</v>
      </c>
      <c r="G296" s="10" t="s">
        <v>175</v>
      </c>
      <c r="H296" s="7" t="n">
        <v>2</v>
      </c>
      <c r="I296" s="12" t="s">
        <v>172</v>
      </c>
      <c r="J296" s="12" t="s">
        <v>86</v>
      </c>
      <c r="K296" s="10"/>
      <c r="L296" s="9" t="n">
        <f aca="false">IF(ISNUMBER(D296),COUNTIF($D$6:$D$338,"&lt;"&amp;D296)/(COUNT($D$6:$D$338)-1),"")</f>
        <v>0.292063492063492</v>
      </c>
      <c r="M296" s="9" t="n">
        <f aca="false">IF(ISNUMBER(F296),COUNTIF($F$6:$F$338,"&lt;"&amp;F296)/(COUNT($F$6:$F$338)-1),"")</f>
        <v>0.132530120481928</v>
      </c>
      <c r="N296" s="9" t="n">
        <f aca="false">IF(AND(L296="",M296=""),"",(IF(ISNUMBER(L296),$C$3*L296,0)+IF(ISNUMBER(M296),$E$3*M296,0))/(IF(ISNUMBER(L296),$C$3,0)+IF(ISNUMBER(M296),$E$3,0)))</f>
        <v>0.21229680627271</v>
      </c>
      <c r="O296" s="12"/>
      <c r="P296" s="7" t="n">
        <f aca="false">IF(O296&lt;&gt;"","",COUNTIFS($A$6:$A$338,A296,$O$6:$O$338,"",$N$6:$N$338,"&gt;"&amp;N296)+COUNTIFS($A$6:A296,A296,$O$6:O296,"",$N$6:N296,N296))</f>
        <v>7</v>
      </c>
      <c r="Q296" s="12" t="str">
        <f aca="false">IF(P296="","Excluded",IF(P296&lt;=5,"Lead",IF(P296&lt;=10,"Next wave","Long list")))</f>
        <v>Next wave</v>
      </c>
      <c r="R296" s="10" t="s">
        <v>105</v>
      </c>
      <c r="S296" s="30" t="s">
        <v>599</v>
      </c>
    </row>
    <row r="297" customFormat="false" ht="23.85" hidden="false" customHeight="false" outlineLevel="0" collapsed="false">
      <c r="A297" s="12" t="s">
        <v>47</v>
      </c>
      <c r="B297" s="12" t="s">
        <v>201</v>
      </c>
      <c r="C297" s="10" t="s">
        <v>202</v>
      </c>
      <c r="D297" s="26" t="n">
        <v>25.36</v>
      </c>
      <c r="E297" s="12" t="s">
        <v>102</v>
      </c>
      <c r="F297" s="11" t="n">
        <v>93119.2</v>
      </c>
      <c r="G297" s="10" t="s">
        <v>194</v>
      </c>
      <c r="H297" s="7" t="n">
        <v>1</v>
      </c>
      <c r="I297" s="12" t="s">
        <v>79</v>
      </c>
      <c r="J297" s="12" t="s">
        <v>80</v>
      </c>
      <c r="K297" s="10" t="s">
        <v>111</v>
      </c>
      <c r="L297" s="9" t="n">
        <f aca="false">IF(ISNUMBER(D297),COUNTIF($D$6:$D$338,"&lt;"&amp;D297)/(COUNT($D$6:$D$338)-1),"")</f>
        <v>0.485714285714286</v>
      </c>
      <c r="M297" s="9" t="n">
        <f aca="false">IF(ISNUMBER(F297),COUNTIF($F$6:$F$338,"&lt;"&amp;F297)/(COUNT($F$6:$F$338)-1),"")</f>
        <v>0.981927710843374</v>
      </c>
      <c r="N297" s="9" t="n">
        <f aca="false">IF(AND(L297="",M297=""),"",(IF(ISNUMBER(L297),$C$3*L297,0)+IF(ISNUMBER(M297),$E$3*M297,0))/(IF(ISNUMBER(L297),$C$3,0)+IF(ISNUMBER(M297),$E$3,0)))</f>
        <v>0.73382099827883</v>
      </c>
      <c r="O297" s="12"/>
      <c r="P297" s="7" t="n">
        <f aca="false">IF(O297&lt;&gt;"","",COUNTIFS($A$6:$A$338,A297,$O$6:$O$338,"",$N$6:$N$338,"&gt;"&amp;N297)+COUNTIFS($A$6:A297,A297,$O$6:O297,"",$N$6:N297,N297))</f>
        <v>1</v>
      </c>
      <c r="Q297" s="12" t="str">
        <f aca="false">IF(P297="","Excluded",IF(P297&lt;=5,"Lead",IF(P297&lt;=10,"Next wave","Long list")))</f>
        <v>Lead</v>
      </c>
      <c r="R297" s="10" t="s">
        <v>82</v>
      </c>
      <c r="S297" s="30" t="s">
        <v>350</v>
      </c>
    </row>
    <row r="298" customFormat="false" ht="23.85" hidden="false" customHeight="false" outlineLevel="0" collapsed="false">
      <c r="A298" s="12" t="s">
        <v>47</v>
      </c>
      <c r="B298" s="12" t="s">
        <v>173</v>
      </c>
      <c r="C298" s="10" t="s">
        <v>174</v>
      </c>
      <c r="D298" s="26" t="n">
        <v>81.96</v>
      </c>
      <c r="E298" s="12" t="s">
        <v>102</v>
      </c>
      <c r="F298" s="11" t="n">
        <v>3973.7</v>
      </c>
      <c r="G298" s="10" t="s">
        <v>194</v>
      </c>
      <c r="H298" s="7" t="n">
        <v>1</v>
      </c>
      <c r="I298" s="12" t="s">
        <v>79</v>
      </c>
      <c r="J298" s="12" t="s">
        <v>80</v>
      </c>
      <c r="K298" s="10" t="s">
        <v>81</v>
      </c>
      <c r="L298" s="9" t="n">
        <f aca="false">IF(ISNUMBER(D298),COUNTIF($D$6:$D$338,"&lt;"&amp;D298)/(COUNT($D$6:$D$338)-1),"")</f>
        <v>0.73015873015873</v>
      </c>
      <c r="M298" s="9" t="n">
        <f aca="false">IF(ISNUMBER(F298),COUNTIF($F$6:$F$338,"&lt;"&amp;F298)/(COUNT($F$6:$F$338)-1),"")</f>
        <v>0.493975903614458</v>
      </c>
      <c r="N298" s="9" t="n">
        <f aca="false">IF(AND(L298="",M298=""),"",(IF(ISNUMBER(L298),$C$3*L298,0)+IF(ISNUMBER(M298),$E$3*M298,0))/(IF(ISNUMBER(L298),$C$3,0)+IF(ISNUMBER(M298),$E$3,0)))</f>
        <v>0.612067316886594</v>
      </c>
      <c r="O298" s="12"/>
      <c r="P298" s="7" t="n">
        <f aca="false">IF(O298&lt;&gt;"","",COUNTIFS($A$6:$A$338,A298,$O$6:$O$338,"",$N$6:$N$338,"&gt;"&amp;N298)+COUNTIFS($A$6:A298,A298,$O$6:O298,"",$N$6:N298,N298))</f>
        <v>2</v>
      </c>
      <c r="Q298" s="12" t="str">
        <f aca="false">IF(P298="","Excluded",IF(P298&lt;=5,"Lead",IF(P298&lt;=10,"Next wave","Long list")))</f>
        <v>Lead</v>
      </c>
      <c r="R298" s="10" t="s">
        <v>82</v>
      </c>
      <c r="S298" s="30" t="s">
        <v>430</v>
      </c>
    </row>
    <row r="299" customFormat="false" ht="23.85" hidden="false" customHeight="false" outlineLevel="0" collapsed="false">
      <c r="A299" s="12" t="s">
        <v>47</v>
      </c>
      <c r="B299" s="12" t="s">
        <v>148</v>
      </c>
      <c r="C299" s="10" t="s">
        <v>149</v>
      </c>
      <c r="D299" s="26" t="n">
        <v>11.71</v>
      </c>
      <c r="E299" s="12" t="s">
        <v>77</v>
      </c>
      <c r="F299" s="11" t="n">
        <v>58920.4</v>
      </c>
      <c r="G299" s="10" t="s">
        <v>91</v>
      </c>
      <c r="H299" s="7" t="n">
        <v>10</v>
      </c>
      <c r="I299" s="12" t="s">
        <v>79</v>
      </c>
      <c r="J299" s="12" t="s">
        <v>80</v>
      </c>
      <c r="K299" s="10" t="s">
        <v>111</v>
      </c>
      <c r="L299" s="9" t="n">
        <f aca="false">IF(ISNUMBER(D299),COUNTIF($D$6:$D$338,"&lt;"&amp;D299)/(COUNT($D$6:$D$338)-1),"")</f>
        <v>0.279365079365079</v>
      </c>
      <c r="M299" s="9" t="n">
        <f aca="false">IF(ISNUMBER(F299),COUNTIF($F$6:$F$338,"&lt;"&amp;F299)/(COUNT($F$6:$F$338)-1),"")</f>
        <v>0.936746987951807</v>
      </c>
      <c r="N299" s="9" t="n">
        <f aca="false">IF(AND(L299="",M299=""),"",(IF(ISNUMBER(L299),$C$3*L299,0)+IF(ISNUMBER(M299),$E$3*M299,0))/(IF(ISNUMBER(L299),$C$3,0)+IF(ISNUMBER(M299),$E$3,0)))</f>
        <v>0.608056033658443</v>
      </c>
      <c r="O299" s="12"/>
      <c r="P299" s="7" t="n">
        <f aca="false">IF(O299&lt;&gt;"","",COUNTIFS($A$6:$A$338,A299,$O$6:$O$338,"",$N$6:$N$338,"&gt;"&amp;N299)+COUNTIFS($A$6:A299,A299,$O$6:O299,"",$N$6:N299,N299))</f>
        <v>3</v>
      </c>
      <c r="Q299" s="12" t="str">
        <f aca="false">IF(P299="","Excluded",IF(P299&lt;=5,"Lead",IF(P299&lt;=10,"Next wave","Long list")))</f>
        <v>Lead</v>
      </c>
      <c r="R299" s="10" t="s">
        <v>82</v>
      </c>
      <c r="S299" s="30" t="s">
        <v>322</v>
      </c>
    </row>
    <row r="300" customFormat="false" ht="23.85" hidden="false" customHeight="false" outlineLevel="0" collapsed="false">
      <c r="A300" s="12" t="s">
        <v>47</v>
      </c>
      <c r="B300" s="12" t="s">
        <v>206</v>
      </c>
      <c r="C300" s="10" t="s">
        <v>207</v>
      </c>
      <c r="D300" s="26" t="n">
        <v>34.58</v>
      </c>
      <c r="E300" s="12" t="s">
        <v>102</v>
      </c>
      <c r="F300" s="11" t="n">
        <v>5713.6</v>
      </c>
      <c r="G300" s="10" t="s">
        <v>194</v>
      </c>
      <c r="H300" s="7" t="n">
        <v>1</v>
      </c>
      <c r="I300" s="12" t="s">
        <v>79</v>
      </c>
      <c r="J300" s="12" t="s">
        <v>97</v>
      </c>
      <c r="K300" s="10"/>
      <c r="L300" s="9" t="n">
        <f aca="false">IF(ISNUMBER(D300),COUNTIF($D$6:$D$338,"&lt;"&amp;D300)/(COUNT($D$6:$D$338)-1),"")</f>
        <v>0.555555555555556</v>
      </c>
      <c r="M300" s="9" t="n">
        <f aca="false">IF(ISNUMBER(F300),COUNTIF($F$6:$F$338,"&lt;"&amp;F300)/(COUNT($F$6:$F$338)-1),"")</f>
        <v>0.569277108433735</v>
      </c>
      <c r="N300" s="9" t="n">
        <f aca="false">IF(AND(L300="",M300=""),"",(IF(ISNUMBER(L300),$C$3*L300,0)+IF(ISNUMBER(M300),$E$3*M300,0))/(IF(ISNUMBER(L300),$C$3,0)+IF(ISNUMBER(M300),$E$3,0)))</f>
        <v>0.562416331994645</v>
      </c>
      <c r="O300" s="12"/>
      <c r="P300" s="7" t="n">
        <f aca="false">IF(O300&lt;&gt;"","",COUNTIFS($A$6:$A$338,A300,$O$6:$O$338,"",$N$6:$N$338,"&gt;"&amp;N300)+COUNTIFS($A$6:A300,A300,$O$6:O300,"",$N$6:N300,N300))</f>
        <v>4</v>
      </c>
      <c r="Q300" s="12" t="str">
        <f aca="false">IF(P300="","Excluded",IF(P300&lt;=5,"Lead",IF(P300&lt;=10,"Next wave","Long list")))</f>
        <v>Lead</v>
      </c>
      <c r="R300" s="10" t="s">
        <v>82</v>
      </c>
      <c r="S300" s="30" t="s">
        <v>384</v>
      </c>
    </row>
    <row r="301" customFormat="false" ht="23.85" hidden="false" customHeight="false" outlineLevel="0" collapsed="false">
      <c r="A301" s="12" t="s">
        <v>35</v>
      </c>
      <c r="B301" s="12" t="s">
        <v>107</v>
      </c>
      <c r="C301" s="10" t="s">
        <v>108</v>
      </c>
      <c r="D301" s="26" t="n">
        <v>87.85</v>
      </c>
      <c r="E301" s="12" t="s">
        <v>77</v>
      </c>
      <c r="F301" s="11" t="n">
        <v>59827.2</v>
      </c>
      <c r="G301" s="10" t="s">
        <v>175</v>
      </c>
      <c r="H301" s="7" t="n">
        <v>3</v>
      </c>
      <c r="I301" s="12" t="s">
        <v>79</v>
      </c>
      <c r="J301" s="12" t="s">
        <v>80</v>
      </c>
      <c r="K301" s="10" t="s">
        <v>111</v>
      </c>
      <c r="L301" s="9" t="n">
        <f aca="false">IF(ISNUMBER(D301),COUNTIF($D$6:$D$338,"&lt;"&amp;D301)/(COUNT($D$6:$D$338)-1),"")</f>
        <v>0.73968253968254</v>
      </c>
      <c r="M301" s="9" t="n">
        <f aca="false">IF(ISNUMBER(F301),COUNTIF($F$6:$F$338,"&lt;"&amp;F301)/(COUNT($F$6:$F$338)-1),"")</f>
        <v>0.957831325301205</v>
      </c>
      <c r="N301" s="9" t="n">
        <f aca="false">IF(AND(L301="",M301=""),"",(IF(ISNUMBER(L301),$C$3*L301,0)+IF(ISNUMBER(M301),$E$3*M301,0))/(IF(ISNUMBER(L301),$C$3,0)+IF(ISNUMBER(M301),$E$3,0)))</f>
        <v>0.848756932491872</v>
      </c>
      <c r="O301" s="12"/>
      <c r="P301" s="7" t="n">
        <f aca="false">IF(O301&lt;&gt;"","",COUNTIFS($A$6:$A$338,A301,$O$6:$O$338,"",$N$6:$N$338,"&gt;"&amp;N301)+COUNTIFS($A$6:A301,A301,$O$6:O301,"",$N$6:N301,N301))</f>
        <v>1</v>
      </c>
      <c r="Q301" s="12" t="str">
        <f aca="false">IF(P301="","Excluded",IF(P301&lt;=5,"Lead",IF(P301&lt;=10,"Next wave","Long list")))</f>
        <v>Lead</v>
      </c>
      <c r="R301" s="10" t="s">
        <v>82</v>
      </c>
      <c r="S301" s="30" t="s">
        <v>317</v>
      </c>
    </row>
    <row r="302" customFormat="false" ht="23.85" hidden="false" customHeight="false" outlineLevel="0" collapsed="false">
      <c r="A302" s="12" t="s">
        <v>35</v>
      </c>
      <c r="B302" s="12" t="s">
        <v>117</v>
      </c>
      <c r="C302" s="10" t="s">
        <v>118</v>
      </c>
      <c r="D302" s="26" t="n">
        <v>140.09</v>
      </c>
      <c r="E302" s="12" t="s">
        <v>77</v>
      </c>
      <c r="F302" s="11" t="n">
        <v>32830.2</v>
      </c>
      <c r="G302" s="10" t="s">
        <v>175</v>
      </c>
      <c r="H302" s="7" t="n">
        <v>2</v>
      </c>
      <c r="I302" s="12" t="s">
        <v>200</v>
      </c>
      <c r="J302" s="12" t="s">
        <v>86</v>
      </c>
      <c r="K302" s="10"/>
      <c r="L302" s="9" t="n">
        <f aca="false">IF(ISNUMBER(D302),COUNTIF($D$6:$D$338,"&lt;"&amp;D302)/(COUNT($D$6:$D$338)-1),"")</f>
        <v>0.815873015873016</v>
      </c>
      <c r="M302" s="9" t="n">
        <f aca="false">IF(ISNUMBER(F302),COUNTIF($F$6:$F$338,"&lt;"&amp;F302)/(COUNT($F$6:$F$338)-1),"")</f>
        <v>0.825301204819277</v>
      </c>
      <c r="N302" s="9" t="n">
        <f aca="false">IF(AND(L302="",M302=""),"",(IF(ISNUMBER(L302),$C$3*L302,0)+IF(ISNUMBER(M302),$E$3*M302,0))/(IF(ISNUMBER(L302),$C$3,0)+IF(ISNUMBER(M302),$E$3,0)))</f>
        <v>0.820587110346147</v>
      </c>
      <c r="O302" s="12"/>
      <c r="P302" s="7" t="n">
        <f aca="false">IF(O302&lt;&gt;"","",COUNTIFS($A$6:$A$338,A302,$O$6:$O$338,"",$N$6:$N$338,"&gt;"&amp;N302)+COUNTIFS($A$6:A302,A302,$O$6:O302,"",$N$6:N302,N302))</f>
        <v>2</v>
      </c>
      <c r="Q302" s="12" t="str">
        <f aca="false">IF(P302="","Excluded",IF(P302&lt;=5,"Lead",IF(P302&lt;=10,"Next wave","Long list")))</f>
        <v>Lead</v>
      </c>
      <c r="R302" s="10" t="s">
        <v>82</v>
      </c>
      <c r="S302" s="30" t="s">
        <v>428</v>
      </c>
    </row>
    <row r="303" customFormat="false" ht="23.85" hidden="false" customHeight="false" outlineLevel="0" collapsed="false">
      <c r="A303" s="12" t="s">
        <v>35</v>
      </c>
      <c r="B303" s="12" t="s">
        <v>201</v>
      </c>
      <c r="C303" s="10" t="s">
        <v>202</v>
      </c>
      <c r="D303" s="26" t="n">
        <v>12.3</v>
      </c>
      <c r="E303" s="12" t="s">
        <v>77</v>
      </c>
      <c r="F303" s="11" t="n">
        <v>93119.2</v>
      </c>
      <c r="G303" s="10" t="s">
        <v>186</v>
      </c>
      <c r="H303" s="7" t="n">
        <v>5</v>
      </c>
      <c r="I303" s="12" t="s">
        <v>79</v>
      </c>
      <c r="J303" s="12" t="s">
        <v>80</v>
      </c>
      <c r="K303" s="10" t="s">
        <v>111</v>
      </c>
      <c r="L303" s="9" t="n">
        <f aca="false">IF(ISNUMBER(D303),COUNTIF($D$6:$D$338,"&lt;"&amp;D303)/(COUNT($D$6:$D$338)-1),"")</f>
        <v>0.295238095238095</v>
      </c>
      <c r="M303" s="9" t="n">
        <f aca="false">IF(ISNUMBER(F303),COUNTIF($F$6:$F$338,"&lt;"&amp;F303)/(COUNT($F$6:$F$338)-1),"")</f>
        <v>0.981927710843374</v>
      </c>
      <c r="N303" s="9" t="n">
        <f aca="false">IF(AND(L303="",M303=""),"",(IF(ISNUMBER(L303),$C$3*L303,0)+IF(ISNUMBER(M303),$E$3*M303,0))/(IF(ISNUMBER(L303),$C$3,0)+IF(ISNUMBER(M303),$E$3,0)))</f>
        <v>0.638582903040734</v>
      </c>
      <c r="O303" s="12"/>
      <c r="P303" s="7" t="n">
        <f aca="false">IF(O303&lt;&gt;"","",COUNTIFS($A$6:$A$338,A303,$O$6:$O$338,"",$N$6:$N$338,"&gt;"&amp;N303)+COUNTIFS($A$6:A303,A303,$O$6:O303,"",$N$6:N303,N303))</f>
        <v>3</v>
      </c>
      <c r="Q303" s="12" t="str">
        <f aca="false">IF(P303="","Excluded",IF(P303&lt;=5,"Lead",IF(P303&lt;=10,"Next wave","Long list")))</f>
        <v>Lead</v>
      </c>
      <c r="R303" s="10" t="s">
        <v>82</v>
      </c>
      <c r="S303" s="30" t="s">
        <v>350</v>
      </c>
    </row>
    <row r="304" customFormat="false" ht="23.85" hidden="false" customHeight="false" outlineLevel="0" collapsed="false">
      <c r="A304" s="12" t="s">
        <v>35</v>
      </c>
      <c r="B304" s="12" t="s">
        <v>203</v>
      </c>
      <c r="C304" s="10" t="s">
        <v>179</v>
      </c>
      <c r="D304" s="26" t="n">
        <v>6.73</v>
      </c>
      <c r="E304" s="12" t="s">
        <v>153</v>
      </c>
      <c r="F304" s="11" t="n">
        <v>44038.9</v>
      </c>
      <c r="G304" s="10" t="s">
        <v>96</v>
      </c>
      <c r="H304" s="7" t="n">
        <v>1</v>
      </c>
      <c r="I304" s="12" t="s">
        <v>79</v>
      </c>
      <c r="J304" s="12" t="s">
        <v>80</v>
      </c>
      <c r="K304" s="10" t="s">
        <v>111</v>
      </c>
      <c r="L304" s="9" t="n">
        <f aca="false">IF(ISNUMBER(D304),COUNTIF($D$6:$D$338,"&lt;"&amp;D304)/(COUNT($D$6:$D$338)-1),"")</f>
        <v>0.111111111111111</v>
      </c>
      <c r="M304" s="9" t="n">
        <f aca="false">IF(ISNUMBER(F304),COUNTIF($F$6:$F$338,"&lt;"&amp;F304)/(COUNT($F$6:$F$338)-1),"")</f>
        <v>0.918674698795181</v>
      </c>
      <c r="N304" s="9" t="n">
        <f aca="false">IF(AND(L304="",M304=""),"",(IF(ISNUMBER(L304),$C$3*L304,0)+IF(ISNUMBER(M304),$E$3*M304,0))/(IF(ISNUMBER(L304),$C$3,0)+IF(ISNUMBER(M304),$E$3,0)))</f>
        <v>0.514892904953146</v>
      </c>
      <c r="O304" s="12"/>
      <c r="P304" s="7" t="n">
        <f aca="false">IF(O304&lt;&gt;"","",COUNTIFS($A$6:$A$338,A304,$O$6:$O$338,"",$N$6:$N$338,"&gt;"&amp;N304)+COUNTIFS($A$6:A304,A304,$O$6:O304,"",$N$6:N304,N304))</f>
        <v>4</v>
      </c>
      <c r="Q304" s="12" t="str">
        <f aca="false">IF(P304="","Excluded",IF(P304&lt;=5,"Lead",IF(P304&lt;=10,"Next wave","Long list")))</f>
        <v>Lead</v>
      </c>
      <c r="R304" s="10" t="s">
        <v>105</v>
      </c>
      <c r="S304" s="30" t="s">
        <v>600</v>
      </c>
    </row>
    <row r="305" customFormat="false" ht="23.85" hidden="false" customHeight="false" outlineLevel="0" collapsed="false">
      <c r="A305" s="12" t="s">
        <v>35</v>
      </c>
      <c r="B305" s="12" t="s">
        <v>204</v>
      </c>
      <c r="C305" s="10" t="s">
        <v>205</v>
      </c>
      <c r="D305" s="26" t="n">
        <v>33.71</v>
      </c>
      <c r="E305" s="12" t="s">
        <v>77</v>
      </c>
      <c r="F305" s="11" t="n">
        <v>3562.4</v>
      </c>
      <c r="G305" s="10" t="s">
        <v>175</v>
      </c>
      <c r="H305" s="7" t="n">
        <v>3</v>
      </c>
      <c r="I305" s="12" t="s">
        <v>200</v>
      </c>
      <c r="J305" s="12" t="s">
        <v>86</v>
      </c>
      <c r="K305" s="10"/>
      <c r="L305" s="9" t="n">
        <f aca="false">IF(ISNUMBER(D305),COUNTIF($D$6:$D$338,"&lt;"&amp;D305)/(COUNT($D$6:$D$338)-1),"")</f>
        <v>0.552380952380952</v>
      </c>
      <c r="M305" s="9" t="n">
        <f aca="false">IF(ISNUMBER(F305),COUNTIF($F$6:$F$338,"&lt;"&amp;F305)/(COUNT($F$6:$F$338)-1),"")</f>
        <v>0.448795180722892</v>
      </c>
      <c r="N305" s="9" t="n">
        <f aca="false">IF(AND(L305="",M305=""),"",(IF(ISNUMBER(L305),$C$3*L305,0)+IF(ISNUMBER(M305),$E$3*M305,0))/(IF(ISNUMBER(L305),$C$3,0)+IF(ISNUMBER(M305),$E$3,0)))</f>
        <v>0.500588066551922</v>
      </c>
      <c r="O305" s="12"/>
      <c r="P305" s="7" t="n">
        <f aca="false">IF(O305&lt;&gt;"","",COUNTIFS($A$6:$A$338,A305,$O$6:$O$338,"",$N$6:$N$338,"&gt;"&amp;N305)+COUNTIFS($A$6:A305,A305,$O$6:O305,"",$N$6:N305,N305))</f>
        <v>5</v>
      </c>
      <c r="Q305" s="12" t="str">
        <f aca="false">IF(P305="","Excluded",IF(P305&lt;=5,"Lead",IF(P305&lt;=10,"Next wave","Long list")))</f>
        <v>Lead</v>
      </c>
      <c r="R305" s="10" t="s">
        <v>105</v>
      </c>
      <c r="S305" s="30" t="s">
        <v>601</v>
      </c>
    </row>
    <row r="306" customFormat="false" ht="23.85" hidden="false" customHeight="false" outlineLevel="0" collapsed="false">
      <c r="A306" s="12" t="s">
        <v>35</v>
      </c>
      <c r="B306" s="12" t="s">
        <v>206</v>
      </c>
      <c r="C306" s="10" t="s">
        <v>207</v>
      </c>
      <c r="D306" s="26" t="n">
        <v>20.27</v>
      </c>
      <c r="E306" s="12" t="s">
        <v>77</v>
      </c>
      <c r="F306" s="11" t="n">
        <v>5713.6</v>
      </c>
      <c r="G306" s="10" t="s">
        <v>175</v>
      </c>
      <c r="H306" s="7" t="n">
        <v>4</v>
      </c>
      <c r="I306" s="12" t="s">
        <v>79</v>
      </c>
      <c r="J306" s="12" t="s">
        <v>80</v>
      </c>
      <c r="K306" s="10" t="s">
        <v>111</v>
      </c>
      <c r="L306" s="9" t="n">
        <f aca="false">IF(ISNUMBER(D306),COUNTIF($D$6:$D$338,"&lt;"&amp;D306)/(COUNT($D$6:$D$338)-1),"")</f>
        <v>0.396825396825397</v>
      </c>
      <c r="M306" s="9" t="n">
        <f aca="false">IF(ISNUMBER(F306),COUNTIF($F$6:$F$338,"&lt;"&amp;F306)/(COUNT($F$6:$F$338)-1),"")</f>
        <v>0.569277108433735</v>
      </c>
      <c r="N306" s="9" t="n">
        <f aca="false">IF(AND(L306="",M306=""),"",(IF(ISNUMBER(L306),$C$3*L306,0)+IF(ISNUMBER(M306),$E$3*M306,0))/(IF(ISNUMBER(L306),$C$3,0)+IF(ISNUMBER(M306),$E$3,0)))</f>
        <v>0.483051252629566</v>
      </c>
      <c r="O306" s="12"/>
      <c r="P306" s="7" t="n">
        <f aca="false">IF(O306&lt;&gt;"","",COUNTIFS($A$6:$A$338,A306,$O$6:$O$338,"",$N$6:$N$338,"&gt;"&amp;N306)+COUNTIFS($A$6:A306,A306,$O$6:O306,"",$N$6:N306,N306))</f>
        <v>6</v>
      </c>
      <c r="Q306" s="12" t="str">
        <f aca="false">IF(P306="","Excluded",IF(P306&lt;=5,"Lead",IF(P306&lt;=10,"Next wave","Long list")))</f>
        <v>Next wave</v>
      </c>
      <c r="R306" s="10" t="s">
        <v>82</v>
      </c>
      <c r="S306" s="30" t="s">
        <v>384</v>
      </c>
    </row>
    <row r="307" customFormat="false" ht="23.85" hidden="false" customHeight="false" outlineLevel="0" collapsed="false">
      <c r="A307" s="12" t="s">
        <v>35</v>
      </c>
      <c r="B307" s="12" t="s">
        <v>208</v>
      </c>
      <c r="C307" s="10" t="s">
        <v>209</v>
      </c>
      <c r="D307" s="26" t="n">
        <v>23.71</v>
      </c>
      <c r="E307" s="12" t="s">
        <v>77</v>
      </c>
      <c r="F307" s="11" t="n">
        <v>4036.6</v>
      </c>
      <c r="G307" s="10" t="s">
        <v>175</v>
      </c>
      <c r="H307" s="7" t="n">
        <v>3</v>
      </c>
      <c r="I307" s="12" t="s">
        <v>172</v>
      </c>
      <c r="J307" s="12" t="s">
        <v>86</v>
      </c>
      <c r="K307" s="10"/>
      <c r="L307" s="9" t="n">
        <f aca="false">IF(ISNUMBER(D307),COUNTIF($D$6:$D$338,"&lt;"&amp;D307)/(COUNT($D$6:$D$338)-1),"")</f>
        <v>0.447619047619048</v>
      </c>
      <c r="M307" s="9" t="n">
        <f aca="false">IF(ISNUMBER(F307),COUNTIF($F$6:$F$338,"&lt;"&amp;F307)/(COUNT($F$6:$F$338)-1),"")</f>
        <v>0.503012048192771</v>
      </c>
      <c r="N307" s="9" t="n">
        <f aca="false">IF(AND(L307="",M307=""),"",(IF(ISNUMBER(L307),$C$3*L307,0)+IF(ISNUMBER(M307),$E$3*M307,0))/(IF(ISNUMBER(L307),$C$3,0)+IF(ISNUMBER(M307),$E$3,0)))</f>
        <v>0.475315547905909</v>
      </c>
      <c r="O307" s="12"/>
      <c r="P307" s="7" t="n">
        <f aca="false">IF(O307&lt;&gt;"","",COUNTIFS($A$6:$A$338,A307,$O$6:$O$338,"",$N$6:$N$338,"&gt;"&amp;N307)+COUNTIFS($A$6:A307,A307,$O$6:O307,"",$N$6:N307,N307))</f>
        <v>7</v>
      </c>
      <c r="Q307" s="12" t="str">
        <f aca="false">IF(P307="","Excluded",IF(P307&lt;=5,"Lead",IF(P307&lt;=10,"Next wave","Long list")))</f>
        <v>Next wave</v>
      </c>
      <c r="R307" s="10" t="s">
        <v>82</v>
      </c>
      <c r="S307" s="30" t="s">
        <v>470</v>
      </c>
    </row>
    <row r="308" customFormat="false" ht="23.85" hidden="false" customHeight="false" outlineLevel="0" collapsed="false">
      <c r="A308" s="12" t="s">
        <v>35</v>
      </c>
      <c r="B308" s="12" t="s">
        <v>210</v>
      </c>
      <c r="C308" s="10" t="s">
        <v>211</v>
      </c>
      <c r="D308" s="26" t="n">
        <v>5.32</v>
      </c>
      <c r="E308" s="12" t="s">
        <v>153</v>
      </c>
      <c r="F308" s="11" t="n">
        <v>17590.5</v>
      </c>
      <c r="G308" s="10" t="s">
        <v>96</v>
      </c>
      <c r="H308" s="7" t="n">
        <v>1</v>
      </c>
      <c r="I308" s="12" t="s">
        <v>172</v>
      </c>
      <c r="J308" s="12" t="s">
        <v>86</v>
      </c>
      <c r="K308" s="10"/>
      <c r="L308" s="9" t="n">
        <f aca="false">IF(ISNUMBER(D308),COUNTIF($D$6:$D$338,"&lt;"&amp;D308)/(COUNT($D$6:$D$338)-1),"")</f>
        <v>0.0253968253968254</v>
      </c>
      <c r="M308" s="9" t="n">
        <f aca="false">IF(ISNUMBER(F308),COUNTIF($F$6:$F$338,"&lt;"&amp;F308)/(COUNT($F$6:$F$338)-1),"")</f>
        <v>0.746987951807229</v>
      </c>
      <c r="N308" s="9" t="n">
        <f aca="false">IF(AND(L308="",M308=""),"",(IF(ISNUMBER(L308),$C$3*L308,0)+IF(ISNUMBER(M308),$E$3*M308,0))/(IF(ISNUMBER(L308),$C$3,0)+IF(ISNUMBER(M308),$E$3,0)))</f>
        <v>0.386192388602027</v>
      </c>
      <c r="O308" s="12"/>
      <c r="P308" s="7" t="n">
        <f aca="false">IF(O308&lt;&gt;"","",COUNTIFS($A$6:$A$338,A308,$O$6:$O$338,"",$N$6:$N$338,"&gt;"&amp;N308)+COUNTIFS($A$6:A308,A308,$O$6:O308,"",$N$6:N308,N308))</f>
        <v>8</v>
      </c>
      <c r="Q308" s="12" t="str">
        <f aca="false">IF(P308="","Excluded",IF(P308&lt;=5,"Lead",IF(P308&lt;=10,"Next wave","Long list")))</f>
        <v>Next wave</v>
      </c>
      <c r="R308" s="10" t="s">
        <v>82</v>
      </c>
      <c r="S308" s="30" t="s">
        <v>361</v>
      </c>
    </row>
    <row r="309" customFormat="false" ht="23.85" hidden="false" customHeight="false" outlineLevel="0" collapsed="false">
      <c r="A309" s="12" t="s">
        <v>35</v>
      </c>
      <c r="B309" s="12" t="s">
        <v>212</v>
      </c>
      <c r="C309" s="10" t="s">
        <v>213</v>
      </c>
      <c r="D309" s="26" t="n">
        <v>59.12</v>
      </c>
      <c r="E309" s="12" t="s">
        <v>153</v>
      </c>
      <c r="F309" s="11" t="n">
        <v>163.6</v>
      </c>
      <c r="G309" s="10" t="s">
        <v>96</v>
      </c>
      <c r="H309" s="7" t="n">
        <v>3</v>
      </c>
      <c r="I309" s="12" t="s">
        <v>172</v>
      </c>
      <c r="J309" s="12" t="s">
        <v>80</v>
      </c>
      <c r="K309" s="10" t="s">
        <v>111</v>
      </c>
      <c r="L309" s="9" t="n">
        <f aca="false">IF(ISNUMBER(D309),COUNTIF($D$6:$D$338,"&lt;"&amp;D309)/(COUNT($D$6:$D$338)-1),"")</f>
        <v>0.66984126984127</v>
      </c>
      <c r="M309" s="9" t="n">
        <f aca="false">IF(ISNUMBER(F309),COUNTIF($F$6:$F$338,"&lt;"&amp;F309)/(COUNT($F$6:$F$338)-1),"")</f>
        <v>0.0512048192771084</v>
      </c>
      <c r="N309" s="9" t="n">
        <f aca="false">IF(AND(L309="",M309=""),"",(IF(ISNUMBER(L309),$C$3*L309,0)+IF(ISNUMBER(M309),$E$3*M309,0))/(IF(ISNUMBER(L309),$C$3,0)+IF(ISNUMBER(M309),$E$3,0)))</f>
        <v>0.360523044559189</v>
      </c>
      <c r="O309" s="12"/>
      <c r="P309" s="7" t="n">
        <f aca="false">IF(O309&lt;&gt;"","",COUNTIFS($A$6:$A$338,A309,$O$6:$O$338,"",$N$6:$N$338,"&gt;"&amp;N309)+COUNTIFS($A$6:A309,A309,$O$6:O309,"",$N$6:N309,N309))</f>
        <v>9</v>
      </c>
      <c r="Q309" s="12" t="str">
        <f aca="false">IF(P309="","Excluded",IF(P309&lt;=5,"Lead",IF(P309&lt;=10,"Next wave","Long list")))</f>
        <v>Next wave</v>
      </c>
      <c r="R309" s="10" t="s">
        <v>105</v>
      </c>
      <c r="S309" s="30" t="s">
        <v>602</v>
      </c>
    </row>
    <row r="310" customFormat="false" ht="23.85" hidden="false" customHeight="false" outlineLevel="0" collapsed="false">
      <c r="A310" s="12" t="s">
        <v>35</v>
      </c>
      <c r="B310" s="12" t="s">
        <v>214</v>
      </c>
      <c r="C310" s="10" t="s">
        <v>215</v>
      </c>
      <c r="D310" s="26" t="n">
        <v>8.98</v>
      </c>
      <c r="E310" s="12" t="s">
        <v>77</v>
      </c>
      <c r="F310" s="11" t="n">
        <v>4492.8</v>
      </c>
      <c r="G310" s="10" t="s">
        <v>175</v>
      </c>
      <c r="H310" s="7" t="n">
        <v>2</v>
      </c>
      <c r="I310" s="12" t="s">
        <v>172</v>
      </c>
      <c r="J310" s="12" t="s">
        <v>86</v>
      </c>
      <c r="K310" s="10"/>
      <c r="L310" s="9" t="n">
        <f aca="false">IF(ISNUMBER(D310),COUNTIF($D$6:$D$338,"&lt;"&amp;D310)/(COUNT($D$6:$D$338)-1),"")</f>
        <v>0.19047619047619</v>
      </c>
      <c r="M310" s="9" t="n">
        <f aca="false">IF(ISNUMBER(F310),COUNTIF($F$6:$F$338,"&lt;"&amp;F310)/(COUNT($F$6:$F$338)-1),"")</f>
        <v>0.524096385542169</v>
      </c>
      <c r="N310" s="9" t="n">
        <f aca="false">IF(AND(L310="",M310=""),"",(IF(ISNUMBER(L310),$C$3*L310,0)+IF(ISNUMBER(M310),$E$3*M310,0))/(IF(ISNUMBER(L310),$C$3,0)+IF(ISNUMBER(M310),$E$3,0)))</f>
        <v>0.35728628800918</v>
      </c>
      <c r="O310" s="12"/>
      <c r="P310" s="7" t="n">
        <f aca="false">IF(O310&lt;&gt;"","",COUNTIFS($A$6:$A$338,A310,$O$6:$O$338,"",$N$6:$N$338,"&gt;"&amp;N310)+COUNTIFS($A$6:A310,A310,$O$6:O310,"",$N$6:N310,N310))</f>
        <v>10</v>
      </c>
      <c r="Q310" s="12" t="str">
        <f aca="false">IF(P310="","Excluded",IF(P310&lt;=5,"Lead",IF(P310&lt;=10,"Next wave","Long list")))</f>
        <v>Next wave</v>
      </c>
      <c r="R310" s="10" t="s">
        <v>105</v>
      </c>
      <c r="S310" s="30" t="s">
        <v>603</v>
      </c>
    </row>
    <row r="311" customFormat="false" ht="35.05" hidden="false" customHeight="false" outlineLevel="0" collapsed="false">
      <c r="A311" s="12" t="s">
        <v>35</v>
      </c>
      <c r="B311" s="12" t="s">
        <v>134</v>
      </c>
      <c r="C311" s="10" t="s">
        <v>135</v>
      </c>
      <c r="D311" s="26" t="n">
        <v>3.06</v>
      </c>
      <c r="E311" s="12" t="s">
        <v>153</v>
      </c>
      <c r="F311" s="11" t="n">
        <v>8433.6</v>
      </c>
      <c r="G311" s="10" t="s">
        <v>323</v>
      </c>
      <c r="H311" s="7" t="n">
        <v>1</v>
      </c>
      <c r="I311" s="12" t="s">
        <v>79</v>
      </c>
      <c r="J311" s="12" t="s">
        <v>86</v>
      </c>
      <c r="K311" s="10" t="s">
        <v>442</v>
      </c>
      <c r="L311" s="9" t="n">
        <f aca="false">IF(ISNUMBER(D311),COUNTIF($D$6:$D$338,"&lt;"&amp;D311)/(COUNT($D$6:$D$338)-1),"")</f>
        <v>0.00952380952380953</v>
      </c>
      <c r="M311" s="9" t="n">
        <f aca="false">IF(ISNUMBER(F311),COUNTIF($F$6:$F$338,"&lt;"&amp;F311)/(COUNT($F$6:$F$338)-1),"")</f>
        <v>0.674698795180723</v>
      </c>
      <c r="N311" s="9" t="n">
        <f aca="false">IF(AND(L311="",M311=""),"",(IF(ISNUMBER(L311),$C$3*L311,0)+IF(ISNUMBER(M311),$E$3*M311,0))/(IF(ISNUMBER(L311),$C$3,0)+IF(ISNUMBER(M311),$E$3,0)))</f>
        <v>0.342111302352266</v>
      </c>
      <c r="O311" s="12"/>
      <c r="P311" s="7" t="n">
        <f aca="false">IF(O311&lt;&gt;"","",COUNTIFS($A$6:$A$338,A311,$O$6:$O$338,"",$N$6:$N$338,"&gt;"&amp;N311)+COUNTIFS($A$6:A311,A311,$O$6:O311,"",$N$6:N311,N311))</f>
        <v>11</v>
      </c>
      <c r="Q311" s="12" t="str">
        <f aca="false">IF(P311="","Excluded",IF(P311&lt;=5,"Lead",IF(P311&lt;=10,"Next wave","Long list")))</f>
        <v>Long list</v>
      </c>
      <c r="R311" s="10" t="s">
        <v>105</v>
      </c>
      <c r="S311" s="30" t="s">
        <v>464</v>
      </c>
    </row>
    <row r="312" customFormat="false" ht="23.85" hidden="false" customHeight="false" outlineLevel="0" collapsed="false">
      <c r="A312" s="12" t="s">
        <v>35</v>
      </c>
      <c r="B312" s="12" t="s">
        <v>604</v>
      </c>
      <c r="C312" s="10" t="s">
        <v>441</v>
      </c>
      <c r="D312" s="26" t="n">
        <v>13.9</v>
      </c>
      <c r="E312" s="12" t="s">
        <v>153</v>
      </c>
      <c r="F312" s="11" t="n">
        <v>1894.8</v>
      </c>
      <c r="G312" s="10" t="s">
        <v>96</v>
      </c>
      <c r="H312" s="7" t="n">
        <v>2</v>
      </c>
      <c r="I312" s="12" t="s">
        <v>172</v>
      </c>
      <c r="J312" s="12" t="s">
        <v>86</v>
      </c>
      <c r="K312" s="10"/>
      <c r="L312" s="9" t="n">
        <f aca="false">IF(ISNUMBER(D312),COUNTIF($D$6:$D$338,"&lt;"&amp;D312)/(COUNT($D$6:$D$338)-1),"")</f>
        <v>0.314285714285714</v>
      </c>
      <c r="M312" s="9" t="n">
        <f aca="false">IF(ISNUMBER(F312),COUNTIF($F$6:$F$338,"&lt;"&amp;F312)/(COUNT($F$6:$F$338)-1),"")</f>
        <v>0.256024096385542</v>
      </c>
      <c r="N312" s="9" t="n">
        <f aca="false">IF(AND(L312="",M312=""),"",(IF(ISNUMBER(L312),$C$3*L312,0)+IF(ISNUMBER(M312),$E$3*M312,0))/(IF(ISNUMBER(L312),$C$3,0)+IF(ISNUMBER(M312),$E$3,0)))</f>
        <v>0.285154905335628</v>
      </c>
      <c r="O312" s="12"/>
      <c r="P312" s="7" t="n">
        <f aca="false">IF(O312&lt;&gt;"","",COUNTIFS($A$6:$A$338,A312,$O$6:$O$338,"",$N$6:$N$338,"&gt;"&amp;N312)+COUNTIFS($A$6:A312,A312,$O$6:O312,"",$N$6:N312,N312))</f>
        <v>12</v>
      </c>
      <c r="Q312" s="12" t="str">
        <f aca="false">IF(P312="","Excluded",IF(P312&lt;=5,"Lead",IF(P312&lt;=10,"Next wave","Long list")))</f>
        <v>Long list</v>
      </c>
      <c r="R312" s="10" t="s">
        <v>105</v>
      </c>
      <c r="S312" s="30" t="s">
        <v>605</v>
      </c>
    </row>
    <row r="313" customFormat="false" ht="23.85" hidden="false" customHeight="false" outlineLevel="0" collapsed="false">
      <c r="A313" s="12" t="s">
        <v>35</v>
      </c>
      <c r="B313" s="12" t="s">
        <v>275</v>
      </c>
      <c r="C313" s="10" t="s">
        <v>276</v>
      </c>
      <c r="D313" s="26" t="n">
        <v>33.18</v>
      </c>
      <c r="E313" s="12" t="s">
        <v>77</v>
      </c>
      <c r="F313" s="11" t="n">
        <v>71.4</v>
      </c>
      <c r="G313" s="10" t="s">
        <v>175</v>
      </c>
      <c r="H313" s="7" t="n">
        <v>2</v>
      </c>
      <c r="I313" s="12" t="s">
        <v>79</v>
      </c>
      <c r="J313" s="12" t="s">
        <v>80</v>
      </c>
      <c r="K313" s="10" t="s">
        <v>111</v>
      </c>
      <c r="L313" s="9" t="n">
        <f aca="false">IF(ISNUMBER(D313),COUNTIF($D$6:$D$338,"&lt;"&amp;D313)/(COUNT($D$6:$D$338)-1),"")</f>
        <v>0.549206349206349</v>
      </c>
      <c r="M313" s="9" t="n">
        <f aca="false">IF(ISNUMBER(F313),COUNTIF($F$6:$F$338,"&lt;"&amp;F313)/(COUNT($F$6:$F$338)-1),"")</f>
        <v>0.0210843373493976</v>
      </c>
      <c r="N313" s="9" t="n">
        <f aca="false">IF(AND(L313="",M313=""),"",(IF(ISNUMBER(L313),$C$3*L313,0)+IF(ISNUMBER(M313),$E$3*M313,0))/(IF(ISNUMBER(L313),$C$3,0)+IF(ISNUMBER(M313),$E$3,0)))</f>
        <v>0.285145343277873</v>
      </c>
      <c r="O313" s="12"/>
      <c r="P313" s="7" t="n">
        <f aca="false">IF(O313&lt;&gt;"","",COUNTIFS($A$6:$A$338,A313,$O$6:$O$338,"",$N$6:$N$338,"&gt;"&amp;N313)+COUNTIFS($A$6:A313,A313,$O$6:O313,"",$N$6:N313,N313))</f>
        <v>13</v>
      </c>
      <c r="Q313" s="12" t="str">
        <f aca="false">IF(P313="","Excluded",IF(P313&lt;=5,"Lead",IF(P313&lt;=10,"Next wave","Long list")))</f>
        <v>Long list</v>
      </c>
      <c r="R313" s="10" t="s">
        <v>82</v>
      </c>
      <c r="S313" s="30" t="s">
        <v>422</v>
      </c>
    </row>
    <row r="314" customFormat="false" ht="23.85" hidden="false" customHeight="false" outlineLevel="0" collapsed="false">
      <c r="A314" s="12" t="s">
        <v>35</v>
      </c>
      <c r="B314" s="12" t="s">
        <v>606</v>
      </c>
      <c r="C314" s="10" t="s">
        <v>607</v>
      </c>
      <c r="D314" s="26" t="n">
        <v>17.44</v>
      </c>
      <c r="E314" s="12" t="s">
        <v>77</v>
      </c>
      <c r="F314" s="11" t="n">
        <v>1008.3</v>
      </c>
      <c r="G314" s="10" t="s">
        <v>175</v>
      </c>
      <c r="H314" s="7" t="n">
        <v>2</v>
      </c>
      <c r="I314" s="12" t="s">
        <v>172</v>
      </c>
      <c r="J314" s="12" t="s">
        <v>86</v>
      </c>
      <c r="K314" s="10"/>
      <c r="L314" s="9" t="n">
        <f aca="false">IF(ISNUMBER(D314),COUNTIF($D$6:$D$338,"&lt;"&amp;D314)/(COUNT($D$6:$D$338)-1),"")</f>
        <v>0.365079365079365</v>
      </c>
      <c r="M314" s="9" t="n">
        <f aca="false">IF(ISNUMBER(F314),COUNTIF($F$6:$F$338,"&lt;"&amp;F314)/(COUNT($F$6:$F$338)-1),"")</f>
        <v>0.147590361445783</v>
      </c>
      <c r="N314" s="9" t="n">
        <f aca="false">IF(AND(L314="",M314=""),"",(IF(ISNUMBER(L314),$C$3*L314,0)+IF(ISNUMBER(M314),$E$3*M314,0))/(IF(ISNUMBER(L314),$C$3,0)+IF(ISNUMBER(M314),$E$3,0)))</f>
        <v>0.256334863262574</v>
      </c>
      <c r="O314" s="12"/>
      <c r="P314" s="7" t="n">
        <f aca="false">IF(O314&lt;&gt;"","",COUNTIFS($A$6:$A$338,A314,$O$6:$O$338,"",$N$6:$N$338,"&gt;"&amp;N314)+COUNTIFS($A$6:A314,A314,$O$6:O314,"",$N$6:N314,N314))</f>
        <v>14</v>
      </c>
      <c r="Q314" s="12" t="str">
        <f aca="false">IF(P314="","Excluded",IF(P314&lt;=5,"Lead",IF(P314&lt;=10,"Next wave","Long list")))</f>
        <v>Long list</v>
      </c>
      <c r="R314" s="10" t="s">
        <v>105</v>
      </c>
      <c r="S314" s="30" t="s">
        <v>608</v>
      </c>
    </row>
    <row r="315" customFormat="false" ht="23.85" hidden="false" customHeight="false" outlineLevel="0" collapsed="false">
      <c r="A315" s="12" t="s">
        <v>35</v>
      </c>
      <c r="B315" s="12" t="s">
        <v>609</v>
      </c>
      <c r="C315" s="10" t="s">
        <v>610</v>
      </c>
      <c r="D315" s="26" t="n">
        <v>29.63</v>
      </c>
      <c r="E315" s="12" t="s">
        <v>102</v>
      </c>
      <c r="F315" s="11" t="n">
        <v>19</v>
      </c>
      <c r="G315" s="10" t="s">
        <v>175</v>
      </c>
      <c r="H315" s="7" t="n">
        <v>2</v>
      </c>
      <c r="I315" s="12" t="s">
        <v>172</v>
      </c>
      <c r="J315" s="12" t="s">
        <v>86</v>
      </c>
      <c r="K315" s="10"/>
      <c r="L315" s="9" t="n">
        <f aca="false">IF(ISNUMBER(D315),COUNTIF($D$6:$D$338,"&lt;"&amp;D315)/(COUNT($D$6:$D$338)-1),"")</f>
        <v>0.501587301587302</v>
      </c>
      <c r="M315" s="9" t="n">
        <f aca="false">IF(ISNUMBER(F315),COUNTIF($F$6:$F$338,"&lt;"&amp;F315)/(COUNT($F$6:$F$338)-1),"")</f>
        <v>0.00903614457831325</v>
      </c>
      <c r="N315" s="9" t="n">
        <f aca="false">IF(AND(L315="",M315=""),"",(IF(ISNUMBER(L315),$C$3*L315,0)+IF(ISNUMBER(M315),$E$3*M315,0))/(IF(ISNUMBER(L315),$C$3,0)+IF(ISNUMBER(M315),$E$3,0)))</f>
        <v>0.255311723082807</v>
      </c>
      <c r="O315" s="12"/>
      <c r="P315" s="7" t="n">
        <f aca="false">IF(O315&lt;&gt;"","",COUNTIFS($A$6:$A$338,A315,$O$6:$O$338,"",$N$6:$N$338,"&gt;"&amp;N315)+COUNTIFS($A$6:A315,A315,$O$6:O315,"",$N$6:N315,N315))</f>
        <v>15</v>
      </c>
      <c r="Q315" s="12" t="str">
        <f aca="false">IF(P315="","Excluded",IF(P315&lt;=5,"Lead",IF(P315&lt;=10,"Next wave","Long list")))</f>
        <v>Long list</v>
      </c>
      <c r="R315" s="10" t="s">
        <v>105</v>
      </c>
      <c r="S315" s="30" t="s">
        <v>611</v>
      </c>
    </row>
    <row r="316" customFormat="false" ht="23.85" hidden="false" customHeight="false" outlineLevel="0" collapsed="false">
      <c r="A316" s="12" t="s">
        <v>35</v>
      </c>
      <c r="B316" s="12" t="s">
        <v>612</v>
      </c>
      <c r="C316" s="10" t="s">
        <v>613</v>
      </c>
      <c r="D316" s="26" t="n">
        <v>6.79</v>
      </c>
      <c r="E316" s="12" t="s">
        <v>77</v>
      </c>
      <c r="F316" s="11" t="n">
        <v>2850.6</v>
      </c>
      <c r="G316" s="10" t="s">
        <v>175</v>
      </c>
      <c r="H316" s="7" t="n">
        <v>2</v>
      </c>
      <c r="I316" s="12" t="s">
        <v>79</v>
      </c>
      <c r="J316" s="12" t="s">
        <v>86</v>
      </c>
      <c r="K316" s="10"/>
      <c r="L316" s="9" t="n">
        <f aca="false">IF(ISNUMBER(D316),COUNTIF($D$6:$D$338,"&lt;"&amp;D316)/(COUNT($D$6:$D$338)-1),"")</f>
        <v>0.117460317460317</v>
      </c>
      <c r="M316" s="9" t="n">
        <f aca="false">IF(ISNUMBER(F316),COUNTIF($F$6:$F$338,"&lt;"&amp;F316)/(COUNT($F$6:$F$338)-1),"")</f>
        <v>0.370481927710843</v>
      </c>
      <c r="N316" s="9" t="n">
        <f aca="false">IF(AND(L316="",M316=""),"",(IF(ISNUMBER(L316),$C$3*L316,0)+IF(ISNUMBER(M316),$E$3*M316,0))/(IF(ISNUMBER(L316),$C$3,0)+IF(ISNUMBER(M316),$E$3,0)))</f>
        <v>0.24397112258558</v>
      </c>
      <c r="O316" s="12"/>
      <c r="P316" s="7" t="n">
        <f aca="false">IF(O316&lt;&gt;"","",COUNTIFS($A$6:$A$338,A316,$O$6:$O$338,"",$N$6:$N$338,"&gt;"&amp;N316)+COUNTIFS($A$6:A316,A316,$O$6:O316,"",$N$6:N316,N316))</f>
        <v>16</v>
      </c>
      <c r="Q316" s="12" t="str">
        <f aca="false">IF(P316="","Excluded",IF(P316&lt;=5,"Lead",IF(P316&lt;=10,"Next wave","Long list")))</f>
        <v>Long list</v>
      </c>
      <c r="R316" s="10" t="s">
        <v>105</v>
      </c>
      <c r="S316" s="30" t="s">
        <v>614</v>
      </c>
    </row>
    <row r="317" customFormat="false" ht="15" hidden="false" customHeight="false" outlineLevel="0" collapsed="false">
      <c r="A317" s="12" t="s">
        <v>35</v>
      </c>
      <c r="B317" s="12" t="s">
        <v>255</v>
      </c>
      <c r="C317" s="10" t="s">
        <v>256</v>
      </c>
      <c r="D317" s="26" t="n">
        <v>6.45</v>
      </c>
      <c r="E317" s="12" t="s">
        <v>102</v>
      </c>
      <c r="F317" s="11" t="n">
        <v>2557.1</v>
      </c>
      <c r="G317" s="10" t="s">
        <v>175</v>
      </c>
      <c r="H317" s="7" t="n">
        <v>2</v>
      </c>
      <c r="I317" s="12" t="s">
        <v>172</v>
      </c>
      <c r="J317" s="12" t="s">
        <v>86</v>
      </c>
      <c r="K317" s="10"/>
      <c r="L317" s="9" t="n">
        <f aca="false">IF(ISNUMBER(D317),COUNTIF($D$6:$D$338,"&lt;"&amp;D317)/(COUNT($D$6:$D$338)-1),"")</f>
        <v>0.0984126984126984</v>
      </c>
      <c r="M317" s="9" t="n">
        <f aca="false">IF(ISNUMBER(F317),COUNTIF($F$6:$F$338,"&lt;"&amp;F317)/(COUNT($F$6:$F$338)-1),"")</f>
        <v>0.325301204819277</v>
      </c>
      <c r="N317" s="9" t="n">
        <f aca="false">IF(AND(L317="",M317=""),"",(IF(ISNUMBER(L317),$C$3*L317,0)+IF(ISNUMBER(M317),$E$3*M317,0))/(IF(ISNUMBER(L317),$C$3,0)+IF(ISNUMBER(M317),$E$3,0)))</f>
        <v>0.211856951615988</v>
      </c>
      <c r="O317" s="12"/>
      <c r="P317" s="7" t="n">
        <f aca="false">IF(O317&lt;&gt;"","",COUNTIFS($A$6:$A$338,A317,$O$6:$O$338,"",$N$6:$N$338,"&gt;"&amp;N317)+COUNTIFS($A$6:A317,A317,$O$6:O317,"",$N$6:N317,N317))</f>
        <v>17</v>
      </c>
      <c r="Q317" s="12" t="str">
        <f aca="false">IF(P317="","Excluded",IF(P317&lt;=5,"Lead",IF(P317&lt;=10,"Next wave","Long list")))</f>
        <v>Long list</v>
      </c>
      <c r="R317" s="10" t="s">
        <v>105</v>
      </c>
      <c r="S317" s="30" t="s">
        <v>580</v>
      </c>
    </row>
    <row r="318" customFormat="false" ht="23.85" hidden="false" customHeight="false" outlineLevel="0" collapsed="false">
      <c r="A318" s="12" t="s">
        <v>35</v>
      </c>
      <c r="B318" s="12" t="s">
        <v>418</v>
      </c>
      <c r="C318" s="10" t="s">
        <v>288</v>
      </c>
      <c r="D318" s="26" t="n">
        <v>10.93</v>
      </c>
      <c r="E318" s="12" t="s">
        <v>102</v>
      </c>
      <c r="F318" s="11" t="n">
        <v>260.9</v>
      </c>
      <c r="G318" s="10" t="s">
        <v>144</v>
      </c>
      <c r="H318" s="7" t="n">
        <v>1</v>
      </c>
      <c r="I318" s="12" t="s">
        <v>79</v>
      </c>
      <c r="J318" s="12" t="s">
        <v>80</v>
      </c>
      <c r="K318" s="10" t="s">
        <v>111</v>
      </c>
      <c r="L318" s="9" t="n">
        <f aca="false">IF(ISNUMBER(D318),COUNTIF($D$6:$D$338,"&lt;"&amp;D318)/(COUNT($D$6:$D$338)-1),"")</f>
        <v>0.26031746031746</v>
      </c>
      <c r="M318" s="9" t="n">
        <f aca="false">IF(ISNUMBER(F318),COUNTIF($F$6:$F$338,"&lt;"&amp;F318)/(COUNT($F$6:$F$338)-1),"")</f>
        <v>0.0692771084337349</v>
      </c>
      <c r="N318" s="9" t="n">
        <f aca="false">IF(AND(L318="",M318=""),"",(IF(ISNUMBER(L318),$C$3*L318,0)+IF(ISNUMBER(M318),$E$3*M318,0))/(IF(ISNUMBER(L318),$C$3,0)+IF(ISNUMBER(M318),$E$3,0)))</f>
        <v>0.164797284375598</v>
      </c>
      <c r="O318" s="12"/>
      <c r="P318" s="7" t="n">
        <f aca="false">IF(O318&lt;&gt;"","",COUNTIFS($A$6:$A$338,A318,$O$6:$O$338,"",$N$6:$N$338,"&gt;"&amp;N318)+COUNTIFS($A$6:A318,A318,$O$6:O318,"",$N$6:N318,N318))</f>
        <v>18</v>
      </c>
      <c r="Q318" s="12" t="str">
        <f aca="false">IF(P318="","Excluded",IF(P318&lt;=5,"Lead",IF(P318&lt;=10,"Next wave","Long list")))</f>
        <v>Long list</v>
      </c>
      <c r="R318" s="10" t="s">
        <v>105</v>
      </c>
      <c r="S318" s="30" t="s">
        <v>419</v>
      </c>
    </row>
    <row r="319" customFormat="false" ht="23.85" hidden="false" customHeight="false" outlineLevel="0" collapsed="false">
      <c r="A319" s="12" t="s">
        <v>35</v>
      </c>
      <c r="B319" s="12" t="s">
        <v>615</v>
      </c>
      <c r="C319" s="10" t="s">
        <v>616</v>
      </c>
      <c r="D319" s="26" t="n">
        <v>6.4</v>
      </c>
      <c r="E319" s="12" t="s">
        <v>102</v>
      </c>
      <c r="F319" s="11" t="n">
        <v>1765.1</v>
      </c>
      <c r="G319" s="10" t="s">
        <v>175</v>
      </c>
      <c r="H319" s="7" t="n">
        <v>2</v>
      </c>
      <c r="I319" s="12" t="s">
        <v>172</v>
      </c>
      <c r="J319" s="12" t="s">
        <v>86</v>
      </c>
      <c r="K319" s="10"/>
      <c r="L319" s="9" t="n">
        <f aca="false">IF(ISNUMBER(D319),COUNTIF($D$6:$D$338,"&lt;"&amp;D319)/(COUNT($D$6:$D$338)-1),"")</f>
        <v>0.0888888888888889</v>
      </c>
      <c r="M319" s="9" t="n">
        <f aca="false">IF(ISNUMBER(F319),COUNTIF($F$6:$F$338,"&lt;"&amp;F319)/(COUNT($F$6:$F$338)-1),"")</f>
        <v>0.225903614457831</v>
      </c>
      <c r="N319" s="9" t="n">
        <f aca="false">IF(AND(L319="",M319=""),"",(IF(ISNUMBER(L319),$C$3*L319,0)+IF(ISNUMBER(M319),$E$3*M319,0))/(IF(ISNUMBER(L319),$C$3,0)+IF(ISNUMBER(M319),$E$3,0)))</f>
        <v>0.15739625167336</v>
      </c>
      <c r="O319" s="12"/>
      <c r="P319" s="7" t="n">
        <f aca="false">IF(O319&lt;&gt;"","",COUNTIFS($A$6:$A$338,A319,$O$6:$O$338,"",$N$6:$N$338,"&gt;"&amp;N319)+COUNTIFS($A$6:A319,A319,$O$6:O319,"",$N$6:N319,N319))</f>
        <v>19</v>
      </c>
      <c r="Q319" s="12" t="str">
        <f aca="false">IF(P319="","Excluded",IF(P319&lt;=5,"Lead",IF(P319&lt;=10,"Next wave","Long list")))</f>
        <v>Long list</v>
      </c>
      <c r="R319" s="10" t="s">
        <v>105</v>
      </c>
      <c r="S319" s="30" t="s">
        <v>617</v>
      </c>
    </row>
    <row r="320" customFormat="false" ht="23.85" hidden="false" customHeight="false" outlineLevel="0" collapsed="false">
      <c r="A320" s="12" t="s">
        <v>35</v>
      </c>
      <c r="B320" s="12" t="s">
        <v>618</v>
      </c>
      <c r="C320" s="10" t="s">
        <v>619</v>
      </c>
      <c r="D320" s="26" t="n">
        <v>6.74</v>
      </c>
      <c r="E320" s="12" t="s">
        <v>102</v>
      </c>
      <c r="F320" s="11" t="n">
        <v>154.9</v>
      </c>
      <c r="G320" s="10" t="s">
        <v>175</v>
      </c>
      <c r="H320" s="7" t="n">
        <v>2</v>
      </c>
      <c r="I320" s="12" t="s">
        <v>172</v>
      </c>
      <c r="J320" s="12" t="s">
        <v>86</v>
      </c>
      <c r="K320" s="10"/>
      <c r="L320" s="9" t="n">
        <f aca="false">IF(ISNUMBER(D320),COUNTIF($D$6:$D$338,"&lt;"&amp;D320)/(COUNT($D$6:$D$338)-1),"")</f>
        <v>0.114285714285714</v>
      </c>
      <c r="M320" s="9" t="n">
        <f aca="false">IF(ISNUMBER(F320),COUNTIF($F$6:$F$338,"&lt;"&amp;F320)/(COUNT($F$6:$F$338)-1),"")</f>
        <v>0.0481927710843374</v>
      </c>
      <c r="N320" s="9" t="n">
        <f aca="false">IF(AND(L320="",M320=""),"",(IF(ISNUMBER(L320),$C$3*L320,0)+IF(ISNUMBER(M320),$E$3*M320,0))/(IF(ISNUMBER(L320),$C$3,0)+IF(ISNUMBER(M320),$E$3,0)))</f>
        <v>0.0812392426850258</v>
      </c>
      <c r="O320" s="12"/>
      <c r="P320" s="7" t="n">
        <f aca="false">IF(O320&lt;&gt;"","",COUNTIFS($A$6:$A$338,A320,$O$6:$O$338,"",$N$6:$N$338,"&gt;"&amp;N320)+COUNTIFS($A$6:A320,A320,$O$6:O320,"",$N$6:N320,N320))</f>
        <v>20</v>
      </c>
      <c r="Q320" s="12" t="str">
        <f aca="false">IF(P320="","Excluded",IF(P320&lt;=5,"Lead",IF(P320&lt;=10,"Next wave","Long list")))</f>
        <v>Long list</v>
      </c>
      <c r="R320" s="10" t="s">
        <v>105</v>
      </c>
      <c r="S320" s="30" t="s">
        <v>620</v>
      </c>
    </row>
    <row r="321" customFormat="false" ht="23.85" hidden="false" customHeight="false" outlineLevel="0" collapsed="false">
      <c r="A321" s="12" t="s">
        <v>39</v>
      </c>
      <c r="B321" s="12" t="s">
        <v>89</v>
      </c>
      <c r="C321" s="10" t="s">
        <v>90</v>
      </c>
      <c r="D321" s="26" t="n">
        <v>618.92</v>
      </c>
      <c r="E321" s="12" t="s">
        <v>77</v>
      </c>
      <c r="F321" s="11" t="n">
        <v>28093.4</v>
      </c>
      <c r="G321" s="10" t="s">
        <v>225</v>
      </c>
      <c r="H321" s="7" t="n">
        <v>6</v>
      </c>
      <c r="I321" s="12" t="s">
        <v>79</v>
      </c>
      <c r="J321" s="12" t="s">
        <v>86</v>
      </c>
      <c r="K321" s="10" t="s">
        <v>81</v>
      </c>
      <c r="L321" s="9" t="n">
        <f aca="false">IF(ISNUMBER(D321),COUNTIF($D$6:$D$338,"&lt;"&amp;D321)/(COUNT($D$6:$D$338)-1),"")</f>
        <v>0.958730158730159</v>
      </c>
      <c r="M321" s="9" t="n">
        <f aca="false">IF(ISNUMBER(F321),COUNTIF($F$6:$F$338,"&lt;"&amp;F321)/(COUNT($F$6:$F$338)-1),"")</f>
        <v>0.792168674698795</v>
      </c>
      <c r="N321" s="9" t="n">
        <f aca="false">IF(AND(L321="",M321=""),"",(IF(ISNUMBER(L321),$C$3*L321,0)+IF(ISNUMBER(M321),$E$3*M321,0))/(IF(ISNUMBER(L321),$C$3,0)+IF(ISNUMBER(M321),$E$3,0)))</f>
        <v>0.875449416714477</v>
      </c>
      <c r="O321" s="12"/>
      <c r="P321" s="7" t="n">
        <f aca="false">IF(O321&lt;&gt;"","",COUNTIFS($A$6:$A$338,A321,$O$6:$O$338,"",$N$6:$N$338,"&gt;"&amp;N321)+COUNTIFS($A$6:A321,A321,$O$6:O321,"",$N$6:N321,N321))</f>
        <v>1</v>
      </c>
      <c r="Q321" s="12" t="str">
        <f aca="false">IF(P321="","Excluded",IF(P321&lt;=5,"Lead",IF(P321&lt;=10,"Next wave","Long list")))</f>
        <v>Lead</v>
      </c>
      <c r="R321" s="10" t="s">
        <v>82</v>
      </c>
      <c r="S321" s="30" t="s">
        <v>316</v>
      </c>
    </row>
    <row r="322" customFormat="false" ht="23.85" hidden="false" customHeight="false" outlineLevel="0" collapsed="false">
      <c r="A322" s="12" t="s">
        <v>39</v>
      </c>
      <c r="B322" s="12" t="s">
        <v>117</v>
      </c>
      <c r="C322" s="10" t="s">
        <v>118</v>
      </c>
      <c r="D322" s="26" t="n">
        <v>35.03</v>
      </c>
      <c r="E322" s="12" t="s">
        <v>102</v>
      </c>
      <c r="F322" s="11" t="n">
        <v>32830.2</v>
      </c>
      <c r="G322" s="10" t="s">
        <v>144</v>
      </c>
      <c r="H322" s="7" t="n">
        <v>1</v>
      </c>
      <c r="I322" s="12" t="s">
        <v>79</v>
      </c>
      <c r="J322" s="12" t="s">
        <v>86</v>
      </c>
      <c r="K322" s="10"/>
      <c r="L322" s="9" t="n">
        <f aca="false">IF(ISNUMBER(D322),COUNTIF($D$6:$D$338,"&lt;"&amp;D322)/(COUNT($D$6:$D$338)-1),"")</f>
        <v>0.558730158730159</v>
      </c>
      <c r="M322" s="9" t="n">
        <f aca="false">IF(ISNUMBER(F322),COUNTIF($F$6:$F$338,"&lt;"&amp;F322)/(COUNT($F$6:$F$338)-1),"")</f>
        <v>0.825301204819277</v>
      </c>
      <c r="N322" s="9" t="n">
        <f aca="false">IF(AND(L322="",M322=""),"",(IF(ISNUMBER(L322),$C$3*L322,0)+IF(ISNUMBER(M322),$E$3*M322,0))/(IF(ISNUMBER(L322),$C$3,0)+IF(ISNUMBER(M322),$E$3,0)))</f>
        <v>0.692015681774718</v>
      </c>
      <c r="O322" s="12"/>
      <c r="P322" s="7" t="n">
        <f aca="false">IF(O322&lt;&gt;"","",COUNTIFS($A$6:$A$338,A322,$O$6:$O$338,"",$N$6:$N$338,"&gt;"&amp;N322)+COUNTIFS($A$6:A322,A322,$O$6:O322,"",$N$6:N322,N322))</f>
        <v>2</v>
      </c>
      <c r="Q322" s="12" t="str">
        <f aca="false">IF(P322="","Excluded",IF(P322&lt;=5,"Lead",IF(P322&lt;=10,"Next wave","Long list")))</f>
        <v>Lead</v>
      </c>
      <c r="R322" s="10" t="s">
        <v>82</v>
      </c>
      <c r="S322" s="30" t="s">
        <v>428</v>
      </c>
    </row>
    <row r="323" customFormat="false" ht="23.85" hidden="false" customHeight="false" outlineLevel="0" collapsed="false">
      <c r="A323" s="12" t="s">
        <v>39</v>
      </c>
      <c r="B323" s="12" t="s">
        <v>114</v>
      </c>
      <c r="C323" s="10" t="s">
        <v>115</v>
      </c>
      <c r="D323" s="26" t="n">
        <v>29.97</v>
      </c>
      <c r="E323" s="12" t="s">
        <v>102</v>
      </c>
      <c r="F323" s="11" t="n">
        <v>11366.1</v>
      </c>
      <c r="G323" s="10" t="s">
        <v>144</v>
      </c>
      <c r="H323" s="7" t="n">
        <v>1</v>
      </c>
      <c r="I323" s="12" t="s">
        <v>85</v>
      </c>
      <c r="J323" s="12" t="s">
        <v>86</v>
      </c>
      <c r="K323" s="10" t="s">
        <v>87</v>
      </c>
      <c r="L323" s="9" t="n">
        <f aca="false">IF(ISNUMBER(D323),COUNTIF($D$6:$D$338,"&lt;"&amp;D323)/(COUNT($D$6:$D$338)-1),"")</f>
        <v>0.504761904761905</v>
      </c>
      <c r="M323" s="9" t="n">
        <f aca="false">IF(ISNUMBER(F323),COUNTIF($F$6:$F$338,"&lt;"&amp;F323)/(COUNT($F$6:$F$338)-1),"")</f>
        <v>0.686746987951807</v>
      </c>
      <c r="N323" s="9" t="n">
        <f aca="false">IF(AND(L323="",M323=""),"",(IF(ISNUMBER(L323),$C$3*L323,0)+IF(ISNUMBER(M323),$E$3*M323,0))/(IF(ISNUMBER(L323),$C$3,0)+IF(ISNUMBER(M323),$E$3,0)))</f>
        <v>0.595754446356856</v>
      </c>
      <c r="O323" s="12"/>
      <c r="P323" s="7" t="n">
        <f aca="false">IF(O323&lt;&gt;"","",COUNTIFS($A$6:$A$338,A323,$O$6:$O$338,"",$N$6:$N$338,"&gt;"&amp;N323)+COUNTIFS($A$6:A323,A323,$O$6:O323,"",$N$6:N323,N323))</f>
        <v>3</v>
      </c>
      <c r="Q323" s="12" t="str">
        <f aca="false">IF(P323="","Excluded",IF(P323&lt;=5,"Lead",IF(P323&lt;=10,"Next wave","Long list")))</f>
        <v>Lead</v>
      </c>
      <c r="R323" s="10" t="s">
        <v>88</v>
      </c>
      <c r="S323" s="30" t="s">
        <v>304</v>
      </c>
    </row>
    <row r="324" customFormat="false" ht="23.85" hidden="false" customHeight="false" outlineLevel="0" collapsed="false">
      <c r="A324" s="12" t="s">
        <v>39</v>
      </c>
      <c r="B324" s="12" t="s">
        <v>201</v>
      </c>
      <c r="C324" s="10" t="s">
        <v>202</v>
      </c>
      <c r="D324" s="26" t="n">
        <v>7.82</v>
      </c>
      <c r="E324" s="12" t="s">
        <v>77</v>
      </c>
      <c r="F324" s="11" t="n">
        <v>93119.2</v>
      </c>
      <c r="G324" s="10" t="s">
        <v>226</v>
      </c>
      <c r="H324" s="7" t="n">
        <v>1</v>
      </c>
      <c r="I324" s="12" t="s">
        <v>79</v>
      </c>
      <c r="J324" s="12" t="s">
        <v>86</v>
      </c>
      <c r="K324" s="10" t="s">
        <v>111</v>
      </c>
      <c r="L324" s="9" t="n">
        <f aca="false">IF(ISNUMBER(D324),COUNTIF($D$6:$D$338,"&lt;"&amp;D324)/(COUNT($D$6:$D$338)-1),"")</f>
        <v>0.168253968253968</v>
      </c>
      <c r="M324" s="9" t="n">
        <f aca="false">IF(ISNUMBER(F324),COUNTIF($F$6:$F$338,"&lt;"&amp;F324)/(COUNT($F$6:$F$338)-1),"")</f>
        <v>0.981927710843374</v>
      </c>
      <c r="N324" s="9" t="n">
        <f aca="false">IF(AND(L324="",M324=""),"",(IF(ISNUMBER(L324),$C$3*L324,0)+IF(ISNUMBER(M324),$E$3*M324,0))/(IF(ISNUMBER(L324),$C$3,0)+IF(ISNUMBER(M324),$E$3,0)))</f>
        <v>0.575090839548671</v>
      </c>
      <c r="O324" s="12"/>
      <c r="P324" s="7" t="n">
        <f aca="false">IF(O324&lt;&gt;"","",COUNTIFS($A$6:$A$338,A324,$O$6:$O$338,"",$N$6:$N$338,"&gt;"&amp;N324)+COUNTIFS($A$6:A324,A324,$O$6:O324,"",$N$6:N324,N324))</f>
        <v>4</v>
      </c>
      <c r="Q324" s="12" t="str">
        <f aca="false">IF(P324="","Excluded",IF(P324&lt;=5,"Lead",IF(P324&lt;=10,"Next wave","Long list")))</f>
        <v>Lead</v>
      </c>
      <c r="R324" s="10" t="s">
        <v>82</v>
      </c>
      <c r="S324" s="30" t="s">
        <v>350</v>
      </c>
    </row>
    <row r="325" customFormat="false" ht="23.85" hidden="false" customHeight="false" outlineLevel="0" collapsed="false">
      <c r="A325" s="12" t="s">
        <v>39</v>
      </c>
      <c r="B325" s="12" t="s">
        <v>227</v>
      </c>
      <c r="C325" s="10" t="s">
        <v>228</v>
      </c>
      <c r="D325" s="26" t="n">
        <v>5289.94</v>
      </c>
      <c r="E325" s="12" t="s">
        <v>102</v>
      </c>
      <c r="F325" s="11" t="n">
        <v>147.2</v>
      </c>
      <c r="G325" s="10" t="s">
        <v>144</v>
      </c>
      <c r="H325" s="7" t="n">
        <v>1</v>
      </c>
      <c r="I325" s="12" t="s">
        <v>97</v>
      </c>
      <c r="J325" s="12" t="s">
        <v>97</v>
      </c>
      <c r="K325" s="10"/>
      <c r="L325" s="9" t="n">
        <f aca="false">IF(ISNUMBER(D325),COUNTIF($D$6:$D$338,"&lt;"&amp;D325)/(COUNT($D$6:$D$338)-1),"")</f>
        <v>0.990476190476191</v>
      </c>
      <c r="M325" s="9" t="n">
        <f aca="false">IF(ISNUMBER(F325),COUNTIF($F$6:$F$338,"&lt;"&amp;F325)/(COUNT($F$6:$F$338)-1),"")</f>
        <v>0.0451807228915663</v>
      </c>
      <c r="N325" s="9" t="n">
        <f aca="false">IF(AND(L325="",M325=""),"",(IF(ISNUMBER(L325),$C$3*L325,0)+IF(ISNUMBER(M325),$E$3*M325,0))/(IF(ISNUMBER(L325),$C$3,0)+IF(ISNUMBER(M325),$E$3,0)))</f>
        <v>0.517828456683878</v>
      </c>
      <c r="O325" s="12"/>
      <c r="P325" s="7" t="n">
        <f aca="false">IF(O325&lt;&gt;"","",COUNTIFS($A$6:$A$338,A325,$O$6:$O$338,"",$N$6:$N$338,"&gt;"&amp;N325)+COUNTIFS($A$6:A325,A325,$O$6:O325,"",$N$6:N325,N325))</f>
        <v>5</v>
      </c>
      <c r="Q325" s="12" t="str">
        <f aca="false">IF(P325="","Excluded",IF(P325&lt;=5,"Lead",IF(P325&lt;=10,"Next wave","Long list")))</f>
        <v>Lead</v>
      </c>
      <c r="R325" s="10" t="s">
        <v>99</v>
      </c>
      <c r="S325" s="30" t="s">
        <v>621</v>
      </c>
    </row>
    <row r="326" customFormat="false" ht="23.85" hidden="false" customHeight="false" outlineLevel="0" collapsed="false">
      <c r="A326" s="12" t="s">
        <v>39</v>
      </c>
      <c r="B326" s="12" t="s">
        <v>229</v>
      </c>
      <c r="C326" s="10" t="s">
        <v>230</v>
      </c>
      <c r="D326" s="26" t="n">
        <v>23.15</v>
      </c>
      <c r="E326" s="12" t="s">
        <v>102</v>
      </c>
      <c r="F326" s="11" t="n">
        <v>4790.5</v>
      </c>
      <c r="G326" s="10" t="s">
        <v>144</v>
      </c>
      <c r="H326" s="7" t="n">
        <v>1</v>
      </c>
      <c r="I326" s="12" t="s">
        <v>79</v>
      </c>
      <c r="J326" s="12" t="s">
        <v>86</v>
      </c>
      <c r="K326" s="10"/>
      <c r="L326" s="9" t="n">
        <f aca="false">IF(ISNUMBER(D326),COUNTIF($D$6:$D$338,"&lt;"&amp;D326)/(COUNT($D$6:$D$338)-1),"")</f>
        <v>0.441269841269841</v>
      </c>
      <c r="M326" s="9" t="n">
        <f aca="false">IF(ISNUMBER(F326),COUNTIF($F$6:$F$338,"&lt;"&amp;F326)/(COUNT($F$6:$F$338)-1),"")</f>
        <v>0.533132530120482</v>
      </c>
      <c r="N326" s="9" t="n">
        <f aca="false">IF(AND(L326="",M326=""),"",(IF(ISNUMBER(L326),$C$3*L326,0)+IF(ISNUMBER(M326),$E$3*M326,0))/(IF(ISNUMBER(L326),$C$3,0)+IF(ISNUMBER(M326),$E$3,0)))</f>
        <v>0.487201185695162</v>
      </c>
      <c r="O326" s="12"/>
      <c r="P326" s="7" t="n">
        <f aca="false">IF(O326&lt;&gt;"","",COUNTIFS($A$6:$A$338,A326,$O$6:$O$338,"",$N$6:$N$338,"&gt;"&amp;N326)+COUNTIFS($A$6:A326,A326,$O$6:O326,"",$N$6:N326,N326))</f>
        <v>6</v>
      </c>
      <c r="Q326" s="12" t="str">
        <f aca="false">IF(P326="","Excluded",IF(P326&lt;=5,"Lead",IF(P326&lt;=10,"Next wave","Long list")))</f>
        <v>Next wave</v>
      </c>
      <c r="R326" s="10" t="s">
        <v>82</v>
      </c>
      <c r="S326" s="30" t="s">
        <v>434</v>
      </c>
    </row>
    <row r="327" customFormat="false" ht="23.85" hidden="false" customHeight="false" outlineLevel="0" collapsed="false">
      <c r="A327" s="12" t="s">
        <v>39</v>
      </c>
      <c r="B327" s="12" t="s">
        <v>231</v>
      </c>
      <c r="C327" s="10" t="s">
        <v>232</v>
      </c>
      <c r="D327" s="26" t="n">
        <v>179.58</v>
      </c>
      <c r="E327" s="12" t="s">
        <v>102</v>
      </c>
      <c r="F327" s="11" t="n">
        <v>214.1</v>
      </c>
      <c r="G327" s="10" t="s">
        <v>144</v>
      </c>
      <c r="H327" s="7" t="n">
        <v>1</v>
      </c>
      <c r="I327" s="12" t="s">
        <v>97</v>
      </c>
      <c r="J327" s="12" t="s">
        <v>97</v>
      </c>
      <c r="K327" s="10"/>
      <c r="L327" s="9" t="n">
        <f aca="false">IF(ISNUMBER(D327),COUNTIF($D$6:$D$338,"&lt;"&amp;D327)/(COUNT($D$6:$D$338)-1),"")</f>
        <v>0.844444444444444</v>
      </c>
      <c r="M327" s="9" t="n">
        <f aca="false">IF(ISNUMBER(F327),COUNTIF($F$6:$F$338,"&lt;"&amp;F327)/(COUNT($F$6:$F$338)-1),"")</f>
        <v>0.0662650602409639</v>
      </c>
      <c r="N327" s="9" t="n">
        <f aca="false">IF(AND(L327="",M327=""),"",(IF(ISNUMBER(L327),$C$3*L327,0)+IF(ISNUMBER(M327),$E$3*M327,0))/(IF(ISNUMBER(L327),$C$3,0)+IF(ISNUMBER(M327),$E$3,0)))</f>
        <v>0.455354752342704</v>
      </c>
      <c r="O327" s="12"/>
      <c r="P327" s="7" t="n">
        <f aca="false">IF(O327&lt;&gt;"","",COUNTIFS($A$6:$A$338,A327,$O$6:$O$338,"",$N$6:$N$338,"&gt;"&amp;N327)+COUNTIFS($A$6:A327,A327,$O$6:O327,"",$N$6:N327,N327))</f>
        <v>7</v>
      </c>
      <c r="Q327" s="12" t="str">
        <f aca="false">IF(P327="","Excluded",IF(P327&lt;=5,"Lead",IF(P327&lt;=10,"Next wave","Long list")))</f>
        <v>Next wave</v>
      </c>
      <c r="R327" s="10" t="s">
        <v>99</v>
      </c>
      <c r="S327" s="30" t="s">
        <v>622</v>
      </c>
    </row>
    <row r="328" customFormat="false" ht="23.85" hidden="false" customHeight="false" outlineLevel="0" collapsed="false">
      <c r="A328" s="12" t="s">
        <v>39</v>
      </c>
      <c r="B328" s="12" t="s">
        <v>233</v>
      </c>
      <c r="C328" s="10" t="s">
        <v>234</v>
      </c>
      <c r="D328" s="26" t="n">
        <v>7.58</v>
      </c>
      <c r="E328" s="12" t="s">
        <v>77</v>
      </c>
      <c r="F328" s="11" t="n">
        <v>11957.9</v>
      </c>
      <c r="G328" s="10" t="s">
        <v>323</v>
      </c>
      <c r="H328" s="7" t="n">
        <v>1</v>
      </c>
      <c r="I328" s="12" t="s">
        <v>79</v>
      </c>
      <c r="J328" s="12" t="s">
        <v>86</v>
      </c>
      <c r="K328" s="10"/>
      <c r="L328" s="9" t="n">
        <f aca="false">IF(ISNUMBER(D328),COUNTIF($D$6:$D$338,"&lt;"&amp;D328)/(COUNT($D$6:$D$338)-1),"")</f>
        <v>0.155555555555556</v>
      </c>
      <c r="M328" s="9" t="n">
        <f aca="false">IF(ISNUMBER(F328),COUNTIF($F$6:$F$338,"&lt;"&amp;F328)/(COUNT($F$6:$F$338)-1),"")</f>
        <v>0.716867469879518</v>
      </c>
      <c r="N328" s="9" t="n">
        <f aca="false">IF(AND(L328="",M328=""),"",(IF(ISNUMBER(L328),$C$3*L328,0)+IF(ISNUMBER(M328),$E$3*M328,0))/(IF(ISNUMBER(L328),$C$3,0)+IF(ISNUMBER(M328),$E$3,0)))</f>
        <v>0.436211512717537</v>
      </c>
      <c r="O328" s="12"/>
      <c r="P328" s="7" t="n">
        <f aca="false">IF(O328&lt;&gt;"","",COUNTIFS($A$6:$A$338,A328,$O$6:$O$338,"",$N$6:$N$338,"&gt;"&amp;N328)+COUNTIFS($A$6:A328,A328,$O$6:O328,"",$N$6:N328,N328))</f>
        <v>8</v>
      </c>
      <c r="Q328" s="12" t="str">
        <f aca="false">IF(P328="","Excluded",IF(P328&lt;=5,"Lead",IF(P328&lt;=10,"Next wave","Long list")))</f>
        <v>Next wave</v>
      </c>
      <c r="R328" s="10" t="s">
        <v>105</v>
      </c>
      <c r="S328" s="30" t="s">
        <v>565</v>
      </c>
    </row>
    <row r="329" customFormat="false" ht="23.85" hidden="false" customHeight="false" outlineLevel="0" collapsed="false">
      <c r="A329" s="12" t="s">
        <v>39</v>
      </c>
      <c r="B329" s="12" t="s">
        <v>210</v>
      </c>
      <c r="C329" s="10" t="s">
        <v>211</v>
      </c>
      <c r="D329" s="26" t="n">
        <v>6.29</v>
      </c>
      <c r="E329" s="12" t="s">
        <v>77</v>
      </c>
      <c r="F329" s="11" t="n">
        <v>17590.5</v>
      </c>
      <c r="G329" s="10" t="s">
        <v>323</v>
      </c>
      <c r="H329" s="7" t="n">
        <v>1</v>
      </c>
      <c r="I329" s="12" t="s">
        <v>79</v>
      </c>
      <c r="J329" s="12" t="s">
        <v>97</v>
      </c>
      <c r="K329" s="10"/>
      <c r="L329" s="9" t="n">
        <f aca="false">IF(ISNUMBER(D329),COUNTIF($D$6:$D$338,"&lt;"&amp;D329)/(COUNT($D$6:$D$338)-1),"")</f>
        <v>0.0825396825396825</v>
      </c>
      <c r="M329" s="9" t="n">
        <f aca="false">IF(ISNUMBER(F329),COUNTIF($F$6:$F$338,"&lt;"&amp;F329)/(COUNT($F$6:$F$338)-1),"")</f>
        <v>0.746987951807229</v>
      </c>
      <c r="N329" s="9" t="n">
        <f aca="false">IF(AND(L329="",M329=""),"",(IF(ISNUMBER(L329),$C$3*L329,0)+IF(ISNUMBER(M329),$E$3*M329,0))/(IF(ISNUMBER(L329),$C$3,0)+IF(ISNUMBER(M329),$E$3,0)))</f>
        <v>0.414763817173456</v>
      </c>
      <c r="O329" s="12"/>
      <c r="P329" s="7" t="n">
        <f aca="false">IF(O329&lt;&gt;"","",COUNTIFS($A$6:$A$338,A329,$O$6:$O$338,"",$N$6:$N$338,"&gt;"&amp;N329)+COUNTIFS($A$6:A329,A329,$O$6:O329,"",$N$6:N329,N329))</f>
        <v>9</v>
      </c>
      <c r="Q329" s="12" t="str">
        <f aca="false">IF(P329="","Excluded",IF(P329&lt;=5,"Lead",IF(P329&lt;=10,"Next wave","Long list")))</f>
        <v>Next wave</v>
      </c>
      <c r="R329" s="10" t="s">
        <v>82</v>
      </c>
      <c r="S329" s="30" t="s">
        <v>361</v>
      </c>
    </row>
    <row r="330" customFormat="false" ht="23.85" hidden="false" customHeight="false" outlineLevel="0" collapsed="false">
      <c r="A330" s="12" t="s">
        <v>39</v>
      </c>
      <c r="B330" s="12" t="s">
        <v>235</v>
      </c>
      <c r="C330" s="10" t="s">
        <v>236</v>
      </c>
      <c r="D330" s="26" t="n">
        <v>31.25</v>
      </c>
      <c r="E330" s="12" t="s">
        <v>102</v>
      </c>
      <c r="F330" s="11" t="n">
        <v>2405.4</v>
      </c>
      <c r="G330" s="10" t="s">
        <v>144</v>
      </c>
      <c r="H330" s="7" t="n">
        <v>1</v>
      </c>
      <c r="I330" s="12" t="s">
        <v>79</v>
      </c>
      <c r="J330" s="12" t="s">
        <v>86</v>
      </c>
      <c r="K330" s="10"/>
      <c r="L330" s="9" t="n">
        <f aca="false">IF(ISNUMBER(D330),COUNTIF($D$6:$D$338,"&lt;"&amp;D330)/(COUNT($D$6:$D$338)-1),"")</f>
        <v>0.536507936507937</v>
      </c>
      <c r="M330" s="9" t="n">
        <f aca="false">IF(ISNUMBER(F330),COUNTIF($F$6:$F$338,"&lt;"&amp;F330)/(COUNT($F$6:$F$338)-1),"")</f>
        <v>0.283132530120482</v>
      </c>
      <c r="N330" s="9" t="n">
        <f aca="false">IF(AND(L330="",M330=""),"",(IF(ISNUMBER(L330),$C$3*L330,0)+IF(ISNUMBER(M330),$E$3*M330,0))/(IF(ISNUMBER(L330),$C$3,0)+IF(ISNUMBER(M330),$E$3,0)))</f>
        <v>0.409820233314209</v>
      </c>
      <c r="O330" s="12"/>
      <c r="P330" s="7" t="n">
        <f aca="false">IF(O330&lt;&gt;"","",COUNTIFS($A$6:$A$338,A330,$O$6:$O$338,"",$N$6:$N$338,"&gt;"&amp;N330)+COUNTIFS($A$6:A330,A330,$O$6:O330,"",$N$6:N330,N330))</f>
        <v>10</v>
      </c>
      <c r="Q330" s="12" t="str">
        <f aca="false">IF(P330="","Excluded",IF(P330&lt;=5,"Lead",IF(P330&lt;=10,"Next wave","Long list")))</f>
        <v>Next wave</v>
      </c>
      <c r="R330" s="10" t="s">
        <v>105</v>
      </c>
      <c r="S330" s="30" t="s">
        <v>495</v>
      </c>
    </row>
    <row r="331" customFormat="false" ht="15" hidden="false" customHeight="false" outlineLevel="0" collapsed="false">
      <c r="A331" s="12" t="s">
        <v>39</v>
      </c>
      <c r="B331" s="12" t="s">
        <v>623</v>
      </c>
      <c r="C331" s="10" t="s">
        <v>624</v>
      </c>
      <c r="D331" s="26" t="n">
        <v>61.13</v>
      </c>
      <c r="E331" s="12" t="s">
        <v>102</v>
      </c>
      <c r="F331" s="11" t="n">
        <v>451.8</v>
      </c>
      <c r="G331" s="10" t="s">
        <v>144</v>
      </c>
      <c r="H331" s="7" t="n">
        <v>1</v>
      </c>
      <c r="I331" s="12" t="s">
        <v>79</v>
      </c>
      <c r="J331" s="12" t="s">
        <v>86</v>
      </c>
      <c r="K331" s="10"/>
      <c r="L331" s="9" t="n">
        <f aca="false">IF(ISNUMBER(D331),COUNTIF($D$6:$D$338,"&lt;"&amp;D331)/(COUNT($D$6:$D$338)-1),"")</f>
        <v>0.685714285714286</v>
      </c>
      <c r="M331" s="9" t="n">
        <f aca="false">IF(ISNUMBER(F331),COUNTIF($F$6:$F$338,"&lt;"&amp;F331)/(COUNT($F$6:$F$338)-1),"")</f>
        <v>0.0963855421686747</v>
      </c>
      <c r="N331" s="9" t="n">
        <f aca="false">IF(AND(L331="",M331=""),"",(IF(ISNUMBER(L331),$C$3*L331,0)+IF(ISNUMBER(M331),$E$3*M331,0))/(IF(ISNUMBER(L331),$C$3,0)+IF(ISNUMBER(M331),$E$3,0)))</f>
        <v>0.39104991394148</v>
      </c>
      <c r="O331" s="12"/>
      <c r="P331" s="7" t="n">
        <f aca="false">IF(O331&lt;&gt;"","",COUNTIFS($A$6:$A$338,A331,$O$6:$O$338,"",$N$6:$N$338,"&gt;"&amp;N331)+COUNTIFS($A$6:A331,A331,$O$6:O331,"",$N$6:N331,N331))</f>
        <v>11</v>
      </c>
      <c r="Q331" s="12" t="str">
        <f aca="false">IF(P331="","Excluded",IF(P331&lt;=5,"Lead",IF(P331&lt;=10,"Next wave","Long list")))</f>
        <v>Long list</v>
      </c>
      <c r="R331" s="10" t="s">
        <v>105</v>
      </c>
      <c r="S331" s="30" t="s">
        <v>625</v>
      </c>
    </row>
    <row r="332" customFormat="false" ht="23.85" hidden="false" customHeight="false" outlineLevel="0" collapsed="false">
      <c r="A332" s="12" t="s">
        <v>39</v>
      </c>
      <c r="B332" s="12" t="s">
        <v>245</v>
      </c>
      <c r="C332" s="10" t="s">
        <v>246</v>
      </c>
      <c r="D332" s="26" t="n">
        <v>22.39</v>
      </c>
      <c r="E332" s="12" t="s">
        <v>102</v>
      </c>
      <c r="F332" s="11" t="n">
        <v>2508.1</v>
      </c>
      <c r="G332" s="10" t="s">
        <v>144</v>
      </c>
      <c r="H332" s="7" t="n">
        <v>1</v>
      </c>
      <c r="I332" s="12" t="s">
        <v>79</v>
      </c>
      <c r="J332" s="12" t="s">
        <v>86</v>
      </c>
      <c r="K332" s="10"/>
      <c r="L332" s="9" t="n">
        <f aca="false">IF(ISNUMBER(D332),COUNTIF($D$6:$D$338,"&lt;"&amp;D332)/(COUNT($D$6:$D$338)-1),"")</f>
        <v>0.425396825396825</v>
      </c>
      <c r="M332" s="9" t="n">
        <f aca="false">IF(ISNUMBER(F332),COUNTIF($F$6:$F$338,"&lt;"&amp;F332)/(COUNT($F$6:$F$338)-1),"")</f>
        <v>0.313253012048193</v>
      </c>
      <c r="N332" s="9" t="n">
        <f aca="false">IF(AND(L332="",M332=""),"",(IF(ISNUMBER(L332),$C$3*L332,0)+IF(ISNUMBER(M332),$E$3*M332,0))/(IF(ISNUMBER(L332),$C$3,0)+IF(ISNUMBER(M332),$E$3,0)))</f>
        <v>0.369324918722509</v>
      </c>
      <c r="O332" s="12"/>
      <c r="P332" s="7" t="n">
        <f aca="false">IF(O332&lt;&gt;"","",COUNTIFS($A$6:$A$338,A332,$O$6:$O$338,"",$N$6:$N$338,"&gt;"&amp;N332)+COUNTIFS($A$6:A332,A332,$O$6:O332,"",$N$6:N332,N332))</f>
        <v>12</v>
      </c>
      <c r="Q332" s="12" t="str">
        <f aca="false">IF(P332="","Excluded",IF(P332&lt;=5,"Lead",IF(P332&lt;=10,"Next wave","Long list")))</f>
        <v>Long list</v>
      </c>
      <c r="R332" s="10" t="s">
        <v>82</v>
      </c>
      <c r="S332" s="30" t="s">
        <v>534</v>
      </c>
    </row>
    <row r="333" customFormat="false" ht="23.85" hidden="false" customHeight="false" outlineLevel="0" collapsed="false">
      <c r="A333" s="12" t="s">
        <v>39</v>
      </c>
      <c r="B333" s="12" t="s">
        <v>480</v>
      </c>
      <c r="C333" s="10" t="s">
        <v>481</v>
      </c>
      <c r="D333" s="26" t="n">
        <v>24.95</v>
      </c>
      <c r="E333" s="12" t="s">
        <v>102</v>
      </c>
      <c r="F333" s="11" t="n">
        <v>1405.2</v>
      </c>
      <c r="G333" s="10" t="s">
        <v>144</v>
      </c>
      <c r="H333" s="7" t="n">
        <v>1</v>
      </c>
      <c r="I333" s="12" t="s">
        <v>97</v>
      </c>
      <c r="J333" s="12" t="s">
        <v>97</v>
      </c>
      <c r="K333" s="10"/>
      <c r="L333" s="9" t="n">
        <f aca="false">IF(ISNUMBER(D333),COUNTIF($D$6:$D$338,"&lt;"&amp;D333)/(COUNT($D$6:$D$338)-1),"")</f>
        <v>0.476190476190476</v>
      </c>
      <c r="M333" s="9" t="n">
        <f aca="false">IF(ISNUMBER(F333),COUNTIF($F$6:$F$338,"&lt;"&amp;F333)/(COUNT($F$6:$F$338)-1),"")</f>
        <v>0.201807228915663</v>
      </c>
      <c r="N333" s="9" t="n">
        <f aca="false">IF(AND(L333="",M333=""),"",(IF(ISNUMBER(L333),$C$3*L333,0)+IF(ISNUMBER(M333),$E$3*M333,0))/(IF(ISNUMBER(L333),$C$3,0)+IF(ISNUMBER(M333),$E$3,0)))</f>
        <v>0.338998852553069</v>
      </c>
      <c r="O333" s="12"/>
      <c r="P333" s="7" t="n">
        <f aca="false">IF(O333&lt;&gt;"","",COUNTIFS($A$6:$A$338,A333,$O$6:$O$338,"",$N$6:$N$338,"&gt;"&amp;N333)+COUNTIFS($A$6:A333,A333,$O$6:O333,"",$N$6:N333,N333))</f>
        <v>13</v>
      </c>
      <c r="Q333" s="12" t="str">
        <f aca="false">IF(P333="","Excluded",IF(P333&lt;=5,"Lead",IF(P333&lt;=10,"Next wave","Long list")))</f>
        <v>Long list</v>
      </c>
      <c r="R333" s="10" t="s">
        <v>99</v>
      </c>
      <c r="S333" s="30" t="s">
        <v>482</v>
      </c>
    </row>
    <row r="334" customFormat="false" ht="23.85" hidden="false" customHeight="false" outlineLevel="0" collapsed="false">
      <c r="A334" s="12" t="s">
        <v>39</v>
      </c>
      <c r="B334" s="12" t="s">
        <v>626</v>
      </c>
      <c r="C334" s="10" t="s">
        <v>218</v>
      </c>
      <c r="D334" s="26" t="n">
        <v>14.99</v>
      </c>
      <c r="E334" s="12" t="s">
        <v>102</v>
      </c>
      <c r="F334" s="11" t="n">
        <v>1618.6</v>
      </c>
      <c r="G334" s="10" t="s">
        <v>144</v>
      </c>
      <c r="H334" s="7" t="n">
        <v>1</v>
      </c>
      <c r="I334" s="12" t="s">
        <v>79</v>
      </c>
      <c r="J334" s="12" t="s">
        <v>86</v>
      </c>
      <c r="K334" s="10"/>
      <c r="L334" s="9" t="n">
        <f aca="false">IF(ISNUMBER(D334),COUNTIF($D$6:$D$338,"&lt;"&amp;D334)/(COUNT($D$6:$D$338)-1),"")</f>
        <v>0.346031746031746</v>
      </c>
      <c r="M334" s="9" t="n">
        <f aca="false">IF(ISNUMBER(F334),COUNTIF($F$6:$F$338,"&lt;"&amp;F334)/(COUNT($F$6:$F$338)-1),"")</f>
        <v>0.219879518072289</v>
      </c>
      <c r="N334" s="9" t="n">
        <f aca="false">IF(AND(L334="",M334=""),"",(IF(ISNUMBER(L334),$C$3*L334,0)+IF(ISNUMBER(M334),$E$3*M334,0))/(IF(ISNUMBER(L334),$C$3,0)+IF(ISNUMBER(M334),$E$3,0)))</f>
        <v>0.282955632052018</v>
      </c>
      <c r="O334" s="12"/>
      <c r="P334" s="7" t="n">
        <f aca="false">IF(O334&lt;&gt;"","",COUNTIFS($A$6:$A$338,A334,$O$6:$O$338,"",$N$6:$N$338,"&gt;"&amp;N334)+COUNTIFS($A$6:A334,A334,$O$6:O334,"",$N$6:N334,N334))</f>
        <v>14</v>
      </c>
      <c r="Q334" s="12" t="str">
        <f aca="false">IF(P334="","Excluded",IF(P334&lt;=5,"Lead",IF(P334&lt;=10,"Next wave","Long list")))</f>
        <v>Long list</v>
      </c>
      <c r="R334" s="10" t="s">
        <v>105</v>
      </c>
      <c r="S334" s="30" t="s">
        <v>627</v>
      </c>
    </row>
    <row r="335" customFormat="false" ht="23.85" hidden="false" customHeight="false" outlineLevel="0" collapsed="false">
      <c r="A335" s="12" t="s">
        <v>39</v>
      </c>
      <c r="B335" s="12" t="s">
        <v>223</v>
      </c>
      <c r="C335" s="10" t="s">
        <v>224</v>
      </c>
      <c r="D335" s="26" t="n">
        <v>14.96</v>
      </c>
      <c r="E335" s="12" t="s">
        <v>102</v>
      </c>
      <c r="F335" s="11" t="n">
        <v>1352.6</v>
      </c>
      <c r="G335" s="10" t="s">
        <v>144</v>
      </c>
      <c r="H335" s="7" t="n">
        <v>1</v>
      </c>
      <c r="I335" s="12" t="s">
        <v>79</v>
      </c>
      <c r="J335" s="12" t="s">
        <v>86</v>
      </c>
      <c r="K335" s="10"/>
      <c r="L335" s="9" t="n">
        <f aca="false">IF(ISNUMBER(D335),COUNTIF($D$6:$D$338,"&lt;"&amp;D335)/(COUNT($D$6:$D$338)-1),"")</f>
        <v>0.333333333333333</v>
      </c>
      <c r="M335" s="9" t="n">
        <f aca="false">IF(ISNUMBER(F335),COUNTIF($F$6:$F$338,"&lt;"&amp;F335)/(COUNT($F$6:$F$338)-1),"")</f>
        <v>0.189759036144578</v>
      </c>
      <c r="N335" s="9" t="n">
        <f aca="false">IF(AND(L335="",M335=""),"",(IF(ISNUMBER(L335),$C$3*L335,0)+IF(ISNUMBER(M335),$E$3*M335,0))/(IF(ISNUMBER(L335),$C$3,0)+IF(ISNUMBER(M335),$E$3,0)))</f>
        <v>0.261546184738956</v>
      </c>
      <c r="O335" s="12"/>
      <c r="P335" s="7" t="n">
        <f aca="false">IF(O335&lt;&gt;"","",COUNTIFS($A$6:$A$338,A335,$O$6:$O$338,"",$N$6:$N$338,"&gt;"&amp;N335)+COUNTIFS($A$6:A335,A335,$O$6:O335,"",$N$6:N335,N335))</f>
        <v>15</v>
      </c>
      <c r="Q335" s="12" t="str">
        <f aca="false">IF(P335="","Excluded",IF(P335&lt;=5,"Lead",IF(P335&lt;=10,"Next wave","Long list")))</f>
        <v>Long list</v>
      </c>
      <c r="R335" s="10" t="s">
        <v>82</v>
      </c>
      <c r="S335" s="30" t="s">
        <v>407</v>
      </c>
    </row>
    <row r="336" customFormat="false" ht="23.85" hidden="false" customHeight="false" outlineLevel="0" collapsed="false">
      <c r="A336" s="12" t="s">
        <v>39</v>
      </c>
      <c r="B336" s="12" t="s">
        <v>265</v>
      </c>
      <c r="C336" s="10" t="s">
        <v>266</v>
      </c>
      <c r="D336" s="26" t="n">
        <v>5.56</v>
      </c>
      <c r="E336" s="12" t="s">
        <v>102</v>
      </c>
      <c r="F336" s="11" t="n">
        <v>3067.4</v>
      </c>
      <c r="G336" s="10" t="s">
        <v>144</v>
      </c>
      <c r="H336" s="7" t="n">
        <v>1</v>
      </c>
      <c r="I336" s="12" t="s">
        <v>79</v>
      </c>
      <c r="J336" s="12" t="s">
        <v>86</v>
      </c>
      <c r="K336" s="10"/>
      <c r="L336" s="9" t="n">
        <f aca="false">IF(ISNUMBER(D336),COUNTIF($D$6:$D$338,"&lt;"&amp;D336)/(COUNT($D$6:$D$338)-1),"")</f>
        <v>0.0476190476190476</v>
      </c>
      <c r="M336" s="9" t="n">
        <f aca="false">IF(ISNUMBER(F336),COUNTIF($F$6:$F$338,"&lt;"&amp;F336)/(COUNT($F$6:$F$338)-1),"")</f>
        <v>0.418674698795181</v>
      </c>
      <c r="N336" s="9" t="n">
        <f aca="false">IF(AND(L336="",M336=""),"",(IF(ISNUMBER(L336),$C$3*L336,0)+IF(ISNUMBER(M336),$E$3*M336,0))/(IF(ISNUMBER(L336),$C$3,0)+IF(ISNUMBER(M336),$E$3,0)))</f>
        <v>0.233146873207114</v>
      </c>
      <c r="O336" s="12"/>
      <c r="P336" s="7" t="n">
        <f aca="false">IF(O336&lt;&gt;"","",COUNTIFS($A$6:$A$338,A336,$O$6:$O$338,"",$N$6:$N$338,"&gt;"&amp;N336)+COUNTIFS($A$6:A336,A336,$O$6:O336,"",$N$6:N336,N336))</f>
        <v>16</v>
      </c>
      <c r="Q336" s="12" t="str">
        <f aca="false">IF(P336="","Excluded",IF(P336&lt;=5,"Lead",IF(P336&lt;=10,"Next wave","Long list")))</f>
        <v>Long list</v>
      </c>
      <c r="R336" s="10" t="s">
        <v>82</v>
      </c>
      <c r="S336" s="30" t="s">
        <v>454</v>
      </c>
    </row>
    <row r="337" customFormat="false" ht="23.85" hidden="false" customHeight="false" outlineLevel="0" collapsed="false">
      <c r="A337" s="12" t="s">
        <v>39</v>
      </c>
      <c r="B337" s="12" t="s">
        <v>261</v>
      </c>
      <c r="C337" s="10" t="s">
        <v>262</v>
      </c>
      <c r="D337" s="26"/>
      <c r="E337" s="12" t="s">
        <v>102</v>
      </c>
      <c r="F337" s="11" t="n">
        <v>2476.9</v>
      </c>
      <c r="G337" s="10" t="s">
        <v>144</v>
      </c>
      <c r="H337" s="7" t="n">
        <v>1</v>
      </c>
      <c r="I337" s="12" t="s">
        <v>79</v>
      </c>
      <c r="J337" s="12" t="s">
        <v>97</v>
      </c>
      <c r="K337" s="10"/>
      <c r="L337" s="9" t="str">
        <f aca="false">IF(ISNUMBER(D337),COUNTIF($D$6:$D$338,"&lt;"&amp;D337)/(COUNT($D$6:$D$338)-1),"")</f>
        <v/>
      </c>
      <c r="M337" s="9" t="n">
        <f aca="false">IF(ISNUMBER(F337),COUNTIF($F$6:$F$338,"&lt;"&amp;F337)/(COUNT($F$6:$F$338)-1),"")</f>
        <v>0.295180722891566</v>
      </c>
      <c r="N337" s="9" t="n">
        <f aca="false">IF(AND(L337="",M337=""),"",(IF(ISNUMBER(L337),$C$3*L337,0)+IF(ISNUMBER(M337),$E$3*M337,0))/(IF(ISNUMBER(L337),$C$3,0)+IF(ISNUMBER(M337),$E$3,0)))</f>
        <v>0.295180722891566</v>
      </c>
      <c r="O337" s="12" t="s">
        <v>310</v>
      </c>
      <c r="P337" s="7" t="str">
        <f aca="false">IF(O337&lt;&gt;"","",COUNTIFS($A$6:$A$338,A337,$O$6:$O$338,"",$N$6:$N$338,"&gt;"&amp;N337)+COUNTIFS($A$6:A337,A337,$O$6:O337,"",$N$6:N337,N337))</f>
        <v/>
      </c>
      <c r="Q337" s="12" t="str">
        <f aca="false">IF(P337="","Excluded",IF(P337&lt;=5,"Lead",IF(P337&lt;=10,"Next wave","Long list")))</f>
        <v>Excluded</v>
      </c>
      <c r="R337" s="10" t="s">
        <v>82</v>
      </c>
      <c r="S337" s="30" t="s">
        <v>393</v>
      </c>
    </row>
    <row r="338" customFormat="false" ht="23.85" hidden="false" customHeight="false" outlineLevel="0" collapsed="false">
      <c r="A338" s="12" t="s">
        <v>39</v>
      </c>
      <c r="B338" s="12" t="s">
        <v>280</v>
      </c>
      <c r="C338" s="10" t="s">
        <v>281</v>
      </c>
      <c r="D338" s="26"/>
      <c r="E338" s="12" t="s">
        <v>102</v>
      </c>
      <c r="F338" s="11" t="n">
        <v>1781.1</v>
      </c>
      <c r="G338" s="10" t="s">
        <v>144</v>
      </c>
      <c r="H338" s="7" t="n">
        <v>1</v>
      </c>
      <c r="I338" s="12" t="s">
        <v>97</v>
      </c>
      <c r="J338" s="12" t="s">
        <v>97</v>
      </c>
      <c r="K338" s="10"/>
      <c r="L338" s="9" t="str">
        <f aca="false">IF(ISNUMBER(D338),COUNTIF($D$6:$D$338,"&lt;"&amp;D338)/(COUNT($D$6:$D$338)-1),"")</f>
        <v/>
      </c>
      <c r="M338" s="9" t="n">
        <f aca="false">IF(ISNUMBER(F338),COUNTIF($F$6:$F$338,"&lt;"&amp;F338)/(COUNT($F$6:$F$338)-1),"")</f>
        <v>0.228915662650602</v>
      </c>
      <c r="N338" s="9" t="n">
        <f aca="false">IF(AND(L338="",M338=""),"",(IF(ISNUMBER(L338),$C$3*L338,0)+IF(ISNUMBER(M338),$E$3*M338,0))/(IF(ISNUMBER(L338),$C$3,0)+IF(ISNUMBER(M338),$E$3,0)))</f>
        <v>0.228915662650602</v>
      </c>
      <c r="O338" s="12" t="s">
        <v>310</v>
      </c>
      <c r="P338" s="7" t="str">
        <f aca="false">IF(O338&lt;&gt;"","",COUNTIFS($A$6:$A$338,A338,$O$6:$O$338,"",$N$6:$N$338,"&gt;"&amp;N338)+COUNTIFS($A$6:A338,A338,$O$6:O338,"",$N$6:N338,N338))</f>
        <v/>
      </c>
      <c r="Q338" s="12" t="str">
        <f aca="false">IF(P338="","Excluded",IF(P338&lt;=5,"Lead",IF(P338&lt;=10,"Next wave","Long list")))</f>
        <v>Excluded</v>
      </c>
      <c r="R338" s="10" t="s">
        <v>99</v>
      </c>
      <c r="S338" s="30" t="s">
        <v>586</v>
      </c>
    </row>
  </sheetData>
  <autoFilter ref="A5:S338"/>
  <conditionalFormatting sqref="A6:R338">
    <cfRule type="expression" priority="2" aboveAverage="0" equalAverage="0" bottom="0" percent="0" rank="0" text="" dxfId="6">
      <formula>$Q6="Lead"</formula>
    </cfRule>
    <cfRule type="expression" priority="3" aboveAverage="0" equalAverage="0" bottom="0" percent="0" rank="0" text="" dxfId="7">
      <formula>$Q6="Excluded"</formula>
    </cfRule>
  </conditionalFormatting>
  <hyperlinks>
    <hyperlink ref="S6" r:id="rId1" display="https://dailymed.nlm.nih.gov/dailymed/search.cfm?labeltype=all&amp;query=fulvestrant"/>
    <hyperlink ref="S7" r:id="rId2" display="https://dailymed.nlm.nih.gov/dailymed/search.cfm?labeltype=all&amp;query=carboprost"/>
    <hyperlink ref="S8" r:id="rId3" display="https://dailymed.nlm.nih.gov/dailymed/search.cfm?labeltype=all&amp;query=methotrexate+injection"/>
    <hyperlink ref="S9" r:id="rId4" display="https://dailymed.nlm.nih.gov/dailymed/search.cfm?labeltype=all&amp;query=diazepam+injection"/>
    <hyperlink ref="S10" r:id="rId5" display="https://dailymed.nlm.nih.gov/dailymed/search.cfm?labeltype=all&amp;query=triamcinolone+acetonide+injectable+suspension"/>
    <hyperlink ref="S11" r:id="rId6" display="https://dailymed.nlm.nih.gov/dailymed/search.cfm?labeltype=all&amp;query=phytonadione"/>
    <hyperlink ref="S12" r:id="rId7" display="https://dailymed.nlm.nih.gov/dailymed/search.cfm?labeltype=all&amp;query=azacitidine"/>
    <hyperlink ref="S13" r:id="rId8" display="https://dailymed.nlm.nih.gov/dailymed/search.cfm?labeltype=all&amp;query=bortezomib"/>
    <hyperlink ref="S14" r:id="rId9" display="https://dailymed.nlm.nih.gov/dailymed/search.cfm?labeltype=all&amp;query=daptomycin"/>
    <hyperlink ref="S15" r:id="rId10" display="https://dailymed.nlm.nih.gov/dailymed/search.cfm?labeltype=all&amp;query=plerixafor"/>
    <hyperlink ref="S16" r:id="rId11" display="https://dailymed.nlm.nih.gov/dailymed/search.cfm?labeltype=all&amp;query=fulvestrant"/>
    <hyperlink ref="S17" r:id="rId12" display="https://dailymed.nlm.nih.gov/dailymed/search.cfm?labeltype=all&amp;query=eptifibatide"/>
    <hyperlink ref="S18" r:id="rId13" display="https://dailymed.nlm.nih.gov/dailymed/search.cfm?labeltype=all&amp;query=ertapenem"/>
    <hyperlink ref="S19" r:id="rId14" display="https://dailymed.nlm.nih.gov/dailymed/search.cfm?labeltype=all&amp;query=cyclophosphamide"/>
    <hyperlink ref="S20" r:id="rId15" display="https://dailymed.nlm.nih.gov/dailymed/search.cfm?labeltype=all&amp;query=meropenem"/>
    <hyperlink ref="S21" r:id="rId16" display="https://dailymed.nlm.nih.gov/dailymed/search.cfm?labeltype=all&amp;query=mitomycin"/>
    <hyperlink ref="S22" r:id="rId17" display="https://dailymed.nlm.nih.gov/dailymed/search.cfm?labeltype=all&amp;query=doxorubicin"/>
    <hyperlink ref="S23" r:id="rId18" display="https://dailymed.nlm.nih.gov/dailymed/search.cfm?labeltype=all&amp;query=esmolol"/>
    <hyperlink ref="S24" r:id="rId19" display="https://dailymed.nlm.nih.gov/dailymed/search.cfm?labeltype=all&amp;query=dactinomycin"/>
    <hyperlink ref="S25" r:id="rId20" display="https://dailymed.nlm.nih.gov/dailymed/search.cfm?labeltype=all&amp;query=tirofiban"/>
    <hyperlink ref="S26" r:id="rId21" display="https://dailymed.nlm.nih.gov/dailymed/search.cfm?labeltype=all&amp;query=leucovorin+calcium+injection"/>
    <hyperlink ref="S27" r:id="rId22" display="https://dailymed.nlm.nih.gov/dailymed/search.cfm?labeltype=all&amp;query=melphalan+hydrochloride"/>
    <hyperlink ref="S28" r:id="rId23" display="https://dailymed.nlm.nih.gov/dailymed/search.cfm?labeltype=all&amp;query=epirubicin"/>
    <hyperlink ref="S29" r:id="rId24" display="https://dailymed.nlm.nih.gov/dailymed/search.cfm?labeltype=all&amp;query=tranexamic+acid+injection"/>
    <hyperlink ref="S30" r:id="rId25" display="https://dailymed.nlm.nih.gov/dailymed/search.cfm?labeltype=all&amp;query=fluphenazine+decanoate"/>
    <hyperlink ref="S31" r:id="rId26" display="https://dailymed.nlm.nih.gov/dailymed/search.cfm?labeltype=all&amp;query=ceftriaxone"/>
    <hyperlink ref="S32" r:id="rId27" display="https://dailymed.nlm.nih.gov/dailymed/search.cfm?labeltype=all&amp;query=testosterone+cypionate"/>
    <hyperlink ref="S33" r:id="rId28" display="https://dailymed.nlm.nih.gov/dailymed/search.cfm?labeltype=all&amp;query=ampicillin"/>
    <hyperlink ref="S34" r:id="rId29" display="https://dailymed.nlm.nih.gov/dailymed/search.cfm?labeltype=all&amp;query=pantoprazole+sodium+for+injection"/>
    <hyperlink ref="S35" r:id="rId30" display="https://dailymed.nlm.nih.gov/dailymed/search.cfm?labeltype=all&amp;query=argatroban"/>
    <hyperlink ref="S36" r:id="rId31" display="https://dailymed.nlm.nih.gov/dailymed/search.cfm?labeltype=all&amp;query=ondansetron+injection"/>
    <hyperlink ref="S37" r:id="rId32" display="https://dailymed.nlm.nih.gov/dailymed/search.cfm?labeltype=all&amp;query=carboprost"/>
    <hyperlink ref="S38" r:id="rId33" display="https://dailymed.nlm.nih.gov/dailymed/search.cfm?labeltype=all&amp;query=sildenafil+injection"/>
    <hyperlink ref="S39" r:id="rId34" display="https://dailymed.nlm.nih.gov/dailymed/search.cfm?labeltype=all&amp;query=methotrexate+injection"/>
    <hyperlink ref="S40" r:id="rId35" display="https://dailymed.nlm.nih.gov/dailymed/search.cfm?labeltype=all&amp;query=medroxyprogesterone+acetate+injectable"/>
    <hyperlink ref="S41" r:id="rId36" display="https://dailymed.nlm.nih.gov/dailymed/search.cfm?labeltype=all&amp;query=ibandronate+injection"/>
    <hyperlink ref="S42" r:id="rId37" display="https://dailymed.nlm.nih.gov/dailymed/search.cfm?labeltype=all&amp;query=ropivacaine"/>
    <hyperlink ref="S43" r:id="rId38" display="https://dailymed.nlm.nih.gov/dailymed/search.cfm?labeltype=all&amp;query=naloxone+hydrochloride+injection"/>
    <hyperlink ref="S44" r:id="rId39" display="https://dailymed.nlm.nih.gov/dailymed/search.cfm?labeltype=all&amp;query=cefepime"/>
    <hyperlink ref="S45" r:id="rId40" display="https://dailymed.nlm.nih.gov/dailymed/search.cfm?labeltype=all&amp;query=bupivacaine"/>
    <hyperlink ref="S46" r:id="rId41" display="https://dailymed.nlm.nih.gov/dailymed/search.cfm?labeltype=all&amp;query=methylprednisolone+acetate"/>
    <hyperlink ref="S47" r:id="rId42" display="https://dailymed.nlm.nih.gov/dailymed/search.cfm?labeltype=all&amp;query=ceftazidime"/>
    <hyperlink ref="S48" r:id="rId43" display="https://dailymed.nlm.nih.gov/dailymed/search.cfm?labeltype=all&amp;query=testosterone+enanthate"/>
    <hyperlink ref="S49" r:id="rId44" display="https://dailymed.nlm.nih.gov/dailymed/search.cfm?labeltype=all&amp;query=progesterone+injection"/>
    <hyperlink ref="S50" r:id="rId45" display="https://dailymed.nlm.nih.gov/dailymed/search.cfm?labeltype=all&amp;query=vecuronium"/>
    <hyperlink ref="S51" r:id="rId46" display="https://dailymed.nlm.nih.gov/dailymed/search.cfm?labeltype=all&amp;query=verapamil+hydrochloride+injection"/>
    <hyperlink ref="S52" r:id="rId47" display="https://dailymed.nlm.nih.gov/dailymed/search.cfm?labeltype=all&amp;query=fluorouracil+injection"/>
    <hyperlink ref="S53" r:id="rId48" display="https://dailymed.nlm.nih.gov/dailymed/search.cfm?labeltype=all&amp;query=hydralazine+injection"/>
    <hyperlink ref="S54" r:id="rId49" display="https://dailymed.nlm.nih.gov/dailymed/search.cfm?labeltype=all&amp;query=palonosetron"/>
    <hyperlink ref="S55" r:id="rId50" display="https://dailymed.nlm.nih.gov/dailymed/search.cfm?labeltype=all&amp;query=vinorelbine"/>
    <hyperlink ref="S56" r:id="rId51" display="https://dailymed.nlm.nih.gov/dailymed/search.cfm?labeltype=all&amp;query=chlorpromazine"/>
    <hyperlink ref="S57" r:id="rId52" display="https://dailymed.nlm.nih.gov/dailymed/search.cfm?labeltype=all&amp;query=mesna"/>
    <hyperlink ref="S58" r:id="rId53" display="https://dailymed.nlm.nih.gov/dailymed/search.cfm?labeltype=all&amp;query=ephedrine+sulfate+injection"/>
    <hyperlink ref="S59" r:id="rId54" display="https://dailymed.nlm.nih.gov/dailymed/search.cfm?labeltype=all&amp;query=regadenoson"/>
    <hyperlink ref="S60" r:id="rId55" display="https://dailymed.nlm.nih.gov/dailymed/search.cfm?labeltype=all&amp;query=oxacillin"/>
    <hyperlink ref="S61" r:id="rId56" display="https://dailymed.nlm.nih.gov/dailymed/search.cfm?labeltype=all&amp;query=nafcillin"/>
    <hyperlink ref="S62" r:id="rId57" display="https://dailymed.nlm.nih.gov/dailymed/search.cfm?labeltype=all&amp;query=remifentanil"/>
    <hyperlink ref="S63" r:id="rId58" display="https://www.medicines.org.uk/emc/search?q=flucloxacillin"/>
    <hyperlink ref="S64" r:id="rId59" display="https://dailymed.nlm.nih.gov/dailymed/search.cfm?labeltype=all&amp;query=triamcinolone+acetonide+injectable+suspension"/>
    <hyperlink ref="S65" r:id="rId60" display="https://dailymed.nlm.nih.gov/dailymed/search.cfm?labeltype=all&amp;query=trastuzumab"/>
    <hyperlink ref="S66" r:id="rId61" display="https://dailymed.nlm.nih.gov/dailymed/search.cfm?labeltype=all&amp;query=daptomycin"/>
    <hyperlink ref="S67" r:id="rId62" display="https://www.who.int/news-room/fact-sheets/detail/measles"/>
    <hyperlink ref="S68" r:id="rId63" display="https://dailymed.nlm.nih.gov/dailymed/search.cfm?labeltype=all&amp;query=fulvestrant"/>
    <hyperlink ref="S69" r:id="rId64" display="https://dailymed.nlm.nih.gov/dailymed/search.cfm?labeltype=all&amp;query=bortezomib"/>
    <hyperlink ref="S70" r:id="rId65" display="https://dailymed.nlm.nih.gov/dailymed/search.cfm?labeltype=all&amp;query=sugammadex"/>
    <hyperlink ref="S71" r:id="rId66" display="https://dailymed.nlm.nih.gov/dailymed/search.cfm?labeltype=all&amp;query=doxorubicin"/>
    <hyperlink ref="S72" r:id="rId67" display="https://dailymed.nlm.nih.gov/dailymed/search.cfm?labeltype=all&amp;query=azacitidine"/>
    <hyperlink ref="S73" r:id="rId68" display="https://dailymed.nlm.nih.gov/dailymed/search.cfm?labeltype=all&amp;query=isoproterenol"/>
    <hyperlink ref="S74" r:id="rId69" display="https://dailymed.nlm.nih.gov/dailymed/search.cfm?labeltype=all&amp;query=bleomycin"/>
    <hyperlink ref="S75" r:id="rId70" display="https://dailymed.nlm.nih.gov/dailymed/search.cfm?labeltype=all&amp;query=cefepime"/>
    <hyperlink ref="S76" r:id="rId71" display="https://dailymed.nlm.nih.gov/dailymed/search.cfm?labeltype=all&amp;query=testosterone+cypionate"/>
    <hyperlink ref="S77" r:id="rId72" display="https://dailymed.nlm.nih.gov/dailymed/search.cfm?labeltype=all&amp;query=lanreotide"/>
    <hyperlink ref="S78" r:id="rId73" display="https://dailymed.nlm.nih.gov/dailymed/search.cfm?labeltype=all&amp;query=hydrocortisone+sodium+succinate"/>
    <hyperlink ref="S79" r:id="rId74" display="https://list.essentialmeds.org/?query=streptokinase"/>
    <hyperlink ref="S80" r:id="rId75" display="https://www.medicines.org.uk/emc/search?q=teicoplanin"/>
    <hyperlink ref="S81" r:id="rId76" display="https://dailymed.nlm.nih.gov/dailymed/search.cfm?labeltype=all&amp;query=phytonadione"/>
    <hyperlink ref="S82" r:id="rId77" display="https://dailymed.nlm.nih.gov/dailymed/search.cfm?labeltype=all&amp;query=testosterone+undecanoate"/>
    <hyperlink ref="S83" r:id="rId78" display="https://dailymed.nlm.nih.gov/dailymed/search.cfm?labeltype=all&amp;query=vinorelbine"/>
    <hyperlink ref="S84" r:id="rId79" display="https://dailymed.nlm.nih.gov/dailymed/search.cfm?labeltype=all&amp;query=medroxyprogesterone+acetate+injectable"/>
    <hyperlink ref="S85" r:id="rId80" display="https://dailymed.nlm.nih.gov/dailymed/search.cfm?labeltype=all&amp;query=phenylephrine+hydrochloride+injection"/>
    <hyperlink ref="S86" r:id="rId81" display="https://dailymed.nlm.nih.gov/dailymed/search.cfm?labeltype=all&amp;query=vinblastine"/>
    <hyperlink ref="S87" r:id="rId82" display="https://dailymed.nlm.nih.gov/dailymed/search.cfm?labeltype=all&amp;query=palonosetron"/>
    <hyperlink ref="S88" r:id="rId83" display="https://dailymed.nlm.nih.gov/dailymed/search.cfm?labeltype=all&amp;query=azacitidine"/>
    <hyperlink ref="S89" r:id="rId84" display="https://dailymed.nlm.nih.gov/dailymed/search.cfm?labeltype=all&amp;query=bortezomib"/>
    <hyperlink ref="S90" r:id="rId85" display="https://dailymed.nlm.nih.gov/dailymed/search.cfm?labeltype=all&amp;query=daptomycin"/>
    <hyperlink ref="S91" r:id="rId86" display="https://dailymed.nlm.nih.gov/dailymed/search.cfm?labeltype=all&amp;query=fulvestrant"/>
    <hyperlink ref="S92" r:id="rId87" display="https://dailymed.nlm.nih.gov/dailymed/search.cfm?labeltype=all&amp;query=plerixafor"/>
    <hyperlink ref="S93" r:id="rId88" display="https://dailymed.nlm.nih.gov/dailymed/search.cfm?labeltype=all&amp;query=thiotepa"/>
    <hyperlink ref="S94" r:id="rId89" display="https://dailymed.nlm.nih.gov/dailymed/search.cfm?labeltype=all&amp;query=ertapenem"/>
    <hyperlink ref="S95" r:id="rId90" display="https://dailymed.nlm.nih.gov/dailymed/search.cfm?labeltype=all&amp;query=sugammadex"/>
    <hyperlink ref="S96" r:id="rId91" display="https://dailymed.nlm.nih.gov/dailymed/search.cfm?labeltype=all&amp;query=cyclophosphamide"/>
    <hyperlink ref="S97" r:id="rId92" display="https://dailymed.nlm.nih.gov/dailymed/search.cfm?labeltype=all&amp;query=carboprost"/>
    <hyperlink ref="S98" r:id="rId93" display="https://dailymed.nlm.nih.gov/dailymed/search.cfm?labeltype=all&amp;query=eribulin"/>
    <hyperlink ref="S99" r:id="rId94" display="https://dailymed.nlm.nih.gov/dailymed/search.cfm?labeltype=all&amp;query=palonosetron"/>
    <hyperlink ref="S100" r:id="rId95" display="https://dailymed.nlm.nih.gov/dailymed/search.cfm?labeltype=all&amp;query=desmopressin"/>
    <hyperlink ref="S101" r:id="rId96" display="https://dailymed.nlm.nih.gov/dailymed/search.cfm?labeltype=all&amp;query=succinylcholine"/>
    <hyperlink ref="S102" r:id="rId97" display="https://dailymed.nlm.nih.gov/dailymed/search.cfm?labeltype=all&amp;query=ibandronate+injection"/>
    <hyperlink ref="S103" r:id="rId98" display="https://dailymed.nlm.nih.gov/dailymed/search.cfm?labeltype=all&amp;query=phytonadione"/>
    <hyperlink ref="S104" r:id="rId99" display="https://dailymed.nlm.nih.gov/dailymed/search.cfm?labeltype=all&amp;query=bivalirudin"/>
    <hyperlink ref="S105" r:id="rId100" display="https://dailymed.nlm.nih.gov/dailymed/search.cfm?labeltype=all&amp;query=ferric+carboxymaltose"/>
    <hyperlink ref="S106" r:id="rId101" display="https://dailymed.nlm.nih.gov/dailymed/search.cfm?labeltype=all&amp;query=neostigmine"/>
    <hyperlink ref="S107" r:id="rId102" display="https://dailymed.nlm.nih.gov/dailymed/search.cfm?labeltype=all&amp;query=naloxone+hydrochloride+injection"/>
    <hyperlink ref="S108" r:id="rId103" display="https://dailymed.nlm.nih.gov/dailymed/search.cfm?labeltype=all&amp;query=ephedrine+sulfate+injection"/>
    <hyperlink ref="S109" r:id="rId104" display="https://dailymed.nlm.nih.gov/dailymed/search.cfm?labeltype=all&amp;query=diazepam+injection"/>
    <hyperlink ref="S110" r:id="rId105" display="https://dailymed.nlm.nih.gov/dailymed/search.cfm?labeltype=all&amp;query=regadenoson"/>
    <hyperlink ref="S111" r:id="rId106" display="https://dailymed.nlm.nih.gov/dailymed/search.cfm?labeltype=all&amp;query=triamcinolone+acetonide+injectable+suspension"/>
    <hyperlink ref="S112" r:id="rId107" display="https://dailymed.nlm.nih.gov/dailymed/search.cfm?labeltype=all&amp;query=azacitidine"/>
    <hyperlink ref="S113" r:id="rId108" display="https://dailymed.nlm.nih.gov/dailymed/search.cfm?labeltype=all&amp;query=bortezomib"/>
    <hyperlink ref="S114" r:id="rId109" display="https://dailymed.nlm.nih.gov/dailymed/search.cfm?labeltype=all&amp;query=daptomycin"/>
    <hyperlink ref="S115" r:id="rId110" display="https://dailymed.nlm.nih.gov/dailymed/search.cfm?labeltype=all&amp;query=plerixafor"/>
    <hyperlink ref="S116" r:id="rId111" display="https://dailymed.nlm.nih.gov/dailymed/search.cfm?labeltype=all&amp;query=sugammadex"/>
    <hyperlink ref="S117" r:id="rId112" display="https://dailymed.nlm.nih.gov/dailymed/search.cfm?labeltype=all&amp;query=cyclophosphamide"/>
    <hyperlink ref="S118" r:id="rId113" display="https://dailymed.nlm.nih.gov/dailymed/search.cfm?labeltype=all&amp;query=melphalan+hydrochloride"/>
    <hyperlink ref="S119" r:id="rId114" display="https://dailymed.nlm.nih.gov/dailymed/search.cfm?labeltype=all&amp;query=eribulin"/>
    <hyperlink ref="S120" r:id="rId115" display="https://dailymed.nlm.nih.gov/dailymed/search.cfm?labeltype=all&amp;query=amikacin"/>
    <hyperlink ref="S121" r:id="rId116" display="https://dailymed.nlm.nih.gov/dailymed/search.cfm?labeltype=all&amp;query=pentamidine"/>
    <hyperlink ref="S122" r:id="rId117" display="https://dailymed.nlm.nih.gov/dailymed/search.cfm?labeltype=all&amp;query=ampicillin"/>
    <hyperlink ref="S123" r:id="rId118" display="https://dailymed.nlm.nih.gov/dailymed/search.cfm?labeltype=all&amp;query=propofol"/>
    <hyperlink ref="S124" r:id="rId119" display="https://dailymed.nlm.nih.gov/dailymed/search.cfm?labeltype=all&amp;query=pantoprazole+sodium+for+injection"/>
    <hyperlink ref="S125" r:id="rId120" display="https://dailymed.nlm.nih.gov/dailymed/search.cfm?labeltype=all&amp;query=milrinone"/>
    <hyperlink ref="S126" r:id="rId121" display="https://dailymed.nlm.nih.gov/dailymed/search.cfm?labeltype=all&amp;query=isoproterenol"/>
    <hyperlink ref="S127" r:id="rId122" display="https://dailymed.nlm.nih.gov/dailymed/search.cfm?labeltype=all&amp;query=esomeprazole+sodium"/>
    <hyperlink ref="S128" r:id="rId123" display="https://dailymed.nlm.nih.gov/dailymed/search.cfm?labeltype=all&amp;query=ondansetron+injection"/>
    <hyperlink ref="S129" r:id="rId124" display="https://dailymed.nlm.nih.gov/dailymed/search.cfm?labeltype=all&amp;query=colistimethate"/>
    <hyperlink ref="S130" r:id="rId125" display="https://dailymed.nlm.nih.gov/dailymed/search.cfm?labeltype=all&amp;query=acetazolamide"/>
    <hyperlink ref="S131" r:id="rId126" display="https://dailymed.nlm.nih.gov/dailymed/search.cfm?labeltype=all&amp;query=neostigmine"/>
    <hyperlink ref="S132" r:id="rId127" display="https://dailymed.nlm.nih.gov/dailymed/search.cfm?labeltype=all&amp;query=azacitidine"/>
    <hyperlink ref="S133" r:id="rId128" display="https://dailymed.nlm.nih.gov/dailymed/search.cfm?labeltype=all&amp;query=plerixafor"/>
    <hyperlink ref="S134" r:id="rId129" display="https://dailymed.nlm.nih.gov/dailymed/search.cfm?labeltype=all&amp;query=fulvestrant"/>
    <hyperlink ref="S135" r:id="rId130" display="https://dailymed.nlm.nih.gov/dailymed/search.cfm?labeltype=all&amp;query=sugammadex"/>
    <hyperlink ref="S136" r:id="rId131" display="https://dailymed.nlm.nih.gov/dailymed/search.cfm?labeltype=all&amp;query=bortezomib"/>
    <hyperlink ref="S137" r:id="rId132" display="https://dailymed.nlm.nih.gov/dailymed/search.cfm?labeltype=all&amp;query=eribulin"/>
    <hyperlink ref="S138" r:id="rId133" display="https://dailymed.nlm.nih.gov/dailymed/search.cfm?labeltype=all&amp;query=azacitidine"/>
    <hyperlink ref="S139" r:id="rId134" display="https://dailymed.nlm.nih.gov/dailymed/search.cfm?labeltype=all&amp;query=daptomycin"/>
    <hyperlink ref="S140" r:id="rId135" display="https://dailymed.nlm.nih.gov/dailymed/search.cfm?labeltype=all&amp;query=bortezomib"/>
    <hyperlink ref="S141" r:id="rId136" display="https://dailymed.nlm.nih.gov/dailymed/search.cfm?labeltype=all&amp;query=plerixafor"/>
    <hyperlink ref="S142" r:id="rId137" display="https://dailymed.nlm.nih.gov/dailymed/search.cfm?labeltype=all&amp;query=sugammadex"/>
    <hyperlink ref="S143" r:id="rId138" display="https://www.medicines.org.uk/emc/search?q=teicoplanin"/>
    <hyperlink ref="S144" r:id="rId139" display="https://dailymed.nlm.nih.gov/dailymed/search.cfm?labeltype=all&amp;query=melphalan+hydrochloride"/>
    <hyperlink ref="S145" r:id="rId140" display="https://dailymed.nlm.nih.gov/dailymed/search.cfm?labeltype=all&amp;query=isoproterenol"/>
    <hyperlink ref="S146" r:id="rId141" display="https://dailymed.nlm.nih.gov/dailymed/search.cfm?labeltype=all&amp;query=pantoprazole+sodium+for+injection"/>
    <hyperlink ref="S147" r:id="rId142" display="https://dailymed.nlm.nih.gov/dailymed/search.cfm?labeltype=all&amp;query=magnesium+sulfate+injection"/>
    <hyperlink ref="S148" r:id="rId143" display="https://dailymed.nlm.nih.gov/dailymed/search.cfm?labeltype=all&amp;query=methotrexate+injection"/>
    <hyperlink ref="S149" r:id="rId144" display="https://dailymed.nlm.nih.gov/dailymed/search.cfm?labeltype=all&amp;query=rocuronium"/>
    <hyperlink ref="S150" r:id="rId145" display="https://dailymed.nlm.nih.gov/dailymed/search.cfm?labeltype=all&amp;query=glycopyrrolate+injection"/>
    <hyperlink ref="S151" r:id="rId146" display="https://dailymed.nlm.nih.gov/dailymed/search.cfm?labeltype=all&amp;query=palonosetron"/>
    <hyperlink ref="S152" r:id="rId147" display="https://dailymed.nlm.nih.gov/dailymed/search.cfm?labeltype=all&amp;query=brivaracetam"/>
    <hyperlink ref="S153" r:id="rId148" display="https://dailymed.nlm.nih.gov/dailymed/search.cfm?labeltype=all&amp;query=sodium+bicarbonate+injection"/>
    <hyperlink ref="S154" r:id="rId149" display="https://dailymed.nlm.nih.gov/dailymed/search.cfm?labeltype=all&amp;query=chlorpromazine"/>
    <hyperlink ref="S155" r:id="rId150" display="https://dailymed.nlm.nih.gov/dailymed/search.cfm?labeltype=all&amp;query=succinylcholine"/>
    <hyperlink ref="S156" r:id="rId151" display="https://dailymed.nlm.nih.gov/dailymed/search.cfm?labeltype=all&amp;query=propofol"/>
    <hyperlink ref="S157" r:id="rId152" display="https://dailymed.nlm.nih.gov/dailymed/search.cfm?labeltype=all&amp;query=lidocaine+hydrochloride+injection"/>
    <hyperlink ref="S158" r:id="rId153" display="https://dailymed.nlm.nih.gov/dailymed/search.cfm?labeltype=all&amp;query=verapamil+hydrochloride+injection"/>
    <hyperlink ref="S159" r:id="rId154" display="https://dailymed.nlm.nih.gov/dailymed/search.cfm?labeltype=all&amp;query=cyanocobalamin+injection"/>
    <hyperlink ref="S160" r:id="rId155" display="https://dailymed.nlm.nih.gov/dailymed/search.cfm?labeltype=all&amp;query=azacitidine"/>
    <hyperlink ref="S161" r:id="rId156" display="https://dailymed.nlm.nih.gov/dailymed/search.cfm?labeltype=all&amp;query=pegfilgrastim"/>
    <hyperlink ref="S162" r:id="rId157" display="https://dailymed.nlm.nih.gov/dailymed/search.cfm?labeltype=all&amp;query=bortezomib"/>
    <hyperlink ref="S163" r:id="rId158" display="https://www.medicines.org.uk/emc/search?q=amoxicillin+injection"/>
    <hyperlink ref="S164" r:id="rId159" display="https://dailymed.nlm.nih.gov/dailymed/search.cfm?labeltype=all&amp;query=paclitaxel"/>
    <hyperlink ref="S165" r:id="rId160" display="https://dailymed.nlm.nih.gov/dailymed/search.cfm?labeltype=all&amp;query=daptomycin"/>
    <hyperlink ref="S166" r:id="rId161" display="https://dailymed.nlm.nih.gov/dailymed/search.cfm?labeltype=all&amp;query=plerixafor"/>
    <hyperlink ref="S167" r:id="rId162" display="https://dailymed.nlm.nih.gov/dailymed/search.cfm?labeltype=all&amp;query=fulvestrant"/>
    <hyperlink ref="S168" r:id="rId163" display="https://dailymed.nlm.nih.gov/dailymed/search.cfm?labeltype=all&amp;query=sugammadex"/>
    <hyperlink ref="S169" r:id="rId164" display="https://dailymed.nlm.nih.gov/dailymed/search.cfm?labeltype=all&amp;query=doxorubicin"/>
    <hyperlink ref="S170" r:id="rId165" display="https://dailymed.nlm.nih.gov/dailymed/search.cfm?labeltype=all&amp;query=mitomycin"/>
    <hyperlink ref="S171" r:id="rId166" display="https://dailymed.nlm.nih.gov/dailymed/search.cfm?labeltype=all&amp;query=fludarabine"/>
    <hyperlink ref="S172" r:id="rId167" display="https://dailymed.nlm.nih.gov/dailymed/search.cfm?labeltype=all&amp;query=methotrexate+injection"/>
    <hyperlink ref="S173" r:id="rId168" display="https://dailymed.nlm.nih.gov/dailymed/search.cfm?labeltype=all&amp;query=ustekinumab"/>
    <hyperlink ref="S174" r:id="rId169" display="https://dailymed.nlm.nih.gov/dailymed/search.cfm?labeltype=all&amp;query=denosumab"/>
    <hyperlink ref="S175" r:id="rId170" display="https://dailymed.nlm.nih.gov/dailymed/search.cfm?labeltype=all&amp;query=leuprolide"/>
    <hyperlink ref="S176" r:id="rId171" display="https://dailymed.nlm.nih.gov/dailymed/search.cfm?labeltype=all&amp;query=eptifibatide"/>
    <hyperlink ref="S177" r:id="rId172" display="https://dailymed.nlm.nih.gov/dailymed/search.cfm?labeltype=all&amp;query=fluorouracil+injection"/>
    <hyperlink ref="S178" r:id="rId173" display="https://dailymed.nlm.nih.gov/dailymed/search.cfm?labeltype=all&amp;query=ondansetron+injection"/>
    <hyperlink ref="S179" r:id="rId174" display="https://dailymed.nlm.nih.gov/dailymed/search.cfm?labeltype=all&amp;query=melphalan+hydrochloride"/>
    <hyperlink ref="S180" r:id="rId175" display="https://dailymed.nlm.nih.gov/dailymed/search.cfm?labeltype=all&amp;query=eribulin"/>
    <hyperlink ref="S181" r:id="rId176" display="https://www.medicines.org.uk/emc/search?q=teicoplanin"/>
    <hyperlink ref="S182" r:id="rId177" display="https://dailymed.nlm.nih.gov/dailymed/search.cfm?labeltype=all&amp;query=cyclophosphamide"/>
    <hyperlink ref="S183" r:id="rId178" display="https://dailymed.nlm.nih.gov/dailymed/search.cfm?labeltype=all&amp;query=bleomycin"/>
    <hyperlink ref="S184" r:id="rId179" display="https://dailymed.nlm.nih.gov/dailymed/search.cfm?labeltype=all&amp;query=ranibizumab"/>
    <hyperlink ref="S185" r:id="rId180" display="https://dailymed.nlm.nih.gov/dailymed/search.cfm?labeltype=all&amp;query=phenylephrine+hydrochloride+injection"/>
    <hyperlink ref="S186" r:id="rId181" display="https://dailymed.nlm.nih.gov/dailymed/search.cfm?labeltype=all&amp;query=idarubicin"/>
    <hyperlink ref="S187" r:id="rId182" display="https://dailymed.nlm.nih.gov/dailymed/search.cfm?labeltype=all&amp;query=tigecycline"/>
    <hyperlink ref="S188" r:id="rId183" display="https://dailymed.nlm.nih.gov/dailymed/search.cfm?labeltype=all&amp;query=palonosetron"/>
    <hyperlink ref="S189" r:id="rId184" display="https://dailymed.nlm.nih.gov/dailymed/search.cfm?labeltype=all&amp;query=argatroban"/>
    <hyperlink ref="S190" r:id="rId185" display="https://dailymed.nlm.nih.gov/dailymed/search.cfm?labeltype=all&amp;query=bivalirudin"/>
    <hyperlink ref="S191" r:id="rId186" display="https://dailymed.nlm.nih.gov/dailymed/search.cfm?labeltype=all&amp;query=ceftriaxone"/>
    <hyperlink ref="S192" r:id="rId187" display="https://dailymed.nlm.nih.gov/dailymed/search.cfm?labeltype=all&amp;query=epinephrine+injection"/>
    <hyperlink ref="S193" r:id="rId188" display="https://dailymed.nlm.nih.gov/dailymed/search.cfm?labeltype=all&amp;query=atropine"/>
    <hyperlink ref="S194" r:id="rId189" display="https://dailymed.nlm.nih.gov/dailymed/search.cfm?labeltype=all&amp;query=pantoprazole+sodium+for+injection"/>
    <hyperlink ref="S195" r:id="rId190" display="https://dailymed.nlm.nih.gov/dailymed/search.cfm?labeltype=all&amp;query=mitoxantrone"/>
    <hyperlink ref="S196" r:id="rId191" display="https://dailymed.nlm.nih.gov/dailymed/search.cfm?labeltype=all&amp;query=cisatracurium"/>
    <hyperlink ref="S197" r:id="rId192" display="https://dailymed.nlm.nih.gov/dailymed/search.cfm?labeltype=all&amp;query=amiodarone"/>
    <hyperlink ref="S198" r:id="rId193" display="https://dailymed.nlm.nih.gov/dailymed/search.cfm?labeltype=all&amp;query=ibandronate+injection"/>
    <hyperlink ref="S199" r:id="rId194" display="https://dailymed.nlm.nih.gov/dailymed/search.cfm?labeltype=all&amp;query=vinorelbine"/>
    <hyperlink ref="S200" r:id="rId195" display="https://dailymed.nlm.nih.gov/dailymed/search.cfm?labeltype=all&amp;query=epirubicin"/>
    <hyperlink ref="S201" r:id="rId196" display="https://dailymed.nlm.nih.gov/dailymed/search.cfm?labeltype=all&amp;query=esomeprazole+sodium"/>
    <hyperlink ref="S202" r:id="rId197" display="https://dailymed.nlm.nih.gov/dailymed/search.cfm?labeltype=all&amp;query=degarelix"/>
    <hyperlink ref="S203" r:id="rId198" display="https://dailymed.nlm.nih.gov/dailymed/search.cfm?labeltype=all&amp;query=midazolam+injection"/>
    <hyperlink ref="S204" r:id="rId199" display="https://dailymed.nlm.nih.gov/dailymed/search.cfm?labeltype=all&amp;query=cefepime"/>
    <hyperlink ref="S205" r:id="rId200" display="https://dailymed.nlm.nih.gov/dailymed/search.cfm?labeltype=all&amp;query=rocuronium"/>
    <hyperlink ref="S206" r:id="rId201" display="https://dailymed.nlm.nih.gov/dailymed/search.cfm?labeltype=all&amp;query=cytarabine"/>
    <hyperlink ref="S207" r:id="rId202" display="https://dailymed.nlm.nih.gov/dailymed/search.cfm?labeltype=all&amp;query=paricalcitol+injection"/>
    <hyperlink ref="S208" r:id="rId203" display="https://www.medicines.org.uk/emc/search?q=flucloxacillin"/>
    <hyperlink ref="S209" r:id="rId204" display="https://www.medicines.org.uk/emc/search?q=atracurium"/>
    <hyperlink ref="S210" r:id="rId205" display="https://dailymed.nlm.nih.gov/dailymed/search.cfm?labeltype=all&amp;query=colistimethate"/>
    <hyperlink ref="S211" r:id="rId206" display="https://dailymed.nlm.nih.gov/dailymed/search.cfm?labeltype=all&amp;query=succinylcholine"/>
    <hyperlink ref="S212" r:id="rId207" display="https://dailymed.nlm.nih.gov/dailymed/search.cfm?labeltype=all&amp;query=vincristine"/>
    <hyperlink ref="S213" r:id="rId208" display="https://dailymed.nlm.nih.gov/dailymed/search.cfm?labeltype=all&amp;query=regadenoson"/>
    <hyperlink ref="S214" r:id="rId209" display="https://dailymed.nlm.nih.gov/dailymed/search.cfm?labeltype=all&amp;query=progesterone+injection"/>
    <hyperlink ref="S215" r:id="rId210" display="https://www.medicines.org.uk/emc/search?q=hydroxocobalamin"/>
    <hyperlink ref="S216" r:id="rId211" display="https://dailymed.nlm.nih.gov/dailymed/search.cfm?labeltype=all&amp;query=naloxone+hydrochloride+injection"/>
    <hyperlink ref="S217" r:id="rId212" display="https://dailymed.nlm.nih.gov/dailymed/search.cfm?labeltype=all&amp;query=lidocaine+hydrochloride+injection"/>
    <hyperlink ref="S218" r:id="rId213" display="https://dailymed.nlm.nih.gov/dailymed/search.cfm?labeltype=all&amp;query=phenytoin+sodium+injection"/>
    <hyperlink ref="S219" r:id="rId214" display="https://dailymed.nlm.nih.gov/dailymed/search.cfm?labeltype=all&amp;query=glycopyrrolate+injection"/>
    <hyperlink ref="S220" r:id="rId215" display="https://dailymed.nlm.nih.gov/dailymed/search.cfm?labeltype=all&amp;query=sugammadex"/>
    <hyperlink ref="S221" r:id="rId216" display="https://dailymed.nlm.nih.gov/dailymed/search.cfm?labeltype=all&amp;query=ertapenem"/>
    <hyperlink ref="S222" r:id="rId217" display="https://dailymed.nlm.nih.gov/dailymed/search.cfm?labeltype=all&amp;query=daptomycin"/>
    <hyperlink ref="S223" r:id="rId218" display="https://dailymed.nlm.nih.gov/dailymed/search.cfm?labeltype=all&amp;query=meropenem"/>
    <hyperlink ref="S224" r:id="rId219" display="https://www.medicines.org.uk/emc/search?q=teicoplanin"/>
    <hyperlink ref="S225" r:id="rId220" display="https://dailymed.nlm.nih.gov/dailymed/search.cfm?labeltype=all&amp;query=cisatracurium"/>
    <hyperlink ref="S226" r:id="rId221" display="https://dailymed.nlm.nih.gov/dailymed/search.cfm?labeltype=all&amp;query=testosterone+undecanoate"/>
    <hyperlink ref="S227" r:id="rId222" display="https://dailymed.nlm.nih.gov/dailymed/search.cfm?labeltype=all&amp;query=oxytocin"/>
    <hyperlink ref="S228" r:id="rId223" display="https://dailymed.nlm.nih.gov/dailymed/search.cfm?labeltype=all&amp;query=iron+sucrose"/>
    <hyperlink ref="S229" r:id="rId224" display="https://dailymed.nlm.nih.gov/dailymed/search.cfm?labeltype=all&amp;query=olanzapine+for+injection"/>
    <hyperlink ref="S230" r:id="rId225" display="https://dailymed.nlm.nih.gov/dailymed/search.cfm?labeltype=all&amp;query=milrinone"/>
    <hyperlink ref="S231" r:id="rId226" display="https://dailymed.nlm.nih.gov/dailymed/search.cfm?labeltype=all&amp;query=alfentanil"/>
    <hyperlink ref="S232" r:id="rId227" display="https://dailymed.nlm.nih.gov/dailymed/search.cfm?labeltype=all&amp;query=ephedrine+sulfate+injection"/>
    <hyperlink ref="S233" r:id="rId228" display="https://dailymed.nlm.nih.gov/dailymed/search.cfm?labeltype=all&amp;query=diazepam+injection"/>
    <hyperlink ref="S234" r:id="rId229" display="https://dailymed.nlm.nih.gov/dailymed/search.cfm?labeltype=all&amp;query=remifentanil"/>
    <hyperlink ref="S235" r:id="rId230" display="https://dailymed.nlm.nih.gov/dailymed/search.cfm?labeltype=all&amp;query=fentanyl+citrate+injection"/>
    <hyperlink ref="S236" r:id="rId231" display="https://dailymed.nlm.nih.gov/dailymed/search.cfm?labeltype=all&amp;query=droperidol"/>
    <hyperlink ref="S237" r:id="rId232" display="https://dailymed.nlm.nih.gov/dailymed/search.cfm?labeltype=all&amp;query=cefazolin"/>
    <hyperlink ref="S238" r:id="rId233" display="https://dailymed.nlm.nih.gov/dailymed/search.cfm?labeltype=all&amp;query=famotidine+injection"/>
    <hyperlink ref="S239" r:id="rId234" display="https://dailymed.nlm.nih.gov/dailymed/search.cfm?labeltype=all&amp;query=bortezomib"/>
    <hyperlink ref="S240" r:id="rId235" display="https://dailymed.nlm.nih.gov/dailymed/search.cfm?labeltype=all&amp;query=plerixafor"/>
    <hyperlink ref="S241" r:id="rId236" display="https://dailymed.nlm.nih.gov/dailymed/search.cfm?labeltype=all&amp;query=sugammadex"/>
    <hyperlink ref="S242" r:id="rId237" display="https://dailymed.nlm.nih.gov/dailymed/search.cfm?labeltype=all&amp;query=fluphenazine+decanoate"/>
    <hyperlink ref="S243" r:id="rId238" display="https://dailymed.nlm.nih.gov/dailymed/search.cfm?labeltype=all&amp;query=gadobutrol"/>
    <hyperlink ref="S244" r:id="rId239" display="https://dailymed.nlm.nih.gov/dailymed/search.cfm?labeltype=all&amp;query=brivaracetam"/>
    <hyperlink ref="S245" r:id="rId240" display="https://dailymed.nlm.nih.gov/dailymed/search.cfm?labeltype=all&amp;query=chlorpromazine"/>
    <hyperlink ref="S246" r:id="rId241" display="https://dailymed.nlm.nih.gov/dailymed/search.cfm?labeltype=all&amp;query=levetiracetam+injection"/>
    <hyperlink ref="S247" r:id="rId242" display="https://dailymed.nlm.nih.gov/dailymed/search.cfm?labeltype=all&amp;query=caffeine+citrate"/>
    <hyperlink ref="S248" r:id="rId243" display="https://dailymed.nlm.nih.gov/dailymed/search.cfm?labeltype=all&amp;query=isoproterenol"/>
    <hyperlink ref="S249" r:id="rId244" display="https://dailymed.nlm.nih.gov/dailymed/search.cfm?labeltype=all&amp;query=carboprost"/>
    <hyperlink ref="S250" r:id="rId245" display="https://www.medicines.org.uk/emc/search?q=cyclizine"/>
    <hyperlink ref="S251" r:id="rId246" display="https://dailymed.nlm.nih.gov/dailymed/search.cfm?labeltype=all&amp;query=brivaracetam"/>
    <hyperlink ref="S252" r:id="rId247" display="https://dailymed.nlm.nih.gov/dailymed/search.cfm?labeltype=all&amp;query=lincomycin"/>
    <hyperlink ref="S253" r:id="rId248" display="https://dailymed.nlm.nih.gov/dailymed/search.cfm?labeltype=all&amp;query=verapamil+hydrochloride+injection"/>
    <hyperlink ref="S254" r:id="rId249" display="https://dailymed.nlm.nih.gov/dailymed/search.cfm?labeltype=all&amp;query=diphenhydramine+injection"/>
    <hyperlink ref="S255" r:id="rId250" display="https://dailymed.nlm.nih.gov/dailymed/search.cfm?labeltype=all&amp;query=succinylcholine"/>
    <hyperlink ref="S256" r:id="rId251" display="https://dailymed.nlm.nih.gov/dailymed/search.cfm?labeltype=all&amp;query=meropenem"/>
    <hyperlink ref="S257" r:id="rId252" display="https://dailymed.nlm.nih.gov/dailymed/search.cfm?labeltype=all&amp;query=carboprost"/>
    <hyperlink ref="S258" r:id="rId253" display="https://dailymed.nlm.nih.gov/dailymed/search.cfm?labeltype=all&amp;query=bupivacaine"/>
    <hyperlink ref="S259" r:id="rId254" display="https://dailymed.nlm.nih.gov/dailymed/search.cfm?labeltype=all&amp;query=methohexital"/>
    <hyperlink ref="S260" r:id="rId255" display="https://dailymed.nlm.nih.gov/dailymed/search.cfm?labeltype=all&amp;query=nafcillin"/>
    <hyperlink ref="S261" r:id="rId256" display="https://dailymed.nlm.nih.gov/dailymed/search.cfm?labeltype=all&amp;query=sugammadex"/>
    <hyperlink ref="S262" r:id="rId257" display="https://dailymed.nlm.nih.gov/dailymed/search.cfm?labeltype=all&amp;query=baclofen"/>
    <hyperlink ref="S263" r:id="rId258" display="https://dailymed.nlm.nih.gov/dailymed/search.cfm?labeltype=all&amp;query=alfentanil"/>
    <hyperlink ref="S264" r:id="rId259" display="https://dailymed.nlm.nih.gov/dailymed/search.cfm?labeltype=all&amp;query=cisatracurium"/>
    <hyperlink ref="S265" r:id="rId260" display="https://dailymed.nlm.nih.gov/dailymed/search.cfm?labeltype=all&amp;query=remifentanil"/>
    <hyperlink ref="S266" r:id="rId261" display="https://dailymed.nlm.nih.gov/dailymed/search.cfm?labeltype=all&amp;query=fentanyl+citrate+injection"/>
    <hyperlink ref="S267" r:id="rId262" display="https://dailymed.nlm.nih.gov/dailymed/search.cfm?labeltype=all&amp;query=etomidate"/>
    <hyperlink ref="S268" r:id="rId263" display="https://dailymed.nlm.nih.gov/dailymed/search.cfm?labeltype=all&amp;query=meropenem"/>
    <hyperlink ref="S269" r:id="rId264" display="https://dailymed.nlm.nih.gov/dailymed/search.cfm?labeltype=all&amp;query=piperacillin+and+tazobactam"/>
    <hyperlink ref="S270" r:id="rId265" display="https://dailymed.nlm.nih.gov/dailymed/search.cfm?labeltype=all&amp;query=ceftazidime"/>
    <hyperlink ref="S271" r:id="rId266" display="https://dailymed.nlm.nih.gov/dailymed/search.cfm?labeltype=all&amp;query=cefepime"/>
    <hyperlink ref="S272" r:id="rId267" display="https://dailymed.nlm.nih.gov/dailymed/search.cfm?labeltype=all&amp;query=hydrocortisone+sodium+succinate"/>
    <hyperlink ref="S273" r:id="rId268" display="https://dailymed.nlm.nih.gov/dailymed/search.cfm?labeltype=all&amp;query=bortezomib"/>
    <hyperlink ref="S274" r:id="rId269" display="https://dailymed.nlm.nih.gov/dailymed/search.cfm?labeltype=all&amp;query=fulvestrant"/>
    <hyperlink ref="S275" r:id="rId270" display="https://dailymed.nlm.nih.gov/dailymed/search.cfm?labeltype=all&amp;query=sugammadex"/>
    <hyperlink ref="S276" r:id="rId271" display="https://dailymed.nlm.nih.gov/dailymed/search.cfm?labeltype=all&amp;query=doxorubicin"/>
    <hyperlink ref="S277" r:id="rId272" display="https://dailymed.nlm.nih.gov/dailymed/search.cfm?labeltype=all&amp;query=meropenem"/>
    <hyperlink ref="S278" r:id="rId273" display="https://dailymed.nlm.nih.gov/dailymed/search.cfm?labeltype=all&amp;query=melphalan+hydrochloride"/>
    <hyperlink ref="S279" r:id="rId274" display="https://www.medicines.org.uk/emc/search?q=teicoplanin"/>
    <hyperlink ref="S280" r:id="rId275" display="https://dailymed.nlm.nih.gov/dailymed/search.cfm?labeltype=all&amp;query=aripiprazole"/>
    <hyperlink ref="S281" r:id="rId276" display="https://dailymed.nlm.nih.gov/dailymed/search.cfm?labeltype=all&amp;query=testosterone+cypionate"/>
    <hyperlink ref="S282" r:id="rId277" display="https://dailymed.nlm.nih.gov/dailymed/search.cfm?labeltype=all&amp;query=octreotide"/>
    <hyperlink ref="S283" r:id="rId278" display="https://dailymed.nlm.nih.gov/dailymed/search.cfm?labeltype=all&amp;query=pantoprazole+sodium+for+injection"/>
    <hyperlink ref="S284" r:id="rId279" display="https://dailymed.nlm.nih.gov/dailymed/search.cfm?labeltype=all&amp;query=chlorothiazide"/>
    <hyperlink ref="S285" r:id="rId280" display="https://dailymed.nlm.nih.gov/dailymed/search.cfm?labeltype=all&amp;query=esomeprazole+sodium"/>
    <hyperlink ref="S286" r:id="rId281" display="https://dailymed.nlm.nih.gov/dailymed/search.cfm?labeltype=all&amp;query=paricalcitol+injection"/>
    <hyperlink ref="S287" r:id="rId282" display="https://dailymed.nlm.nih.gov/dailymed/search.cfm?labeltype=all&amp;query=testosterone+undecanoate"/>
    <hyperlink ref="S288" r:id="rId283" display="https://dailymed.nlm.nih.gov/dailymed/search.cfm?labeltype=all&amp;query=vecuronium"/>
    <hyperlink ref="S289" r:id="rId284" display="https://dailymed.nlm.nih.gov/dailymed/search.cfm?labeltype=all&amp;query=terlipressin"/>
    <hyperlink ref="S290" r:id="rId285" display="https://dailymed.nlm.nih.gov/dailymed/search.cfm?labeltype=all&amp;query=fulvestrant"/>
    <hyperlink ref="S291" r:id="rId286" display="https://dailymed.nlm.nih.gov/dailymed/search.cfm?labeltype=all&amp;query=paliperidone+palmitate"/>
    <hyperlink ref="S292" r:id="rId287" display="https://dailymed.nlm.nih.gov/dailymed/search.cfm?labeltype=all&amp;query=meropenem"/>
    <hyperlink ref="S293" r:id="rId288" display="https://dailymed.nlm.nih.gov/dailymed/search.cfm?labeltype=all&amp;query=levetiracetam+injection"/>
    <hyperlink ref="S294" r:id="rId289" display="https://dailymed.nlm.nih.gov/dailymed/search.cfm?labeltype=all&amp;query=rocuronium"/>
    <hyperlink ref="S295" r:id="rId290" display="https://dailymed.nlm.nih.gov/dailymed/search.cfm?labeltype=all&amp;query=voriconazole"/>
    <hyperlink ref="S296" r:id="rId291" display="https://dailymed.nlm.nih.gov/dailymed/search.cfm?labeltype=all&amp;query=granisetron"/>
    <hyperlink ref="S297" r:id="rId292" display="https://dailymed.nlm.nih.gov/dailymed/search.cfm?labeltype=all&amp;query=ceftriaxone"/>
    <hyperlink ref="S298" r:id="rId293" display="https://dailymed.nlm.nih.gov/dailymed/search.cfm?labeltype=all&amp;query=bleomycin"/>
    <hyperlink ref="S299" r:id="rId294" display="https://dailymed.nlm.nih.gov/dailymed/search.cfm?labeltype=all&amp;query=meropenem"/>
    <hyperlink ref="S300" r:id="rId295" display="https://dailymed.nlm.nih.gov/dailymed/search.cfm?labeltype=all&amp;query=ceftazidime"/>
    <hyperlink ref="S301" r:id="rId296" display="https://dailymed.nlm.nih.gov/dailymed/search.cfm?labeltype=all&amp;query=daptomycin"/>
    <hyperlink ref="S302" r:id="rId297" display="https://dailymed.nlm.nih.gov/dailymed/search.cfm?labeltype=all&amp;query=sugammadex"/>
    <hyperlink ref="S303" r:id="rId298" display="https://dailymed.nlm.nih.gov/dailymed/search.cfm?labeltype=all&amp;query=ceftriaxone"/>
    <hyperlink ref="S304" r:id="rId299" display="https://dailymed.nlm.nih.gov/dailymed/search.cfm?labeltype=all&amp;query=vancomycin+injection"/>
    <hyperlink ref="S305" r:id="rId300" display="https://dailymed.nlm.nih.gov/dailymed/search.cfm?labeltype=all&amp;query=valproate+sodium+injection"/>
    <hyperlink ref="S306" r:id="rId301" display="https://dailymed.nlm.nih.gov/dailymed/search.cfm?labeltype=all&amp;query=ceftazidime"/>
    <hyperlink ref="S307" r:id="rId302" display="https://dailymed.nlm.nih.gov/dailymed/search.cfm?labeltype=all&amp;query=milrinone"/>
    <hyperlink ref="S308" r:id="rId303" display="https://dailymed.nlm.nih.gov/dailymed/search.cfm?labeltype=all&amp;query=ondansetron+injection"/>
    <hyperlink ref="S309" r:id="rId304" display="https://www.medicines.org.uk/emc/search?q=hyalase"/>
    <hyperlink ref="S310" r:id="rId305" display="https://dailymed.nlm.nih.gov/dailymed/search.cfm?labeltype=all&amp;query=haloperidol+lactate"/>
    <hyperlink ref="S311" r:id="rId306" display="https://dailymed.nlm.nih.gov/dailymed/search.cfm?labeltype=all&amp;query=amikacin"/>
    <hyperlink ref="S312" r:id="rId307" display="https://www.medicines.org.uk/emc/search?q=metaraminol"/>
    <hyperlink ref="S313" r:id="rId308" display="https://dailymed.nlm.nih.gov/dailymed/search.cfm?labeltype=all&amp;query=remifentanil"/>
    <hyperlink ref="S314" r:id="rId309" display="https://dailymed.nlm.nih.gov/dailymed/search.cfm?labeltype=all&amp;query=protamine"/>
    <hyperlink ref="S315" r:id="rId310" display="https://www.medicines.org.uk/emc/search?q=hyoscine+hydrobromide+injection"/>
    <hyperlink ref="S316" r:id="rId311" display="https://dailymed.nlm.nih.gov/dailymed/search.cfm?labeltype=all&amp;query=adenosine"/>
    <hyperlink ref="S317" r:id="rId312" display="https://dailymed.nlm.nih.gov/dailymed/search.cfm?labeltype=all&amp;query=caffeine+citrate"/>
    <hyperlink ref="S318" r:id="rId313" display="https://dailymed.nlm.nih.gov/dailymed/search.cfm?labeltype=all&amp;query=oxacillin"/>
    <hyperlink ref="S319" r:id="rId314" display="https://dailymed.nlm.nih.gov/dailymed/search.cfm?labeltype=all&amp;query=morphine+sulfate+injection"/>
    <hyperlink ref="S320" r:id="rId315" display="https://www.medicines.org.uk/emc/search?q=chlorphenamine+injection"/>
    <hyperlink ref="S321" r:id="rId316" display="https://dailymed.nlm.nih.gov/dailymed/search.cfm?labeltype=all&amp;query=bortezomib"/>
    <hyperlink ref="S322" r:id="rId317" display="https://dailymed.nlm.nih.gov/dailymed/search.cfm?labeltype=all&amp;query=sugammadex"/>
    <hyperlink ref="S323" r:id="rId318" display="https://dailymed.nlm.nih.gov/dailymed/search.cfm?labeltype=all&amp;query=fulvestrant"/>
    <hyperlink ref="S324" r:id="rId319" display="https://dailymed.nlm.nih.gov/dailymed/search.cfm?labeltype=all&amp;query=ceftriaxone"/>
    <hyperlink ref="S325" r:id="rId320" display="https://dailymed.nlm.nih.gov/dailymed/search.cfm?labeltype=all&amp;query=ethacrynate+sodium"/>
    <hyperlink ref="S326" r:id="rId321" display="https://dailymed.nlm.nih.gov/dailymed/search.cfm?labeltype=all&amp;query=hydrocortisone+sodium+succinate"/>
    <hyperlink ref="S327" r:id="rId322" display="https://dailymed.nlm.nih.gov/dailymed/search.cfm?labeltype=all&amp;query=indocyanine+green"/>
    <hyperlink ref="S328" r:id="rId323" display="https://dailymed.nlm.nih.gov/dailymed/search.cfm?labeltype=all&amp;query=iron+sucrose"/>
    <hyperlink ref="S329" r:id="rId324" display="https://dailymed.nlm.nih.gov/dailymed/search.cfm?labeltype=all&amp;query=ondansetron+injection"/>
    <hyperlink ref="S330" r:id="rId325" display="https://dailymed.nlm.nih.gov/dailymed/search.cfm?labeltype=all&amp;query=cyanocobalamin+injection"/>
    <hyperlink ref="S331" r:id="rId326" display="https://dailymed.nlm.nih.gov/dailymed/search.cfm?labeltype=all&amp;query=fluorescein"/>
    <hyperlink ref="S332" r:id="rId327" display="https://dailymed.nlm.nih.gov/dailymed/search.cfm?labeltype=all&amp;query=cisatracurium"/>
    <hyperlink ref="S333" r:id="rId328" display="https://dailymed.nlm.nih.gov/dailymed/search.cfm?labeltype=all&amp;query=acetazolamide"/>
    <hyperlink ref="S334" r:id="rId329" display="https://dailymed.nlm.nih.gov/dailymed/search.cfm?labeltype=all&amp;query=haloperidol+decanoate"/>
    <hyperlink ref="S335" r:id="rId330" display="https://dailymed.nlm.nih.gov/dailymed/search.cfm?labeltype=all&amp;query=chlorpromazine"/>
    <hyperlink ref="S336" r:id="rId331" display="https://dailymed.nlm.nih.gov/dailymed/search.cfm?labeltype=all&amp;query=succinylcholine"/>
    <hyperlink ref="S337" r:id="rId332" display="https://dailymed.nlm.nih.gov/dailymed/search.cfm?labeltype=all&amp;query=verapamil+hydrochloride+injection"/>
    <hyperlink ref="S338" r:id="rId333" display="https://dailymed.nlm.nih.gov/dailymed/search.cfm?labeltype=all&amp;query=etomidat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3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AB7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26"/>
    <col collapsed="false" customWidth="true" hidden="false" outlineLevel="0" max="4" min="4" style="0" width="22"/>
    <col collapsed="false" customWidth="true" hidden="false" outlineLevel="0" max="5" min="5" style="0" width="18"/>
    <col collapsed="false" customWidth="true" hidden="false" outlineLevel="0" max="6" min="6" style="0" width="30"/>
    <col collapsed="false" customWidth="true" hidden="false" outlineLevel="0" max="8" min="7" style="0" width="10"/>
    <col collapsed="false" customWidth="true" hidden="false" outlineLevel="0" max="9" min="9" style="0" width="8"/>
    <col collapsed="false" customWidth="true" hidden="false" outlineLevel="0" max="10" min="10" style="0" width="9"/>
    <col collapsed="false" customWidth="true" hidden="false" outlineLevel="0" max="11" min="11" style="0" width="10"/>
    <col collapsed="false" customWidth="true" hidden="false" outlineLevel="0" max="12" min="12" style="0" width="34"/>
    <col collapsed="false" customWidth="true" hidden="false" outlineLevel="0" max="13" min="13" style="0" width="10"/>
    <col collapsed="false" customWidth="true" hidden="false" outlineLevel="0" max="14" min="14" style="0" width="12"/>
    <col collapsed="false" customWidth="true" hidden="false" outlineLevel="0" max="15" min="15" style="0" width="13"/>
    <col collapsed="false" customWidth="true" hidden="false" outlineLevel="0" max="16" min="16" style="0" width="26"/>
    <col collapsed="false" customWidth="true" hidden="false" outlineLevel="0" max="17" min="17" style="0" width="40"/>
    <col collapsed="false" customWidth="true" hidden="false" outlineLevel="0" max="18" min="18" style="0" width="9"/>
    <col collapsed="false" customWidth="true" hidden="false" outlineLevel="0" max="19" min="19" style="0" width="10"/>
    <col collapsed="false" customWidth="true" hidden="false" outlineLevel="0" max="20" min="20" style="0" width="44"/>
    <col collapsed="false" customWidth="true" hidden="false" outlineLevel="0" max="21" min="21" style="0" width="8"/>
    <col collapsed="false" customWidth="true" hidden="false" outlineLevel="0" max="22" min="22" style="0" width="18"/>
    <col collapsed="false" customWidth="true" hidden="false" outlineLevel="0" max="23" min="23" style="0" width="13"/>
    <col collapsed="false" customWidth="true" hidden="false" outlineLevel="0" max="24" min="24" style="0" width="14"/>
    <col collapsed="false" customWidth="true" hidden="false" outlineLevel="0" max="25" min="25" style="0" width="26"/>
    <col collapsed="false" customWidth="true" hidden="false" outlineLevel="0" max="26" min="26" style="0" width="11"/>
    <col collapsed="false" customWidth="true" hidden="false" outlineLevel="0" max="27" min="27" style="0" width="8"/>
    <col collapsed="false" customWidth="true" hidden="false" outlineLevel="0" max="28" min="28" style="0" width="9"/>
  </cols>
  <sheetData>
    <row r="1" customFormat="false" ht="17.35" hidden="false" customHeight="false" outlineLevel="0" collapsed="false">
      <c r="A1" s="1" t="s">
        <v>628</v>
      </c>
    </row>
    <row r="2" customFormat="false" ht="15" hidden="false" customHeight="false" outlineLevel="0" collapsed="false">
      <c r="A2" s="2" t="s">
        <v>629</v>
      </c>
    </row>
    <row r="3" customFormat="false" ht="15" hidden="false" customHeight="false" outlineLevel="0" collapsed="false">
      <c r="A3" s="31" t="s">
        <v>630</v>
      </c>
      <c r="M3" s="32" t="s">
        <v>631</v>
      </c>
    </row>
    <row r="4" customFormat="false" ht="42" hidden="false" customHeight="true" outlineLevel="0" collapsed="false">
      <c r="A4" s="6" t="s">
        <v>632</v>
      </c>
      <c r="B4" s="6" t="s">
        <v>633</v>
      </c>
      <c r="C4" s="6" t="s">
        <v>634</v>
      </c>
      <c r="D4" s="6" t="s">
        <v>635</v>
      </c>
      <c r="E4" s="6" t="s">
        <v>636</v>
      </c>
      <c r="F4" s="6" t="s">
        <v>637</v>
      </c>
      <c r="G4" s="6" t="s">
        <v>638</v>
      </c>
      <c r="H4" s="6" t="s">
        <v>639</v>
      </c>
      <c r="I4" s="6" t="s">
        <v>640</v>
      </c>
      <c r="J4" s="6" t="s">
        <v>641</v>
      </c>
      <c r="K4" s="6" t="s">
        <v>642</v>
      </c>
      <c r="L4" s="6" t="s">
        <v>643</v>
      </c>
      <c r="M4" s="33" t="s">
        <v>644</v>
      </c>
      <c r="N4" s="33" t="s">
        <v>645</v>
      </c>
      <c r="O4" s="33" t="s">
        <v>66</v>
      </c>
      <c r="P4" s="33" t="s">
        <v>646</v>
      </c>
      <c r="Q4" s="33" t="s">
        <v>647</v>
      </c>
      <c r="R4" s="33" t="s">
        <v>648</v>
      </c>
      <c r="S4" s="33" t="s">
        <v>67</v>
      </c>
      <c r="T4" s="33" t="s">
        <v>649</v>
      </c>
      <c r="U4" s="33" t="s">
        <v>69</v>
      </c>
      <c r="V4" s="33" t="s">
        <v>650</v>
      </c>
      <c r="W4" s="33" t="s">
        <v>70</v>
      </c>
      <c r="X4" s="33" t="s">
        <v>71</v>
      </c>
      <c r="Y4" s="33" t="s">
        <v>72</v>
      </c>
      <c r="Z4" s="33" t="s">
        <v>651</v>
      </c>
      <c r="AA4" s="33" t="s">
        <v>302</v>
      </c>
      <c r="AB4" s="33" t="s">
        <v>64</v>
      </c>
    </row>
    <row r="5" customFormat="false" ht="35.05" hidden="false" customHeight="false" outlineLevel="0" collapsed="false">
      <c r="A5" s="7" t="n">
        <v>1</v>
      </c>
      <c r="B5" s="12" t="s">
        <v>162</v>
      </c>
      <c r="C5" s="10" t="s">
        <v>652</v>
      </c>
      <c r="D5" s="12" t="s">
        <v>653</v>
      </c>
      <c r="E5" s="12" t="s">
        <v>654</v>
      </c>
      <c r="F5" s="10" t="s">
        <v>655</v>
      </c>
      <c r="G5" s="12" t="s">
        <v>656</v>
      </c>
      <c r="H5" s="26" t="n">
        <v>30.01</v>
      </c>
      <c r="I5" s="7" t="n">
        <v>1</v>
      </c>
      <c r="J5" s="7" t="n">
        <v>156</v>
      </c>
      <c r="K5" s="11" t="n">
        <v>3954.83</v>
      </c>
      <c r="L5" s="10" t="s">
        <v>163</v>
      </c>
      <c r="M5" s="26" t="n">
        <v>30.01</v>
      </c>
      <c r="N5" s="12" t="s">
        <v>657</v>
      </c>
      <c r="O5" s="12" t="s">
        <v>102</v>
      </c>
      <c r="P5" s="10" t="s">
        <v>658</v>
      </c>
      <c r="Q5" s="30" t="s">
        <v>659</v>
      </c>
      <c r="R5" s="34" t="n">
        <v>0.916666666666667</v>
      </c>
      <c r="S5" s="11" t="n">
        <v>3625.3</v>
      </c>
      <c r="T5" s="10" t="s">
        <v>660</v>
      </c>
      <c r="U5" s="7" t="n">
        <v>3</v>
      </c>
      <c r="V5" s="12" t="s">
        <v>144</v>
      </c>
      <c r="W5" s="12" t="s">
        <v>79</v>
      </c>
      <c r="X5" s="12" t="s">
        <v>86</v>
      </c>
      <c r="Y5" s="10"/>
      <c r="Z5" s="7" t="s">
        <v>74</v>
      </c>
      <c r="AA5" s="7" t="n">
        <v>2</v>
      </c>
      <c r="AB5" s="9" t="n">
        <v>0.548044559189138</v>
      </c>
    </row>
    <row r="6" customFormat="false" ht="35.05" hidden="false" customHeight="false" outlineLevel="0" collapsed="false">
      <c r="A6" s="7" t="n">
        <v>2</v>
      </c>
      <c r="B6" s="12" t="s">
        <v>291</v>
      </c>
      <c r="C6" s="10" t="s">
        <v>291</v>
      </c>
      <c r="D6" s="12" t="s">
        <v>653</v>
      </c>
      <c r="E6" s="12" t="s">
        <v>661</v>
      </c>
      <c r="F6" s="10" t="s">
        <v>662</v>
      </c>
      <c r="G6" s="12" t="s">
        <v>663</v>
      </c>
      <c r="H6" s="26"/>
      <c r="I6" s="7" t="n">
        <v>1</v>
      </c>
      <c r="J6" s="7" t="n">
        <v>180</v>
      </c>
      <c r="K6" s="11" t="n">
        <v>5403.25</v>
      </c>
      <c r="L6" s="10" t="s">
        <v>292</v>
      </c>
      <c r="M6" s="35" t="n">
        <v>10.14</v>
      </c>
      <c r="N6" s="12" t="s">
        <v>664</v>
      </c>
      <c r="O6" s="12" t="s">
        <v>102</v>
      </c>
      <c r="P6" s="10" t="s">
        <v>665</v>
      </c>
      <c r="Q6" s="30" t="s">
        <v>666</v>
      </c>
      <c r="R6" s="34" t="n">
        <v>0.194998811159637</v>
      </c>
      <c r="S6" s="11" t="n">
        <v>1053.6</v>
      </c>
      <c r="T6" s="10" t="s">
        <v>144</v>
      </c>
      <c r="U6" s="7" t="n">
        <v>1</v>
      </c>
      <c r="V6" s="12" t="s">
        <v>144</v>
      </c>
      <c r="W6" s="12" t="s">
        <v>85</v>
      </c>
      <c r="X6" s="12" t="s">
        <v>86</v>
      </c>
      <c r="Y6" s="10" t="s">
        <v>87</v>
      </c>
      <c r="Z6" s="7" t="s">
        <v>74</v>
      </c>
      <c r="AA6" s="7" t="n">
        <v>4</v>
      </c>
      <c r="AB6" s="9" t="n">
        <v>0.197523427041499</v>
      </c>
    </row>
    <row r="7" customFormat="false" ht="35.05" hidden="false" customHeight="false" outlineLevel="0" collapsed="false">
      <c r="A7" s="7" t="n">
        <v>3</v>
      </c>
      <c r="B7" s="12" t="s">
        <v>289</v>
      </c>
      <c r="C7" s="10" t="s">
        <v>667</v>
      </c>
      <c r="D7" s="12" t="s">
        <v>653</v>
      </c>
      <c r="E7" s="12" t="s">
        <v>668</v>
      </c>
      <c r="F7" s="10" t="s">
        <v>669</v>
      </c>
      <c r="G7" s="12" t="s">
        <v>656</v>
      </c>
      <c r="H7" s="26" t="n">
        <v>15.1</v>
      </c>
      <c r="I7" s="7" t="n">
        <v>1</v>
      </c>
      <c r="J7" s="7" t="n">
        <v>1282</v>
      </c>
      <c r="K7" s="11" t="n">
        <v>16792.84</v>
      </c>
      <c r="L7" s="10" t="s">
        <v>290</v>
      </c>
      <c r="M7" s="26" t="n">
        <v>15.1</v>
      </c>
      <c r="N7" s="12" t="s">
        <v>657</v>
      </c>
      <c r="O7" s="12" t="s">
        <v>102</v>
      </c>
      <c r="P7" s="10" t="s">
        <v>658</v>
      </c>
      <c r="Q7" s="30" t="s">
        <v>670</v>
      </c>
      <c r="R7" s="34" t="n">
        <v>0.776857437207773</v>
      </c>
      <c r="S7" s="11" t="n">
        <v>13045.6</v>
      </c>
      <c r="T7" s="10" t="s">
        <v>144</v>
      </c>
      <c r="U7" s="7" t="n">
        <v>1</v>
      </c>
      <c r="V7" s="12" t="s">
        <v>144</v>
      </c>
      <c r="W7" s="12" t="s">
        <v>79</v>
      </c>
      <c r="X7" s="12" t="s">
        <v>671</v>
      </c>
      <c r="Y7" s="10" t="s">
        <v>104</v>
      </c>
      <c r="Z7" s="7" t="s">
        <v>74</v>
      </c>
      <c r="AA7" s="7" t="n">
        <v>3</v>
      </c>
      <c r="AB7" s="9" t="n">
        <v>0.488511187607573</v>
      </c>
    </row>
    <row r="8" customFormat="false" ht="35.05" hidden="false" customHeight="false" outlineLevel="0" collapsed="false">
      <c r="A8" s="7" t="n">
        <v>4</v>
      </c>
      <c r="B8" s="12" t="s">
        <v>289</v>
      </c>
      <c r="C8" s="10" t="s">
        <v>667</v>
      </c>
      <c r="D8" s="12" t="s">
        <v>653</v>
      </c>
      <c r="E8" s="12" t="s">
        <v>672</v>
      </c>
      <c r="F8" s="10" t="s">
        <v>673</v>
      </c>
      <c r="G8" s="12" t="s">
        <v>656</v>
      </c>
      <c r="H8" s="26" t="n">
        <v>5.61</v>
      </c>
      <c r="I8" s="7" t="n">
        <v>1</v>
      </c>
      <c r="J8" s="7" t="n">
        <v>1282</v>
      </c>
      <c r="K8" s="11" t="n">
        <v>16792.84</v>
      </c>
      <c r="L8" s="10" t="s">
        <v>290</v>
      </c>
      <c r="M8" s="26" t="n">
        <v>5.61</v>
      </c>
      <c r="N8" s="12" t="s">
        <v>657</v>
      </c>
      <c r="O8" s="12" t="s">
        <v>102</v>
      </c>
      <c r="P8" s="10" t="s">
        <v>658</v>
      </c>
      <c r="Q8" s="30" t="s">
        <v>670</v>
      </c>
      <c r="R8" s="34" t="n">
        <v>0.776857437207773</v>
      </c>
      <c r="S8" s="11" t="n">
        <v>13045.6</v>
      </c>
      <c r="T8" s="10" t="s">
        <v>144</v>
      </c>
      <c r="U8" s="7" t="n">
        <v>1</v>
      </c>
      <c r="V8" s="12" t="s">
        <v>144</v>
      </c>
      <c r="W8" s="12" t="s">
        <v>79</v>
      </c>
      <c r="X8" s="12" t="s">
        <v>86</v>
      </c>
      <c r="Y8" s="10" t="s">
        <v>104</v>
      </c>
      <c r="Z8" s="7" t="s">
        <v>74</v>
      </c>
      <c r="AA8" s="7" t="n">
        <v>3</v>
      </c>
      <c r="AB8" s="9" t="n">
        <v>0.488511187607573</v>
      </c>
    </row>
    <row r="9" customFormat="false" ht="35.05" hidden="false" customHeight="false" outlineLevel="0" collapsed="false">
      <c r="A9" s="7" t="n">
        <v>5</v>
      </c>
      <c r="B9" s="12" t="s">
        <v>312</v>
      </c>
      <c r="C9" s="10" t="s">
        <v>312</v>
      </c>
      <c r="D9" s="12" t="s">
        <v>653</v>
      </c>
      <c r="E9" s="12" t="s">
        <v>674</v>
      </c>
      <c r="F9" s="10" t="s">
        <v>675</v>
      </c>
      <c r="G9" s="12" t="s">
        <v>663</v>
      </c>
      <c r="H9" s="26"/>
      <c r="I9" s="7" t="n">
        <v>1</v>
      </c>
      <c r="J9" s="7" t="n">
        <v>51</v>
      </c>
      <c r="K9" s="11" t="n">
        <v>5770.02</v>
      </c>
      <c r="L9" s="10" t="s">
        <v>313</v>
      </c>
      <c r="M9" s="35" t="n">
        <v>3.99</v>
      </c>
      <c r="N9" s="12" t="s">
        <v>664</v>
      </c>
      <c r="O9" s="12" t="s">
        <v>102</v>
      </c>
      <c r="P9" s="10" t="s">
        <v>665</v>
      </c>
      <c r="Q9" s="30" t="s">
        <v>666</v>
      </c>
      <c r="R9" s="34" t="n">
        <v>0.455812270878129</v>
      </c>
      <c r="S9" s="11" t="n">
        <v>2630</v>
      </c>
      <c r="T9" s="10" t="s">
        <v>144</v>
      </c>
      <c r="U9" s="7" t="n">
        <v>1</v>
      </c>
      <c r="V9" s="12" t="s">
        <v>144</v>
      </c>
      <c r="W9" s="12" t="s">
        <v>85</v>
      </c>
      <c r="X9" s="12" t="s">
        <v>86</v>
      </c>
      <c r="Y9" s="10" t="s">
        <v>87</v>
      </c>
      <c r="Z9" s="7" t="s">
        <v>676</v>
      </c>
      <c r="AA9" s="7"/>
      <c r="AB9" s="9" t="n">
        <v>0.331325301204819</v>
      </c>
    </row>
    <row r="10" customFormat="false" ht="35.05" hidden="false" customHeight="false" outlineLevel="0" collapsed="false">
      <c r="A10" s="7" t="n">
        <v>6</v>
      </c>
      <c r="B10" s="12" t="s">
        <v>308</v>
      </c>
      <c r="C10" s="10" t="s">
        <v>308</v>
      </c>
      <c r="D10" s="12" t="s">
        <v>653</v>
      </c>
      <c r="E10" s="12" t="s">
        <v>677</v>
      </c>
      <c r="F10" s="10" t="s">
        <v>678</v>
      </c>
      <c r="G10" s="12" t="s">
        <v>656</v>
      </c>
      <c r="H10" s="26"/>
      <c r="I10" s="7" t="n">
        <v>1</v>
      </c>
      <c r="J10" s="7" t="n">
        <v>735</v>
      </c>
      <c r="K10" s="11" t="n">
        <v>16205.48</v>
      </c>
      <c r="L10" s="10" t="s">
        <v>309</v>
      </c>
      <c r="M10" s="35" t="n">
        <v>3.15</v>
      </c>
      <c r="N10" s="12" t="s">
        <v>664</v>
      </c>
      <c r="O10" s="12" t="s">
        <v>102</v>
      </c>
      <c r="P10" s="10" t="s">
        <v>665</v>
      </c>
      <c r="Q10" s="30" t="s">
        <v>666</v>
      </c>
      <c r="R10" s="34" t="n">
        <v>0.262678151411075</v>
      </c>
      <c r="S10" s="11" t="n">
        <v>4256.8</v>
      </c>
      <c r="T10" s="10" t="s">
        <v>144</v>
      </c>
      <c r="U10" s="7" t="n">
        <v>1</v>
      </c>
      <c r="V10" s="12" t="s">
        <v>144</v>
      </c>
      <c r="W10" s="12" t="s">
        <v>97</v>
      </c>
      <c r="X10" s="12" t="s">
        <v>97</v>
      </c>
      <c r="Y10" s="10"/>
      <c r="Z10" s="7" t="s">
        <v>676</v>
      </c>
      <c r="AA10" s="7"/>
      <c r="AB10" s="9" t="n">
        <v>0.512048192771084</v>
      </c>
    </row>
    <row r="11" customFormat="false" ht="23.85" hidden="false" customHeight="false" outlineLevel="0" collapsed="false">
      <c r="A11" s="7" t="n">
        <v>7</v>
      </c>
      <c r="B11" s="12" t="s">
        <v>114</v>
      </c>
      <c r="C11" s="10" t="s">
        <v>114</v>
      </c>
      <c r="D11" s="12" t="s">
        <v>653</v>
      </c>
      <c r="E11" s="12" t="s">
        <v>679</v>
      </c>
      <c r="F11" s="10" t="s">
        <v>680</v>
      </c>
      <c r="G11" s="12" t="s">
        <v>681</v>
      </c>
      <c r="H11" s="26" t="n">
        <v>29.97</v>
      </c>
      <c r="I11" s="7" t="n">
        <v>1</v>
      </c>
      <c r="J11" s="7" t="n">
        <v>146</v>
      </c>
      <c r="K11" s="11" t="n">
        <v>11366.06</v>
      </c>
      <c r="L11" s="10" t="s">
        <v>115</v>
      </c>
      <c r="M11" s="26" t="n">
        <v>29.97</v>
      </c>
      <c r="N11" s="12" t="s">
        <v>657</v>
      </c>
      <c r="O11" s="12" t="s">
        <v>102</v>
      </c>
      <c r="P11" s="10" t="s">
        <v>658</v>
      </c>
      <c r="Q11" s="30" t="s">
        <v>682</v>
      </c>
      <c r="R11" s="34" t="n">
        <v>1</v>
      </c>
      <c r="S11" s="11" t="n">
        <v>11366.1</v>
      </c>
      <c r="T11" s="10" t="s">
        <v>144</v>
      </c>
      <c r="U11" s="7" t="n">
        <v>1</v>
      </c>
      <c r="V11" s="12" t="s">
        <v>144</v>
      </c>
      <c r="W11" s="12" t="s">
        <v>85</v>
      </c>
      <c r="X11" s="12" t="s">
        <v>86</v>
      </c>
      <c r="Y11" s="10" t="s">
        <v>87</v>
      </c>
      <c r="Z11" s="7" t="s">
        <v>74</v>
      </c>
      <c r="AA11" s="7" t="n">
        <v>1</v>
      </c>
      <c r="AB11" s="9" t="n">
        <v>0.595754446356856</v>
      </c>
    </row>
    <row r="12" customFormat="false" ht="35.05" hidden="false" customHeight="false" outlineLevel="0" collapsed="false">
      <c r="A12" s="7" t="n">
        <v>8</v>
      </c>
      <c r="B12" s="12" t="s">
        <v>162</v>
      </c>
      <c r="C12" s="10" t="s">
        <v>683</v>
      </c>
      <c r="D12" s="12" t="s">
        <v>653</v>
      </c>
      <c r="E12" s="12" t="s">
        <v>684</v>
      </c>
      <c r="F12" s="10" t="s">
        <v>685</v>
      </c>
      <c r="G12" s="12" t="s">
        <v>656</v>
      </c>
      <c r="H12" s="26" t="n">
        <v>74.8286</v>
      </c>
      <c r="I12" s="7" t="n">
        <v>8</v>
      </c>
      <c r="J12" s="7" t="n">
        <v>156</v>
      </c>
      <c r="K12" s="11" t="n">
        <v>3954.83</v>
      </c>
      <c r="L12" s="10" t="s">
        <v>163</v>
      </c>
      <c r="M12" s="26" t="n">
        <v>74.8286</v>
      </c>
      <c r="N12" s="12" t="s">
        <v>657</v>
      </c>
      <c r="O12" s="12" t="s">
        <v>153</v>
      </c>
      <c r="P12" s="10" t="s">
        <v>658</v>
      </c>
      <c r="Q12" s="30" t="s">
        <v>686</v>
      </c>
      <c r="R12" s="34" t="n">
        <v>0.916666666666667</v>
      </c>
      <c r="S12" s="11" t="n">
        <v>3625.3</v>
      </c>
      <c r="T12" s="10" t="s">
        <v>660</v>
      </c>
      <c r="U12" s="7" t="n">
        <v>3</v>
      </c>
      <c r="V12" s="12" t="s">
        <v>144</v>
      </c>
      <c r="W12" s="12" t="s">
        <v>79</v>
      </c>
      <c r="X12" s="12" t="s">
        <v>86</v>
      </c>
      <c r="Y12" s="10"/>
      <c r="Z12" s="7" t="s">
        <v>74</v>
      </c>
      <c r="AA12" s="7" t="n">
        <v>2</v>
      </c>
      <c r="AB12" s="9" t="n">
        <v>0.548044559189138</v>
      </c>
    </row>
    <row r="13" customFormat="false" ht="35.05" hidden="false" customHeight="false" outlineLevel="0" collapsed="false">
      <c r="A13" s="7" t="n">
        <v>9</v>
      </c>
      <c r="B13" s="12" t="s">
        <v>162</v>
      </c>
      <c r="C13" s="10" t="s">
        <v>652</v>
      </c>
      <c r="D13" s="12" t="s">
        <v>687</v>
      </c>
      <c r="E13" s="12" t="s">
        <v>654</v>
      </c>
      <c r="F13" s="10" t="s">
        <v>655</v>
      </c>
      <c r="G13" s="12" t="s">
        <v>656</v>
      </c>
      <c r="H13" s="26" t="n">
        <v>30.01</v>
      </c>
      <c r="I13" s="7" t="n">
        <v>1</v>
      </c>
      <c r="J13" s="7" t="n">
        <v>156</v>
      </c>
      <c r="K13" s="11" t="n">
        <v>3954.83</v>
      </c>
      <c r="L13" s="10" t="s">
        <v>163</v>
      </c>
      <c r="M13" s="26" t="n">
        <v>30.01</v>
      </c>
      <c r="N13" s="12" t="s">
        <v>657</v>
      </c>
      <c r="O13" s="12" t="s">
        <v>102</v>
      </c>
      <c r="P13" s="10" t="s">
        <v>658</v>
      </c>
      <c r="Q13" s="30" t="s">
        <v>659</v>
      </c>
      <c r="R13" s="34" t="n">
        <v>0.916666666666667</v>
      </c>
      <c r="S13" s="11" t="n">
        <v>3625.3</v>
      </c>
      <c r="T13" s="10" t="s">
        <v>144</v>
      </c>
      <c r="U13" s="7" t="n">
        <v>1</v>
      </c>
      <c r="V13" s="12" t="s">
        <v>144</v>
      </c>
      <c r="W13" s="12" t="s">
        <v>79</v>
      </c>
      <c r="X13" s="12" t="s">
        <v>86</v>
      </c>
      <c r="Y13" s="10"/>
      <c r="Z13" s="7" t="s">
        <v>688</v>
      </c>
      <c r="AA13" s="7" t="n">
        <v>26</v>
      </c>
      <c r="AB13" s="9" t="n">
        <v>0.482965194109772</v>
      </c>
    </row>
    <row r="14" customFormat="false" ht="23.85" hidden="false" customHeight="false" outlineLevel="0" collapsed="false">
      <c r="A14" s="7" t="n">
        <v>10</v>
      </c>
      <c r="B14" s="12" t="s">
        <v>223</v>
      </c>
      <c r="C14" s="10" t="s">
        <v>689</v>
      </c>
      <c r="D14" s="12" t="s">
        <v>687</v>
      </c>
      <c r="E14" s="12" t="s">
        <v>690</v>
      </c>
      <c r="F14" s="10" t="s">
        <v>691</v>
      </c>
      <c r="G14" s="12" t="s">
        <v>656</v>
      </c>
      <c r="H14" s="26" t="n">
        <v>14.96</v>
      </c>
      <c r="I14" s="7" t="n">
        <v>1</v>
      </c>
      <c r="J14" s="7" t="n">
        <v>472</v>
      </c>
      <c r="K14" s="11" t="n">
        <v>7831.08</v>
      </c>
      <c r="L14" s="10" t="s">
        <v>224</v>
      </c>
      <c r="M14" s="26" t="n">
        <v>14.96</v>
      </c>
      <c r="N14" s="12" t="s">
        <v>657</v>
      </c>
      <c r="O14" s="12" t="s">
        <v>102</v>
      </c>
      <c r="P14" s="10" t="s">
        <v>658</v>
      </c>
      <c r="Q14" s="30" t="s">
        <v>692</v>
      </c>
      <c r="R14" s="34" t="n">
        <v>0.172727272727273</v>
      </c>
      <c r="S14" s="11" t="n">
        <v>1352.6</v>
      </c>
      <c r="T14" s="10" t="s">
        <v>144</v>
      </c>
      <c r="U14" s="7" t="n">
        <v>1</v>
      </c>
      <c r="V14" s="12" t="s">
        <v>144</v>
      </c>
      <c r="W14" s="12" t="s">
        <v>172</v>
      </c>
      <c r="X14" s="12" t="s">
        <v>86</v>
      </c>
      <c r="Y14" s="10"/>
      <c r="Z14" s="7" t="s">
        <v>688</v>
      </c>
      <c r="AA14" s="7" t="n">
        <v>45</v>
      </c>
      <c r="AB14" s="9" t="n">
        <v>0.261546184738956</v>
      </c>
    </row>
    <row r="15" customFormat="false" ht="23.85" hidden="false" customHeight="false" outlineLevel="0" collapsed="false">
      <c r="A15" s="7" t="n">
        <v>11</v>
      </c>
      <c r="B15" s="12" t="s">
        <v>330</v>
      </c>
      <c r="C15" s="10" t="s">
        <v>330</v>
      </c>
      <c r="D15" s="12" t="s">
        <v>687</v>
      </c>
      <c r="E15" s="12" t="s">
        <v>693</v>
      </c>
      <c r="F15" s="10" t="s">
        <v>694</v>
      </c>
      <c r="G15" s="12" t="s">
        <v>656</v>
      </c>
      <c r="H15" s="26" t="n">
        <v>427.8</v>
      </c>
      <c r="I15" s="7" t="n">
        <v>1</v>
      </c>
      <c r="J15" s="7" t="n">
        <v>411</v>
      </c>
      <c r="K15" s="11" t="n">
        <v>2151.51</v>
      </c>
      <c r="L15" s="10" t="s">
        <v>331</v>
      </c>
      <c r="M15" s="26" t="n">
        <v>427.8</v>
      </c>
      <c r="N15" s="12" t="s">
        <v>657</v>
      </c>
      <c r="O15" s="12" t="s">
        <v>102</v>
      </c>
      <c r="P15" s="10" t="s">
        <v>658</v>
      </c>
      <c r="Q15" s="30" t="s">
        <v>695</v>
      </c>
      <c r="R15" s="34" t="n">
        <v>1</v>
      </c>
      <c r="S15" s="11" t="n">
        <v>2151.5</v>
      </c>
      <c r="T15" s="10" t="s">
        <v>144</v>
      </c>
      <c r="U15" s="7" t="n">
        <v>1</v>
      </c>
      <c r="V15" s="12" t="s">
        <v>144</v>
      </c>
      <c r="W15" s="12" t="s">
        <v>79</v>
      </c>
      <c r="X15" s="12" t="s">
        <v>80</v>
      </c>
      <c r="Y15" s="10" t="s">
        <v>81</v>
      </c>
      <c r="Z15" s="7" t="s">
        <v>688</v>
      </c>
      <c r="AA15" s="7" t="n">
        <v>13</v>
      </c>
      <c r="AB15" s="9" t="n">
        <v>0.606726907630522</v>
      </c>
    </row>
    <row r="16" customFormat="false" ht="23.85" hidden="false" customHeight="false" outlineLevel="0" collapsed="false">
      <c r="A16" s="7" t="n">
        <v>12</v>
      </c>
      <c r="B16" s="12" t="s">
        <v>142</v>
      </c>
      <c r="C16" s="10" t="s">
        <v>142</v>
      </c>
      <c r="D16" s="12" t="s">
        <v>687</v>
      </c>
      <c r="E16" s="12" t="s">
        <v>696</v>
      </c>
      <c r="F16" s="10" t="s">
        <v>697</v>
      </c>
      <c r="G16" s="12" t="s">
        <v>656</v>
      </c>
      <c r="H16" s="26" t="n">
        <v>343.8</v>
      </c>
      <c r="I16" s="7" t="n">
        <v>1</v>
      </c>
      <c r="J16" s="7" t="n">
        <v>149</v>
      </c>
      <c r="K16" s="11" t="n">
        <v>5255.61</v>
      </c>
      <c r="L16" s="10" t="s">
        <v>143</v>
      </c>
      <c r="M16" s="26" t="n">
        <v>343.8</v>
      </c>
      <c r="N16" s="12" t="s">
        <v>657</v>
      </c>
      <c r="O16" s="12" t="s">
        <v>102</v>
      </c>
      <c r="P16" s="10" t="s">
        <v>658</v>
      </c>
      <c r="Q16" s="30" t="s">
        <v>698</v>
      </c>
      <c r="R16" s="34" t="n">
        <v>0.985294117647059</v>
      </c>
      <c r="S16" s="11" t="n">
        <v>5178.3</v>
      </c>
      <c r="T16" s="10" t="s">
        <v>144</v>
      </c>
      <c r="U16" s="7" t="n">
        <v>1</v>
      </c>
      <c r="V16" s="12" t="s">
        <v>144</v>
      </c>
      <c r="W16" s="12" t="s">
        <v>79</v>
      </c>
      <c r="X16" s="12" t="s">
        <v>86</v>
      </c>
      <c r="Y16" s="10"/>
      <c r="Z16" s="7" t="s">
        <v>106</v>
      </c>
      <c r="AA16" s="7" t="n">
        <v>6</v>
      </c>
      <c r="AB16" s="9" t="n">
        <v>0.729489386115892</v>
      </c>
    </row>
    <row r="17" customFormat="false" ht="23.85" hidden="false" customHeight="false" outlineLevel="0" collapsed="false">
      <c r="A17" s="7" t="n">
        <v>13</v>
      </c>
      <c r="B17" s="12" t="s">
        <v>326</v>
      </c>
      <c r="C17" s="10" t="s">
        <v>699</v>
      </c>
      <c r="D17" s="12" t="s">
        <v>687</v>
      </c>
      <c r="E17" s="12" t="s">
        <v>700</v>
      </c>
      <c r="F17" s="10"/>
      <c r="G17" s="12"/>
      <c r="H17" s="26"/>
      <c r="I17" s="7" t="n">
        <v>1</v>
      </c>
      <c r="J17" s="7" t="n">
        <v>126</v>
      </c>
      <c r="K17" s="11" t="n">
        <v>5896.49</v>
      </c>
      <c r="L17" s="10" t="s">
        <v>327</v>
      </c>
      <c r="M17" s="26"/>
      <c r="N17" s="12" t="s">
        <v>701</v>
      </c>
      <c r="O17" s="12" t="s">
        <v>323</v>
      </c>
      <c r="P17" s="10" t="s">
        <v>323</v>
      </c>
      <c r="Q17" s="12"/>
      <c r="R17" s="34" t="n">
        <v>1</v>
      </c>
      <c r="S17" s="11" t="n">
        <v>5896.5</v>
      </c>
      <c r="T17" s="10" t="s">
        <v>702</v>
      </c>
      <c r="U17" s="7" t="n">
        <v>2</v>
      </c>
      <c r="V17" s="12" t="s">
        <v>144</v>
      </c>
      <c r="W17" s="12" t="s">
        <v>97</v>
      </c>
      <c r="X17" s="12" t="s">
        <v>671</v>
      </c>
      <c r="Y17" s="10"/>
      <c r="Z17" s="7" t="s">
        <v>688</v>
      </c>
      <c r="AA17" s="7" t="n">
        <v>12</v>
      </c>
      <c r="AB17" s="9" t="n">
        <v>0.614472174411934</v>
      </c>
    </row>
    <row r="18" customFormat="false" ht="23.85" hidden="false" customHeight="false" outlineLevel="0" collapsed="false">
      <c r="A18" s="7" t="n">
        <v>14</v>
      </c>
      <c r="B18" s="12" t="s">
        <v>326</v>
      </c>
      <c r="C18" s="10" t="s">
        <v>699</v>
      </c>
      <c r="D18" s="12" t="s">
        <v>687</v>
      </c>
      <c r="E18" s="12" t="s">
        <v>703</v>
      </c>
      <c r="F18" s="10" t="s">
        <v>704</v>
      </c>
      <c r="G18" s="12" t="s">
        <v>656</v>
      </c>
      <c r="H18" s="26" t="n">
        <v>54.54</v>
      </c>
      <c r="I18" s="7" t="n">
        <v>1</v>
      </c>
      <c r="J18" s="7" t="n">
        <v>126</v>
      </c>
      <c r="K18" s="11" t="n">
        <v>5896.49</v>
      </c>
      <c r="L18" s="10" t="s">
        <v>327</v>
      </c>
      <c r="M18" s="26" t="n">
        <v>54.54</v>
      </c>
      <c r="N18" s="12" t="s">
        <v>657</v>
      </c>
      <c r="O18" s="12" t="s">
        <v>102</v>
      </c>
      <c r="P18" s="10" t="s">
        <v>658</v>
      </c>
      <c r="Q18" s="30" t="s">
        <v>705</v>
      </c>
      <c r="R18" s="34" t="n">
        <v>1</v>
      </c>
      <c r="S18" s="11" t="n">
        <v>5896.5</v>
      </c>
      <c r="T18" s="10" t="s">
        <v>702</v>
      </c>
      <c r="U18" s="7" t="n">
        <v>2</v>
      </c>
      <c r="V18" s="12" t="s">
        <v>144</v>
      </c>
      <c r="W18" s="12" t="s">
        <v>328</v>
      </c>
      <c r="X18" s="12" t="s">
        <v>671</v>
      </c>
      <c r="Y18" s="10"/>
      <c r="Z18" s="7" t="s">
        <v>688</v>
      </c>
      <c r="AA18" s="7" t="n">
        <v>12</v>
      </c>
      <c r="AB18" s="9" t="n">
        <v>0.614472174411934</v>
      </c>
    </row>
    <row r="19" customFormat="false" ht="23.85" hidden="false" customHeight="false" outlineLevel="0" collapsed="false">
      <c r="A19" s="7" t="n">
        <v>15</v>
      </c>
      <c r="B19" s="12" t="s">
        <v>394</v>
      </c>
      <c r="C19" s="10" t="s">
        <v>394</v>
      </c>
      <c r="D19" s="12" t="s">
        <v>687</v>
      </c>
      <c r="E19" s="12" t="s">
        <v>706</v>
      </c>
      <c r="F19" s="10" t="s">
        <v>707</v>
      </c>
      <c r="G19" s="12" t="s">
        <v>656</v>
      </c>
      <c r="H19" s="26" t="n">
        <v>5.68</v>
      </c>
      <c r="I19" s="7" t="n">
        <v>1</v>
      </c>
      <c r="J19" s="7" t="n">
        <v>727</v>
      </c>
      <c r="K19" s="11" t="n">
        <v>7496</v>
      </c>
      <c r="L19" s="10" t="s">
        <v>395</v>
      </c>
      <c r="M19" s="26" t="n">
        <v>5.68</v>
      </c>
      <c r="N19" s="12" t="s">
        <v>657</v>
      </c>
      <c r="O19" s="12" t="s">
        <v>102</v>
      </c>
      <c r="P19" s="10" t="s">
        <v>658</v>
      </c>
      <c r="Q19" s="30" t="s">
        <v>708</v>
      </c>
      <c r="R19" s="34" t="n">
        <v>0.650751867180439</v>
      </c>
      <c r="S19" s="11" t="n">
        <v>4878</v>
      </c>
      <c r="T19" s="10" t="s">
        <v>144</v>
      </c>
      <c r="U19" s="7" t="n">
        <v>1</v>
      </c>
      <c r="V19" s="12" t="s">
        <v>144</v>
      </c>
      <c r="W19" s="12" t="s">
        <v>79</v>
      </c>
      <c r="X19" s="12" t="s">
        <v>671</v>
      </c>
      <c r="Y19" s="10" t="s">
        <v>104</v>
      </c>
      <c r="Z19" s="7" t="s">
        <v>688</v>
      </c>
      <c r="AA19" s="7" t="n">
        <v>41</v>
      </c>
      <c r="AB19" s="9" t="n">
        <v>0.301243067508128</v>
      </c>
    </row>
    <row r="20" customFormat="false" ht="23.85" hidden="false" customHeight="false" outlineLevel="0" collapsed="false">
      <c r="A20" s="7" t="n">
        <v>16</v>
      </c>
      <c r="B20" s="12" t="s">
        <v>217</v>
      </c>
      <c r="C20" s="10" t="s">
        <v>217</v>
      </c>
      <c r="D20" s="12" t="s">
        <v>687</v>
      </c>
      <c r="E20" s="12" t="s">
        <v>690</v>
      </c>
      <c r="F20" s="10" t="s">
        <v>709</v>
      </c>
      <c r="G20" s="12" t="s">
        <v>656</v>
      </c>
      <c r="H20" s="26" t="n">
        <v>54.55</v>
      </c>
      <c r="I20" s="7" t="n">
        <v>1</v>
      </c>
      <c r="J20" s="7" t="n">
        <v>126</v>
      </c>
      <c r="K20" s="11" t="n">
        <v>3407.51</v>
      </c>
      <c r="L20" s="10" t="s">
        <v>218</v>
      </c>
      <c r="M20" s="26" t="n">
        <v>54.55</v>
      </c>
      <c r="N20" s="12" t="s">
        <v>657</v>
      </c>
      <c r="O20" s="12" t="s">
        <v>102</v>
      </c>
      <c r="P20" s="10" t="s">
        <v>658</v>
      </c>
      <c r="Q20" s="30" t="s">
        <v>710</v>
      </c>
      <c r="R20" s="34" t="n">
        <v>1</v>
      </c>
      <c r="S20" s="11" t="n">
        <v>3407.5</v>
      </c>
      <c r="T20" s="10" t="s">
        <v>144</v>
      </c>
      <c r="U20" s="7" t="n">
        <v>1</v>
      </c>
      <c r="V20" s="12" t="s">
        <v>144</v>
      </c>
      <c r="W20" s="12" t="s">
        <v>79</v>
      </c>
      <c r="X20" s="12" t="s">
        <v>86</v>
      </c>
      <c r="Y20" s="10"/>
      <c r="Z20" s="7" t="s">
        <v>688</v>
      </c>
      <c r="AA20" s="7" t="n">
        <v>19</v>
      </c>
      <c r="AB20" s="9" t="n">
        <v>0.543770319372729</v>
      </c>
    </row>
    <row r="21" customFormat="false" ht="23.85" hidden="false" customHeight="false" outlineLevel="0" collapsed="false">
      <c r="A21" s="7" t="n">
        <v>17</v>
      </c>
      <c r="B21" s="12" t="s">
        <v>365</v>
      </c>
      <c r="C21" s="10" t="s">
        <v>365</v>
      </c>
      <c r="D21" s="12" t="s">
        <v>687</v>
      </c>
      <c r="E21" s="12" t="s">
        <v>711</v>
      </c>
      <c r="F21" s="10" t="s">
        <v>712</v>
      </c>
      <c r="G21" s="12" t="s">
        <v>656</v>
      </c>
      <c r="H21" s="26" t="n">
        <v>25.66</v>
      </c>
      <c r="I21" s="7" t="n">
        <v>1</v>
      </c>
      <c r="J21" s="7" t="n">
        <v>122</v>
      </c>
      <c r="K21" s="11" t="n">
        <v>8000.57</v>
      </c>
      <c r="L21" s="10" t="s">
        <v>366</v>
      </c>
      <c r="M21" s="26" t="n">
        <v>25.66</v>
      </c>
      <c r="N21" s="12" t="s">
        <v>657</v>
      </c>
      <c r="O21" s="12" t="s">
        <v>102</v>
      </c>
      <c r="P21" s="10" t="s">
        <v>658</v>
      </c>
      <c r="Q21" s="30" t="s">
        <v>713</v>
      </c>
      <c r="R21" s="34" t="n">
        <v>0.33624222999223</v>
      </c>
      <c r="S21" s="11" t="n">
        <v>2690.1</v>
      </c>
      <c r="T21" s="10" t="s">
        <v>144</v>
      </c>
      <c r="U21" s="7" t="n">
        <v>1</v>
      </c>
      <c r="V21" s="12" t="s">
        <v>144</v>
      </c>
      <c r="W21" s="12" t="s">
        <v>79</v>
      </c>
      <c r="X21" s="12" t="s">
        <v>86</v>
      </c>
      <c r="Y21" s="10"/>
      <c r="Z21" s="7" t="s">
        <v>688</v>
      </c>
      <c r="AA21" s="7" t="n">
        <v>29</v>
      </c>
      <c r="AB21" s="9" t="n">
        <v>0.452720405431249</v>
      </c>
    </row>
    <row r="22" customFormat="false" ht="23.85" hidden="false" customHeight="false" outlineLevel="0" collapsed="false">
      <c r="A22" s="7" t="n">
        <v>18</v>
      </c>
      <c r="B22" s="12" t="s">
        <v>365</v>
      </c>
      <c r="C22" s="10" t="s">
        <v>365</v>
      </c>
      <c r="D22" s="12" t="s">
        <v>687</v>
      </c>
      <c r="E22" s="12" t="s">
        <v>711</v>
      </c>
      <c r="F22" s="10" t="s">
        <v>714</v>
      </c>
      <c r="G22" s="12" t="s">
        <v>663</v>
      </c>
      <c r="H22" s="26" t="n">
        <v>44.85</v>
      </c>
      <c r="I22" s="7" t="n">
        <v>1</v>
      </c>
      <c r="J22" s="7" t="n">
        <v>122</v>
      </c>
      <c r="K22" s="11" t="n">
        <v>8000.57</v>
      </c>
      <c r="L22" s="10" t="s">
        <v>366</v>
      </c>
      <c r="M22" s="26" t="n">
        <v>44.85</v>
      </c>
      <c r="N22" s="12" t="s">
        <v>657</v>
      </c>
      <c r="O22" s="12" t="s">
        <v>102</v>
      </c>
      <c r="P22" s="10" t="s">
        <v>658</v>
      </c>
      <c r="Q22" s="30" t="s">
        <v>715</v>
      </c>
      <c r="R22" s="34" t="n">
        <v>0.33624222999223</v>
      </c>
      <c r="S22" s="11" t="n">
        <v>2690.1</v>
      </c>
      <c r="T22" s="10" t="s">
        <v>144</v>
      </c>
      <c r="U22" s="7" t="n">
        <v>1</v>
      </c>
      <c r="V22" s="12" t="s">
        <v>144</v>
      </c>
      <c r="W22" s="12" t="s">
        <v>85</v>
      </c>
      <c r="X22" s="12" t="s">
        <v>86</v>
      </c>
      <c r="Y22" s="10"/>
      <c r="Z22" s="7" t="s">
        <v>688</v>
      </c>
      <c r="AA22" s="7" t="n">
        <v>29</v>
      </c>
      <c r="AB22" s="9" t="n">
        <v>0.452720405431249</v>
      </c>
    </row>
    <row r="23" customFormat="false" ht="35.05" hidden="false" customHeight="false" outlineLevel="0" collapsed="false">
      <c r="A23" s="7" t="n">
        <v>19</v>
      </c>
      <c r="B23" s="12" t="s">
        <v>289</v>
      </c>
      <c r="C23" s="10" t="s">
        <v>716</v>
      </c>
      <c r="D23" s="12" t="s">
        <v>687</v>
      </c>
      <c r="E23" s="12" t="s">
        <v>672</v>
      </c>
      <c r="F23" s="10" t="s">
        <v>717</v>
      </c>
      <c r="G23" s="12" t="s">
        <v>656</v>
      </c>
      <c r="H23" s="26" t="n">
        <v>7.15</v>
      </c>
      <c r="I23" s="7" t="n">
        <v>1</v>
      </c>
      <c r="J23" s="7" t="n">
        <v>1282</v>
      </c>
      <c r="K23" s="11" t="n">
        <v>16792.84</v>
      </c>
      <c r="L23" s="10" t="s">
        <v>290</v>
      </c>
      <c r="M23" s="26" t="n">
        <v>7.15</v>
      </c>
      <c r="N23" s="12" t="s">
        <v>657</v>
      </c>
      <c r="O23" s="12" t="s">
        <v>102</v>
      </c>
      <c r="P23" s="10" t="s">
        <v>658</v>
      </c>
      <c r="Q23" s="30" t="s">
        <v>670</v>
      </c>
      <c r="R23" s="34" t="n">
        <v>0.776857437207773</v>
      </c>
      <c r="S23" s="11" t="n">
        <v>13045.6</v>
      </c>
      <c r="T23" s="10" t="s">
        <v>144</v>
      </c>
      <c r="U23" s="7" t="n">
        <v>1</v>
      </c>
      <c r="V23" s="12" t="s">
        <v>144</v>
      </c>
      <c r="W23" s="12" t="s">
        <v>79</v>
      </c>
      <c r="X23" s="12" t="s">
        <v>86</v>
      </c>
      <c r="Y23" s="10" t="s">
        <v>104</v>
      </c>
      <c r="Z23" s="7" t="s">
        <v>688</v>
      </c>
      <c r="AA23" s="7" t="n">
        <v>28</v>
      </c>
      <c r="AB23" s="9" t="n">
        <v>0.467876266972653</v>
      </c>
    </row>
    <row r="24" customFormat="false" ht="35.05" hidden="false" customHeight="false" outlineLevel="0" collapsed="false">
      <c r="A24" s="7" t="n">
        <v>20</v>
      </c>
      <c r="B24" s="12" t="s">
        <v>289</v>
      </c>
      <c r="C24" s="10" t="s">
        <v>716</v>
      </c>
      <c r="D24" s="12" t="s">
        <v>687</v>
      </c>
      <c r="E24" s="12" t="s">
        <v>718</v>
      </c>
      <c r="F24" s="10" t="s">
        <v>719</v>
      </c>
      <c r="G24" s="12" t="s">
        <v>656</v>
      </c>
      <c r="H24" s="26" t="n">
        <v>9.9</v>
      </c>
      <c r="I24" s="7" t="n">
        <v>1</v>
      </c>
      <c r="J24" s="7" t="n">
        <v>1282</v>
      </c>
      <c r="K24" s="11" t="n">
        <v>16792.84</v>
      </c>
      <c r="L24" s="10" t="s">
        <v>290</v>
      </c>
      <c r="M24" s="26" t="n">
        <v>9.9</v>
      </c>
      <c r="N24" s="12" t="s">
        <v>657</v>
      </c>
      <c r="O24" s="12" t="s">
        <v>102</v>
      </c>
      <c r="P24" s="10" t="s">
        <v>658</v>
      </c>
      <c r="Q24" s="30" t="s">
        <v>670</v>
      </c>
      <c r="R24" s="34" t="n">
        <v>0.776857437207773</v>
      </c>
      <c r="S24" s="11" t="n">
        <v>13045.6</v>
      </c>
      <c r="T24" s="10" t="s">
        <v>144</v>
      </c>
      <c r="U24" s="7" t="n">
        <v>1</v>
      </c>
      <c r="V24" s="12" t="s">
        <v>144</v>
      </c>
      <c r="W24" s="12" t="s">
        <v>79</v>
      </c>
      <c r="X24" s="12" t="s">
        <v>86</v>
      </c>
      <c r="Y24" s="10" t="s">
        <v>104</v>
      </c>
      <c r="Z24" s="7" t="s">
        <v>688</v>
      </c>
      <c r="AA24" s="7" t="n">
        <v>28</v>
      </c>
      <c r="AB24" s="9" t="n">
        <v>0.467876266972653</v>
      </c>
    </row>
    <row r="25" customFormat="false" ht="35.05" hidden="false" customHeight="false" outlineLevel="0" collapsed="false">
      <c r="A25" s="7" t="n">
        <v>21</v>
      </c>
      <c r="B25" s="12" t="s">
        <v>289</v>
      </c>
      <c r="C25" s="10" t="s">
        <v>716</v>
      </c>
      <c r="D25" s="12" t="s">
        <v>687</v>
      </c>
      <c r="E25" s="12" t="s">
        <v>720</v>
      </c>
      <c r="F25" s="10" t="s">
        <v>721</v>
      </c>
      <c r="G25" s="12" t="s">
        <v>656</v>
      </c>
      <c r="H25" s="26" t="n">
        <v>12.38</v>
      </c>
      <c r="I25" s="7" t="n">
        <v>1</v>
      </c>
      <c r="J25" s="7" t="n">
        <v>1282</v>
      </c>
      <c r="K25" s="11" t="n">
        <v>16792.84</v>
      </c>
      <c r="L25" s="10" t="s">
        <v>290</v>
      </c>
      <c r="M25" s="26" t="n">
        <v>12.38</v>
      </c>
      <c r="N25" s="12" t="s">
        <v>657</v>
      </c>
      <c r="O25" s="12" t="s">
        <v>102</v>
      </c>
      <c r="P25" s="10" t="s">
        <v>658</v>
      </c>
      <c r="Q25" s="30" t="s">
        <v>670</v>
      </c>
      <c r="R25" s="34" t="n">
        <v>0.776857437207773</v>
      </c>
      <c r="S25" s="11" t="n">
        <v>13045.6</v>
      </c>
      <c r="T25" s="10" t="s">
        <v>144</v>
      </c>
      <c r="U25" s="7" t="n">
        <v>1</v>
      </c>
      <c r="V25" s="12" t="s">
        <v>144</v>
      </c>
      <c r="W25" s="12" t="s">
        <v>79</v>
      </c>
      <c r="X25" s="12" t="s">
        <v>86</v>
      </c>
      <c r="Y25" s="10" t="s">
        <v>104</v>
      </c>
      <c r="Z25" s="7" t="s">
        <v>688</v>
      </c>
      <c r="AA25" s="7" t="n">
        <v>28</v>
      </c>
      <c r="AB25" s="9" t="n">
        <v>0.467876266972653</v>
      </c>
    </row>
    <row r="26" customFormat="false" ht="35.05" hidden="false" customHeight="false" outlineLevel="0" collapsed="false">
      <c r="A26" s="7" t="n">
        <v>22</v>
      </c>
      <c r="B26" s="12" t="s">
        <v>381</v>
      </c>
      <c r="C26" s="10" t="s">
        <v>381</v>
      </c>
      <c r="D26" s="12" t="s">
        <v>687</v>
      </c>
      <c r="E26" s="12" t="s">
        <v>677</v>
      </c>
      <c r="F26" s="10" t="s">
        <v>722</v>
      </c>
      <c r="G26" s="12" t="s">
        <v>656</v>
      </c>
      <c r="H26" s="26"/>
      <c r="I26" s="7" t="n">
        <v>1</v>
      </c>
      <c r="J26" s="7" t="n">
        <v>81</v>
      </c>
      <c r="K26" s="11" t="n">
        <v>4745.88</v>
      </c>
      <c r="L26" s="10" t="s">
        <v>382</v>
      </c>
      <c r="M26" s="35" t="n">
        <v>4.92</v>
      </c>
      <c r="N26" s="12" t="s">
        <v>664</v>
      </c>
      <c r="O26" s="12" t="s">
        <v>102</v>
      </c>
      <c r="P26" s="10" t="s">
        <v>665</v>
      </c>
      <c r="Q26" s="30" t="s">
        <v>666</v>
      </c>
      <c r="R26" s="34" t="n">
        <v>1</v>
      </c>
      <c r="S26" s="11" t="n">
        <v>4745.9</v>
      </c>
      <c r="T26" s="10" t="s">
        <v>144</v>
      </c>
      <c r="U26" s="7" t="n">
        <v>1</v>
      </c>
      <c r="V26" s="12" t="s">
        <v>144</v>
      </c>
      <c r="W26" s="12" t="s">
        <v>79</v>
      </c>
      <c r="X26" s="12" t="s">
        <v>80</v>
      </c>
      <c r="Y26" s="10" t="s">
        <v>111</v>
      </c>
      <c r="Z26" s="7" t="s">
        <v>688</v>
      </c>
      <c r="AA26" s="7" t="n">
        <v>35</v>
      </c>
      <c r="AB26" s="9" t="n">
        <v>0.377758653662268</v>
      </c>
    </row>
    <row r="27" customFormat="false" ht="35.05" hidden="false" customHeight="false" outlineLevel="0" collapsed="false">
      <c r="A27" s="7" t="n">
        <v>23</v>
      </c>
      <c r="B27" s="12" t="s">
        <v>381</v>
      </c>
      <c r="C27" s="10" t="s">
        <v>381</v>
      </c>
      <c r="D27" s="12" t="s">
        <v>687</v>
      </c>
      <c r="E27" s="12" t="s">
        <v>723</v>
      </c>
      <c r="F27" s="10" t="s">
        <v>724</v>
      </c>
      <c r="G27" s="12" t="s">
        <v>656</v>
      </c>
      <c r="H27" s="26"/>
      <c r="I27" s="7" t="n">
        <v>1</v>
      </c>
      <c r="J27" s="7" t="n">
        <v>81</v>
      </c>
      <c r="K27" s="11" t="n">
        <v>4745.88</v>
      </c>
      <c r="L27" s="10" t="s">
        <v>382</v>
      </c>
      <c r="M27" s="35" t="n">
        <v>9.84</v>
      </c>
      <c r="N27" s="12" t="s">
        <v>664</v>
      </c>
      <c r="O27" s="12" t="s">
        <v>102</v>
      </c>
      <c r="P27" s="10" t="s">
        <v>665</v>
      </c>
      <c r="Q27" s="30" t="s">
        <v>666</v>
      </c>
      <c r="R27" s="34" t="n">
        <v>1</v>
      </c>
      <c r="S27" s="11" t="n">
        <v>4745.9</v>
      </c>
      <c r="T27" s="10" t="s">
        <v>144</v>
      </c>
      <c r="U27" s="7" t="n">
        <v>1</v>
      </c>
      <c r="V27" s="12" t="s">
        <v>144</v>
      </c>
      <c r="W27" s="12" t="s">
        <v>79</v>
      </c>
      <c r="X27" s="12" t="s">
        <v>80</v>
      </c>
      <c r="Y27" s="10" t="s">
        <v>111</v>
      </c>
      <c r="Z27" s="7" t="s">
        <v>688</v>
      </c>
      <c r="AA27" s="7" t="n">
        <v>35</v>
      </c>
      <c r="AB27" s="9" t="n">
        <v>0.377758653662268</v>
      </c>
    </row>
    <row r="28" customFormat="false" ht="23.85" hidden="false" customHeight="false" outlineLevel="0" collapsed="false">
      <c r="A28" s="7" t="n">
        <v>24</v>
      </c>
      <c r="B28" s="12" t="s">
        <v>287</v>
      </c>
      <c r="C28" s="10" t="s">
        <v>725</v>
      </c>
      <c r="D28" s="12" t="s">
        <v>687</v>
      </c>
      <c r="E28" s="12" t="s">
        <v>726</v>
      </c>
      <c r="F28" s="10" t="s">
        <v>727</v>
      </c>
      <c r="G28" s="12" t="s">
        <v>656</v>
      </c>
      <c r="H28" s="26" t="n">
        <v>8.76</v>
      </c>
      <c r="I28" s="7" t="n">
        <v>1</v>
      </c>
      <c r="J28" s="7" t="n">
        <v>4</v>
      </c>
      <c r="K28" s="11" t="n">
        <v>570.1</v>
      </c>
      <c r="L28" s="10" t="s">
        <v>288</v>
      </c>
      <c r="M28" s="26" t="n">
        <v>8.76</v>
      </c>
      <c r="N28" s="12" t="s">
        <v>657</v>
      </c>
      <c r="O28" s="12" t="s">
        <v>102</v>
      </c>
      <c r="P28" s="10" t="s">
        <v>658</v>
      </c>
      <c r="Q28" s="30" t="s">
        <v>728</v>
      </c>
      <c r="R28" s="34" t="n">
        <v>1</v>
      </c>
      <c r="S28" s="11" t="n">
        <v>570.1</v>
      </c>
      <c r="T28" s="10" t="s">
        <v>144</v>
      </c>
      <c r="U28" s="7" t="n">
        <v>1</v>
      </c>
      <c r="V28" s="12" t="s">
        <v>144</v>
      </c>
      <c r="W28" s="12" t="s">
        <v>79</v>
      </c>
      <c r="X28" s="12" t="s">
        <v>80</v>
      </c>
      <c r="Y28" s="10" t="s">
        <v>111</v>
      </c>
      <c r="Z28" s="7" t="s">
        <v>688</v>
      </c>
      <c r="AA28" s="7" t="n">
        <v>50</v>
      </c>
      <c r="AB28" s="9" t="n">
        <v>0.13476286096768</v>
      </c>
    </row>
    <row r="29" customFormat="false" ht="23.85" hidden="false" customHeight="false" outlineLevel="0" collapsed="false">
      <c r="A29" s="7" t="n">
        <v>25</v>
      </c>
      <c r="B29" s="12" t="s">
        <v>287</v>
      </c>
      <c r="C29" s="10" t="s">
        <v>725</v>
      </c>
      <c r="D29" s="12" t="s">
        <v>687</v>
      </c>
      <c r="E29" s="12" t="s">
        <v>729</v>
      </c>
      <c r="F29" s="10" t="s">
        <v>730</v>
      </c>
      <c r="G29" s="12" t="s">
        <v>656</v>
      </c>
      <c r="H29" s="26" t="n">
        <v>6.06</v>
      </c>
      <c r="I29" s="7" t="n">
        <v>1</v>
      </c>
      <c r="J29" s="7" t="n">
        <v>4</v>
      </c>
      <c r="K29" s="11" t="n">
        <v>570.1</v>
      </c>
      <c r="L29" s="10" t="s">
        <v>288</v>
      </c>
      <c r="M29" s="26" t="n">
        <v>6.06</v>
      </c>
      <c r="N29" s="12" t="s">
        <v>657</v>
      </c>
      <c r="O29" s="12" t="s">
        <v>102</v>
      </c>
      <c r="P29" s="10" t="s">
        <v>658</v>
      </c>
      <c r="Q29" s="30" t="s">
        <v>728</v>
      </c>
      <c r="R29" s="34" t="n">
        <v>1</v>
      </c>
      <c r="S29" s="11" t="n">
        <v>570.1</v>
      </c>
      <c r="T29" s="10" t="s">
        <v>144</v>
      </c>
      <c r="U29" s="7" t="n">
        <v>1</v>
      </c>
      <c r="V29" s="12" t="s">
        <v>144</v>
      </c>
      <c r="W29" s="12" t="s">
        <v>79</v>
      </c>
      <c r="X29" s="12" t="s">
        <v>80</v>
      </c>
      <c r="Y29" s="10" t="s">
        <v>111</v>
      </c>
      <c r="Z29" s="7" t="s">
        <v>688</v>
      </c>
      <c r="AA29" s="7" t="n">
        <v>50</v>
      </c>
      <c r="AB29" s="9" t="n">
        <v>0.13476286096768</v>
      </c>
    </row>
    <row r="30" customFormat="false" ht="15" hidden="false" customHeight="false" outlineLevel="0" collapsed="false">
      <c r="A30" s="7" t="n">
        <v>26</v>
      </c>
      <c r="B30" s="12" t="s">
        <v>374</v>
      </c>
      <c r="C30" s="10" t="s">
        <v>731</v>
      </c>
      <c r="D30" s="12" t="s">
        <v>687</v>
      </c>
      <c r="E30" s="12" t="s">
        <v>732</v>
      </c>
      <c r="F30" s="10" t="s">
        <v>733</v>
      </c>
      <c r="G30" s="12" t="s">
        <v>663</v>
      </c>
      <c r="H30" s="26"/>
      <c r="I30" s="7" t="n">
        <v>1</v>
      </c>
      <c r="J30" s="7" t="n">
        <v>365</v>
      </c>
      <c r="K30" s="11" t="n">
        <v>5976.94</v>
      </c>
      <c r="L30" s="10" t="s">
        <v>375</v>
      </c>
      <c r="M30" s="26"/>
      <c r="N30" s="12" t="s">
        <v>701</v>
      </c>
      <c r="O30" s="12" t="s">
        <v>323</v>
      </c>
      <c r="P30" s="10" t="s">
        <v>323</v>
      </c>
      <c r="Q30" s="12"/>
      <c r="R30" s="34" t="n">
        <v>0.240571827983426</v>
      </c>
      <c r="S30" s="11" t="n">
        <v>1437.9</v>
      </c>
      <c r="T30" s="10" t="s">
        <v>734</v>
      </c>
      <c r="U30" s="7" t="n">
        <v>2</v>
      </c>
      <c r="V30" s="12" t="s">
        <v>376</v>
      </c>
      <c r="W30" s="12" t="s">
        <v>85</v>
      </c>
      <c r="X30" s="12" t="s">
        <v>86</v>
      </c>
      <c r="Y30" s="10"/>
      <c r="Z30" s="7" t="s">
        <v>688</v>
      </c>
      <c r="AA30" s="7" t="n">
        <v>32</v>
      </c>
      <c r="AB30" s="9" t="n">
        <v>0.419788678523618</v>
      </c>
    </row>
    <row r="31" customFormat="false" ht="23.85" hidden="false" customHeight="false" outlineLevel="0" collapsed="false">
      <c r="A31" s="7" t="n">
        <v>27</v>
      </c>
      <c r="B31" s="12" t="s">
        <v>374</v>
      </c>
      <c r="C31" s="10" t="s">
        <v>731</v>
      </c>
      <c r="D31" s="12" t="s">
        <v>687</v>
      </c>
      <c r="E31" s="12" t="s">
        <v>735</v>
      </c>
      <c r="F31" s="10" t="s">
        <v>736</v>
      </c>
      <c r="G31" s="12" t="s">
        <v>656</v>
      </c>
      <c r="H31" s="26" t="n">
        <v>6.43</v>
      </c>
      <c r="I31" s="7" t="n">
        <v>1</v>
      </c>
      <c r="J31" s="7" t="n">
        <v>365</v>
      </c>
      <c r="K31" s="11" t="n">
        <v>5976.94</v>
      </c>
      <c r="L31" s="10" t="s">
        <v>375</v>
      </c>
      <c r="M31" s="26" t="n">
        <v>6.43</v>
      </c>
      <c r="N31" s="12" t="s">
        <v>657</v>
      </c>
      <c r="O31" s="12" t="s">
        <v>102</v>
      </c>
      <c r="P31" s="10" t="s">
        <v>658</v>
      </c>
      <c r="Q31" s="30" t="s">
        <v>737</v>
      </c>
      <c r="R31" s="34" t="n">
        <v>0.240571827983426</v>
      </c>
      <c r="S31" s="11" t="n">
        <v>1437.9</v>
      </c>
      <c r="T31" s="10" t="s">
        <v>734</v>
      </c>
      <c r="U31" s="7" t="n">
        <v>2</v>
      </c>
      <c r="V31" s="12" t="s">
        <v>376</v>
      </c>
      <c r="W31" s="12" t="s">
        <v>79</v>
      </c>
      <c r="X31" s="12" t="s">
        <v>86</v>
      </c>
      <c r="Y31" s="10"/>
      <c r="Z31" s="7" t="s">
        <v>688</v>
      </c>
      <c r="AA31" s="7" t="n">
        <v>32</v>
      </c>
      <c r="AB31" s="9" t="n">
        <v>0.419788678523618</v>
      </c>
    </row>
    <row r="32" customFormat="false" ht="23.85" hidden="false" customHeight="false" outlineLevel="0" collapsed="false">
      <c r="A32" s="7" t="n">
        <v>28</v>
      </c>
      <c r="B32" s="12" t="s">
        <v>418</v>
      </c>
      <c r="C32" s="10" t="s">
        <v>738</v>
      </c>
      <c r="D32" s="12" t="s">
        <v>687</v>
      </c>
      <c r="E32" s="12" t="s">
        <v>726</v>
      </c>
      <c r="F32" s="10" t="s">
        <v>739</v>
      </c>
      <c r="G32" s="12" t="s">
        <v>656</v>
      </c>
      <c r="H32" s="26" t="n">
        <v>10.93</v>
      </c>
      <c r="I32" s="7" t="n">
        <v>1</v>
      </c>
      <c r="J32" s="7" t="n">
        <v>10</v>
      </c>
      <c r="K32" s="11" t="n">
        <v>280.98</v>
      </c>
      <c r="L32" s="10" t="s">
        <v>288</v>
      </c>
      <c r="M32" s="26" t="n">
        <v>10.93</v>
      </c>
      <c r="N32" s="12" t="s">
        <v>657</v>
      </c>
      <c r="O32" s="12" t="s">
        <v>102</v>
      </c>
      <c r="P32" s="10" t="s">
        <v>658</v>
      </c>
      <c r="Q32" s="30" t="s">
        <v>740</v>
      </c>
      <c r="R32" s="34" t="n">
        <v>0.928571428571429</v>
      </c>
      <c r="S32" s="11" t="n">
        <v>260.9</v>
      </c>
      <c r="T32" s="10" t="s">
        <v>144</v>
      </c>
      <c r="U32" s="7" t="n">
        <v>1</v>
      </c>
      <c r="V32" s="12" t="s">
        <v>144</v>
      </c>
      <c r="W32" s="12" t="s">
        <v>79</v>
      </c>
      <c r="X32" s="12" t="s">
        <v>80</v>
      </c>
      <c r="Y32" s="10" t="s">
        <v>111</v>
      </c>
      <c r="Z32" s="7" t="s">
        <v>688</v>
      </c>
      <c r="AA32" s="7" t="n">
        <v>49</v>
      </c>
      <c r="AB32" s="9" t="n">
        <v>0.164797284375598</v>
      </c>
    </row>
    <row r="33" customFormat="false" ht="23.85" hidden="false" customHeight="false" outlineLevel="0" collapsed="false">
      <c r="A33" s="7" t="n">
        <v>29</v>
      </c>
      <c r="B33" s="12" t="s">
        <v>388</v>
      </c>
      <c r="C33" s="10" t="s">
        <v>388</v>
      </c>
      <c r="D33" s="12" t="s">
        <v>687</v>
      </c>
      <c r="E33" s="12" t="s">
        <v>741</v>
      </c>
      <c r="F33" s="10" t="s">
        <v>742</v>
      </c>
      <c r="G33" s="12" t="s">
        <v>656</v>
      </c>
      <c r="H33" s="26" t="n">
        <v>22.25</v>
      </c>
      <c r="I33" s="7" t="n">
        <v>1</v>
      </c>
      <c r="J33" s="7" t="n">
        <v>736</v>
      </c>
      <c r="K33" s="11" t="n">
        <v>22018.81</v>
      </c>
      <c r="L33" s="10" t="s">
        <v>389</v>
      </c>
      <c r="M33" s="26" t="n">
        <v>22.25</v>
      </c>
      <c r="N33" s="12" t="s">
        <v>657</v>
      </c>
      <c r="O33" s="12" t="s">
        <v>102</v>
      </c>
      <c r="P33" s="10" t="s">
        <v>658</v>
      </c>
      <c r="Q33" s="30" t="s">
        <v>743</v>
      </c>
      <c r="R33" s="34" t="n">
        <v>0.110870072040338</v>
      </c>
      <c r="S33" s="11" t="n">
        <v>2441.2</v>
      </c>
      <c r="T33" s="10" t="s">
        <v>144</v>
      </c>
      <c r="U33" s="7" t="n">
        <v>1</v>
      </c>
      <c r="V33" s="12" t="s">
        <v>144</v>
      </c>
      <c r="W33" s="12" t="s">
        <v>79</v>
      </c>
      <c r="X33" s="12" t="s">
        <v>86</v>
      </c>
      <c r="Y33" s="10"/>
      <c r="Z33" s="7" t="s">
        <v>688</v>
      </c>
      <c r="AA33" s="7" t="n">
        <v>38</v>
      </c>
      <c r="AB33" s="9" t="n">
        <v>0.35251482118952</v>
      </c>
    </row>
    <row r="34" customFormat="false" ht="35.05" hidden="false" customHeight="false" outlineLevel="0" collapsed="false">
      <c r="A34" s="7" t="n">
        <v>30</v>
      </c>
      <c r="B34" s="12" t="s">
        <v>195</v>
      </c>
      <c r="C34" s="10" t="s">
        <v>195</v>
      </c>
      <c r="D34" s="12" t="s">
        <v>687</v>
      </c>
      <c r="E34" s="12" t="s">
        <v>744</v>
      </c>
      <c r="F34" s="10" t="s">
        <v>745</v>
      </c>
      <c r="G34" s="12" t="s">
        <v>656</v>
      </c>
      <c r="H34" s="26" t="n">
        <v>27.26</v>
      </c>
      <c r="I34" s="7" t="n">
        <v>1</v>
      </c>
      <c r="J34" s="7" t="n">
        <v>307</v>
      </c>
      <c r="K34" s="11" t="n">
        <v>7276.73</v>
      </c>
      <c r="L34" s="10" t="s">
        <v>196</v>
      </c>
      <c r="M34" s="26" t="n">
        <v>27.26</v>
      </c>
      <c r="N34" s="12" t="s">
        <v>657</v>
      </c>
      <c r="O34" s="12" t="s">
        <v>102</v>
      </c>
      <c r="P34" s="10" t="s">
        <v>658</v>
      </c>
      <c r="Q34" s="30" t="s">
        <v>746</v>
      </c>
      <c r="R34" s="34" t="n">
        <v>0.947368421052632</v>
      </c>
      <c r="S34" s="11" t="n">
        <v>6893.7</v>
      </c>
      <c r="T34" s="10" t="s">
        <v>144</v>
      </c>
      <c r="U34" s="7" t="n">
        <v>1</v>
      </c>
      <c r="V34" s="12" t="s">
        <v>144</v>
      </c>
      <c r="W34" s="12" t="s">
        <v>79</v>
      </c>
      <c r="X34" s="12" t="s">
        <v>86</v>
      </c>
      <c r="Y34" s="10"/>
      <c r="Z34" s="7" t="s">
        <v>688</v>
      </c>
      <c r="AA34" s="7" t="n">
        <v>21</v>
      </c>
      <c r="AB34" s="9" t="n">
        <v>0.516265060240964</v>
      </c>
    </row>
    <row r="35" customFormat="false" ht="57.45" hidden="false" customHeight="false" outlineLevel="0" collapsed="false">
      <c r="A35" s="7" t="n">
        <v>31</v>
      </c>
      <c r="B35" s="12" t="s">
        <v>195</v>
      </c>
      <c r="C35" s="10" t="s">
        <v>195</v>
      </c>
      <c r="D35" s="12" t="s">
        <v>687</v>
      </c>
      <c r="E35" s="12" t="s">
        <v>747</v>
      </c>
      <c r="F35" s="10" t="s">
        <v>748</v>
      </c>
      <c r="G35" s="12" t="s">
        <v>656</v>
      </c>
      <c r="H35" s="26" t="n">
        <v>14</v>
      </c>
      <c r="I35" s="7" t="n">
        <v>1</v>
      </c>
      <c r="J35" s="7" t="n">
        <v>307</v>
      </c>
      <c r="K35" s="11" t="n">
        <v>7276.73</v>
      </c>
      <c r="L35" s="10" t="s">
        <v>196</v>
      </c>
      <c r="M35" s="26" t="n">
        <v>14</v>
      </c>
      <c r="N35" s="12" t="s">
        <v>657</v>
      </c>
      <c r="O35" s="12" t="s">
        <v>102</v>
      </c>
      <c r="P35" s="10" t="s">
        <v>658</v>
      </c>
      <c r="Q35" s="30" t="s">
        <v>746</v>
      </c>
      <c r="R35" s="34" t="n">
        <v>0.947368421052632</v>
      </c>
      <c r="S35" s="11" t="n">
        <v>6893.7</v>
      </c>
      <c r="T35" s="10" t="s">
        <v>144</v>
      </c>
      <c r="U35" s="7" t="n">
        <v>1</v>
      </c>
      <c r="V35" s="12" t="s">
        <v>144</v>
      </c>
      <c r="W35" s="12" t="s">
        <v>79</v>
      </c>
      <c r="X35" s="12" t="s">
        <v>86</v>
      </c>
      <c r="Y35" s="10"/>
      <c r="Z35" s="7" t="s">
        <v>688</v>
      </c>
      <c r="AA35" s="7" t="n">
        <v>21</v>
      </c>
      <c r="AB35" s="9" t="n">
        <v>0.516265060240964</v>
      </c>
    </row>
    <row r="36" customFormat="false" ht="35.05" hidden="false" customHeight="false" outlineLevel="0" collapsed="false">
      <c r="A36" s="7" t="n">
        <v>32</v>
      </c>
      <c r="B36" s="12" t="s">
        <v>385</v>
      </c>
      <c r="C36" s="10" t="s">
        <v>385</v>
      </c>
      <c r="D36" s="12" t="s">
        <v>687</v>
      </c>
      <c r="E36" s="12" t="s">
        <v>747</v>
      </c>
      <c r="F36" s="10" t="s">
        <v>749</v>
      </c>
      <c r="G36" s="12" t="s">
        <v>656</v>
      </c>
      <c r="H36" s="26" t="n">
        <v>36.17</v>
      </c>
      <c r="I36" s="7" t="n">
        <v>1</v>
      </c>
      <c r="J36" s="7" t="n">
        <v>448</v>
      </c>
      <c r="K36" s="11" t="n">
        <v>1202.23</v>
      </c>
      <c r="L36" s="10" t="s">
        <v>386</v>
      </c>
      <c r="M36" s="26" t="n">
        <v>36.17</v>
      </c>
      <c r="N36" s="12" t="s">
        <v>657</v>
      </c>
      <c r="O36" s="12" t="s">
        <v>102</v>
      </c>
      <c r="P36" s="10" t="s">
        <v>658</v>
      </c>
      <c r="Q36" s="30" t="s">
        <v>746</v>
      </c>
      <c r="R36" s="34" t="n">
        <v>1</v>
      </c>
      <c r="S36" s="11" t="n">
        <v>1202.2</v>
      </c>
      <c r="T36" s="10" t="s">
        <v>144</v>
      </c>
      <c r="U36" s="7" t="n">
        <v>1</v>
      </c>
      <c r="V36" s="12" t="s">
        <v>144</v>
      </c>
      <c r="W36" s="12" t="s">
        <v>79</v>
      </c>
      <c r="X36" s="12" t="s">
        <v>86</v>
      </c>
      <c r="Y36" s="10"/>
      <c r="Z36" s="7" t="s">
        <v>688</v>
      </c>
      <c r="AA36" s="7" t="n">
        <v>37</v>
      </c>
      <c r="AB36" s="9" t="n">
        <v>0.371557659208262</v>
      </c>
    </row>
    <row r="37" customFormat="false" ht="35.05" hidden="false" customHeight="false" outlineLevel="0" collapsed="false">
      <c r="A37" s="7" t="n">
        <v>33</v>
      </c>
      <c r="B37" s="12" t="s">
        <v>308</v>
      </c>
      <c r="C37" s="10" t="s">
        <v>308</v>
      </c>
      <c r="D37" s="12" t="s">
        <v>687</v>
      </c>
      <c r="E37" s="12" t="s">
        <v>677</v>
      </c>
      <c r="F37" s="10" t="s">
        <v>678</v>
      </c>
      <c r="G37" s="12" t="s">
        <v>678</v>
      </c>
      <c r="H37" s="26"/>
      <c r="I37" s="7" t="n">
        <v>1</v>
      </c>
      <c r="J37" s="7" t="n">
        <v>735</v>
      </c>
      <c r="K37" s="11" t="n">
        <v>16205.48</v>
      </c>
      <c r="L37" s="10" t="s">
        <v>309</v>
      </c>
      <c r="M37" s="35" t="n">
        <v>3.15</v>
      </c>
      <c r="N37" s="12" t="s">
        <v>664</v>
      </c>
      <c r="O37" s="12" t="s">
        <v>102</v>
      </c>
      <c r="P37" s="10" t="s">
        <v>665</v>
      </c>
      <c r="Q37" s="30" t="s">
        <v>666</v>
      </c>
      <c r="R37" s="34" t="n">
        <v>0.262678151411075</v>
      </c>
      <c r="S37" s="11" t="n">
        <v>4256.8</v>
      </c>
      <c r="T37" s="10" t="s">
        <v>144</v>
      </c>
      <c r="U37" s="7" t="n">
        <v>1</v>
      </c>
      <c r="V37" s="12" t="s">
        <v>144</v>
      </c>
      <c r="W37" s="12" t="s">
        <v>97</v>
      </c>
      <c r="X37" s="12" t="s">
        <v>97</v>
      </c>
      <c r="Y37" s="10"/>
      <c r="Z37" s="7" t="s">
        <v>676</v>
      </c>
      <c r="AA37" s="7"/>
      <c r="AB37" s="9" t="n">
        <v>0.512048192771084</v>
      </c>
    </row>
    <row r="38" customFormat="false" ht="23.85" hidden="false" customHeight="false" outlineLevel="0" collapsed="false">
      <c r="A38" s="7" t="n">
        <v>34</v>
      </c>
      <c r="B38" s="12" t="s">
        <v>391</v>
      </c>
      <c r="C38" s="10" t="s">
        <v>750</v>
      </c>
      <c r="D38" s="12" t="s">
        <v>687</v>
      </c>
      <c r="E38" s="12" t="s">
        <v>751</v>
      </c>
      <c r="F38" s="10" t="s">
        <v>752</v>
      </c>
      <c r="G38" s="12" t="s">
        <v>656</v>
      </c>
      <c r="H38" s="26"/>
      <c r="I38" s="7" t="n">
        <v>1</v>
      </c>
      <c r="J38" s="7" t="n">
        <v>208</v>
      </c>
      <c r="K38" s="11" t="n">
        <v>3923.58</v>
      </c>
      <c r="L38" s="10" t="s">
        <v>241</v>
      </c>
      <c r="M38" s="35" t="n">
        <v>7.95</v>
      </c>
      <c r="N38" s="12" t="s">
        <v>664</v>
      </c>
      <c r="O38" s="12" t="s">
        <v>153</v>
      </c>
      <c r="P38" s="10" t="s">
        <v>753</v>
      </c>
      <c r="Q38" s="30" t="s">
        <v>754</v>
      </c>
      <c r="R38" s="34" t="n">
        <v>1</v>
      </c>
      <c r="S38" s="11" t="n">
        <v>3923.6</v>
      </c>
      <c r="T38" s="10" t="s">
        <v>144</v>
      </c>
      <c r="U38" s="7" t="n">
        <v>1</v>
      </c>
      <c r="V38" s="12" t="s">
        <v>144</v>
      </c>
      <c r="W38" s="12" t="s">
        <v>79</v>
      </c>
      <c r="X38" s="12" t="s">
        <v>97</v>
      </c>
      <c r="Y38" s="10"/>
      <c r="Z38" s="7" t="s">
        <v>688</v>
      </c>
      <c r="AA38" s="7" t="n">
        <v>39</v>
      </c>
      <c r="AB38" s="9" t="n">
        <v>0.329690189328744</v>
      </c>
    </row>
    <row r="39" customFormat="false" ht="23.85" hidden="false" customHeight="false" outlineLevel="0" collapsed="false">
      <c r="A39" s="7" t="n">
        <v>35</v>
      </c>
      <c r="B39" s="12" t="s">
        <v>391</v>
      </c>
      <c r="C39" s="10" t="s">
        <v>750</v>
      </c>
      <c r="D39" s="12" t="s">
        <v>687</v>
      </c>
      <c r="E39" s="12" t="s">
        <v>755</v>
      </c>
      <c r="F39" s="10" t="s">
        <v>756</v>
      </c>
      <c r="G39" s="12" t="s">
        <v>656</v>
      </c>
      <c r="H39" s="26"/>
      <c r="I39" s="7" t="n">
        <v>1</v>
      </c>
      <c r="J39" s="7" t="n">
        <v>208</v>
      </c>
      <c r="K39" s="11" t="n">
        <v>3923.58</v>
      </c>
      <c r="L39" s="10" t="s">
        <v>241</v>
      </c>
      <c r="M39" s="26"/>
      <c r="N39" s="12" t="s">
        <v>701</v>
      </c>
      <c r="O39" s="12" t="s">
        <v>323</v>
      </c>
      <c r="P39" s="10" t="s">
        <v>323</v>
      </c>
      <c r="Q39" s="12"/>
      <c r="R39" s="34" t="n">
        <v>1</v>
      </c>
      <c r="S39" s="11" t="n">
        <v>3923.6</v>
      </c>
      <c r="T39" s="10" t="s">
        <v>144</v>
      </c>
      <c r="U39" s="7" t="n">
        <v>1</v>
      </c>
      <c r="V39" s="12" t="s">
        <v>144</v>
      </c>
      <c r="W39" s="12" t="s">
        <v>79</v>
      </c>
      <c r="X39" s="12" t="s">
        <v>97</v>
      </c>
      <c r="Y39" s="10"/>
      <c r="Z39" s="7" t="s">
        <v>688</v>
      </c>
      <c r="AA39" s="7" t="n">
        <v>39</v>
      </c>
      <c r="AB39" s="9" t="n">
        <v>0.329690189328744</v>
      </c>
    </row>
    <row r="40" customFormat="false" ht="46.25" hidden="false" customHeight="false" outlineLevel="0" collapsed="false">
      <c r="A40" s="7" t="n">
        <v>36</v>
      </c>
      <c r="B40" s="12" t="s">
        <v>261</v>
      </c>
      <c r="C40" s="10" t="s">
        <v>757</v>
      </c>
      <c r="D40" s="12" t="s">
        <v>687</v>
      </c>
      <c r="E40" s="12" t="s">
        <v>758</v>
      </c>
      <c r="F40" s="10" t="s">
        <v>759</v>
      </c>
      <c r="G40" s="12" t="s">
        <v>656</v>
      </c>
      <c r="H40" s="26" t="n">
        <v>13.63</v>
      </c>
      <c r="I40" s="7" t="n">
        <v>1</v>
      </c>
      <c r="J40" s="7" t="n">
        <v>374</v>
      </c>
      <c r="K40" s="11" t="n">
        <v>13615.47</v>
      </c>
      <c r="L40" s="10" t="s">
        <v>262</v>
      </c>
      <c r="M40" s="26" t="n">
        <v>13.63</v>
      </c>
      <c r="N40" s="12" t="s">
        <v>657</v>
      </c>
      <c r="O40" s="12" t="s">
        <v>102</v>
      </c>
      <c r="P40" s="10" t="s">
        <v>658</v>
      </c>
      <c r="Q40" s="30" t="s">
        <v>760</v>
      </c>
      <c r="R40" s="34" t="n">
        <v>0.18191811645244</v>
      </c>
      <c r="S40" s="11" t="n">
        <v>2476.9</v>
      </c>
      <c r="T40" s="10" t="s">
        <v>144</v>
      </c>
      <c r="U40" s="7" t="n">
        <v>1</v>
      </c>
      <c r="V40" s="12" t="s">
        <v>144</v>
      </c>
      <c r="W40" s="12" t="s">
        <v>79</v>
      </c>
      <c r="X40" s="12" t="s">
        <v>86</v>
      </c>
      <c r="Y40" s="10"/>
      <c r="Z40" s="7" t="s">
        <v>688</v>
      </c>
      <c r="AA40" s="7" t="n">
        <v>40</v>
      </c>
      <c r="AB40" s="9" t="n">
        <v>0.301558615414037</v>
      </c>
    </row>
    <row r="41" customFormat="false" ht="23.85" hidden="false" customHeight="false" outlineLevel="0" collapsed="false">
      <c r="A41" s="7" t="n">
        <v>37</v>
      </c>
      <c r="B41" s="12" t="s">
        <v>145</v>
      </c>
      <c r="C41" s="10" t="s">
        <v>761</v>
      </c>
      <c r="D41" s="12" t="s">
        <v>687</v>
      </c>
      <c r="E41" s="12" t="s">
        <v>726</v>
      </c>
      <c r="F41" s="10" t="s">
        <v>762</v>
      </c>
      <c r="G41" s="12" t="s">
        <v>656</v>
      </c>
      <c r="H41" s="26" t="n">
        <v>10.02</v>
      </c>
      <c r="I41" s="7" t="n">
        <v>1</v>
      </c>
      <c r="J41" s="7" t="n">
        <v>223</v>
      </c>
      <c r="K41" s="11" t="n">
        <v>53539.87</v>
      </c>
      <c r="L41" s="10" t="s">
        <v>146</v>
      </c>
      <c r="M41" s="26" t="n">
        <v>10.02</v>
      </c>
      <c r="N41" s="12" t="s">
        <v>657</v>
      </c>
      <c r="O41" s="12" t="s">
        <v>102</v>
      </c>
      <c r="P41" s="10" t="s">
        <v>658</v>
      </c>
      <c r="Q41" s="30" t="s">
        <v>763</v>
      </c>
      <c r="R41" s="34" t="n">
        <v>1</v>
      </c>
      <c r="S41" s="11" t="n">
        <v>53539.9</v>
      </c>
      <c r="T41" s="10" t="s">
        <v>764</v>
      </c>
      <c r="U41" s="7" t="n">
        <v>10</v>
      </c>
      <c r="V41" s="12" t="s">
        <v>147</v>
      </c>
      <c r="W41" s="12" t="s">
        <v>79</v>
      </c>
      <c r="X41" s="12" t="s">
        <v>97</v>
      </c>
      <c r="Y41" s="10" t="s">
        <v>111</v>
      </c>
      <c r="Z41" s="7" t="s">
        <v>106</v>
      </c>
      <c r="AA41" s="7" t="n">
        <v>7</v>
      </c>
      <c r="AB41" s="9" t="n">
        <v>0.706875119525722</v>
      </c>
    </row>
    <row r="42" customFormat="false" ht="46.25" hidden="false" customHeight="false" outlineLevel="0" collapsed="false">
      <c r="A42" s="7" t="n">
        <v>38</v>
      </c>
      <c r="B42" s="12" t="s">
        <v>368</v>
      </c>
      <c r="C42" s="10" t="s">
        <v>765</v>
      </c>
      <c r="D42" s="12" t="s">
        <v>687</v>
      </c>
      <c r="E42" s="12" t="s">
        <v>766</v>
      </c>
      <c r="F42" s="10" t="s">
        <v>767</v>
      </c>
      <c r="G42" s="12" t="s">
        <v>663</v>
      </c>
      <c r="H42" s="26" t="n">
        <v>125</v>
      </c>
      <c r="I42" s="7" t="n">
        <v>1</v>
      </c>
      <c r="J42" s="7" t="n">
        <v>116</v>
      </c>
      <c r="K42" s="11" t="n">
        <v>1162.12</v>
      </c>
      <c r="L42" s="10" t="s">
        <v>369</v>
      </c>
      <c r="M42" s="26" t="n">
        <v>125</v>
      </c>
      <c r="N42" s="12" t="s">
        <v>657</v>
      </c>
      <c r="O42" s="12" t="s">
        <v>102</v>
      </c>
      <c r="P42" s="10" t="s">
        <v>658</v>
      </c>
      <c r="Q42" s="30" t="s">
        <v>768</v>
      </c>
      <c r="R42" s="34" t="n">
        <v>0.444974105461394</v>
      </c>
      <c r="S42" s="11" t="n">
        <v>517.1</v>
      </c>
      <c r="T42" s="10" t="s">
        <v>144</v>
      </c>
      <c r="U42" s="7" t="n">
        <v>1</v>
      </c>
      <c r="V42" s="12" t="s">
        <v>144</v>
      </c>
      <c r="W42" s="12" t="s">
        <v>85</v>
      </c>
      <c r="X42" s="12" t="s">
        <v>86</v>
      </c>
      <c r="Y42" s="10" t="s">
        <v>87</v>
      </c>
      <c r="Z42" s="7" t="s">
        <v>688</v>
      </c>
      <c r="AA42" s="7" t="n">
        <v>30</v>
      </c>
      <c r="AB42" s="9" t="n">
        <v>0.452629565882578</v>
      </c>
    </row>
    <row r="43" customFormat="false" ht="23.85" hidden="false" customHeight="false" outlineLevel="0" collapsed="false">
      <c r="A43" s="7" t="n">
        <v>39</v>
      </c>
      <c r="B43" s="12" t="s">
        <v>408</v>
      </c>
      <c r="C43" s="10" t="s">
        <v>408</v>
      </c>
      <c r="D43" s="12" t="s">
        <v>687</v>
      </c>
      <c r="E43" s="12" t="s">
        <v>744</v>
      </c>
      <c r="F43" s="10" t="s">
        <v>769</v>
      </c>
      <c r="G43" s="12" t="s">
        <v>656</v>
      </c>
      <c r="H43" s="26" t="n">
        <v>22.25</v>
      </c>
      <c r="I43" s="7" t="n">
        <v>1</v>
      </c>
      <c r="J43" s="7" t="n">
        <v>305</v>
      </c>
      <c r="K43" s="11" t="n">
        <v>703.44</v>
      </c>
      <c r="L43" s="10" t="s">
        <v>409</v>
      </c>
      <c r="M43" s="26" t="n">
        <v>22.25</v>
      </c>
      <c r="N43" s="12" t="s">
        <v>657</v>
      </c>
      <c r="O43" s="12" t="s">
        <v>102</v>
      </c>
      <c r="P43" s="10" t="s">
        <v>658</v>
      </c>
      <c r="Q43" s="30" t="s">
        <v>770</v>
      </c>
      <c r="R43" s="34" t="n">
        <v>0.688492063492064</v>
      </c>
      <c r="S43" s="11" t="n">
        <v>484.3</v>
      </c>
      <c r="T43" s="10" t="s">
        <v>144</v>
      </c>
      <c r="U43" s="7" t="n">
        <v>1</v>
      </c>
      <c r="V43" s="12" t="s">
        <v>144</v>
      </c>
      <c r="W43" s="12" t="s">
        <v>79</v>
      </c>
      <c r="X43" s="12" t="s">
        <v>86</v>
      </c>
      <c r="Y43" s="10"/>
      <c r="Z43" s="7" t="s">
        <v>688</v>
      </c>
      <c r="AA43" s="7" t="n">
        <v>46</v>
      </c>
      <c r="AB43" s="9" t="n">
        <v>0.257635303117231</v>
      </c>
    </row>
    <row r="44" customFormat="false" ht="46.25" hidden="false" customHeight="false" outlineLevel="0" collapsed="false">
      <c r="A44" s="7" t="n">
        <v>40</v>
      </c>
      <c r="B44" s="12" t="s">
        <v>400</v>
      </c>
      <c r="C44" s="10" t="s">
        <v>771</v>
      </c>
      <c r="D44" s="12" t="s">
        <v>687</v>
      </c>
      <c r="E44" s="12" t="s">
        <v>772</v>
      </c>
      <c r="F44" s="10" t="s">
        <v>773</v>
      </c>
      <c r="G44" s="12" t="s">
        <v>656</v>
      </c>
      <c r="H44" s="26" t="n">
        <v>9.74</v>
      </c>
      <c r="I44" s="7" t="n">
        <v>1</v>
      </c>
      <c r="J44" s="7" t="n">
        <v>119</v>
      </c>
      <c r="K44" s="11" t="n">
        <v>3113.83</v>
      </c>
      <c r="L44" s="10" t="s">
        <v>401</v>
      </c>
      <c r="M44" s="26" t="n">
        <v>9.74</v>
      </c>
      <c r="N44" s="12" t="s">
        <v>657</v>
      </c>
      <c r="O44" s="12" t="s">
        <v>102</v>
      </c>
      <c r="P44" s="10" t="s">
        <v>658</v>
      </c>
      <c r="Q44" s="30" t="s">
        <v>774</v>
      </c>
      <c r="R44" s="34" t="n">
        <v>0.899884259259259</v>
      </c>
      <c r="S44" s="11" t="n">
        <v>2802.1</v>
      </c>
      <c r="T44" s="10" t="s">
        <v>144</v>
      </c>
      <c r="U44" s="7" t="n">
        <v>1</v>
      </c>
      <c r="V44" s="12" t="s">
        <v>144</v>
      </c>
      <c r="W44" s="12" t="s">
        <v>79</v>
      </c>
      <c r="X44" s="12" t="s">
        <v>86</v>
      </c>
      <c r="Y44" s="10"/>
      <c r="Z44" s="7" t="s">
        <v>688</v>
      </c>
      <c r="AA44" s="7" t="n">
        <v>43</v>
      </c>
      <c r="AB44" s="9" t="n">
        <v>0.279379422451712</v>
      </c>
    </row>
    <row r="45" customFormat="false" ht="35.05" hidden="false" customHeight="false" outlineLevel="0" collapsed="false">
      <c r="A45" s="7" t="n">
        <v>41</v>
      </c>
      <c r="B45" s="12" t="s">
        <v>89</v>
      </c>
      <c r="C45" s="10" t="s">
        <v>89</v>
      </c>
      <c r="D45" s="12" t="s">
        <v>687</v>
      </c>
      <c r="E45" s="12" t="s">
        <v>775</v>
      </c>
      <c r="F45" s="10" t="s">
        <v>776</v>
      </c>
      <c r="G45" s="12" t="s">
        <v>656</v>
      </c>
      <c r="H45" s="26" t="n">
        <v>22.25</v>
      </c>
      <c r="I45" s="7" t="n">
        <v>1</v>
      </c>
      <c r="J45" s="7" t="n">
        <v>905</v>
      </c>
      <c r="K45" s="11" t="n">
        <v>28093.38</v>
      </c>
      <c r="L45" s="10" t="s">
        <v>90</v>
      </c>
      <c r="M45" s="26" t="n">
        <v>22.25</v>
      </c>
      <c r="N45" s="12" t="s">
        <v>657</v>
      </c>
      <c r="O45" s="12" t="s">
        <v>102</v>
      </c>
      <c r="P45" s="10" t="s">
        <v>658</v>
      </c>
      <c r="Q45" s="30" t="s">
        <v>777</v>
      </c>
      <c r="R45" s="34" t="n">
        <v>1</v>
      </c>
      <c r="S45" s="11" t="n">
        <v>28093.4</v>
      </c>
      <c r="T45" s="10" t="s">
        <v>778</v>
      </c>
      <c r="U45" s="7" t="n">
        <v>12</v>
      </c>
      <c r="V45" s="12" t="s">
        <v>116</v>
      </c>
      <c r="W45" s="12" t="s">
        <v>79</v>
      </c>
      <c r="X45" s="12" t="s">
        <v>80</v>
      </c>
      <c r="Y45" s="10" t="s">
        <v>81</v>
      </c>
      <c r="Z45" s="7" t="s">
        <v>74</v>
      </c>
      <c r="AA45" s="7" t="n">
        <v>2</v>
      </c>
      <c r="AB45" s="9" t="n">
        <v>0.873862115127175</v>
      </c>
    </row>
    <row r="46" customFormat="false" ht="23.85" hidden="false" customHeight="false" outlineLevel="0" collapsed="false">
      <c r="A46" s="7" t="n">
        <v>42</v>
      </c>
      <c r="B46" s="12" t="s">
        <v>371</v>
      </c>
      <c r="C46" s="10" t="s">
        <v>779</v>
      </c>
      <c r="D46" s="12" t="s">
        <v>687</v>
      </c>
      <c r="E46" s="12" t="s">
        <v>780</v>
      </c>
      <c r="F46" s="10" t="s">
        <v>781</v>
      </c>
      <c r="G46" s="12" t="s">
        <v>79</v>
      </c>
      <c r="H46" s="26" t="n">
        <v>7.54</v>
      </c>
      <c r="I46" s="7" t="n">
        <v>1</v>
      </c>
      <c r="J46" s="7" t="n">
        <v>159</v>
      </c>
      <c r="K46" s="11" t="n">
        <v>8072.59</v>
      </c>
      <c r="L46" s="10" t="s">
        <v>372</v>
      </c>
      <c r="M46" s="26" t="n">
        <v>7.54</v>
      </c>
      <c r="N46" s="12" t="s">
        <v>657</v>
      </c>
      <c r="O46" s="12" t="s">
        <v>102</v>
      </c>
      <c r="P46" s="10" t="s">
        <v>658</v>
      </c>
      <c r="Q46" s="30" t="s">
        <v>782</v>
      </c>
      <c r="R46" s="34" t="n">
        <v>1</v>
      </c>
      <c r="S46" s="11" t="n">
        <v>8072.6</v>
      </c>
      <c r="T46" s="10" t="s">
        <v>144</v>
      </c>
      <c r="U46" s="7" t="n">
        <v>1</v>
      </c>
      <c r="V46" s="12" t="s">
        <v>144</v>
      </c>
      <c r="W46" s="12" t="s">
        <v>79</v>
      </c>
      <c r="X46" s="12" t="s">
        <v>671</v>
      </c>
      <c r="Y46" s="10"/>
      <c r="Z46" s="7" t="s">
        <v>688</v>
      </c>
      <c r="AA46" s="7" t="n">
        <v>31</v>
      </c>
      <c r="AB46" s="9" t="n">
        <v>0.42949416714477</v>
      </c>
    </row>
    <row r="47" customFormat="false" ht="23.85" hidden="false" customHeight="false" outlineLevel="0" collapsed="false">
      <c r="A47" s="7" t="n">
        <v>43</v>
      </c>
      <c r="B47" s="12" t="s">
        <v>371</v>
      </c>
      <c r="C47" s="10" t="s">
        <v>779</v>
      </c>
      <c r="D47" s="12" t="s">
        <v>687</v>
      </c>
      <c r="E47" s="12" t="s">
        <v>783</v>
      </c>
      <c r="F47" s="10" t="s">
        <v>784</v>
      </c>
      <c r="G47" s="12" t="s">
        <v>79</v>
      </c>
      <c r="H47" s="26" t="n">
        <v>5.02</v>
      </c>
      <c r="I47" s="7" t="n">
        <v>1</v>
      </c>
      <c r="J47" s="7" t="n">
        <v>159</v>
      </c>
      <c r="K47" s="11" t="n">
        <v>8072.59</v>
      </c>
      <c r="L47" s="10" t="s">
        <v>372</v>
      </c>
      <c r="M47" s="26" t="n">
        <v>5.02</v>
      </c>
      <c r="N47" s="12" t="s">
        <v>657</v>
      </c>
      <c r="O47" s="12" t="s">
        <v>102</v>
      </c>
      <c r="P47" s="10" t="s">
        <v>658</v>
      </c>
      <c r="Q47" s="30" t="s">
        <v>782</v>
      </c>
      <c r="R47" s="34" t="n">
        <v>1</v>
      </c>
      <c r="S47" s="11" t="n">
        <v>8072.6</v>
      </c>
      <c r="T47" s="10" t="s">
        <v>144</v>
      </c>
      <c r="U47" s="7" t="n">
        <v>1</v>
      </c>
      <c r="V47" s="12" t="s">
        <v>144</v>
      </c>
      <c r="W47" s="12" t="s">
        <v>79</v>
      </c>
      <c r="X47" s="12" t="s">
        <v>671</v>
      </c>
      <c r="Y47" s="10"/>
      <c r="Z47" s="7" t="s">
        <v>688</v>
      </c>
      <c r="AA47" s="7" t="n">
        <v>31</v>
      </c>
      <c r="AB47" s="9" t="n">
        <v>0.42949416714477</v>
      </c>
    </row>
    <row r="48" customFormat="false" ht="23.85" hidden="false" customHeight="false" outlineLevel="0" collapsed="false">
      <c r="A48" s="7" t="n">
        <v>44</v>
      </c>
      <c r="B48" s="12" t="s">
        <v>371</v>
      </c>
      <c r="C48" s="10" t="s">
        <v>779</v>
      </c>
      <c r="D48" s="12" t="s">
        <v>687</v>
      </c>
      <c r="E48" s="12" t="s">
        <v>785</v>
      </c>
      <c r="F48" s="10" t="s">
        <v>786</v>
      </c>
      <c r="G48" s="12" t="s">
        <v>79</v>
      </c>
      <c r="H48" s="26" t="n">
        <v>9.85</v>
      </c>
      <c r="I48" s="7" t="n">
        <v>1</v>
      </c>
      <c r="J48" s="7" t="n">
        <v>159</v>
      </c>
      <c r="K48" s="11" t="n">
        <v>8072.59</v>
      </c>
      <c r="L48" s="10" t="s">
        <v>372</v>
      </c>
      <c r="M48" s="26" t="n">
        <v>9.85</v>
      </c>
      <c r="N48" s="12" t="s">
        <v>657</v>
      </c>
      <c r="O48" s="12" t="s">
        <v>102</v>
      </c>
      <c r="P48" s="10" t="s">
        <v>658</v>
      </c>
      <c r="Q48" s="30" t="s">
        <v>782</v>
      </c>
      <c r="R48" s="34" t="n">
        <v>1</v>
      </c>
      <c r="S48" s="11" t="n">
        <v>8072.6</v>
      </c>
      <c r="T48" s="10" t="s">
        <v>144</v>
      </c>
      <c r="U48" s="7" t="n">
        <v>1</v>
      </c>
      <c r="V48" s="12" t="s">
        <v>144</v>
      </c>
      <c r="W48" s="12" t="s">
        <v>79</v>
      </c>
      <c r="X48" s="12" t="s">
        <v>86</v>
      </c>
      <c r="Y48" s="10"/>
      <c r="Z48" s="7" t="s">
        <v>688</v>
      </c>
      <c r="AA48" s="7" t="n">
        <v>31</v>
      </c>
      <c r="AB48" s="9" t="n">
        <v>0.42949416714477</v>
      </c>
    </row>
    <row r="49" customFormat="false" ht="23.85" hidden="false" customHeight="false" outlineLevel="0" collapsed="false">
      <c r="A49" s="7" t="n">
        <v>45</v>
      </c>
      <c r="B49" s="12" t="s">
        <v>371</v>
      </c>
      <c r="C49" s="10" t="s">
        <v>779</v>
      </c>
      <c r="D49" s="12" t="s">
        <v>687</v>
      </c>
      <c r="E49" s="12" t="s">
        <v>787</v>
      </c>
      <c r="F49" s="10" t="s">
        <v>788</v>
      </c>
      <c r="G49" s="12" t="s">
        <v>79</v>
      </c>
      <c r="H49" s="26" t="n">
        <v>7.03</v>
      </c>
      <c r="I49" s="7" t="n">
        <v>1</v>
      </c>
      <c r="J49" s="7" t="n">
        <v>159</v>
      </c>
      <c r="K49" s="11" t="n">
        <v>8072.59</v>
      </c>
      <c r="L49" s="10" t="s">
        <v>372</v>
      </c>
      <c r="M49" s="26" t="n">
        <v>7.03</v>
      </c>
      <c r="N49" s="12" t="s">
        <v>657</v>
      </c>
      <c r="O49" s="12" t="s">
        <v>102</v>
      </c>
      <c r="P49" s="10" t="s">
        <v>658</v>
      </c>
      <c r="Q49" s="30" t="s">
        <v>782</v>
      </c>
      <c r="R49" s="34" t="n">
        <v>1</v>
      </c>
      <c r="S49" s="11" t="n">
        <v>8072.6</v>
      </c>
      <c r="T49" s="10" t="s">
        <v>144</v>
      </c>
      <c r="U49" s="7" t="n">
        <v>1</v>
      </c>
      <c r="V49" s="12" t="s">
        <v>144</v>
      </c>
      <c r="W49" s="12" t="s">
        <v>79</v>
      </c>
      <c r="X49" s="12" t="s">
        <v>671</v>
      </c>
      <c r="Y49" s="10"/>
      <c r="Z49" s="7" t="s">
        <v>688</v>
      </c>
      <c r="AA49" s="7" t="n">
        <v>31</v>
      </c>
      <c r="AB49" s="9" t="n">
        <v>0.42949416714477</v>
      </c>
    </row>
    <row r="50" customFormat="false" ht="23.85" hidden="false" customHeight="false" outlineLevel="0" collapsed="false">
      <c r="A50" s="7" t="n">
        <v>46</v>
      </c>
      <c r="B50" s="12" t="s">
        <v>371</v>
      </c>
      <c r="C50" s="10" t="s">
        <v>779</v>
      </c>
      <c r="D50" s="12" t="s">
        <v>687</v>
      </c>
      <c r="E50" s="12" t="s">
        <v>789</v>
      </c>
      <c r="F50" s="10" t="s">
        <v>790</v>
      </c>
      <c r="G50" s="12" t="s">
        <v>79</v>
      </c>
      <c r="H50" s="26" t="n">
        <v>16.57</v>
      </c>
      <c r="I50" s="7" t="n">
        <v>1</v>
      </c>
      <c r="J50" s="7" t="n">
        <v>159</v>
      </c>
      <c r="K50" s="11" t="n">
        <v>8072.59</v>
      </c>
      <c r="L50" s="10" t="s">
        <v>372</v>
      </c>
      <c r="M50" s="26" t="n">
        <v>16.57</v>
      </c>
      <c r="N50" s="12" t="s">
        <v>657</v>
      </c>
      <c r="O50" s="12" t="s">
        <v>102</v>
      </c>
      <c r="P50" s="10" t="s">
        <v>658</v>
      </c>
      <c r="Q50" s="30" t="s">
        <v>782</v>
      </c>
      <c r="R50" s="34" t="n">
        <v>1</v>
      </c>
      <c r="S50" s="11" t="n">
        <v>8072.6</v>
      </c>
      <c r="T50" s="10" t="s">
        <v>144</v>
      </c>
      <c r="U50" s="7" t="n">
        <v>1</v>
      </c>
      <c r="V50" s="12" t="s">
        <v>144</v>
      </c>
      <c r="W50" s="12" t="s">
        <v>79</v>
      </c>
      <c r="X50" s="12" t="s">
        <v>671</v>
      </c>
      <c r="Y50" s="10"/>
      <c r="Z50" s="7" t="s">
        <v>688</v>
      </c>
      <c r="AA50" s="7" t="n">
        <v>31</v>
      </c>
      <c r="AB50" s="9" t="n">
        <v>0.42949416714477</v>
      </c>
    </row>
    <row r="51" customFormat="false" ht="23.85" hidden="false" customHeight="false" outlineLevel="0" collapsed="false">
      <c r="A51" s="7" t="n">
        <v>47</v>
      </c>
      <c r="B51" s="12" t="s">
        <v>371</v>
      </c>
      <c r="C51" s="10" t="s">
        <v>779</v>
      </c>
      <c r="D51" s="12" t="s">
        <v>687</v>
      </c>
      <c r="E51" s="12" t="s">
        <v>791</v>
      </c>
      <c r="F51" s="10" t="s">
        <v>792</v>
      </c>
      <c r="G51" s="12" t="s">
        <v>79</v>
      </c>
      <c r="H51" s="26" t="n">
        <v>7.03</v>
      </c>
      <c r="I51" s="7" t="n">
        <v>1</v>
      </c>
      <c r="J51" s="7" t="n">
        <v>159</v>
      </c>
      <c r="K51" s="11" t="n">
        <v>8072.59</v>
      </c>
      <c r="L51" s="10" t="s">
        <v>372</v>
      </c>
      <c r="M51" s="26" t="n">
        <v>7.03</v>
      </c>
      <c r="N51" s="12" t="s">
        <v>657</v>
      </c>
      <c r="O51" s="12" t="s">
        <v>102</v>
      </c>
      <c r="P51" s="10" t="s">
        <v>658</v>
      </c>
      <c r="Q51" s="30" t="s">
        <v>782</v>
      </c>
      <c r="R51" s="34" t="n">
        <v>1</v>
      </c>
      <c r="S51" s="11" t="n">
        <v>8072.6</v>
      </c>
      <c r="T51" s="10" t="s">
        <v>144</v>
      </c>
      <c r="U51" s="7" t="n">
        <v>1</v>
      </c>
      <c r="V51" s="12" t="s">
        <v>144</v>
      </c>
      <c r="W51" s="12" t="s">
        <v>79</v>
      </c>
      <c r="X51" s="12" t="s">
        <v>671</v>
      </c>
      <c r="Y51" s="10"/>
      <c r="Z51" s="7" t="s">
        <v>688</v>
      </c>
      <c r="AA51" s="7" t="n">
        <v>31</v>
      </c>
      <c r="AB51" s="9" t="n">
        <v>0.42949416714477</v>
      </c>
    </row>
    <row r="52" customFormat="false" ht="23.85" hidden="false" customHeight="false" outlineLevel="0" collapsed="false">
      <c r="A52" s="7" t="n">
        <v>48</v>
      </c>
      <c r="B52" s="12" t="s">
        <v>357</v>
      </c>
      <c r="C52" s="10" t="s">
        <v>793</v>
      </c>
      <c r="D52" s="12" t="s">
        <v>687</v>
      </c>
      <c r="E52" s="12" t="s">
        <v>794</v>
      </c>
      <c r="F52" s="10" t="s">
        <v>795</v>
      </c>
      <c r="G52" s="12" t="s">
        <v>79</v>
      </c>
      <c r="H52" s="26" t="n">
        <v>90.4</v>
      </c>
      <c r="I52" s="7" t="n">
        <v>1</v>
      </c>
      <c r="J52" s="7" t="n">
        <v>22</v>
      </c>
      <c r="K52" s="11" t="n">
        <v>2127.31</v>
      </c>
      <c r="L52" s="10" t="s">
        <v>358</v>
      </c>
      <c r="M52" s="26" t="n">
        <v>90.4</v>
      </c>
      <c r="N52" s="12" t="s">
        <v>657</v>
      </c>
      <c r="O52" s="12" t="s">
        <v>102</v>
      </c>
      <c r="P52" s="10" t="s">
        <v>658</v>
      </c>
      <c r="Q52" s="30" t="s">
        <v>796</v>
      </c>
      <c r="R52" s="34" t="n">
        <v>1</v>
      </c>
      <c r="S52" s="11" t="n">
        <v>2127.3</v>
      </c>
      <c r="T52" s="10" t="s">
        <v>144</v>
      </c>
      <c r="U52" s="7" t="n">
        <v>1</v>
      </c>
      <c r="V52" s="12" t="s">
        <v>144</v>
      </c>
      <c r="W52" s="12" t="s">
        <v>79</v>
      </c>
      <c r="X52" s="12" t="s">
        <v>671</v>
      </c>
      <c r="Y52" s="10"/>
      <c r="Z52" s="7" t="s">
        <v>688</v>
      </c>
      <c r="AA52" s="7" t="n">
        <v>24</v>
      </c>
      <c r="AB52" s="9" t="n">
        <v>0.513238668961561</v>
      </c>
    </row>
    <row r="53" customFormat="false" ht="23.85" hidden="false" customHeight="false" outlineLevel="0" collapsed="false">
      <c r="A53" s="7" t="n">
        <v>49</v>
      </c>
      <c r="B53" s="12" t="s">
        <v>124</v>
      </c>
      <c r="C53" s="10" t="s">
        <v>124</v>
      </c>
      <c r="D53" s="12" t="s">
        <v>687</v>
      </c>
      <c r="E53" s="12" t="s">
        <v>797</v>
      </c>
      <c r="F53" s="10" t="s">
        <v>798</v>
      </c>
      <c r="G53" s="12" t="s">
        <v>79</v>
      </c>
      <c r="H53" s="26" t="n">
        <v>216.12</v>
      </c>
      <c r="I53" s="7" t="n">
        <v>1</v>
      </c>
      <c r="J53" s="7" t="n">
        <v>843</v>
      </c>
      <c r="K53" s="11" t="n">
        <v>4508</v>
      </c>
      <c r="L53" s="10" t="s">
        <v>125</v>
      </c>
      <c r="M53" s="26" t="n">
        <v>216.12</v>
      </c>
      <c r="N53" s="12" t="s">
        <v>657</v>
      </c>
      <c r="O53" s="12" t="s">
        <v>102</v>
      </c>
      <c r="P53" s="10" t="s">
        <v>658</v>
      </c>
      <c r="Q53" s="30" t="s">
        <v>799</v>
      </c>
      <c r="R53" s="34" t="n">
        <v>0.858739397335643</v>
      </c>
      <c r="S53" s="11" t="n">
        <v>3871.2</v>
      </c>
      <c r="T53" s="10" t="s">
        <v>144</v>
      </c>
      <c r="U53" s="7" t="n">
        <v>1</v>
      </c>
      <c r="V53" s="12" t="s">
        <v>144</v>
      </c>
      <c r="W53" s="12" t="s">
        <v>79</v>
      </c>
      <c r="X53" s="12" t="s">
        <v>86</v>
      </c>
      <c r="Y53" s="10" t="s">
        <v>104</v>
      </c>
      <c r="Z53" s="7" t="s">
        <v>106</v>
      </c>
      <c r="AA53" s="7" t="n">
        <v>8</v>
      </c>
      <c r="AB53" s="9" t="n">
        <v>0.669697838974947</v>
      </c>
    </row>
    <row r="54" customFormat="false" ht="23.85" hidden="false" customHeight="false" outlineLevel="0" collapsed="false">
      <c r="A54" s="7" t="n">
        <v>50</v>
      </c>
      <c r="B54" s="12" t="s">
        <v>124</v>
      </c>
      <c r="C54" s="10" t="s">
        <v>124</v>
      </c>
      <c r="D54" s="12" t="s">
        <v>687</v>
      </c>
      <c r="E54" s="12" t="s">
        <v>800</v>
      </c>
      <c r="F54" s="10" t="s">
        <v>801</v>
      </c>
      <c r="G54" s="12" t="s">
        <v>79</v>
      </c>
      <c r="H54" s="26" t="n">
        <v>427.8</v>
      </c>
      <c r="I54" s="7" t="n">
        <v>1</v>
      </c>
      <c r="J54" s="7" t="n">
        <v>843</v>
      </c>
      <c r="K54" s="11" t="n">
        <v>4508</v>
      </c>
      <c r="L54" s="10" t="s">
        <v>125</v>
      </c>
      <c r="M54" s="26" t="n">
        <v>427.8</v>
      </c>
      <c r="N54" s="12" t="s">
        <v>657</v>
      </c>
      <c r="O54" s="12" t="s">
        <v>102</v>
      </c>
      <c r="P54" s="10" t="s">
        <v>658</v>
      </c>
      <c r="Q54" s="30" t="s">
        <v>799</v>
      </c>
      <c r="R54" s="34" t="n">
        <v>0.858739397335643</v>
      </c>
      <c r="S54" s="11" t="n">
        <v>3871.2</v>
      </c>
      <c r="T54" s="10" t="s">
        <v>144</v>
      </c>
      <c r="U54" s="7" t="n">
        <v>1</v>
      </c>
      <c r="V54" s="12" t="s">
        <v>144</v>
      </c>
      <c r="W54" s="12" t="s">
        <v>79</v>
      </c>
      <c r="X54" s="12" t="s">
        <v>86</v>
      </c>
      <c r="Y54" s="10" t="s">
        <v>104</v>
      </c>
      <c r="Z54" s="7" t="s">
        <v>106</v>
      </c>
      <c r="AA54" s="7" t="n">
        <v>8</v>
      </c>
      <c r="AB54" s="9" t="n">
        <v>0.669697838974947</v>
      </c>
    </row>
    <row r="55" customFormat="false" ht="23.85" hidden="false" customHeight="false" outlineLevel="0" collapsed="false">
      <c r="A55" s="7" t="n">
        <v>51</v>
      </c>
      <c r="B55" s="12" t="s">
        <v>124</v>
      </c>
      <c r="C55" s="10" t="s">
        <v>124</v>
      </c>
      <c r="D55" s="12" t="s">
        <v>687</v>
      </c>
      <c r="E55" s="12" t="s">
        <v>802</v>
      </c>
      <c r="F55" s="10" t="s">
        <v>803</v>
      </c>
      <c r="G55" s="12" t="s">
        <v>79</v>
      </c>
      <c r="H55" s="26" t="n">
        <v>58.2</v>
      </c>
      <c r="I55" s="7" t="n">
        <v>1</v>
      </c>
      <c r="J55" s="7" t="n">
        <v>843</v>
      </c>
      <c r="K55" s="11" t="n">
        <v>4508</v>
      </c>
      <c r="L55" s="10" t="s">
        <v>125</v>
      </c>
      <c r="M55" s="26" t="n">
        <v>58.2</v>
      </c>
      <c r="N55" s="12" t="s">
        <v>657</v>
      </c>
      <c r="O55" s="12" t="s">
        <v>102</v>
      </c>
      <c r="P55" s="10" t="s">
        <v>658</v>
      </c>
      <c r="Q55" s="30" t="s">
        <v>799</v>
      </c>
      <c r="R55" s="34" t="n">
        <v>0.858739397335643</v>
      </c>
      <c r="S55" s="11" t="n">
        <v>3871.2</v>
      </c>
      <c r="T55" s="10" t="s">
        <v>144</v>
      </c>
      <c r="U55" s="7" t="n">
        <v>1</v>
      </c>
      <c r="V55" s="12" t="s">
        <v>144</v>
      </c>
      <c r="W55" s="12" t="s">
        <v>79</v>
      </c>
      <c r="X55" s="12" t="s">
        <v>86</v>
      </c>
      <c r="Y55" s="10" t="s">
        <v>104</v>
      </c>
      <c r="Z55" s="7" t="s">
        <v>106</v>
      </c>
      <c r="AA55" s="7" t="n">
        <v>8</v>
      </c>
      <c r="AB55" s="9" t="n">
        <v>0.669697838974947</v>
      </c>
    </row>
    <row r="56" customFormat="false" ht="23.85" hidden="false" customHeight="false" outlineLevel="0" collapsed="false">
      <c r="A56" s="7" t="n">
        <v>52</v>
      </c>
      <c r="B56" s="12" t="s">
        <v>411</v>
      </c>
      <c r="C56" s="10" t="s">
        <v>804</v>
      </c>
      <c r="D56" s="12" t="s">
        <v>687</v>
      </c>
      <c r="E56" s="12" t="s">
        <v>805</v>
      </c>
      <c r="F56" s="10" t="s">
        <v>806</v>
      </c>
      <c r="G56" s="12" t="s">
        <v>79</v>
      </c>
      <c r="H56" s="26" t="n">
        <v>5.35</v>
      </c>
      <c r="I56" s="7" t="n">
        <v>1</v>
      </c>
      <c r="J56" s="7" t="n">
        <v>78</v>
      </c>
      <c r="K56" s="11" t="n">
        <v>4714.67</v>
      </c>
      <c r="L56" s="10" t="s">
        <v>412</v>
      </c>
      <c r="M56" s="26" t="n">
        <v>5.35</v>
      </c>
      <c r="N56" s="12" t="s">
        <v>657</v>
      </c>
      <c r="O56" s="12" t="s">
        <v>102</v>
      </c>
      <c r="P56" s="10" t="s">
        <v>658</v>
      </c>
      <c r="Q56" s="30" t="s">
        <v>807</v>
      </c>
      <c r="R56" s="34" t="n">
        <v>0.623015352554995</v>
      </c>
      <c r="S56" s="11" t="n">
        <v>2937.3</v>
      </c>
      <c r="T56" s="10" t="s">
        <v>808</v>
      </c>
      <c r="U56" s="7" t="n">
        <v>2</v>
      </c>
      <c r="V56" s="12" t="s">
        <v>413</v>
      </c>
      <c r="W56" s="12" t="s">
        <v>79</v>
      </c>
      <c r="X56" s="12" t="s">
        <v>86</v>
      </c>
      <c r="Y56" s="10"/>
      <c r="Z56" s="7" t="s">
        <v>688</v>
      </c>
      <c r="AA56" s="7" t="n">
        <v>47</v>
      </c>
      <c r="AB56" s="9" t="n">
        <v>0.219186268885064</v>
      </c>
    </row>
    <row r="57" customFormat="false" ht="35.05" hidden="false" customHeight="false" outlineLevel="0" collapsed="false">
      <c r="A57" s="7" t="n">
        <v>53</v>
      </c>
      <c r="B57" s="12" t="s">
        <v>415</v>
      </c>
      <c r="C57" s="10" t="s">
        <v>415</v>
      </c>
      <c r="D57" s="12" t="s">
        <v>687</v>
      </c>
      <c r="E57" s="12" t="s">
        <v>809</v>
      </c>
      <c r="F57" s="10" t="s">
        <v>810</v>
      </c>
      <c r="G57" s="12" t="s">
        <v>811</v>
      </c>
      <c r="H57" s="26"/>
      <c r="I57" s="7" t="n">
        <v>1</v>
      </c>
      <c r="J57" s="7" t="n">
        <v>9</v>
      </c>
      <c r="K57" s="11" t="n">
        <v>1127.64</v>
      </c>
      <c r="L57" s="10" t="s">
        <v>416</v>
      </c>
      <c r="M57" s="35" t="n">
        <v>10.03</v>
      </c>
      <c r="N57" s="12" t="s">
        <v>664</v>
      </c>
      <c r="O57" s="12" t="s">
        <v>102</v>
      </c>
      <c r="P57" s="10" t="s">
        <v>665</v>
      </c>
      <c r="Q57" s="30" t="s">
        <v>666</v>
      </c>
      <c r="R57" s="34" t="n">
        <v>1</v>
      </c>
      <c r="S57" s="11" t="n">
        <v>1127.6</v>
      </c>
      <c r="T57" s="10" t="s">
        <v>144</v>
      </c>
      <c r="U57" s="7" t="n">
        <v>1</v>
      </c>
      <c r="V57" s="12" t="s">
        <v>144</v>
      </c>
      <c r="W57" s="12" t="s">
        <v>85</v>
      </c>
      <c r="X57" s="12" t="s">
        <v>86</v>
      </c>
      <c r="Y57" s="10" t="s">
        <v>87</v>
      </c>
      <c r="Z57" s="7" t="s">
        <v>688</v>
      </c>
      <c r="AA57" s="7" t="n">
        <v>48</v>
      </c>
      <c r="AB57" s="9" t="n">
        <v>0.197198317077835</v>
      </c>
    </row>
    <row r="58" customFormat="false" ht="35.05" hidden="false" customHeight="false" outlineLevel="0" collapsed="false">
      <c r="A58" s="7" t="n">
        <v>54</v>
      </c>
      <c r="B58" s="12" t="s">
        <v>362</v>
      </c>
      <c r="C58" s="10" t="s">
        <v>812</v>
      </c>
      <c r="D58" s="12" t="s">
        <v>687</v>
      </c>
      <c r="E58" s="12" t="s">
        <v>813</v>
      </c>
      <c r="F58" s="10" t="s">
        <v>814</v>
      </c>
      <c r="G58" s="12" t="s">
        <v>79</v>
      </c>
      <c r="H58" s="26" t="n">
        <v>161.8</v>
      </c>
      <c r="I58" s="7" t="n">
        <v>1</v>
      </c>
      <c r="J58" s="7" t="n">
        <v>9996</v>
      </c>
      <c r="K58" s="11" t="n">
        <v>71311.67</v>
      </c>
      <c r="L58" s="10" t="s">
        <v>363</v>
      </c>
      <c r="M58" s="26" t="n">
        <v>161.8</v>
      </c>
      <c r="N58" s="12" t="s">
        <v>657</v>
      </c>
      <c r="O58" s="12" t="s">
        <v>102</v>
      </c>
      <c r="P58" s="10" t="s">
        <v>658</v>
      </c>
      <c r="Q58" s="30" t="s">
        <v>815</v>
      </c>
      <c r="R58" s="34" t="n">
        <v>0.0105877483794674</v>
      </c>
      <c r="S58" s="11" t="n">
        <v>755</v>
      </c>
      <c r="T58" s="10" t="s">
        <v>144</v>
      </c>
      <c r="U58" s="7" t="n">
        <v>1</v>
      </c>
      <c r="V58" s="12" t="s">
        <v>144</v>
      </c>
      <c r="W58" s="12" t="s">
        <v>79</v>
      </c>
      <c r="X58" s="12" t="s">
        <v>671</v>
      </c>
      <c r="Y58" s="10"/>
      <c r="Z58" s="7" t="s">
        <v>688</v>
      </c>
      <c r="AA58" s="7" t="n">
        <v>27</v>
      </c>
      <c r="AB58" s="9" t="n">
        <v>0.482056798623064</v>
      </c>
    </row>
    <row r="59" customFormat="false" ht="23.85" hidden="false" customHeight="false" outlineLevel="0" collapsed="false">
      <c r="A59" s="7" t="n">
        <v>55</v>
      </c>
      <c r="B59" s="12" t="s">
        <v>333</v>
      </c>
      <c r="C59" s="10" t="s">
        <v>816</v>
      </c>
      <c r="D59" s="12" t="s">
        <v>687</v>
      </c>
      <c r="E59" s="12" t="s">
        <v>817</v>
      </c>
      <c r="F59" s="10" t="s">
        <v>818</v>
      </c>
      <c r="G59" s="12" t="s">
        <v>656</v>
      </c>
      <c r="H59" s="26" t="n">
        <v>81.22</v>
      </c>
      <c r="I59" s="7" t="n">
        <v>1</v>
      </c>
      <c r="J59" s="7" t="n">
        <v>61</v>
      </c>
      <c r="K59" s="11" t="n">
        <v>2812.77</v>
      </c>
      <c r="L59" s="10" t="s">
        <v>334</v>
      </c>
      <c r="M59" s="26" t="n">
        <v>81.22</v>
      </c>
      <c r="N59" s="12" t="s">
        <v>657</v>
      </c>
      <c r="O59" s="12" t="s">
        <v>102</v>
      </c>
      <c r="P59" s="10" t="s">
        <v>658</v>
      </c>
      <c r="Q59" s="30" t="s">
        <v>819</v>
      </c>
      <c r="R59" s="34" t="n">
        <v>1</v>
      </c>
      <c r="S59" s="11" t="n">
        <v>2812.8</v>
      </c>
      <c r="T59" s="10" t="s">
        <v>820</v>
      </c>
      <c r="U59" s="7" t="n">
        <v>6</v>
      </c>
      <c r="V59" s="12" t="s">
        <v>335</v>
      </c>
      <c r="W59" s="12" t="s">
        <v>328</v>
      </c>
      <c r="X59" s="12" t="s">
        <v>671</v>
      </c>
      <c r="Y59" s="10"/>
      <c r="Z59" s="7" t="s">
        <v>688</v>
      </c>
      <c r="AA59" s="7" t="n">
        <v>14</v>
      </c>
      <c r="AB59" s="9" t="n">
        <v>0.590084146108242</v>
      </c>
    </row>
    <row r="60" customFormat="false" ht="23.85" hidden="false" customHeight="false" outlineLevel="0" collapsed="false">
      <c r="A60" s="7" t="n">
        <v>56</v>
      </c>
      <c r="B60" s="12" t="s">
        <v>333</v>
      </c>
      <c r="C60" s="10" t="s">
        <v>816</v>
      </c>
      <c r="D60" s="12" t="s">
        <v>687</v>
      </c>
      <c r="E60" s="12" t="s">
        <v>821</v>
      </c>
      <c r="F60" s="10" t="s">
        <v>822</v>
      </c>
      <c r="G60" s="12" t="s">
        <v>656</v>
      </c>
      <c r="H60" s="26" t="n">
        <v>198.4</v>
      </c>
      <c r="I60" s="7" t="n">
        <v>1</v>
      </c>
      <c r="J60" s="7" t="n">
        <v>61</v>
      </c>
      <c r="K60" s="11" t="n">
        <v>2812.77</v>
      </c>
      <c r="L60" s="10" t="s">
        <v>334</v>
      </c>
      <c r="M60" s="26" t="n">
        <v>198.4</v>
      </c>
      <c r="N60" s="12" t="s">
        <v>657</v>
      </c>
      <c r="O60" s="12" t="s">
        <v>102</v>
      </c>
      <c r="P60" s="10" t="s">
        <v>658</v>
      </c>
      <c r="Q60" s="30" t="s">
        <v>819</v>
      </c>
      <c r="R60" s="34" t="n">
        <v>1</v>
      </c>
      <c r="S60" s="11" t="n">
        <v>2812.8</v>
      </c>
      <c r="T60" s="10" t="s">
        <v>820</v>
      </c>
      <c r="U60" s="7" t="n">
        <v>6</v>
      </c>
      <c r="V60" s="12" t="s">
        <v>335</v>
      </c>
      <c r="W60" s="12" t="s">
        <v>328</v>
      </c>
      <c r="X60" s="12" t="s">
        <v>671</v>
      </c>
      <c r="Y60" s="10"/>
      <c r="Z60" s="7" t="s">
        <v>688</v>
      </c>
      <c r="AA60" s="7" t="n">
        <v>14</v>
      </c>
      <c r="AB60" s="9" t="n">
        <v>0.590084146108242</v>
      </c>
    </row>
    <row r="61" customFormat="false" ht="23.85" hidden="false" customHeight="false" outlineLevel="0" collapsed="false">
      <c r="A61" s="7" t="n">
        <v>57</v>
      </c>
      <c r="B61" s="12" t="s">
        <v>112</v>
      </c>
      <c r="C61" s="10" t="s">
        <v>112</v>
      </c>
      <c r="D61" s="12" t="s">
        <v>687</v>
      </c>
      <c r="E61" s="12" t="s">
        <v>823</v>
      </c>
      <c r="F61" s="10" t="s">
        <v>824</v>
      </c>
      <c r="G61" s="12" t="s">
        <v>656</v>
      </c>
      <c r="H61" s="26" t="n">
        <v>343.8</v>
      </c>
      <c r="I61" s="7" t="n">
        <v>1</v>
      </c>
      <c r="J61" s="7" t="n">
        <v>47</v>
      </c>
      <c r="K61" s="11" t="n">
        <v>7904.67</v>
      </c>
      <c r="L61" s="10" t="s">
        <v>113</v>
      </c>
      <c r="M61" s="26" t="n">
        <v>343.8</v>
      </c>
      <c r="N61" s="12" t="s">
        <v>657</v>
      </c>
      <c r="O61" s="12" t="s">
        <v>102</v>
      </c>
      <c r="P61" s="10" t="s">
        <v>658</v>
      </c>
      <c r="Q61" s="30" t="s">
        <v>825</v>
      </c>
      <c r="R61" s="34" t="n">
        <v>1</v>
      </c>
      <c r="S61" s="11" t="n">
        <v>7904.7</v>
      </c>
      <c r="T61" s="10" t="s">
        <v>826</v>
      </c>
      <c r="U61" s="7" t="n">
        <v>10</v>
      </c>
      <c r="V61" s="12" t="s">
        <v>141</v>
      </c>
      <c r="W61" s="12" t="s">
        <v>79</v>
      </c>
      <c r="X61" s="12" t="s">
        <v>86</v>
      </c>
      <c r="Y61" s="10"/>
      <c r="Z61" s="7" t="s">
        <v>74</v>
      </c>
      <c r="AA61" s="7" t="n">
        <v>4</v>
      </c>
      <c r="AB61" s="9" t="n">
        <v>0.815777395295468</v>
      </c>
    </row>
    <row r="62" customFormat="false" ht="35.05" hidden="false" customHeight="false" outlineLevel="0" collapsed="false">
      <c r="A62" s="7" t="n">
        <v>58</v>
      </c>
      <c r="B62" s="12" t="s">
        <v>89</v>
      </c>
      <c r="C62" s="10" t="s">
        <v>827</v>
      </c>
      <c r="D62" s="12" t="s">
        <v>687</v>
      </c>
      <c r="E62" s="12" t="s">
        <v>828</v>
      </c>
      <c r="F62" s="10" t="s">
        <v>829</v>
      </c>
      <c r="G62" s="12" t="s">
        <v>656</v>
      </c>
      <c r="H62" s="26" t="n">
        <v>856.68</v>
      </c>
      <c r="I62" s="7" t="n">
        <v>1</v>
      </c>
      <c r="J62" s="7" t="n">
        <v>905</v>
      </c>
      <c r="K62" s="11" t="n">
        <v>28093.38</v>
      </c>
      <c r="L62" s="10" t="s">
        <v>90</v>
      </c>
      <c r="M62" s="26" t="n">
        <v>856.68</v>
      </c>
      <c r="N62" s="12" t="s">
        <v>657</v>
      </c>
      <c r="O62" s="12" t="s">
        <v>102</v>
      </c>
      <c r="P62" s="10" t="s">
        <v>658</v>
      </c>
      <c r="Q62" s="30" t="s">
        <v>830</v>
      </c>
      <c r="R62" s="34" t="n">
        <v>1</v>
      </c>
      <c r="S62" s="11" t="n">
        <v>28093.4</v>
      </c>
      <c r="T62" s="10" t="s">
        <v>778</v>
      </c>
      <c r="U62" s="7" t="n">
        <v>12</v>
      </c>
      <c r="V62" s="12" t="s">
        <v>116</v>
      </c>
      <c r="W62" s="12" t="s">
        <v>79</v>
      </c>
      <c r="X62" s="12" t="s">
        <v>80</v>
      </c>
      <c r="Y62" s="10" t="s">
        <v>81</v>
      </c>
      <c r="Z62" s="7" t="s">
        <v>74</v>
      </c>
      <c r="AA62" s="7" t="n">
        <v>2</v>
      </c>
      <c r="AB62" s="9" t="n">
        <v>0.873862115127175</v>
      </c>
    </row>
    <row r="63" customFormat="false" ht="23.85" hidden="false" customHeight="false" outlineLevel="0" collapsed="false">
      <c r="A63" s="7" t="n">
        <v>59</v>
      </c>
      <c r="B63" s="12" t="s">
        <v>114</v>
      </c>
      <c r="C63" s="10" t="s">
        <v>114</v>
      </c>
      <c r="D63" s="12" t="s">
        <v>687</v>
      </c>
      <c r="E63" s="12" t="s">
        <v>831</v>
      </c>
      <c r="F63" s="10" t="s">
        <v>832</v>
      </c>
      <c r="G63" s="12" t="s">
        <v>663</v>
      </c>
      <c r="H63" s="26" t="n">
        <v>345.31</v>
      </c>
      <c r="I63" s="7" t="n">
        <v>1</v>
      </c>
      <c r="J63" s="7" t="n">
        <v>146</v>
      </c>
      <c r="K63" s="11" t="n">
        <v>11366.06</v>
      </c>
      <c r="L63" s="10" t="s">
        <v>115</v>
      </c>
      <c r="M63" s="26" t="n">
        <v>345.31</v>
      </c>
      <c r="N63" s="12" t="s">
        <v>657</v>
      </c>
      <c r="O63" s="12" t="s">
        <v>102</v>
      </c>
      <c r="P63" s="10" t="s">
        <v>658</v>
      </c>
      <c r="Q63" s="30" t="s">
        <v>833</v>
      </c>
      <c r="R63" s="34" t="n">
        <v>1</v>
      </c>
      <c r="S63" s="11" t="n">
        <v>11366.1</v>
      </c>
      <c r="T63" s="10" t="s">
        <v>834</v>
      </c>
      <c r="U63" s="7" t="n">
        <v>10</v>
      </c>
      <c r="V63" s="12" t="s">
        <v>78</v>
      </c>
      <c r="W63" s="12" t="s">
        <v>85</v>
      </c>
      <c r="X63" s="12" t="s">
        <v>86</v>
      </c>
      <c r="Y63" s="10" t="s">
        <v>87</v>
      </c>
      <c r="Z63" s="7" t="s">
        <v>74</v>
      </c>
      <c r="AA63" s="7" t="n">
        <v>5</v>
      </c>
      <c r="AB63" s="9" t="n">
        <v>0.792579843182253</v>
      </c>
    </row>
    <row r="64" customFormat="false" ht="23.85" hidden="false" customHeight="false" outlineLevel="0" collapsed="false">
      <c r="A64" s="7" t="n">
        <v>60</v>
      </c>
      <c r="B64" s="12" t="s">
        <v>112</v>
      </c>
      <c r="C64" s="10" t="s">
        <v>112</v>
      </c>
      <c r="D64" s="12" t="s">
        <v>687</v>
      </c>
      <c r="E64" s="12" t="s">
        <v>835</v>
      </c>
      <c r="F64" s="10" t="s">
        <v>836</v>
      </c>
      <c r="G64" s="12" t="s">
        <v>656</v>
      </c>
      <c r="H64" s="26" t="n">
        <v>6345.6</v>
      </c>
      <c r="I64" s="7" t="n">
        <v>1</v>
      </c>
      <c r="J64" s="7" t="n">
        <v>47</v>
      </c>
      <c r="K64" s="11" t="n">
        <v>7904.67</v>
      </c>
      <c r="L64" s="10" t="s">
        <v>113</v>
      </c>
      <c r="M64" s="26" t="n">
        <v>6345.6</v>
      </c>
      <c r="N64" s="12" t="s">
        <v>657</v>
      </c>
      <c r="O64" s="12" t="s">
        <v>102</v>
      </c>
      <c r="P64" s="10" t="s">
        <v>658</v>
      </c>
      <c r="Q64" s="30" t="s">
        <v>837</v>
      </c>
      <c r="R64" s="34" t="n">
        <v>1</v>
      </c>
      <c r="S64" s="11" t="n">
        <v>7904.7</v>
      </c>
      <c r="T64" s="10" t="s">
        <v>826</v>
      </c>
      <c r="U64" s="7" t="n">
        <v>10</v>
      </c>
      <c r="V64" s="12" t="s">
        <v>141</v>
      </c>
      <c r="W64" s="12" t="s">
        <v>79</v>
      </c>
      <c r="X64" s="12" t="s">
        <v>86</v>
      </c>
      <c r="Y64" s="10"/>
      <c r="Z64" s="7" t="s">
        <v>74</v>
      </c>
      <c r="AA64" s="7" t="n">
        <v>4</v>
      </c>
      <c r="AB64" s="9" t="n">
        <v>0.815777395295468</v>
      </c>
    </row>
    <row r="65" customFormat="false" ht="23.85" hidden="false" customHeight="false" outlineLevel="0" collapsed="false">
      <c r="A65" s="7" t="n">
        <v>61</v>
      </c>
      <c r="B65" s="12" t="s">
        <v>75</v>
      </c>
      <c r="C65" s="10" t="s">
        <v>75</v>
      </c>
      <c r="D65" s="12" t="s">
        <v>687</v>
      </c>
      <c r="E65" s="12" t="s">
        <v>838</v>
      </c>
      <c r="F65" s="10" t="s">
        <v>839</v>
      </c>
      <c r="G65" s="12" t="s">
        <v>656</v>
      </c>
      <c r="H65" s="26" t="n">
        <v>360.71</v>
      </c>
      <c r="I65" s="7" t="n">
        <v>1</v>
      </c>
      <c r="J65" s="7" t="n">
        <v>762</v>
      </c>
      <c r="K65" s="11" t="n">
        <v>50865.56</v>
      </c>
      <c r="L65" s="10" t="s">
        <v>76</v>
      </c>
      <c r="M65" s="26" t="n">
        <v>360.71</v>
      </c>
      <c r="N65" s="12" t="s">
        <v>657</v>
      </c>
      <c r="O65" s="12" t="s">
        <v>102</v>
      </c>
      <c r="P65" s="10" t="s">
        <v>658</v>
      </c>
      <c r="Q65" s="30" t="s">
        <v>840</v>
      </c>
      <c r="R65" s="34" t="n">
        <v>0.829278792417718</v>
      </c>
      <c r="S65" s="11" t="n">
        <v>42181.7</v>
      </c>
      <c r="T65" s="10" t="s">
        <v>841</v>
      </c>
      <c r="U65" s="7" t="n">
        <v>11</v>
      </c>
      <c r="V65" s="12" t="s">
        <v>91</v>
      </c>
      <c r="W65" s="12" t="s">
        <v>79</v>
      </c>
      <c r="X65" s="12" t="s">
        <v>80</v>
      </c>
      <c r="Y65" s="10" t="s">
        <v>81</v>
      </c>
      <c r="Z65" s="7" t="s">
        <v>74</v>
      </c>
      <c r="AA65" s="7" t="n">
        <v>1</v>
      </c>
      <c r="AB65" s="9" t="n">
        <v>0.888477720405431</v>
      </c>
    </row>
    <row r="66" customFormat="false" ht="23.85" hidden="false" customHeight="false" outlineLevel="0" collapsed="false">
      <c r="A66" s="7" t="n">
        <v>62</v>
      </c>
      <c r="B66" s="12" t="s">
        <v>180</v>
      </c>
      <c r="C66" s="10" t="s">
        <v>180</v>
      </c>
      <c r="D66" s="12" t="s">
        <v>687</v>
      </c>
      <c r="E66" s="12" t="s">
        <v>842</v>
      </c>
      <c r="F66" s="10" t="s">
        <v>843</v>
      </c>
      <c r="G66" s="12" t="s">
        <v>656</v>
      </c>
      <c r="H66" s="26" t="n">
        <v>6.61</v>
      </c>
      <c r="I66" s="7" t="n">
        <v>1</v>
      </c>
      <c r="J66" s="7" t="n">
        <v>3515</v>
      </c>
      <c r="K66" s="11" t="n">
        <v>140084.73</v>
      </c>
      <c r="L66" s="10" t="s">
        <v>181</v>
      </c>
      <c r="M66" s="26" t="n">
        <v>6.61</v>
      </c>
      <c r="N66" s="12" t="s">
        <v>657</v>
      </c>
      <c r="O66" s="12" t="s">
        <v>102</v>
      </c>
      <c r="P66" s="10" t="s">
        <v>658</v>
      </c>
      <c r="Q66" s="30" t="s">
        <v>844</v>
      </c>
      <c r="R66" s="34" t="n">
        <v>0.251824206147514</v>
      </c>
      <c r="S66" s="11" t="n">
        <v>35276.7</v>
      </c>
      <c r="T66" s="10" t="s">
        <v>845</v>
      </c>
      <c r="U66" s="7" t="n">
        <v>11</v>
      </c>
      <c r="V66" s="12" t="s">
        <v>130</v>
      </c>
      <c r="W66" s="12" t="s">
        <v>79</v>
      </c>
      <c r="X66" s="12" t="s">
        <v>97</v>
      </c>
      <c r="Y66" s="10"/>
      <c r="Z66" s="7" t="s">
        <v>688</v>
      </c>
      <c r="AA66" s="7" t="n">
        <v>23</v>
      </c>
      <c r="AB66" s="9" t="n">
        <v>0.514606043220501</v>
      </c>
    </row>
    <row r="67" customFormat="false" ht="23.85" hidden="false" customHeight="false" outlineLevel="0" collapsed="false">
      <c r="A67" s="7" t="n">
        <v>63</v>
      </c>
      <c r="B67" s="12" t="s">
        <v>210</v>
      </c>
      <c r="C67" s="10" t="s">
        <v>210</v>
      </c>
      <c r="D67" s="12" t="s">
        <v>687</v>
      </c>
      <c r="E67" s="12" t="s">
        <v>846</v>
      </c>
      <c r="F67" s="10" t="s">
        <v>847</v>
      </c>
      <c r="G67" s="12" t="s">
        <v>656</v>
      </c>
      <c r="H67" s="26" t="n">
        <v>6.34</v>
      </c>
      <c r="I67" s="7" t="n">
        <v>1</v>
      </c>
      <c r="J67" s="7" t="n">
        <v>2546</v>
      </c>
      <c r="K67" s="11" t="n">
        <v>46507.62</v>
      </c>
      <c r="L67" s="10" t="s">
        <v>211</v>
      </c>
      <c r="M67" s="26" t="n">
        <v>6.34</v>
      </c>
      <c r="N67" s="12" t="s">
        <v>657</v>
      </c>
      <c r="O67" s="12" t="s">
        <v>102</v>
      </c>
      <c r="P67" s="10" t="s">
        <v>658</v>
      </c>
      <c r="Q67" s="30" t="s">
        <v>848</v>
      </c>
      <c r="R67" s="34" t="n">
        <v>0.378228374732698</v>
      </c>
      <c r="S67" s="11" t="n">
        <v>17590.5</v>
      </c>
      <c r="T67" s="10" t="s">
        <v>849</v>
      </c>
      <c r="U67" s="7" t="n">
        <v>10</v>
      </c>
      <c r="V67" s="12" t="s">
        <v>360</v>
      </c>
      <c r="W67" s="12" t="s">
        <v>172</v>
      </c>
      <c r="X67" s="12" t="s">
        <v>97</v>
      </c>
      <c r="Y67" s="10"/>
      <c r="Z67" s="7" t="s">
        <v>688</v>
      </c>
      <c r="AA67" s="7" t="n">
        <v>25</v>
      </c>
      <c r="AB67" s="9" t="n">
        <v>0.483017785427424</v>
      </c>
    </row>
    <row r="68" customFormat="false" ht="23.85" hidden="false" customHeight="false" outlineLevel="0" collapsed="false">
      <c r="A68" s="7" t="n">
        <v>64</v>
      </c>
      <c r="B68" s="12" t="s">
        <v>75</v>
      </c>
      <c r="C68" s="10" t="s">
        <v>850</v>
      </c>
      <c r="D68" s="12" t="s">
        <v>687</v>
      </c>
      <c r="E68" s="12" t="s">
        <v>851</v>
      </c>
      <c r="F68" s="10" t="s">
        <v>839</v>
      </c>
      <c r="G68" s="12" t="s">
        <v>656</v>
      </c>
      <c r="H68" s="26" t="n">
        <v>397.421</v>
      </c>
      <c r="I68" s="7" t="n">
        <v>30</v>
      </c>
      <c r="J68" s="7" t="n">
        <v>762</v>
      </c>
      <c r="K68" s="11" t="n">
        <v>50865.56</v>
      </c>
      <c r="L68" s="10" t="s">
        <v>76</v>
      </c>
      <c r="M68" s="26" t="n">
        <v>397.421</v>
      </c>
      <c r="N68" s="12" t="s">
        <v>657</v>
      </c>
      <c r="O68" s="12" t="s">
        <v>77</v>
      </c>
      <c r="P68" s="10" t="s">
        <v>658</v>
      </c>
      <c r="Q68" s="30" t="s">
        <v>852</v>
      </c>
      <c r="R68" s="34" t="n">
        <v>0.829278792417718</v>
      </c>
      <c r="S68" s="11" t="n">
        <v>42181.7</v>
      </c>
      <c r="T68" s="10" t="s">
        <v>841</v>
      </c>
      <c r="U68" s="7" t="n">
        <v>11</v>
      </c>
      <c r="V68" s="12" t="s">
        <v>91</v>
      </c>
      <c r="W68" s="12" t="s">
        <v>79</v>
      </c>
      <c r="X68" s="12" t="s">
        <v>80</v>
      </c>
      <c r="Y68" s="10" t="s">
        <v>81</v>
      </c>
      <c r="Z68" s="7" t="s">
        <v>74</v>
      </c>
      <c r="AA68" s="7" t="n">
        <v>1</v>
      </c>
      <c r="AB68" s="9" t="n">
        <v>0.888477720405431</v>
      </c>
    </row>
    <row r="69" customFormat="false" ht="35.05" hidden="false" customHeight="false" outlineLevel="0" collapsed="false">
      <c r="A69" s="7" t="n">
        <v>65</v>
      </c>
      <c r="B69" s="12" t="s">
        <v>89</v>
      </c>
      <c r="C69" s="10" t="s">
        <v>853</v>
      </c>
      <c r="D69" s="12" t="s">
        <v>687</v>
      </c>
      <c r="E69" s="12" t="s">
        <v>854</v>
      </c>
      <c r="F69" s="10" t="s">
        <v>829</v>
      </c>
      <c r="G69" s="12" t="s">
        <v>656</v>
      </c>
      <c r="H69" s="26" t="n">
        <v>1444.1174</v>
      </c>
      <c r="I69" s="7" t="n">
        <v>29</v>
      </c>
      <c r="J69" s="7" t="n">
        <v>905</v>
      </c>
      <c r="K69" s="11" t="n">
        <v>28093.38</v>
      </c>
      <c r="L69" s="10" t="s">
        <v>90</v>
      </c>
      <c r="M69" s="26" t="n">
        <v>1444.1174</v>
      </c>
      <c r="N69" s="12" t="s">
        <v>657</v>
      </c>
      <c r="O69" s="12" t="s">
        <v>77</v>
      </c>
      <c r="P69" s="10" t="s">
        <v>658</v>
      </c>
      <c r="Q69" s="30" t="s">
        <v>852</v>
      </c>
      <c r="R69" s="34" t="n">
        <v>1</v>
      </c>
      <c r="S69" s="11" t="n">
        <v>28093.4</v>
      </c>
      <c r="T69" s="10" t="s">
        <v>778</v>
      </c>
      <c r="U69" s="7" t="n">
        <v>12</v>
      </c>
      <c r="V69" s="12" t="s">
        <v>116</v>
      </c>
      <c r="W69" s="12" t="s">
        <v>79</v>
      </c>
      <c r="X69" s="12" t="s">
        <v>80</v>
      </c>
      <c r="Y69" s="10" t="s">
        <v>81</v>
      </c>
      <c r="Z69" s="7" t="s">
        <v>74</v>
      </c>
      <c r="AA69" s="7" t="n">
        <v>2</v>
      </c>
      <c r="AB69" s="9" t="n">
        <v>0.873862115127175</v>
      </c>
    </row>
    <row r="70" customFormat="false" ht="23.85" hidden="false" customHeight="false" outlineLevel="0" collapsed="false">
      <c r="A70" s="7" t="n">
        <v>66</v>
      </c>
      <c r="B70" s="12" t="s">
        <v>283</v>
      </c>
      <c r="C70" s="10" t="s">
        <v>855</v>
      </c>
      <c r="D70" s="12" t="s">
        <v>687</v>
      </c>
      <c r="E70" s="12" t="s">
        <v>856</v>
      </c>
      <c r="F70" s="10" t="s">
        <v>857</v>
      </c>
      <c r="G70" s="12" t="s">
        <v>656</v>
      </c>
      <c r="H70" s="26" t="n">
        <v>5.1528</v>
      </c>
      <c r="I70" s="7" t="n">
        <v>20</v>
      </c>
      <c r="J70" s="7" t="n">
        <v>598</v>
      </c>
      <c r="K70" s="11" t="n">
        <v>16840.43</v>
      </c>
      <c r="L70" s="10" t="s">
        <v>284</v>
      </c>
      <c r="M70" s="26" t="n">
        <v>5.1528</v>
      </c>
      <c r="N70" s="12" t="s">
        <v>657</v>
      </c>
      <c r="O70" s="12" t="s">
        <v>77</v>
      </c>
      <c r="P70" s="10" t="s">
        <v>658</v>
      </c>
      <c r="Q70" s="30" t="s">
        <v>858</v>
      </c>
      <c r="R70" s="34" t="n">
        <v>0.971428571428571</v>
      </c>
      <c r="S70" s="11" t="n">
        <v>16359.3</v>
      </c>
      <c r="T70" s="10" t="s">
        <v>859</v>
      </c>
      <c r="U70" s="7" t="n">
        <v>6</v>
      </c>
      <c r="V70" s="12" t="s">
        <v>379</v>
      </c>
      <c r="W70" s="12" t="s">
        <v>172</v>
      </c>
      <c r="X70" s="12" t="s">
        <v>86</v>
      </c>
      <c r="Y70" s="10"/>
      <c r="Z70" s="7" t="s">
        <v>688</v>
      </c>
      <c r="AA70" s="7" t="n">
        <v>34</v>
      </c>
      <c r="AB70" s="9" t="n">
        <v>0.381593038821955</v>
      </c>
    </row>
    <row r="71" customFormat="false" ht="23.85" hidden="false" customHeight="false" outlineLevel="0" collapsed="false">
      <c r="A71" s="7" t="n">
        <v>67</v>
      </c>
      <c r="B71" s="12" t="s">
        <v>206</v>
      </c>
      <c r="C71" s="10" t="s">
        <v>860</v>
      </c>
      <c r="D71" s="12" t="s">
        <v>687</v>
      </c>
      <c r="E71" s="12" t="s">
        <v>861</v>
      </c>
      <c r="F71" s="10" t="s">
        <v>862</v>
      </c>
      <c r="G71" s="12" t="s">
        <v>656</v>
      </c>
      <c r="H71" s="26" t="n">
        <v>8.4976</v>
      </c>
      <c r="I71" s="7" t="n">
        <v>30</v>
      </c>
      <c r="J71" s="7" t="n">
        <v>335</v>
      </c>
      <c r="K71" s="11" t="n">
        <v>5713.56</v>
      </c>
      <c r="L71" s="10" t="s">
        <v>207</v>
      </c>
      <c r="M71" s="26" t="n">
        <v>8.4976</v>
      </c>
      <c r="N71" s="12" t="s">
        <v>657</v>
      </c>
      <c r="O71" s="12" t="s">
        <v>77</v>
      </c>
      <c r="P71" s="10" t="s">
        <v>658</v>
      </c>
      <c r="Q71" s="30" t="s">
        <v>863</v>
      </c>
      <c r="R71" s="34" t="n">
        <v>1</v>
      </c>
      <c r="S71" s="11" t="n">
        <v>5713.6</v>
      </c>
      <c r="T71" s="10" t="s">
        <v>864</v>
      </c>
      <c r="U71" s="7" t="n">
        <v>1</v>
      </c>
      <c r="V71" s="12" t="s">
        <v>226</v>
      </c>
      <c r="W71" s="12" t="s">
        <v>79</v>
      </c>
      <c r="X71" s="12" t="s">
        <v>80</v>
      </c>
      <c r="Y71" s="10" t="s">
        <v>111</v>
      </c>
      <c r="Z71" s="7" t="s">
        <v>688</v>
      </c>
      <c r="AA71" s="7" t="n">
        <v>36</v>
      </c>
      <c r="AB71" s="9" t="n">
        <v>0.375114744693058</v>
      </c>
    </row>
    <row r="72" customFormat="false" ht="23.85" hidden="false" customHeight="false" outlineLevel="0" collapsed="false">
      <c r="A72" s="7" t="n">
        <v>68</v>
      </c>
      <c r="B72" s="12" t="s">
        <v>201</v>
      </c>
      <c r="C72" s="10" t="s">
        <v>865</v>
      </c>
      <c r="D72" s="12" t="s">
        <v>687</v>
      </c>
      <c r="E72" s="12" t="s">
        <v>861</v>
      </c>
      <c r="F72" s="10" t="s">
        <v>866</v>
      </c>
      <c r="G72" s="12" t="s">
        <v>656</v>
      </c>
      <c r="H72" s="26" t="n">
        <v>5.6048</v>
      </c>
      <c r="I72" s="7" t="n">
        <v>30</v>
      </c>
      <c r="J72" s="7" t="n">
        <v>3110</v>
      </c>
      <c r="K72" s="11" t="n">
        <v>93119.22</v>
      </c>
      <c r="L72" s="10" t="s">
        <v>202</v>
      </c>
      <c r="M72" s="26" t="n">
        <v>5.6048</v>
      </c>
      <c r="N72" s="12" t="s">
        <v>657</v>
      </c>
      <c r="O72" s="12" t="s">
        <v>77</v>
      </c>
      <c r="P72" s="10" t="s">
        <v>658</v>
      </c>
      <c r="Q72" s="30" t="s">
        <v>867</v>
      </c>
      <c r="R72" s="34" t="n">
        <v>1</v>
      </c>
      <c r="S72" s="11" t="n">
        <v>93119.2</v>
      </c>
      <c r="T72" s="10" t="s">
        <v>868</v>
      </c>
      <c r="U72" s="7" t="n">
        <v>4</v>
      </c>
      <c r="V72" s="12" t="s">
        <v>140</v>
      </c>
      <c r="W72" s="12" t="s">
        <v>79</v>
      </c>
      <c r="X72" s="12" t="s">
        <v>86</v>
      </c>
      <c r="Y72" s="10" t="s">
        <v>111</v>
      </c>
      <c r="Z72" s="7" t="s">
        <v>688</v>
      </c>
      <c r="AA72" s="7" t="n">
        <v>20</v>
      </c>
      <c r="AB72" s="9" t="n">
        <v>0.519535283993115</v>
      </c>
    </row>
    <row r="73" customFormat="false" ht="23.85" hidden="false" customHeight="false" outlineLevel="0" collapsed="false">
      <c r="A73" s="7" t="n">
        <v>69</v>
      </c>
      <c r="B73" s="12" t="s">
        <v>201</v>
      </c>
      <c r="C73" s="10" t="s">
        <v>869</v>
      </c>
      <c r="D73" s="12" t="s">
        <v>687</v>
      </c>
      <c r="E73" s="12" t="s">
        <v>861</v>
      </c>
      <c r="F73" s="10" t="s">
        <v>870</v>
      </c>
      <c r="G73" s="12" t="s">
        <v>656</v>
      </c>
      <c r="H73" s="26" t="n">
        <v>5.6048</v>
      </c>
      <c r="I73" s="7" t="n">
        <v>28</v>
      </c>
      <c r="J73" s="7" t="n">
        <v>3110</v>
      </c>
      <c r="K73" s="11" t="n">
        <v>93119.22</v>
      </c>
      <c r="L73" s="10" t="s">
        <v>202</v>
      </c>
      <c r="M73" s="26" t="n">
        <v>5.6048</v>
      </c>
      <c r="N73" s="12" t="s">
        <v>657</v>
      </c>
      <c r="O73" s="12" t="s">
        <v>102</v>
      </c>
      <c r="P73" s="10" t="s">
        <v>658</v>
      </c>
      <c r="Q73" s="30" t="s">
        <v>871</v>
      </c>
      <c r="R73" s="34" t="n">
        <v>1</v>
      </c>
      <c r="S73" s="11" t="n">
        <v>93119.2</v>
      </c>
      <c r="T73" s="10" t="s">
        <v>868</v>
      </c>
      <c r="U73" s="7" t="n">
        <v>4</v>
      </c>
      <c r="V73" s="12" t="s">
        <v>140</v>
      </c>
      <c r="W73" s="12" t="s">
        <v>172</v>
      </c>
      <c r="X73" s="12" t="s">
        <v>86</v>
      </c>
      <c r="Y73" s="10" t="s">
        <v>111</v>
      </c>
      <c r="Z73" s="7" t="s">
        <v>688</v>
      </c>
      <c r="AA73" s="7" t="n">
        <v>20</v>
      </c>
      <c r="AB73" s="9" t="n">
        <v>0.519535283993115</v>
      </c>
    </row>
    <row r="74" customFormat="false" ht="23.85" hidden="false" customHeight="false" outlineLevel="0" collapsed="false">
      <c r="A74" s="7" t="n">
        <v>70</v>
      </c>
      <c r="B74" s="12" t="s">
        <v>107</v>
      </c>
      <c r="C74" s="10" t="s">
        <v>872</v>
      </c>
      <c r="D74" s="12" t="s">
        <v>687</v>
      </c>
      <c r="E74" s="12" t="s">
        <v>873</v>
      </c>
      <c r="F74" s="10" t="s">
        <v>874</v>
      </c>
      <c r="G74" s="12" t="s">
        <v>656</v>
      </c>
      <c r="H74" s="26" t="n">
        <v>93.7335</v>
      </c>
      <c r="I74" s="7" t="n">
        <v>28</v>
      </c>
      <c r="J74" s="7" t="n">
        <v>312</v>
      </c>
      <c r="K74" s="11" t="n">
        <v>59827.18</v>
      </c>
      <c r="L74" s="10" t="s">
        <v>108</v>
      </c>
      <c r="M74" s="26" t="n">
        <v>93.7335</v>
      </c>
      <c r="N74" s="12" t="s">
        <v>657</v>
      </c>
      <c r="O74" s="12" t="s">
        <v>102</v>
      </c>
      <c r="P74" s="10" t="s">
        <v>658</v>
      </c>
      <c r="Q74" s="30" t="s">
        <v>852</v>
      </c>
      <c r="R74" s="34" t="n">
        <v>1</v>
      </c>
      <c r="S74" s="11" t="n">
        <v>59827.2</v>
      </c>
      <c r="T74" s="10" t="s">
        <v>875</v>
      </c>
      <c r="U74" s="7" t="n">
        <v>5</v>
      </c>
      <c r="V74" s="12" t="s">
        <v>140</v>
      </c>
      <c r="W74" s="12" t="s">
        <v>79</v>
      </c>
      <c r="X74" s="12" t="s">
        <v>80</v>
      </c>
      <c r="Y74" s="10" t="s">
        <v>111</v>
      </c>
      <c r="Z74" s="7" t="s">
        <v>74</v>
      </c>
      <c r="AA74" s="7" t="n">
        <v>3</v>
      </c>
      <c r="AB74" s="9" t="n">
        <v>0.864629948364888</v>
      </c>
    </row>
    <row r="75" customFormat="false" ht="23.85" hidden="false" customHeight="false" outlineLevel="0" collapsed="false">
      <c r="A75" s="7" t="n">
        <v>71</v>
      </c>
      <c r="B75" s="12" t="s">
        <v>120</v>
      </c>
      <c r="C75" s="10" t="s">
        <v>876</v>
      </c>
      <c r="D75" s="12" t="s">
        <v>687</v>
      </c>
      <c r="E75" s="12" t="s">
        <v>877</v>
      </c>
      <c r="F75" s="10" t="s">
        <v>878</v>
      </c>
      <c r="G75" s="12" t="s">
        <v>656</v>
      </c>
      <c r="H75" s="26" t="n">
        <v>16.837</v>
      </c>
      <c r="I75" s="7" t="n">
        <v>31</v>
      </c>
      <c r="J75" s="7" t="n">
        <v>1644</v>
      </c>
      <c r="K75" s="11" t="n">
        <v>41889.23</v>
      </c>
      <c r="L75" s="10" t="s">
        <v>121</v>
      </c>
      <c r="M75" s="26" t="n">
        <v>16.837</v>
      </c>
      <c r="N75" s="12" t="s">
        <v>657</v>
      </c>
      <c r="O75" s="12" t="s">
        <v>77</v>
      </c>
      <c r="P75" s="10" t="s">
        <v>658</v>
      </c>
      <c r="Q75" s="30" t="s">
        <v>852</v>
      </c>
      <c r="R75" s="34" t="n">
        <v>0.990783410138249</v>
      </c>
      <c r="S75" s="11" t="n">
        <v>41503.2</v>
      </c>
      <c r="T75" s="10" t="s">
        <v>879</v>
      </c>
      <c r="U75" s="7" t="n">
        <v>6</v>
      </c>
      <c r="V75" s="12" t="s">
        <v>185</v>
      </c>
      <c r="W75" s="12" t="s">
        <v>79</v>
      </c>
      <c r="X75" s="12" t="s">
        <v>86</v>
      </c>
      <c r="Y75" s="10" t="s">
        <v>104</v>
      </c>
      <c r="Z75" s="7" t="s">
        <v>688</v>
      </c>
      <c r="AA75" s="7" t="n">
        <v>11</v>
      </c>
      <c r="AB75" s="9" t="n">
        <v>0.622136163702429</v>
      </c>
    </row>
    <row r="76" customFormat="false" ht="23.85" hidden="false" customHeight="false" outlineLevel="0" collapsed="false">
      <c r="A76" s="7" t="n">
        <v>72</v>
      </c>
      <c r="B76" s="12" t="s">
        <v>342</v>
      </c>
      <c r="C76" s="10" t="s">
        <v>880</v>
      </c>
      <c r="D76" s="12" t="s">
        <v>687</v>
      </c>
      <c r="E76" s="12" t="s">
        <v>881</v>
      </c>
      <c r="F76" s="10" t="s">
        <v>882</v>
      </c>
      <c r="G76" s="12" t="s">
        <v>656</v>
      </c>
      <c r="H76" s="26" t="n">
        <v>91.7334</v>
      </c>
      <c r="I76" s="7" t="n">
        <v>29</v>
      </c>
      <c r="J76" s="7" t="n">
        <v>345</v>
      </c>
      <c r="K76" s="11" t="n">
        <v>2783.28</v>
      </c>
      <c r="L76" s="10" t="s">
        <v>343</v>
      </c>
      <c r="M76" s="26" t="n">
        <v>91.7334</v>
      </c>
      <c r="N76" s="12" t="s">
        <v>657</v>
      </c>
      <c r="O76" s="12" t="s">
        <v>153</v>
      </c>
      <c r="P76" s="10" t="s">
        <v>658</v>
      </c>
      <c r="Q76" s="30" t="s">
        <v>852</v>
      </c>
      <c r="R76" s="34" t="n">
        <v>0.995283018867925</v>
      </c>
      <c r="S76" s="11" t="n">
        <v>2770.2</v>
      </c>
      <c r="T76" s="10" t="s">
        <v>883</v>
      </c>
      <c r="U76" s="7" t="n">
        <v>4</v>
      </c>
      <c r="V76" s="12" t="s">
        <v>344</v>
      </c>
      <c r="W76" s="12" t="s">
        <v>79</v>
      </c>
      <c r="X76" s="12" t="s">
        <v>671</v>
      </c>
      <c r="Y76" s="10" t="s">
        <v>104</v>
      </c>
      <c r="Z76" s="7" t="s">
        <v>688</v>
      </c>
      <c r="AA76" s="7" t="n">
        <v>17</v>
      </c>
      <c r="AB76" s="9" t="n">
        <v>0.552557850449417</v>
      </c>
    </row>
    <row r="77" customFormat="false" ht="23.85" hidden="false" customHeight="false" outlineLevel="0" collapsed="false">
      <c r="A77" s="7" t="n">
        <v>73</v>
      </c>
      <c r="B77" s="12" t="s">
        <v>337</v>
      </c>
      <c r="C77" s="10" t="s">
        <v>884</v>
      </c>
      <c r="D77" s="12" t="s">
        <v>687</v>
      </c>
      <c r="E77" s="12" t="s">
        <v>885</v>
      </c>
      <c r="F77" s="10" t="s">
        <v>886</v>
      </c>
      <c r="G77" s="12" t="s">
        <v>656</v>
      </c>
      <c r="H77" s="26" t="n">
        <v>64.9298</v>
      </c>
      <c r="I77" s="7" t="n">
        <v>23</v>
      </c>
      <c r="J77" s="7" t="n">
        <v>366</v>
      </c>
      <c r="K77" s="11" t="n">
        <v>5357.19</v>
      </c>
      <c r="L77" s="10" t="s">
        <v>338</v>
      </c>
      <c r="M77" s="26" t="n">
        <v>64.9298</v>
      </c>
      <c r="N77" s="12" t="s">
        <v>657</v>
      </c>
      <c r="O77" s="12" t="s">
        <v>153</v>
      </c>
      <c r="P77" s="10" t="s">
        <v>658</v>
      </c>
      <c r="Q77" s="30" t="s">
        <v>887</v>
      </c>
      <c r="R77" s="34" t="n">
        <v>0.664995452935796</v>
      </c>
      <c r="S77" s="11" t="n">
        <v>3562.5</v>
      </c>
      <c r="T77" s="10" t="s">
        <v>888</v>
      </c>
      <c r="U77" s="7" t="n">
        <v>1</v>
      </c>
      <c r="V77" s="12" t="s">
        <v>169</v>
      </c>
      <c r="W77" s="12" t="s">
        <v>79</v>
      </c>
      <c r="X77" s="12" t="s">
        <v>671</v>
      </c>
      <c r="Y77" s="10"/>
      <c r="Z77" s="7" t="s">
        <v>688</v>
      </c>
      <c r="AA77" s="7" t="n">
        <v>15</v>
      </c>
      <c r="AB77" s="9" t="n">
        <v>0.575109963664181</v>
      </c>
    </row>
    <row r="78" customFormat="false" ht="23.85" hidden="false" customHeight="false" outlineLevel="0" collapsed="false">
      <c r="A78" s="7" t="n">
        <v>74</v>
      </c>
      <c r="B78" s="12" t="s">
        <v>114</v>
      </c>
      <c r="C78" s="10" t="s">
        <v>889</v>
      </c>
      <c r="D78" s="12" t="s">
        <v>687</v>
      </c>
      <c r="E78" s="12" t="s">
        <v>890</v>
      </c>
      <c r="F78" s="10" t="s">
        <v>891</v>
      </c>
      <c r="G78" s="12" t="s">
        <v>663</v>
      </c>
      <c r="H78" s="26" t="n">
        <v>531.8684</v>
      </c>
      <c r="I78" s="7" t="n">
        <v>31</v>
      </c>
      <c r="J78" s="7" t="n">
        <v>146</v>
      </c>
      <c r="K78" s="11" t="n">
        <v>11366.06</v>
      </c>
      <c r="L78" s="10" t="s">
        <v>115</v>
      </c>
      <c r="M78" s="26" t="n">
        <v>531.8684</v>
      </c>
      <c r="N78" s="12" t="s">
        <v>657</v>
      </c>
      <c r="O78" s="12" t="s">
        <v>77</v>
      </c>
      <c r="P78" s="10" t="s">
        <v>658</v>
      </c>
      <c r="Q78" s="30" t="s">
        <v>852</v>
      </c>
      <c r="R78" s="34" t="n">
        <v>1</v>
      </c>
      <c r="S78" s="11" t="n">
        <v>11366.1</v>
      </c>
      <c r="T78" s="10" t="s">
        <v>834</v>
      </c>
      <c r="U78" s="7" t="n">
        <v>10</v>
      </c>
      <c r="V78" s="12" t="s">
        <v>78</v>
      </c>
      <c r="W78" s="12" t="s">
        <v>85</v>
      </c>
      <c r="X78" s="12" t="s">
        <v>86</v>
      </c>
      <c r="Y78" s="10" t="s">
        <v>87</v>
      </c>
      <c r="Z78" s="7" t="s">
        <v>74</v>
      </c>
      <c r="AA78" s="7" t="n">
        <v>5</v>
      </c>
      <c r="AB78" s="9" t="n">
        <v>0.792579843182253</v>
      </c>
    </row>
    <row r="79" customFormat="false" ht="23.85" hidden="false" customHeight="false" outlineLevel="0" collapsed="false">
      <c r="A79" s="7" t="n">
        <v>75</v>
      </c>
      <c r="B79" s="12" t="s">
        <v>128</v>
      </c>
      <c r="C79" s="10" t="s">
        <v>892</v>
      </c>
      <c r="D79" s="12" t="s">
        <v>687</v>
      </c>
      <c r="E79" s="12" t="s">
        <v>893</v>
      </c>
      <c r="F79" s="10" t="s">
        <v>894</v>
      </c>
      <c r="G79" s="12" t="s">
        <v>656</v>
      </c>
      <c r="H79" s="26" t="n">
        <v>95.2025</v>
      </c>
      <c r="I79" s="7" t="n">
        <v>28</v>
      </c>
      <c r="J79" s="7" t="n">
        <v>257</v>
      </c>
      <c r="K79" s="11" t="n">
        <v>4183.29</v>
      </c>
      <c r="L79" s="10" t="s">
        <v>129</v>
      </c>
      <c r="M79" s="26" t="n">
        <v>95.2025</v>
      </c>
      <c r="N79" s="12" t="s">
        <v>657</v>
      </c>
      <c r="O79" s="12" t="s">
        <v>153</v>
      </c>
      <c r="P79" s="10" t="s">
        <v>658</v>
      </c>
      <c r="Q79" s="30" t="s">
        <v>852</v>
      </c>
      <c r="R79" s="34" t="n">
        <v>0.689888576486515</v>
      </c>
      <c r="S79" s="11" t="n">
        <v>2886</v>
      </c>
      <c r="T79" s="10" t="s">
        <v>895</v>
      </c>
      <c r="U79" s="7" t="n">
        <v>3</v>
      </c>
      <c r="V79" s="12" t="s">
        <v>340</v>
      </c>
      <c r="W79" s="12" t="s">
        <v>79</v>
      </c>
      <c r="X79" s="12" t="s">
        <v>80</v>
      </c>
      <c r="Y79" s="10" t="s">
        <v>81</v>
      </c>
      <c r="Z79" s="7" t="s">
        <v>688</v>
      </c>
      <c r="AA79" s="7" t="n">
        <v>16</v>
      </c>
      <c r="AB79" s="9" t="n">
        <v>0.574048575253395</v>
      </c>
    </row>
    <row r="80" customFormat="false" ht="23.85" hidden="false" customHeight="false" outlineLevel="0" collapsed="false">
      <c r="A80" s="7" t="n">
        <v>76</v>
      </c>
      <c r="B80" s="12" t="s">
        <v>148</v>
      </c>
      <c r="C80" s="10" t="s">
        <v>896</v>
      </c>
      <c r="D80" s="12" t="s">
        <v>687</v>
      </c>
      <c r="E80" s="12" t="s">
        <v>897</v>
      </c>
      <c r="F80" s="10" t="s">
        <v>898</v>
      </c>
      <c r="G80" s="12" t="s">
        <v>656</v>
      </c>
      <c r="H80" s="26" t="n">
        <v>12.0797</v>
      </c>
      <c r="I80" s="7" t="n">
        <v>30</v>
      </c>
      <c r="J80" s="7" t="n">
        <v>1185</v>
      </c>
      <c r="K80" s="11" t="n">
        <v>59407.06</v>
      </c>
      <c r="L80" s="10" t="s">
        <v>149</v>
      </c>
      <c r="M80" s="26" t="n">
        <v>12.0797</v>
      </c>
      <c r="N80" s="12" t="s">
        <v>657</v>
      </c>
      <c r="O80" s="12" t="s">
        <v>77</v>
      </c>
      <c r="P80" s="10" t="s">
        <v>658</v>
      </c>
      <c r="Q80" s="30" t="s">
        <v>852</v>
      </c>
      <c r="R80" s="34" t="n">
        <v>0.991808067465962</v>
      </c>
      <c r="S80" s="11" t="n">
        <v>58920.4</v>
      </c>
      <c r="T80" s="10" t="s">
        <v>899</v>
      </c>
      <c r="U80" s="7" t="n">
        <v>10</v>
      </c>
      <c r="V80" s="12" t="s">
        <v>150</v>
      </c>
      <c r="W80" s="12" t="s">
        <v>79</v>
      </c>
      <c r="X80" s="12" t="s">
        <v>80</v>
      </c>
      <c r="Y80" s="10" t="s">
        <v>111</v>
      </c>
      <c r="Z80" s="7" t="s">
        <v>106</v>
      </c>
      <c r="AA80" s="7" t="n">
        <v>9</v>
      </c>
      <c r="AB80" s="9" t="n">
        <v>0.663611589213999</v>
      </c>
    </row>
    <row r="81" customFormat="false" ht="23.85" hidden="false" customHeight="false" outlineLevel="0" collapsed="false">
      <c r="A81" s="7" t="n">
        <v>77</v>
      </c>
      <c r="B81" s="12" t="s">
        <v>148</v>
      </c>
      <c r="C81" s="10" t="s">
        <v>900</v>
      </c>
      <c r="D81" s="12" t="s">
        <v>687</v>
      </c>
      <c r="E81" s="12" t="s">
        <v>897</v>
      </c>
      <c r="F81" s="10" t="s">
        <v>898</v>
      </c>
      <c r="G81" s="12" t="s">
        <v>656</v>
      </c>
      <c r="H81" s="26" t="n">
        <v>12.0797</v>
      </c>
      <c r="I81" s="7" t="n">
        <v>29</v>
      </c>
      <c r="J81" s="7" t="n">
        <v>1185</v>
      </c>
      <c r="K81" s="11" t="n">
        <v>59407.06</v>
      </c>
      <c r="L81" s="10" t="s">
        <v>149</v>
      </c>
      <c r="M81" s="26" t="n">
        <v>12.0797</v>
      </c>
      <c r="N81" s="12" t="s">
        <v>657</v>
      </c>
      <c r="O81" s="12" t="s">
        <v>77</v>
      </c>
      <c r="P81" s="10" t="s">
        <v>658</v>
      </c>
      <c r="Q81" s="30" t="s">
        <v>852</v>
      </c>
      <c r="R81" s="34" t="n">
        <v>0.991808067465962</v>
      </c>
      <c r="S81" s="11" t="n">
        <v>58920.4</v>
      </c>
      <c r="T81" s="10" t="s">
        <v>899</v>
      </c>
      <c r="U81" s="7" t="n">
        <v>10</v>
      </c>
      <c r="V81" s="12" t="s">
        <v>150</v>
      </c>
      <c r="W81" s="12" t="s">
        <v>79</v>
      </c>
      <c r="X81" s="12" t="s">
        <v>80</v>
      </c>
      <c r="Y81" s="10" t="s">
        <v>111</v>
      </c>
      <c r="Z81" s="7" t="s">
        <v>106</v>
      </c>
      <c r="AA81" s="7" t="n">
        <v>9</v>
      </c>
      <c r="AB81" s="9" t="n">
        <v>0.663611589213999</v>
      </c>
    </row>
    <row r="82" customFormat="false" ht="23.85" hidden="false" customHeight="false" outlineLevel="0" collapsed="false">
      <c r="A82" s="7" t="n">
        <v>78</v>
      </c>
      <c r="B82" s="12" t="s">
        <v>148</v>
      </c>
      <c r="C82" s="10" t="s">
        <v>901</v>
      </c>
      <c r="D82" s="12" t="s">
        <v>687</v>
      </c>
      <c r="E82" s="12" t="s">
        <v>897</v>
      </c>
      <c r="F82" s="10" t="s">
        <v>898</v>
      </c>
      <c r="G82" s="12" t="s">
        <v>656</v>
      </c>
      <c r="H82" s="26" t="n">
        <v>12.0797</v>
      </c>
      <c r="I82" s="7" t="n">
        <v>30</v>
      </c>
      <c r="J82" s="7" t="n">
        <v>1185</v>
      </c>
      <c r="K82" s="11" t="n">
        <v>59407.06</v>
      </c>
      <c r="L82" s="10" t="s">
        <v>149</v>
      </c>
      <c r="M82" s="26" t="n">
        <v>12.0797</v>
      </c>
      <c r="N82" s="12" t="s">
        <v>657</v>
      </c>
      <c r="O82" s="12" t="s">
        <v>77</v>
      </c>
      <c r="P82" s="10" t="s">
        <v>658</v>
      </c>
      <c r="Q82" s="30" t="s">
        <v>852</v>
      </c>
      <c r="R82" s="34" t="n">
        <v>0.991808067465962</v>
      </c>
      <c r="S82" s="11" t="n">
        <v>58920.4</v>
      </c>
      <c r="T82" s="10" t="s">
        <v>899</v>
      </c>
      <c r="U82" s="7" t="n">
        <v>10</v>
      </c>
      <c r="V82" s="12" t="s">
        <v>150</v>
      </c>
      <c r="W82" s="12" t="s">
        <v>79</v>
      </c>
      <c r="X82" s="12" t="s">
        <v>80</v>
      </c>
      <c r="Y82" s="10" t="s">
        <v>111</v>
      </c>
      <c r="Z82" s="7" t="s">
        <v>106</v>
      </c>
      <c r="AA82" s="7" t="n">
        <v>9</v>
      </c>
      <c r="AB82" s="9" t="n">
        <v>0.663611589213999</v>
      </c>
    </row>
    <row r="83" customFormat="false" ht="23.85" hidden="false" customHeight="false" outlineLevel="0" collapsed="false">
      <c r="A83" s="7" t="n">
        <v>79</v>
      </c>
      <c r="B83" s="12" t="s">
        <v>151</v>
      </c>
      <c r="C83" s="10" t="s">
        <v>902</v>
      </c>
      <c r="D83" s="12" t="s">
        <v>687</v>
      </c>
      <c r="E83" s="12" t="s">
        <v>903</v>
      </c>
      <c r="F83" s="10" t="s">
        <v>904</v>
      </c>
      <c r="G83" s="12" t="s">
        <v>656</v>
      </c>
      <c r="H83" s="26" t="n">
        <v>55.8898</v>
      </c>
      <c r="I83" s="7" t="n">
        <v>26</v>
      </c>
      <c r="J83" s="7" t="n">
        <v>544</v>
      </c>
      <c r="K83" s="11" t="n">
        <v>7654.85</v>
      </c>
      <c r="L83" s="10" t="s">
        <v>152</v>
      </c>
      <c r="M83" s="26" t="n">
        <v>55.8898</v>
      </c>
      <c r="N83" s="12" t="s">
        <v>657</v>
      </c>
      <c r="O83" s="12" t="s">
        <v>153</v>
      </c>
      <c r="P83" s="10" t="s">
        <v>658</v>
      </c>
      <c r="Q83" s="30" t="s">
        <v>852</v>
      </c>
      <c r="R83" s="34" t="n">
        <v>0.882348668280872</v>
      </c>
      <c r="S83" s="11" t="n">
        <v>6754.2</v>
      </c>
      <c r="T83" s="10" t="s">
        <v>905</v>
      </c>
      <c r="U83" s="7" t="n">
        <v>2</v>
      </c>
      <c r="V83" s="12" t="s">
        <v>323</v>
      </c>
      <c r="W83" s="12" t="s">
        <v>79</v>
      </c>
      <c r="X83" s="12" t="s">
        <v>80</v>
      </c>
      <c r="Y83" s="10" t="s">
        <v>81</v>
      </c>
      <c r="Z83" s="7" t="s">
        <v>106</v>
      </c>
      <c r="AA83" s="7" t="n">
        <v>10</v>
      </c>
      <c r="AB83" s="9" t="n">
        <v>0.643411742206923</v>
      </c>
    </row>
    <row r="84" customFormat="false" ht="23.85" hidden="false" customHeight="false" outlineLevel="0" collapsed="false">
      <c r="A84" s="7" t="n">
        <v>80</v>
      </c>
      <c r="B84" s="12" t="s">
        <v>210</v>
      </c>
      <c r="C84" s="10" t="s">
        <v>906</v>
      </c>
      <c r="D84" s="12" t="s">
        <v>687</v>
      </c>
      <c r="E84" s="12" t="s">
        <v>907</v>
      </c>
      <c r="F84" s="10" t="s">
        <v>908</v>
      </c>
      <c r="G84" s="12" t="s">
        <v>656</v>
      </c>
      <c r="H84" s="26" t="n">
        <v>5.3223</v>
      </c>
      <c r="I84" s="7" t="n">
        <v>30</v>
      </c>
      <c r="J84" s="7" t="n">
        <v>2546</v>
      </c>
      <c r="K84" s="11" t="n">
        <v>46507.62</v>
      </c>
      <c r="L84" s="10" t="s">
        <v>211</v>
      </c>
      <c r="M84" s="26" t="n">
        <v>5.3223</v>
      </c>
      <c r="N84" s="12" t="s">
        <v>657</v>
      </c>
      <c r="O84" s="12" t="s">
        <v>102</v>
      </c>
      <c r="P84" s="10" t="s">
        <v>658</v>
      </c>
      <c r="Q84" s="30" t="s">
        <v>852</v>
      </c>
      <c r="R84" s="34" t="n">
        <v>0.378228374732698</v>
      </c>
      <c r="S84" s="11" t="n">
        <v>17590.5</v>
      </c>
      <c r="T84" s="10" t="s">
        <v>849</v>
      </c>
      <c r="U84" s="7" t="n">
        <v>10</v>
      </c>
      <c r="V84" s="12" t="s">
        <v>360</v>
      </c>
      <c r="W84" s="12" t="s">
        <v>172</v>
      </c>
      <c r="X84" s="12" t="s">
        <v>86</v>
      </c>
      <c r="Y84" s="10"/>
      <c r="Z84" s="7" t="s">
        <v>688</v>
      </c>
      <c r="AA84" s="7" t="n">
        <v>25</v>
      </c>
      <c r="AB84" s="9" t="n">
        <v>0.483017785427424</v>
      </c>
    </row>
    <row r="85" customFormat="false" ht="23.85" hidden="false" customHeight="false" outlineLevel="0" collapsed="false">
      <c r="A85" s="7" t="n">
        <v>81</v>
      </c>
      <c r="B85" s="12" t="s">
        <v>112</v>
      </c>
      <c r="C85" s="10" t="s">
        <v>909</v>
      </c>
      <c r="D85" s="12" t="s">
        <v>687</v>
      </c>
      <c r="E85" s="12" t="s">
        <v>910</v>
      </c>
      <c r="F85" s="10" t="s">
        <v>836</v>
      </c>
      <c r="G85" s="12" t="s">
        <v>656</v>
      </c>
      <c r="H85" s="26" t="n">
        <v>7322.4226</v>
      </c>
      <c r="I85" s="7" t="n">
        <v>25</v>
      </c>
      <c r="J85" s="7" t="n">
        <v>47</v>
      </c>
      <c r="K85" s="11" t="n">
        <v>7904.67</v>
      </c>
      <c r="L85" s="10" t="s">
        <v>113</v>
      </c>
      <c r="M85" s="26" t="n">
        <v>7322.4226</v>
      </c>
      <c r="N85" s="12" t="s">
        <v>657</v>
      </c>
      <c r="O85" s="12" t="s">
        <v>77</v>
      </c>
      <c r="P85" s="10" t="s">
        <v>658</v>
      </c>
      <c r="Q85" s="30" t="s">
        <v>852</v>
      </c>
      <c r="R85" s="34" t="n">
        <v>1</v>
      </c>
      <c r="S85" s="11" t="n">
        <v>7904.7</v>
      </c>
      <c r="T85" s="10" t="s">
        <v>826</v>
      </c>
      <c r="U85" s="7" t="n">
        <v>10</v>
      </c>
      <c r="V85" s="12" t="s">
        <v>141</v>
      </c>
      <c r="W85" s="12" t="s">
        <v>79</v>
      </c>
      <c r="X85" s="12" t="s">
        <v>86</v>
      </c>
      <c r="Y85" s="10"/>
      <c r="Z85" s="7" t="s">
        <v>74</v>
      </c>
      <c r="AA85" s="7" t="n">
        <v>4</v>
      </c>
      <c r="AB85" s="9" t="n">
        <v>0.815777395295468</v>
      </c>
    </row>
    <row r="86" customFormat="false" ht="23.85" hidden="false" customHeight="false" outlineLevel="0" collapsed="false">
      <c r="A86" s="7" t="n">
        <v>82</v>
      </c>
      <c r="B86" s="12" t="s">
        <v>275</v>
      </c>
      <c r="C86" s="10" t="s">
        <v>911</v>
      </c>
      <c r="D86" s="12" t="s">
        <v>687</v>
      </c>
      <c r="E86" s="12" t="s">
        <v>912</v>
      </c>
      <c r="F86" s="10" t="s">
        <v>913</v>
      </c>
      <c r="G86" s="12" t="s">
        <v>656</v>
      </c>
      <c r="H86" s="26" t="n">
        <v>7.0399</v>
      </c>
      <c r="I86" s="7" t="n">
        <v>22</v>
      </c>
      <c r="J86" s="7" t="n">
        <v>2</v>
      </c>
      <c r="K86" s="11" t="n">
        <v>71.73</v>
      </c>
      <c r="L86" s="10" t="s">
        <v>276</v>
      </c>
      <c r="M86" s="26" t="n">
        <v>7.0399</v>
      </c>
      <c r="N86" s="12" t="s">
        <v>657</v>
      </c>
      <c r="O86" s="12" t="s">
        <v>153</v>
      </c>
      <c r="P86" s="10" t="s">
        <v>658</v>
      </c>
      <c r="Q86" s="30" t="s">
        <v>914</v>
      </c>
      <c r="R86" s="34" t="n">
        <v>0.996078431372549</v>
      </c>
      <c r="S86" s="11" t="n">
        <v>71.4</v>
      </c>
      <c r="T86" s="10" t="s">
        <v>915</v>
      </c>
      <c r="U86" s="7" t="n">
        <v>1</v>
      </c>
      <c r="V86" s="12" t="s">
        <v>421</v>
      </c>
      <c r="W86" s="12" t="s">
        <v>79</v>
      </c>
      <c r="X86" s="12" t="s">
        <v>80</v>
      </c>
      <c r="Y86" s="10" t="s">
        <v>111</v>
      </c>
      <c r="Z86" s="7" t="s">
        <v>688</v>
      </c>
      <c r="AA86" s="7" t="n">
        <v>51</v>
      </c>
      <c r="AB86" s="9" t="n">
        <v>0.0756215337540639</v>
      </c>
    </row>
    <row r="87" customFormat="false" ht="23.85" hidden="false" customHeight="false" outlineLevel="0" collapsed="false">
      <c r="A87" s="7" t="n">
        <v>83</v>
      </c>
      <c r="B87" s="12" t="s">
        <v>403</v>
      </c>
      <c r="C87" s="10" t="s">
        <v>916</v>
      </c>
      <c r="D87" s="12" t="s">
        <v>687</v>
      </c>
      <c r="E87" s="12" t="s">
        <v>917</v>
      </c>
      <c r="F87" s="10" t="s">
        <v>918</v>
      </c>
      <c r="G87" s="12" t="s">
        <v>656</v>
      </c>
      <c r="H87" s="26" t="n">
        <v>24.3967</v>
      </c>
      <c r="I87" s="7" t="n">
        <v>21</v>
      </c>
      <c r="J87" s="7" t="n">
        <v>93</v>
      </c>
      <c r="K87" s="11" t="n">
        <v>528.18</v>
      </c>
      <c r="L87" s="10" t="s">
        <v>404</v>
      </c>
      <c r="M87" s="26" t="n">
        <v>24.3967</v>
      </c>
      <c r="N87" s="12" t="s">
        <v>657</v>
      </c>
      <c r="O87" s="12" t="s">
        <v>77</v>
      </c>
      <c r="P87" s="10" t="s">
        <v>658</v>
      </c>
      <c r="Q87" s="30" t="s">
        <v>852</v>
      </c>
      <c r="R87" s="34" t="n">
        <v>0.571145833333333</v>
      </c>
      <c r="S87" s="11" t="n">
        <v>301.7</v>
      </c>
      <c r="T87" s="10" t="s">
        <v>919</v>
      </c>
      <c r="U87" s="7" t="n">
        <v>7</v>
      </c>
      <c r="V87" s="12" t="s">
        <v>405</v>
      </c>
      <c r="W87" s="12" t="s">
        <v>79</v>
      </c>
      <c r="X87" s="12" t="s">
        <v>86</v>
      </c>
      <c r="Y87" s="10" t="s">
        <v>104</v>
      </c>
      <c r="Z87" s="7" t="s">
        <v>688</v>
      </c>
      <c r="AA87" s="7" t="n">
        <v>44</v>
      </c>
      <c r="AB87" s="9" t="n">
        <v>0.272408682348441</v>
      </c>
    </row>
    <row r="88" customFormat="false" ht="23.85" hidden="false" customHeight="false" outlineLevel="0" collapsed="false">
      <c r="A88" s="7" t="n">
        <v>84</v>
      </c>
      <c r="B88" s="12" t="s">
        <v>403</v>
      </c>
      <c r="C88" s="10" t="s">
        <v>920</v>
      </c>
      <c r="D88" s="12" t="s">
        <v>687</v>
      </c>
      <c r="E88" s="12" t="s">
        <v>917</v>
      </c>
      <c r="F88" s="10" t="s">
        <v>918</v>
      </c>
      <c r="G88" s="12" t="s">
        <v>656</v>
      </c>
      <c r="H88" s="26" t="n">
        <v>24.3967</v>
      </c>
      <c r="I88" s="7" t="n">
        <v>29</v>
      </c>
      <c r="J88" s="7" t="n">
        <v>93</v>
      </c>
      <c r="K88" s="11" t="n">
        <v>528.18</v>
      </c>
      <c r="L88" s="10" t="s">
        <v>404</v>
      </c>
      <c r="M88" s="26" t="n">
        <v>24.3967</v>
      </c>
      <c r="N88" s="12" t="s">
        <v>657</v>
      </c>
      <c r="O88" s="12" t="s">
        <v>77</v>
      </c>
      <c r="P88" s="10" t="s">
        <v>658</v>
      </c>
      <c r="Q88" s="30" t="s">
        <v>852</v>
      </c>
      <c r="R88" s="34" t="n">
        <v>0.571145833333333</v>
      </c>
      <c r="S88" s="11" t="n">
        <v>301.7</v>
      </c>
      <c r="T88" s="10" t="s">
        <v>919</v>
      </c>
      <c r="U88" s="7" t="n">
        <v>7</v>
      </c>
      <c r="V88" s="12" t="s">
        <v>405</v>
      </c>
      <c r="W88" s="12" t="s">
        <v>79</v>
      </c>
      <c r="X88" s="12" t="s">
        <v>86</v>
      </c>
      <c r="Y88" s="10" t="s">
        <v>104</v>
      </c>
      <c r="Z88" s="7" t="s">
        <v>688</v>
      </c>
      <c r="AA88" s="7" t="n">
        <v>44</v>
      </c>
      <c r="AB88" s="9" t="n">
        <v>0.272408682348441</v>
      </c>
    </row>
    <row r="89" customFormat="false" ht="23.85" hidden="false" customHeight="false" outlineLevel="0" collapsed="false">
      <c r="A89" s="7" t="n">
        <v>85</v>
      </c>
      <c r="B89" s="12" t="s">
        <v>180</v>
      </c>
      <c r="C89" s="10" t="s">
        <v>180</v>
      </c>
      <c r="D89" s="12" t="s">
        <v>687</v>
      </c>
      <c r="E89" s="12" t="s">
        <v>921</v>
      </c>
      <c r="F89" s="10" t="s">
        <v>922</v>
      </c>
      <c r="G89" s="12" t="s">
        <v>656</v>
      </c>
      <c r="H89" s="26" t="n">
        <v>8.2474</v>
      </c>
      <c r="I89" s="7" t="n">
        <v>1</v>
      </c>
      <c r="J89" s="7" t="n">
        <v>3515</v>
      </c>
      <c r="K89" s="11" t="n">
        <v>140084.73</v>
      </c>
      <c r="L89" s="10" t="s">
        <v>181</v>
      </c>
      <c r="M89" s="26" t="n">
        <v>8.2474</v>
      </c>
      <c r="N89" s="12" t="s">
        <v>657</v>
      </c>
      <c r="O89" s="12" t="s">
        <v>77</v>
      </c>
      <c r="P89" s="10" t="s">
        <v>658</v>
      </c>
      <c r="Q89" s="30" t="s">
        <v>923</v>
      </c>
      <c r="R89" s="34" t="n">
        <v>0.251824206147514</v>
      </c>
      <c r="S89" s="11" t="n">
        <v>35276.7</v>
      </c>
      <c r="T89" s="10" t="s">
        <v>845</v>
      </c>
      <c r="U89" s="7" t="n">
        <v>11</v>
      </c>
      <c r="V89" s="12" t="s">
        <v>130</v>
      </c>
      <c r="W89" s="12" t="s">
        <v>79</v>
      </c>
      <c r="X89" s="12" t="s">
        <v>97</v>
      </c>
      <c r="Y89" s="10"/>
      <c r="Z89" s="7" t="s">
        <v>688</v>
      </c>
      <c r="AA89" s="7" t="n">
        <v>23</v>
      </c>
      <c r="AB89" s="9" t="n">
        <v>0.514606043220501</v>
      </c>
    </row>
    <row r="90" customFormat="false" ht="23.85" hidden="false" customHeight="false" outlineLevel="0" collapsed="false">
      <c r="A90" s="7" t="n">
        <v>86</v>
      </c>
      <c r="B90" s="12" t="s">
        <v>352</v>
      </c>
      <c r="C90" s="10" t="s">
        <v>924</v>
      </c>
      <c r="D90" s="12" t="s">
        <v>687</v>
      </c>
      <c r="E90" s="12" t="s">
        <v>925</v>
      </c>
      <c r="F90" s="10" t="s">
        <v>926</v>
      </c>
      <c r="G90" s="12" t="s">
        <v>656</v>
      </c>
      <c r="H90" s="26" t="n">
        <v>7.7889</v>
      </c>
      <c r="I90" s="7" t="n">
        <v>1</v>
      </c>
      <c r="J90" s="7" t="n">
        <v>1393</v>
      </c>
      <c r="K90" s="11" t="n">
        <v>52401.4</v>
      </c>
      <c r="L90" s="10" t="s">
        <v>353</v>
      </c>
      <c r="M90" s="26" t="n">
        <v>7.7889</v>
      </c>
      <c r="N90" s="12" t="s">
        <v>657</v>
      </c>
      <c r="O90" s="12" t="s">
        <v>77</v>
      </c>
      <c r="P90" s="10" t="s">
        <v>658</v>
      </c>
      <c r="Q90" s="30" t="s">
        <v>927</v>
      </c>
      <c r="R90" s="34" t="n">
        <v>0.670397578386193</v>
      </c>
      <c r="S90" s="11" t="n">
        <v>35129.8</v>
      </c>
      <c r="T90" s="10" t="s">
        <v>928</v>
      </c>
      <c r="U90" s="7" t="n">
        <v>2</v>
      </c>
      <c r="V90" s="12" t="s">
        <v>354</v>
      </c>
      <c r="W90" s="12" t="s">
        <v>79</v>
      </c>
      <c r="X90" s="12" t="s">
        <v>671</v>
      </c>
      <c r="Y90" s="10"/>
      <c r="Z90" s="7" t="s">
        <v>688</v>
      </c>
      <c r="AA90" s="7" t="n">
        <v>22</v>
      </c>
      <c r="AB90" s="9" t="n">
        <v>0.514768598202333</v>
      </c>
    </row>
    <row r="91" customFormat="false" ht="23.85" hidden="false" customHeight="false" outlineLevel="0" collapsed="false">
      <c r="A91" s="7" t="n">
        <v>87</v>
      </c>
      <c r="B91" s="12" t="s">
        <v>148</v>
      </c>
      <c r="C91" s="10" t="s">
        <v>148</v>
      </c>
      <c r="D91" s="12" t="s">
        <v>687</v>
      </c>
      <c r="E91" s="12" t="s">
        <v>929</v>
      </c>
      <c r="F91" s="10" t="s">
        <v>930</v>
      </c>
      <c r="G91" s="12" t="s">
        <v>656</v>
      </c>
      <c r="H91" s="26" t="n">
        <v>16.247</v>
      </c>
      <c r="I91" s="7" t="n">
        <v>1</v>
      </c>
      <c r="J91" s="7" t="n">
        <v>1185</v>
      </c>
      <c r="K91" s="11" t="n">
        <v>59407.06</v>
      </c>
      <c r="L91" s="10" t="s">
        <v>149</v>
      </c>
      <c r="M91" s="26" t="n">
        <v>16.247</v>
      </c>
      <c r="N91" s="12" t="s">
        <v>657</v>
      </c>
      <c r="O91" s="12" t="s">
        <v>77</v>
      </c>
      <c r="P91" s="10" t="s">
        <v>658</v>
      </c>
      <c r="Q91" s="30" t="s">
        <v>931</v>
      </c>
      <c r="R91" s="34" t="n">
        <v>0.991808067465962</v>
      </c>
      <c r="S91" s="11" t="n">
        <v>58920.4</v>
      </c>
      <c r="T91" s="10" t="s">
        <v>899</v>
      </c>
      <c r="U91" s="7" t="n">
        <v>10</v>
      </c>
      <c r="V91" s="12" t="s">
        <v>150</v>
      </c>
      <c r="W91" s="12" t="s">
        <v>79</v>
      </c>
      <c r="X91" s="12" t="s">
        <v>671</v>
      </c>
      <c r="Y91" s="10" t="s">
        <v>111</v>
      </c>
      <c r="Z91" s="7" t="s">
        <v>106</v>
      </c>
      <c r="AA91" s="7" t="n">
        <v>9</v>
      </c>
      <c r="AB91" s="9" t="n">
        <v>0.663611589213999</v>
      </c>
    </row>
    <row r="92" customFormat="false" ht="23.85" hidden="false" customHeight="false" outlineLevel="0" collapsed="false">
      <c r="A92" s="7" t="n">
        <v>88</v>
      </c>
      <c r="B92" s="12" t="s">
        <v>148</v>
      </c>
      <c r="C92" s="10" t="s">
        <v>148</v>
      </c>
      <c r="D92" s="12" t="s">
        <v>687</v>
      </c>
      <c r="E92" s="12" t="s">
        <v>932</v>
      </c>
      <c r="F92" s="10" t="s">
        <v>933</v>
      </c>
      <c r="G92" s="12" t="s">
        <v>656</v>
      </c>
      <c r="H92" s="26" t="n">
        <v>36.113</v>
      </c>
      <c r="I92" s="7" t="n">
        <v>1</v>
      </c>
      <c r="J92" s="7" t="n">
        <v>1185</v>
      </c>
      <c r="K92" s="11" t="n">
        <v>59407.06</v>
      </c>
      <c r="L92" s="10" t="s">
        <v>149</v>
      </c>
      <c r="M92" s="26" t="n">
        <v>36.113</v>
      </c>
      <c r="N92" s="12" t="s">
        <v>657</v>
      </c>
      <c r="O92" s="12" t="s">
        <v>77</v>
      </c>
      <c r="P92" s="10" t="s">
        <v>658</v>
      </c>
      <c r="Q92" s="30" t="s">
        <v>931</v>
      </c>
      <c r="R92" s="34" t="n">
        <v>0.991808067465962</v>
      </c>
      <c r="S92" s="11" t="n">
        <v>58920.4</v>
      </c>
      <c r="T92" s="10" t="s">
        <v>899</v>
      </c>
      <c r="U92" s="7" t="n">
        <v>10</v>
      </c>
      <c r="V92" s="12" t="s">
        <v>150</v>
      </c>
      <c r="W92" s="12" t="s">
        <v>79</v>
      </c>
      <c r="X92" s="12" t="s">
        <v>671</v>
      </c>
      <c r="Y92" s="10" t="s">
        <v>111</v>
      </c>
      <c r="Z92" s="7" t="s">
        <v>106</v>
      </c>
      <c r="AA92" s="7" t="n">
        <v>9</v>
      </c>
      <c r="AB92" s="9" t="n">
        <v>0.663611589213999</v>
      </c>
    </row>
    <row r="93" customFormat="false" ht="23.85" hidden="false" customHeight="false" outlineLevel="0" collapsed="false">
      <c r="A93" s="7" t="n">
        <v>89</v>
      </c>
      <c r="B93" s="12" t="s">
        <v>346</v>
      </c>
      <c r="C93" s="10" t="s">
        <v>346</v>
      </c>
      <c r="D93" s="12" t="s">
        <v>687</v>
      </c>
      <c r="E93" s="12" t="s">
        <v>934</v>
      </c>
      <c r="F93" s="10" t="s">
        <v>935</v>
      </c>
      <c r="G93" s="12" t="s">
        <v>656</v>
      </c>
      <c r="H93" s="26" t="n">
        <v>13.20375</v>
      </c>
      <c r="I93" s="7" t="n">
        <v>1</v>
      </c>
      <c r="J93" s="7" t="n">
        <v>1307</v>
      </c>
      <c r="K93" s="11" t="n">
        <v>36428.56</v>
      </c>
      <c r="L93" s="10" t="s">
        <v>347</v>
      </c>
      <c r="M93" s="26" t="n">
        <v>13.20375</v>
      </c>
      <c r="N93" s="12" t="s">
        <v>657</v>
      </c>
      <c r="O93" s="12" t="s">
        <v>102</v>
      </c>
      <c r="P93" s="10" t="s">
        <v>658</v>
      </c>
      <c r="Q93" s="30" t="s">
        <v>936</v>
      </c>
      <c r="R93" s="34" t="n">
        <v>0.618159088235815</v>
      </c>
      <c r="S93" s="11" t="n">
        <v>22518.6</v>
      </c>
      <c r="T93" s="10" t="s">
        <v>937</v>
      </c>
      <c r="U93" s="7" t="n">
        <v>7</v>
      </c>
      <c r="V93" s="12" t="s">
        <v>122</v>
      </c>
      <c r="W93" s="12" t="s">
        <v>172</v>
      </c>
      <c r="X93" s="12" t="s">
        <v>86</v>
      </c>
      <c r="Y93" s="10"/>
      <c r="Z93" s="7" t="s">
        <v>688</v>
      </c>
      <c r="AA93" s="7" t="n">
        <v>18</v>
      </c>
      <c r="AB93" s="9" t="n">
        <v>0.543865939950277</v>
      </c>
    </row>
    <row r="94" customFormat="false" ht="23.85" hidden="false" customHeight="false" outlineLevel="0" collapsed="false">
      <c r="A94" s="7" t="n">
        <v>90</v>
      </c>
      <c r="B94" s="12" t="s">
        <v>210</v>
      </c>
      <c r="C94" s="10" t="s">
        <v>938</v>
      </c>
      <c r="D94" s="12" t="s">
        <v>687</v>
      </c>
      <c r="E94" s="12" t="s">
        <v>846</v>
      </c>
      <c r="F94" s="10" t="s">
        <v>939</v>
      </c>
      <c r="G94" s="12" t="s">
        <v>656</v>
      </c>
      <c r="H94" s="26" t="n">
        <v>9.2526</v>
      </c>
      <c r="I94" s="7" t="n">
        <v>1</v>
      </c>
      <c r="J94" s="7" t="n">
        <v>2546</v>
      </c>
      <c r="K94" s="11" t="n">
        <v>46507.62</v>
      </c>
      <c r="L94" s="10" t="s">
        <v>211</v>
      </c>
      <c r="M94" s="26" t="n">
        <v>9.2526</v>
      </c>
      <c r="N94" s="12" t="s">
        <v>657</v>
      </c>
      <c r="O94" s="12" t="s">
        <v>77</v>
      </c>
      <c r="P94" s="10" t="s">
        <v>658</v>
      </c>
      <c r="Q94" s="30" t="s">
        <v>940</v>
      </c>
      <c r="R94" s="34" t="n">
        <v>0.378228374732698</v>
      </c>
      <c r="S94" s="11" t="n">
        <v>17590.5</v>
      </c>
      <c r="T94" s="10" t="s">
        <v>849</v>
      </c>
      <c r="U94" s="7" t="n">
        <v>10</v>
      </c>
      <c r="V94" s="12" t="s">
        <v>360</v>
      </c>
      <c r="W94" s="12" t="s">
        <v>79</v>
      </c>
      <c r="X94" s="12" t="s">
        <v>86</v>
      </c>
      <c r="Y94" s="10"/>
      <c r="Z94" s="7" t="s">
        <v>688</v>
      </c>
      <c r="AA94" s="7" t="n">
        <v>25</v>
      </c>
      <c r="AB94" s="9" t="n">
        <v>0.483017785427424</v>
      </c>
    </row>
    <row r="95" customFormat="false" ht="35.05" hidden="false" customHeight="false" outlineLevel="0" collapsed="false">
      <c r="A95" s="7" t="n">
        <v>91</v>
      </c>
      <c r="B95" s="12" t="s">
        <v>210</v>
      </c>
      <c r="C95" s="10" t="s">
        <v>938</v>
      </c>
      <c r="D95" s="12" t="s">
        <v>687</v>
      </c>
      <c r="E95" s="12" t="s">
        <v>846</v>
      </c>
      <c r="F95" s="10" t="s">
        <v>941</v>
      </c>
      <c r="G95" s="12" t="s">
        <v>656</v>
      </c>
      <c r="H95" s="26" t="n">
        <v>18.5052</v>
      </c>
      <c r="I95" s="7" t="n">
        <v>1</v>
      </c>
      <c r="J95" s="7" t="n">
        <v>2546</v>
      </c>
      <c r="K95" s="11" t="n">
        <v>46507.62</v>
      </c>
      <c r="L95" s="10" t="s">
        <v>211</v>
      </c>
      <c r="M95" s="26" t="n">
        <v>18.5052</v>
      </c>
      <c r="N95" s="12" t="s">
        <v>657</v>
      </c>
      <c r="O95" s="12" t="s">
        <v>77</v>
      </c>
      <c r="P95" s="10" t="s">
        <v>658</v>
      </c>
      <c r="Q95" s="30" t="s">
        <v>942</v>
      </c>
      <c r="R95" s="34" t="n">
        <v>0.378228374732698</v>
      </c>
      <c r="S95" s="11" t="n">
        <v>17590.5</v>
      </c>
      <c r="T95" s="10" t="s">
        <v>849</v>
      </c>
      <c r="U95" s="7" t="n">
        <v>10</v>
      </c>
      <c r="V95" s="12" t="s">
        <v>360</v>
      </c>
      <c r="W95" s="12" t="s">
        <v>79</v>
      </c>
      <c r="X95" s="12" t="s">
        <v>86</v>
      </c>
      <c r="Y95" s="10"/>
      <c r="Z95" s="7" t="s">
        <v>688</v>
      </c>
      <c r="AA95" s="7" t="n">
        <v>25</v>
      </c>
      <c r="AB95" s="9" t="n">
        <v>0.483017785427424</v>
      </c>
    </row>
    <row r="96" customFormat="false" ht="23.85" hidden="false" customHeight="false" outlineLevel="0" collapsed="false">
      <c r="A96" s="7" t="n">
        <v>92</v>
      </c>
      <c r="B96" s="12" t="s">
        <v>145</v>
      </c>
      <c r="C96" s="10" t="s">
        <v>145</v>
      </c>
      <c r="D96" s="12" t="s">
        <v>687</v>
      </c>
      <c r="E96" s="12" t="s">
        <v>932</v>
      </c>
      <c r="F96" s="10" t="s">
        <v>943</v>
      </c>
      <c r="G96" s="12" t="s">
        <v>656</v>
      </c>
      <c r="H96" s="26" t="n">
        <v>42.56</v>
      </c>
      <c r="I96" s="7" t="n">
        <v>1</v>
      </c>
      <c r="J96" s="7" t="n">
        <v>223</v>
      </c>
      <c r="K96" s="11" t="n">
        <v>53539.87</v>
      </c>
      <c r="L96" s="10" t="s">
        <v>146</v>
      </c>
      <c r="M96" s="26" t="n">
        <v>42.56</v>
      </c>
      <c r="N96" s="12" t="s">
        <v>657</v>
      </c>
      <c r="O96" s="12" t="s">
        <v>77</v>
      </c>
      <c r="P96" s="10" t="s">
        <v>658</v>
      </c>
      <c r="Q96" s="30" t="s">
        <v>944</v>
      </c>
      <c r="R96" s="34" t="n">
        <v>1</v>
      </c>
      <c r="S96" s="11" t="n">
        <v>53539.9</v>
      </c>
      <c r="T96" s="10" t="s">
        <v>764</v>
      </c>
      <c r="U96" s="7" t="n">
        <v>10</v>
      </c>
      <c r="V96" s="12" t="s">
        <v>147</v>
      </c>
      <c r="W96" s="12" t="s">
        <v>79</v>
      </c>
      <c r="X96" s="12" t="s">
        <v>80</v>
      </c>
      <c r="Y96" s="10" t="s">
        <v>111</v>
      </c>
      <c r="Z96" s="7" t="s">
        <v>106</v>
      </c>
      <c r="AA96" s="7" t="n">
        <v>7</v>
      </c>
      <c r="AB96" s="9" t="n">
        <v>0.706875119525722</v>
      </c>
    </row>
    <row r="97" customFormat="false" ht="23.85" hidden="false" customHeight="false" outlineLevel="0" collapsed="false">
      <c r="A97" s="7" t="n">
        <v>93</v>
      </c>
      <c r="B97" s="12" t="s">
        <v>397</v>
      </c>
      <c r="C97" s="10" t="s">
        <v>945</v>
      </c>
      <c r="D97" s="12" t="s">
        <v>687</v>
      </c>
      <c r="E97" s="12" t="s">
        <v>835</v>
      </c>
      <c r="F97" s="10" t="s">
        <v>946</v>
      </c>
      <c r="G97" s="12" t="s">
        <v>656</v>
      </c>
      <c r="H97" s="26" t="n">
        <v>6.11625</v>
      </c>
      <c r="I97" s="7" t="n">
        <v>1</v>
      </c>
      <c r="J97" s="7" t="n">
        <v>503</v>
      </c>
      <c r="K97" s="11" t="n">
        <v>21671.77</v>
      </c>
      <c r="L97" s="10" t="s">
        <v>398</v>
      </c>
      <c r="M97" s="26" t="n">
        <v>6.11625</v>
      </c>
      <c r="N97" s="12" t="s">
        <v>657</v>
      </c>
      <c r="O97" s="12" t="s">
        <v>77</v>
      </c>
      <c r="P97" s="10" t="s">
        <v>658</v>
      </c>
      <c r="Q97" s="30" t="s">
        <v>947</v>
      </c>
      <c r="R97" s="34" t="n">
        <v>0.162389770723104</v>
      </c>
      <c r="S97" s="11" t="n">
        <v>3519.3</v>
      </c>
      <c r="T97" s="10" t="s">
        <v>948</v>
      </c>
      <c r="U97" s="7" t="n">
        <v>1</v>
      </c>
      <c r="V97" s="12" t="s">
        <v>126</v>
      </c>
      <c r="W97" s="12" t="s">
        <v>79</v>
      </c>
      <c r="X97" s="12" t="s">
        <v>86</v>
      </c>
      <c r="Y97" s="10"/>
      <c r="Z97" s="7" t="s">
        <v>688</v>
      </c>
      <c r="AA97" s="7" t="n">
        <v>42</v>
      </c>
      <c r="AB97" s="9" t="n">
        <v>0.294320137693632</v>
      </c>
    </row>
    <row r="98" customFormat="false" ht="23.85" hidden="false" customHeight="false" outlineLevel="0" collapsed="false">
      <c r="A98" s="7" t="n">
        <v>94</v>
      </c>
      <c r="B98" s="12" t="s">
        <v>148</v>
      </c>
      <c r="C98" s="10" t="s">
        <v>148</v>
      </c>
      <c r="D98" s="12" t="s">
        <v>687</v>
      </c>
      <c r="E98" s="12" t="s">
        <v>929</v>
      </c>
      <c r="F98" s="10" t="s">
        <v>949</v>
      </c>
      <c r="G98" s="12" t="s">
        <v>656</v>
      </c>
      <c r="H98" s="26" t="n">
        <v>16.247</v>
      </c>
      <c r="I98" s="7" t="n">
        <v>1</v>
      </c>
      <c r="J98" s="7" t="n">
        <v>1185</v>
      </c>
      <c r="K98" s="11" t="n">
        <v>59407.06</v>
      </c>
      <c r="L98" s="10" t="s">
        <v>149</v>
      </c>
      <c r="M98" s="26" t="n">
        <v>16.247</v>
      </c>
      <c r="N98" s="12" t="s">
        <v>657</v>
      </c>
      <c r="O98" s="12" t="s">
        <v>77</v>
      </c>
      <c r="P98" s="10" t="s">
        <v>658</v>
      </c>
      <c r="Q98" s="30" t="s">
        <v>931</v>
      </c>
      <c r="R98" s="34" t="n">
        <v>0.991808067465962</v>
      </c>
      <c r="S98" s="11" t="n">
        <v>58920.4</v>
      </c>
      <c r="T98" s="10" t="s">
        <v>899</v>
      </c>
      <c r="U98" s="7" t="n">
        <v>10</v>
      </c>
      <c r="V98" s="12" t="s">
        <v>150</v>
      </c>
      <c r="W98" s="12" t="s">
        <v>79</v>
      </c>
      <c r="X98" s="12" t="s">
        <v>671</v>
      </c>
      <c r="Y98" s="10" t="s">
        <v>111</v>
      </c>
      <c r="Z98" s="7" t="s">
        <v>106</v>
      </c>
      <c r="AA98" s="7" t="n">
        <v>9</v>
      </c>
      <c r="AB98" s="9" t="n">
        <v>0.663611589213999</v>
      </c>
    </row>
    <row r="99" customFormat="false" ht="23.85" hidden="false" customHeight="false" outlineLevel="0" collapsed="false">
      <c r="A99" s="7" t="n">
        <v>95</v>
      </c>
      <c r="B99" s="12" t="s">
        <v>148</v>
      </c>
      <c r="C99" s="10" t="s">
        <v>148</v>
      </c>
      <c r="D99" s="12" t="s">
        <v>687</v>
      </c>
      <c r="E99" s="12" t="s">
        <v>932</v>
      </c>
      <c r="F99" s="10" t="s">
        <v>950</v>
      </c>
      <c r="G99" s="12" t="s">
        <v>656</v>
      </c>
      <c r="H99" s="26" t="n">
        <v>36.113</v>
      </c>
      <c r="I99" s="7" t="n">
        <v>1</v>
      </c>
      <c r="J99" s="7" t="n">
        <v>1185</v>
      </c>
      <c r="K99" s="11" t="n">
        <v>59407.06</v>
      </c>
      <c r="L99" s="10" t="s">
        <v>149</v>
      </c>
      <c r="M99" s="26" t="n">
        <v>36.113</v>
      </c>
      <c r="N99" s="12" t="s">
        <v>657</v>
      </c>
      <c r="O99" s="12" t="s">
        <v>77</v>
      </c>
      <c r="P99" s="10" t="s">
        <v>658</v>
      </c>
      <c r="Q99" s="30" t="s">
        <v>931</v>
      </c>
      <c r="R99" s="34" t="n">
        <v>0.991808067465962</v>
      </c>
      <c r="S99" s="11" t="n">
        <v>58920.4</v>
      </c>
      <c r="T99" s="10" t="s">
        <v>899</v>
      </c>
      <c r="U99" s="7" t="n">
        <v>10</v>
      </c>
      <c r="V99" s="12" t="s">
        <v>150</v>
      </c>
      <c r="W99" s="12" t="s">
        <v>79</v>
      </c>
      <c r="X99" s="12" t="s">
        <v>671</v>
      </c>
      <c r="Y99" s="10" t="s">
        <v>111</v>
      </c>
      <c r="Z99" s="7" t="s">
        <v>106</v>
      </c>
      <c r="AA99" s="7" t="n">
        <v>9</v>
      </c>
      <c r="AB99" s="9" t="n">
        <v>0.663611589213999</v>
      </c>
    </row>
    <row r="100" customFormat="false" ht="23.85" hidden="false" customHeight="false" outlineLevel="0" collapsed="false">
      <c r="A100" s="7" t="n">
        <v>96</v>
      </c>
      <c r="B100" s="12" t="s">
        <v>180</v>
      </c>
      <c r="C100" s="10" t="s">
        <v>180</v>
      </c>
      <c r="D100" s="12" t="s">
        <v>687</v>
      </c>
      <c r="E100" s="12" t="s">
        <v>921</v>
      </c>
      <c r="F100" s="10" t="s">
        <v>951</v>
      </c>
      <c r="G100" s="12" t="s">
        <v>656</v>
      </c>
      <c r="H100" s="26" t="n">
        <v>8.2474</v>
      </c>
      <c r="I100" s="7" t="n">
        <v>1</v>
      </c>
      <c r="J100" s="7" t="n">
        <v>3515</v>
      </c>
      <c r="K100" s="11" t="n">
        <v>140084.73</v>
      </c>
      <c r="L100" s="10" t="s">
        <v>181</v>
      </c>
      <c r="M100" s="26" t="n">
        <v>8.2474</v>
      </c>
      <c r="N100" s="12" t="s">
        <v>657</v>
      </c>
      <c r="O100" s="12" t="s">
        <v>77</v>
      </c>
      <c r="P100" s="10" t="s">
        <v>658</v>
      </c>
      <c r="Q100" s="30" t="s">
        <v>923</v>
      </c>
      <c r="R100" s="34" t="n">
        <v>0.251824206147514</v>
      </c>
      <c r="S100" s="11" t="n">
        <v>35276.7</v>
      </c>
      <c r="T100" s="10" t="s">
        <v>845</v>
      </c>
      <c r="U100" s="7" t="n">
        <v>11</v>
      </c>
      <c r="V100" s="12" t="s">
        <v>130</v>
      </c>
      <c r="W100" s="12" t="s">
        <v>79</v>
      </c>
      <c r="X100" s="12" t="s">
        <v>86</v>
      </c>
      <c r="Y100" s="10"/>
      <c r="Z100" s="7" t="s">
        <v>688</v>
      </c>
      <c r="AA100" s="7" t="n">
        <v>23</v>
      </c>
      <c r="AB100" s="9" t="n">
        <v>0.514606043220501</v>
      </c>
    </row>
    <row r="101" customFormat="false" ht="23.85" hidden="false" customHeight="false" outlineLevel="0" collapsed="false">
      <c r="A101" s="7" t="n">
        <v>97</v>
      </c>
      <c r="B101" s="12" t="s">
        <v>352</v>
      </c>
      <c r="C101" s="10" t="s">
        <v>924</v>
      </c>
      <c r="D101" s="12" t="s">
        <v>687</v>
      </c>
      <c r="E101" s="12" t="s">
        <v>925</v>
      </c>
      <c r="F101" s="10" t="s">
        <v>952</v>
      </c>
      <c r="G101" s="12" t="s">
        <v>656</v>
      </c>
      <c r="H101" s="26" t="n">
        <v>7.7889</v>
      </c>
      <c r="I101" s="7" t="n">
        <v>1</v>
      </c>
      <c r="J101" s="7" t="n">
        <v>1393</v>
      </c>
      <c r="K101" s="11" t="n">
        <v>52401.4</v>
      </c>
      <c r="L101" s="10" t="s">
        <v>353</v>
      </c>
      <c r="M101" s="26" t="n">
        <v>7.7889</v>
      </c>
      <c r="N101" s="12" t="s">
        <v>657</v>
      </c>
      <c r="O101" s="12" t="s">
        <v>77</v>
      </c>
      <c r="P101" s="10" t="s">
        <v>658</v>
      </c>
      <c r="Q101" s="30" t="s">
        <v>927</v>
      </c>
      <c r="R101" s="34" t="n">
        <v>0.670397578386193</v>
      </c>
      <c r="S101" s="11" t="n">
        <v>35129.8</v>
      </c>
      <c r="T101" s="10" t="s">
        <v>928</v>
      </c>
      <c r="U101" s="7" t="n">
        <v>2</v>
      </c>
      <c r="V101" s="12" t="s">
        <v>354</v>
      </c>
      <c r="W101" s="12" t="s">
        <v>79</v>
      </c>
      <c r="X101" s="12" t="s">
        <v>671</v>
      </c>
      <c r="Y101" s="10"/>
      <c r="Z101" s="7" t="s">
        <v>688</v>
      </c>
      <c r="AA101" s="7" t="n">
        <v>22</v>
      </c>
      <c r="AB101" s="9" t="n">
        <v>0.514768598202333</v>
      </c>
    </row>
    <row r="102" customFormat="false" ht="35.05" hidden="false" customHeight="false" outlineLevel="0" collapsed="false">
      <c r="A102" s="7" t="n">
        <v>98</v>
      </c>
      <c r="B102" s="12" t="s">
        <v>346</v>
      </c>
      <c r="C102" s="10" t="s">
        <v>346</v>
      </c>
      <c r="D102" s="12" t="s">
        <v>687</v>
      </c>
      <c r="E102" s="12" t="s">
        <v>934</v>
      </c>
      <c r="F102" s="10" t="s">
        <v>953</v>
      </c>
      <c r="G102" s="12" t="s">
        <v>656</v>
      </c>
      <c r="H102" s="26" t="n">
        <v>13.20375</v>
      </c>
      <c r="I102" s="7" t="n">
        <v>1</v>
      </c>
      <c r="J102" s="7" t="n">
        <v>1307</v>
      </c>
      <c r="K102" s="11" t="n">
        <v>36428.56</v>
      </c>
      <c r="L102" s="10" t="s">
        <v>347</v>
      </c>
      <c r="M102" s="26" t="n">
        <v>13.20375</v>
      </c>
      <c r="N102" s="12" t="s">
        <v>657</v>
      </c>
      <c r="O102" s="12" t="s">
        <v>102</v>
      </c>
      <c r="P102" s="10" t="s">
        <v>658</v>
      </c>
      <c r="Q102" s="30" t="s">
        <v>936</v>
      </c>
      <c r="R102" s="34" t="n">
        <v>0.618159088235815</v>
      </c>
      <c r="S102" s="11" t="n">
        <v>22518.6</v>
      </c>
      <c r="T102" s="10" t="s">
        <v>937</v>
      </c>
      <c r="U102" s="7" t="n">
        <v>7</v>
      </c>
      <c r="V102" s="12" t="s">
        <v>122</v>
      </c>
      <c r="W102" s="12" t="s">
        <v>172</v>
      </c>
      <c r="X102" s="12" t="s">
        <v>86</v>
      </c>
      <c r="Y102" s="10"/>
      <c r="Z102" s="7" t="s">
        <v>688</v>
      </c>
      <c r="AA102" s="7" t="n">
        <v>18</v>
      </c>
      <c r="AB102" s="9" t="n">
        <v>0.543865939950277</v>
      </c>
    </row>
    <row r="103" customFormat="false" ht="35.05" hidden="false" customHeight="false" outlineLevel="0" collapsed="false">
      <c r="A103" s="7" t="n">
        <v>99</v>
      </c>
      <c r="B103" s="12" t="s">
        <v>346</v>
      </c>
      <c r="C103" s="10" t="s">
        <v>346</v>
      </c>
      <c r="D103" s="12" t="s">
        <v>687</v>
      </c>
      <c r="E103" s="12" t="s">
        <v>934</v>
      </c>
      <c r="F103" s="10" t="s">
        <v>954</v>
      </c>
      <c r="G103" s="12" t="s">
        <v>656</v>
      </c>
      <c r="H103" s="26" t="n">
        <v>14.19425</v>
      </c>
      <c r="I103" s="7" t="n">
        <v>1</v>
      </c>
      <c r="J103" s="7" t="n">
        <v>1307</v>
      </c>
      <c r="K103" s="11" t="n">
        <v>36428.56</v>
      </c>
      <c r="L103" s="10" t="s">
        <v>347</v>
      </c>
      <c r="M103" s="26" t="n">
        <v>14.19425</v>
      </c>
      <c r="N103" s="12" t="s">
        <v>657</v>
      </c>
      <c r="O103" s="12" t="s">
        <v>77</v>
      </c>
      <c r="P103" s="10" t="s">
        <v>658</v>
      </c>
      <c r="Q103" s="30" t="s">
        <v>944</v>
      </c>
      <c r="R103" s="34" t="n">
        <v>0.618159088235815</v>
      </c>
      <c r="S103" s="11" t="n">
        <v>22518.6</v>
      </c>
      <c r="T103" s="10" t="s">
        <v>937</v>
      </c>
      <c r="U103" s="7" t="n">
        <v>7</v>
      </c>
      <c r="V103" s="12" t="s">
        <v>122</v>
      </c>
      <c r="W103" s="12" t="s">
        <v>79</v>
      </c>
      <c r="X103" s="12" t="s">
        <v>86</v>
      </c>
      <c r="Y103" s="10"/>
      <c r="Z103" s="7" t="s">
        <v>688</v>
      </c>
      <c r="AA103" s="7" t="n">
        <v>18</v>
      </c>
      <c r="AB103" s="9" t="n">
        <v>0.543865939950277</v>
      </c>
    </row>
    <row r="104" customFormat="false" ht="15" hidden="false" customHeight="false" outlineLevel="0" collapsed="false">
      <c r="A104" s="7" t="n">
        <v>100</v>
      </c>
      <c r="B104" s="12" t="s">
        <v>374</v>
      </c>
      <c r="C104" s="10" t="s">
        <v>731</v>
      </c>
      <c r="D104" s="12" t="s">
        <v>687</v>
      </c>
      <c r="E104" s="12" t="s">
        <v>955</v>
      </c>
      <c r="F104" s="10" t="s">
        <v>956</v>
      </c>
      <c r="G104" s="12" t="s">
        <v>656</v>
      </c>
      <c r="H104" s="26" t="n">
        <v>96.215</v>
      </c>
      <c r="I104" s="7" t="n">
        <v>1</v>
      </c>
      <c r="J104" s="7" t="n">
        <v>365</v>
      </c>
      <c r="K104" s="11" t="n">
        <v>5976.94</v>
      </c>
      <c r="L104" s="10" t="s">
        <v>375</v>
      </c>
      <c r="M104" s="26" t="n">
        <v>96.215</v>
      </c>
      <c r="N104" s="12" t="s">
        <v>657</v>
      </c>
      <c r="O104" s="12" t="s">
        <v>102</v>
      </c>
      <c r="P104" s="10" t="s">
        <v>658</v>
      </c>
      <c r="Q104" s="30" t="s">
        <v>944</v>
      </c>
      <c r="R104" s="34" t="n">
        <v>0.240571827983426</v>
      </c>
      <c r="S104" s="11" t="n">
        <v>1437.9</v>
      </c>
      <c r="T104" s="10" t="s">
        <v>734</v>
      </c>
      <c r="U104" s="7" t="n">
        <v>2</v>
      </c>
      <c r="V104" s="12" t="s">
        <v>376</v>
      </c>
      <c r="W104" s="12" t="s">
        <v>79</v>
      </c>
      <c r="X104" s="12" t="s">
        <v>86</v>
      </c>
      <c r="Y104" s="10"/>
      <c r="Z104" s="7" t="s">
        <v>688</v>
      </c>
      <c r="AA104" s="7" t="n">
        <v>32</v>
      </c>
      <c r="AB104" s="9" t="n">
        <v>0.419788678523618</v>
      </c>
    </row>
    <row r="105" customFormat="false" ht="23.85" hidden="false" customHeight="false" outlineLevel="0" collapsed="false">
      <c r="A105" s="7" t="n">
        <v>101</v>
      </c>
      <c r="B105" s="12" t="s">
        <v>145</v>
      </c>
      <c r="C105" s="10" t="s">
        <v>145</v>
      </c>
      <c r="D105" s="12" t="s">
        <v>687</v>
      </c>
      <c r="E105" s="12" t="s">
        <v>932</v>
      </c>
      <c r="F105" s="10" t="s">
        <v>957</v>
      </c>
      <c r="G105" s="12" t="s">
        <v>656</v>
      </c>
      <c r="H105" s="26" t="n">
        <v>42.56</v>
      </c>
      <c r="I105" s="7" t="n">
        <v>1</v>
      </c>
      <c r="J105" s="7" t="n">
        <v>223</v>
      </c>
      <c r="K105" s="11" t="n">
        <v>53539.87</v>
      </c>
      <c r="L105" s="10" t="s">
        <v>146</v>
      </c>
      <c r="M105" s="26" t="n">
        <v>42.56</v>
      </c>
      <c r="N105" s="12" t="s">
        <v>657</v>
      </c>
      <c r="O105" s="12" t="s">
        <v>77</v>
      </c>
      <c r="P105" s="10" t="s">
        <v>658</v>
      </c>
      <c r="Q105" s="30" t="s">
        <v>944</v>
      </c>
      <c r="R105" s="34" t="n">
        <v>1</v>
      </c>
      <c r="S105" s="11" t="n">
        <v>53539.9</v>
      </c>
      <c r="T105" s="10" t="s">
        <v>764</v>
      </c>
      <c r="U105" s="7" t="n">
        <v>10</v>
      </c>
      <c r="V105" s="12" t="s">
        <v>147</v>
      </c>
      <c r="W105" s="12" t="s">
        <v>79</v>
      </c>
      <c r="X105" s="12" t="s">
        <v>97</v>
      </c>
      <c r="Y105" s="10" t="s">
        <v>111</v>
      </c>
      <c r="Z105" s="7" t="s">
        <v>106</v>
      </c>
      <c r="AA105" s="7" t="n">
        <v>7</v>
      </c>
      <c r="AB105" s="9" t="n">
        <v>0.706875119525722</v>
      </c>
    </row>
    <row r="106" customFormat="false" ht="23.85" hidden="false" customHeight="false" outlineLevel="0" collapsed="false">
      <c r="A106" s="7" t="n">
        <v>102</v>
      </c>
      <c r="B106" s="12" t="s">
        <v>397</v>
      </c>
      <c r="C106" s="10" t="s">
        <v>945</v>
      </c>
      <c r="D106" s="12" t="s">
        <v>687</v>
      </c>
      <c r="E106" s="12" t="s">
        <v>835</v>
      </c>
      <c r="F106" s="10" t="s">
        <v>958</v>
      </c>
      <c r="G106" s="12" t="s">
        <v>656</v>
      </c>
      <c r="H106" s="26" t="n">
        <v>8.6037</v>
      </c>
      <c r="I106" s="7" t="n">
        <v>1</v>
      </c>
      <c r="J106" s="7" t="n">
        <v>503</v>
      </c>
      <c r="K106" s="11" t="n">
        <v>21671.77</v>
      </c>
      <c r="L106" s="10" t="s">
        <v>398</v>
      </c>
      <c r="M106" s="26" t="n">
        <v>8.6037</v>
      </c>
      <c r="N106" s="12" t="s">
        <v>657</v>
      </c>
      <c r="O106" s="12" t="s">
        <v>77</v>
      </c>
      <c r="P106" s="10" t="s">
        <v>658</v>
      </c>
      <c r="Q106" s="30" t="s">
        <v>944</v>
      </c>
      <c r="R106" s="34" t="n">
        <v>0.162389770723104</v>
      </c>
      <c r="S106" s="11" t="n">
        <v>3519.3</v>
      </c>
      <c r="T106" s="10" t="s">
        <v>948</v>
      </c>
      <c r="U106" s="7" t="n">
        <v>1</v>
      </c>
      <c r="V106" s="12" t="s">
        <v>126</v>
      </c>
      <c r="W106" s="12" t="s">
        <v>79</v>
      </c>
      <c r="X106" s="12" t="s">
        <v>86</v>
      </c>
      <c r="Y106" s="10"/>
      <c r="Z106" s="7" t="s">
        <v>688</v>
      </c>
      <c r="AA106" s="7" t="n">
        <v>42</v>
      </c>
      <c r="AB106" s="9" t="n">
        <v>0.294320137693632</v>
      </c>
    </row>
    <row r="107" customFormat="false" ht="23.85" hidden="false" customHeight="false" outlineLevel="0" collapsed="false">
      <c r="A107" s="7" t="n">
        <v>103</v>
      </c>
      <c r="B107" s="12" t="s">
        <v>112</v>
      </c>
      <c r="C107" s="10" t="s">
        <v>112</v>
      </c>
      <c r="D107" s="12" t="s">
        <v>687</v>
      </c>
      <c r="E107" s="12" t="s">
        <v>835</v>
      </c>
      <c r="F107" s="10" t="s">
        <v>959</v>
      </c>
      <c r="G107" s="12" t="s">
        <v>656</v>
      </c>
      <c r="H107" s="26" t="n">
        <v>3979.598</v>
      </c>
      <c r="I107" s="7" t="n">
        <v>1</v>
      </c>
      <c r="J107" s="7" t="n">
        <v>47</v>
      </c>
      <c r="K107" s="11" t="n">
        <v>7904.67</v>
      </c>
      <c r="L107" s="10" t="s">
        <v>113</v>
      </c>
      <c r="M107" s="26" t="n">
        <v>3979.598</v>
      </c>
      <c r="N107" s="12" t="s">
        <v>657</v>
      </c>
      <c r="O107" s="12" t="s">
        <v>77</v>
      </c>
      <c r="P107" s="10" t="s">
        <v>658</v>
      </c>
      <c r="Q107" s="30" t="s">
        <v>944</v>
      </c>
      <c r="R107" s="34" t="n">
        <v>1</v>
      </c>
      <c r="S107" s="11" t="n">
        <v>7904.7</v>
      </c>
      <c r="T107" s="10" t="s">
        <v>826</v>
      </c>
      <c r="U107" s="7" t="n">
        <v>10</v>
      </c>
      <c r="V107" s="12" t="s">
        <v>141</v>
      </c>
      <c r="W107" s="12" t="s">
        <v>79</v>
      </c>
      <c r="X107" s="12" t="s">
        <v>86</v>
      </c>
      <c r="Y107" s="10"/>
      <c r="Z107" s="7" t="s">
        <v>74</v>
      </c>
      <c r="AA107" s="7" t="n">
        <v>4</v>
      </c>
      <c r="AB107" s="9" t="n">
        <v>0.815777395295468</v>
      </c>
    </row>
    <row r="108" customFormat="false" ht="23.85" hidden="false" customHeight="false" outlineLevel="0" collapsed="false">
      <c r="A108" s="7" t="n">
        <v>104</v>
      </c>
      <c r="B108" s="12" t="s">
        <v>210</v>
      </c>
      <c r="C108" s="10" t="s">
        <v>960</v>
      </c>
      <c r="D108" s="12" t="s">
        <v>687</v>
      </c>
      <c r="E108" s="12" t="s">
        <v>846</v>
      </c>
      <c r="F108" s="10" t="s">
        <v>961</v>
      </c>
      <c r="G108" s="12" t="s">
        <v>656</v>
      </c>
      <c r="H108" s="26" t="n">
        <v>9.67456</v>
      </c>
      <c r="I108" s="7" t="n">
        <v>1</v>
      </c>
      <c r="J108" s="7" t="n">
        <v>2546</v>
      </c>
      <c r="K108" s="11" t="n">
        <v>46507.62</v>
      </c>
      <c r="L108" s="10" t="s">
        <v>211</v>
      </c>
      <c r="M108" s="26" t="n">
        <v>9.67456</v>
      </c>
      <c r="N108" s="12" t="s">
        <v>657</v>
      </c>
      <c r="O108" s="12" t="s">
        <v>102</v>
      </c>
      <c r="P108" s="10" t="s">
        <v>658</v>
      </c>
      <c r="Q108" s="30" t="s">
        <v>944</v>
      </c>
      <c r="R108" s="34" t="n">
        <v>0.378228374732698</v>
      </c>
      <c r="S108" s="11" t="n">
        <v>17590.5</v>
      </c>
      <c r="T108" s="10" t="s">
        <v>849</v>
      </c>
      <c r="U108" s="7" t="n">
        <v>10</v>
      </c>
      <c r="V108" s="12" t="s">
        <v>360</v>
      </c>
      <c r="W108" s="12" t="s">
        <v>79</v>
      </c>
      <c r="X108" s="12" t="s">
        <v>86</v>
      </c>
      <c r="Y108" s="10"/>
      <c r="Z108" s="7" t="s">
        <v>688</v>
      </c>
      <c r="AA108" s="7" t="n">
        <v>25</v>
      </c>
      <c r="AB108" s="9" t="n">
        <v>0.483017785427424</v>
      </c>
    </row>
    <row r="109" customFormat="false" ht="35.05" hidden="false" customHeight="false" outlineLevel="0" collapsed="false">
      <c r="A109" s="7" t="n">
        <v>105</v>
      </c>
      <c r="B109" s="12" t="s">
        <v>423</v>
      </c>
      <c r="C109" s="10" t="s">
        <v>962</v>
      </c>
      <c r="D109" s="12" t="s">
        <v>687</v>
      </c>
      <c r="E109" s="12" t="s">
        <v>963</v>
      </c>
      <c r="F109" s="10" t="s">
        <v>964</v>
      </c>
      <c r="G109" s="12" t="s">
        <v>656</v>
      </c>
      <c r="H109" s="26"/>
      <c r="I109" s="7" t="n">
        <v>1</v>
      </c>
      <c r="J109" s="7" t="n">
        <v>347</v>
      </c>
      <c r="K109" s="11" t="n">
        <v>18803.98</v>
      </c>
      <c r="L109" s="10" t="s">
        <v>424</v>
      </c>
      <c r="M109" s="35" t="n">
        <v>3.31</v>
      </c>
      <c r="N109" s="12" t="s">
        <v>664</v>
      </c>
      <c r="O109" s="12" t="s">
        <v>102</v>
      </c>
      <c r="P109" s="10" t="s">
        <v>965</v>
      </c>
      <c r="Q109" s="30" t="s">
        <v>966</v>
      </c>
      <c r="R109" s="34" t="n">
        <v>0.334376150165624</v>
      </c>
      <c r="S109" s="11" t="n">
        <v>6287.6</v>
      </c>
      <c r="T109" s="10" t="s">
        <v>967</v>
      </c>
      <c r="U109" s="7" t="n">
        <v>8</v>
      </c>
      <c r="V109" s="12" t="s">
        <v>279</v>
      </c>
      <c r="W109" s="12" t="s">
        <v>79</v>
      </c>
      <c r="X109" s="12" t="s">
        <v>80</v>
      </c>
      <c r="Y109" s="10" t="s">
        <v>111</v>
      </c>
      <c r="Z109" s="7" t="s">
        <v>676</v>
      </c>
      <c r="AA109" s="7"/>
      <c r="AB109" s="9" t="n">
        <v>0.587349397590361</v>
      </c>
    </row>
    <row r="110" customFormat="false" ht="35.05" hidden="false" customHeight="false" outlineLevel="0" collapsed="false">
      <c r="A110" s="7" t="n">
        <v>106</v>
      </c>
      <c r="B110" s="12" t="s">
        <v>423</v>
      </c>
      <c r="C110" s="10" t="s">
        <v>962</v>
      </c>
      <c r="D110" s="12" t="s">
        <v>687</v>
      </c>
      <c r="E110" s="12" t="s">
        <v>968</v>
      </c>
      <c r="F110" s="10" t="s">
        <v>969</v>
      </c>
      <c r="G110" s="12" t="s">
        <v>656</v>
      </c>
      <c r="H110" s="26"/>
      <c r="I110" s="7" t="n">
        <v>1</v>
      </c>
      <c r="J110" s="7" t="n">
        <v>347</v>
      </c>
      <c r="K110" s="11" t="n">
        <v>18803.98</v>
      </c>
      <c r="L110" s="10" t="s">
        <v>424</v>
      </c>
      <c r="M110" s="35" t="n">
        <v>3.33</v>
      </c>
      <c r="N110" s="12" t="s">
        <v>664</v>
      </c>
      <c r="O110" s="12" t="s">
        <v>153</v>
      </c>
      <c r="P110" s="10" t="s">
        <v>970</v>
      </c>
      <c r="Q110" s="30" t="s">
        <v>852</v>
      </c>
      <c r="R110" s="34" t="n">
        <v>0.334376150165624</v>
      </c>
      <c r="S110" s="11" t="n">
        <v>6287.6</v>
      </c>
      <c r="T110" s="10" t="s">
        <v>967</v>
      </c>
      <c r="U110" s="7" t="n">
        <v>8</v>
      </c>
      <c r="V110" s="12" t="s">
        <v>279</v>
      </c>
      <c r="W110" s="12" t="s">
        <v>79</v>
      </c>
      <c r="X110" s="12" t="s">
        <v>80</v>
      </c>
      <c r="Y110" s="10" t="s">
        <v>111</v>
      </c>
      <c r="Z110" s="7" t="s">
        <v>676</v>
      </c>
      <c r="AA110" s="7"/>
      <c r="AB110" s="9" t="n">
        <v>0.587349397590361</v>
      </c>
    </row>
    <row r="111" customFormat="false" ht="23.85" hidden="false" customHeight="false" outlineLevel="0" collapsed="false">
      <c r="A111" s="7" t="n">
        <v>107</v>
      </c>
      <c r="B111" s="12" t="s">
        <v>423</v>
      </c>
      <c r="C111" s="10" t="s">
        <v>962</v>
      </c>
      <c r="D111" s="12" t="s">
        <v>687</v>
      </c>
      <c r="E111" s="12" t="s">
        <v>971</v>
      </c>
      <c r="F111" s="10" t="s">
        <v>972</v>
      </c>
      <c r="G111" s="12" t="s">
        <v>656</v>
      </c>
      <c r="H111" s="26"/>
      <c r="I111" s="7" t="n">
        <v>1</v>
      </c>
      <c r="J111" s="7" t="n">
        <v>347</v>
      </c>
      <c r="K111" s="11" t="n">
        <v>18803.98</v>
      </c>
      <c r="L111" s="10" t="s">
        <v>424</v>
      </c>
      <c r="M111" s="26"/>
      <c r="N111" s="12" t="s">
        <v>701</v>
      </c>
      <c r="O111" s="12" t="s">
        <v>323</v>
      </c>
      <c r="P111" s="10" t="s">
        <v>323</v>
      </c>
      <c r="Q111" s="12"/>
      <c r="R111" s="34" t="n">
        <v>0.334376150165624</v>
      </c>
      <c r="S111" s="11" t="n">
        <v>6287.6</v>
      </c>
      <c r="T111" s="10" t="s">
        <v>967</v>
      </c>
      <c r="U111" s="7" t="n">
        <v>8</v>
      </c>
      <c r="V111" s="12" t="s">
        <v>279</v>
      </c>
      <c r="W111" s="12" t="s">
        <v>79</v>
      </c>
      <c r="X111" s="12" t="s">
        <v>80</v>
      </c>
      <c r="Y111" s="10" t="s">
        <v>111</v>
      </c>
      <c r="Z111" s="7" t="s">
        <v>676</v>
      </c>
      <c r="AA111" s="7"/>
      <c r="AB111" s="9" t="n">
        <v>0.587349397590361</v>
      </c>
    </row>
    <row r="112" customFormat="false" ht="23.85" hidden="false" customHeight="false" outlineLevel="0" collapsed="false">
      <c r="A112" s="7" t="n">
        <v>108</v>
      </c>
      <c r="B112" s="12" t="s">
        <v>114</v>
      </c>
      <c r="C112" s="10" t="s">
        <v>973</v>
      </c>
      <c r="D112" s="12" t="s">
        <v>687</v>
      </c>
      <c r="E112" s="12" t="s">
        <v>974</v>
      </c>
      <c r="F112" s="10" t="s">
        <v>975</v>
      </c>
      <c r="G112" s="12" t="s">
        <v>663</v>
      </c>
      <c r="H112" s="26" t="n">
        <v>47.11</v>
      </c>
      <c r="I112" s="7" t="n">
        <v>1</v>
      </c>
      <c r="J112" s="7" t="n">
        <v>146</v>
      </c>
      <c r="K112" s="11" t="n">
        <v>11366.06</v>
      </c>
      <c r="L112" s="10" t="s">
        <v>115</v>
      </c>
      <c r="M112" s="26" t="n">
        <v>47.11</v>
      </c>
      <c r="N112" s="12" t="s">
        <v>657</v>
      </c>
      <c r="O112" s="12" t="s">
        <v>102</v>
      </c>
      <c r="P112" s="10" t="s">
        <v>658</v>
      </c>
      <c r="Q112" s="30" t="s">
        <v>976</v>
      </c>
      <c r="R112" s="34" t="n">
        <v>1</v>
      </c>
      <c r="S112" s="11" t="n">
        <v>11366.1</v>
      </c>
      <c r="T112" s="10" t="s">
        <v>834</v>
      </c>
      <c r="U112" s="7" t="n">
        <v>10</v>
      </c>
      <c r="V112" s="12" t="s">
        <v>78</v>
      </c>
      <c r="W112" s="12" t="s">
        <v>85</v>
      </c>
      <c r="X112" s="12" t="s">
        <v>86</v>
      </c>
      <c r="Y112" s="10" t="s">
        <v>87</v>
      </c>
      <c r="Z112" s="7" t="s">
        <v>74</v>
      </c>
      <c r="AA112" s="7" t="n">
        <v>5</v>
      </c>
      <c r="AB112" s="9" t="n">
        <v>0.792579843182253</v>
      </c>
    </row>
    <row r="113" customFormat="false" ht="23.85" hidden="false" customHeight="false" outlineLevel="0" collapsed="false">
      <c r="A113" s="7" t="n">
        <v>109</v>
      </c>
      <c r="B113" s="12" t="s">
        <v>75</v>
      </c>
      <c r="C113" s="10" t="s">
        <v>977</v>
      </c>
      <c r="D113" s="12" t="s">
        <v>687</v>
      </c>
      <c r="E113" s="12" t="s">
        <v>978</v>
      </c>
      <c r="F113" s="10" t="s">
        <v>979</v>
      </c>
      <c r="G113" s="12" t="s">
        <v>656</v>
      </c>
      <c r="H113" s="26" t="n">
        <v>10.241</v>
      </c>
      <c r="I113" s="7" t="n">
        <v>1</v>
      </c>
      <c r="J113" s="7" t="n">
        <v>762</v>
      </c>
      <c r="K113" s="11" t="n">
        <v>50865.56</v>
      </c>
      <c r="L113" s="10" t="s">
        <v>76</v>
      </c>
      <c r="M113" s="26" t="n">
        <v>10.241</v>
      </c>
      <c r="N113" s="12" t="s">
        <v>657</v>
      </c>
      <c r="O113" s="12" t="s">
        <v>102</v>
      </c>
      <c r="P113" s="10" t="s">
        <v>658</v>
      </c>
      <c r="Q113" s="30" t="s">
        <v>976</v>
      </c>
      <c r="R113" s="34" t="n">
        <v>0.829278792417718</v>
      </c>
      <c r="S113" s="11" t="n">
        <v>42181.7</v>
      </c>
      <c r="T113" s="10" t="s">
        <v>841</v>
      </c>
      <c r="U113" s="7" t="n">
        <v>11</v>
      </c>
      <c r="V113" s="12" t="s">
        <v>91</v>
      </c>
      <c r="W113" s="12" t="s">
        <v>79</v>
      </c>
      <c r="X113" s="12" t="s">
        <v>80</v>
      </c>
      <c r="Y113" s="10" t="s">
        <v>81</v>
      </c>
      <c r="Z113" s="7" t="s">
        <v>74</v>
      </c>
      <c r="AA113" s="7" t="n">
        <v>1</v>
      </c>
      <c r="AB113" s="9" t="n">
        <v>0.888477720405431</v>
      </c>
    </row>
    <row r="114" customFormat="false" ht="35.05" hidden="false" customHeight="false" outlineLevel="0" collapsed="false">
      <c r="A114" s="7" t="n">
        <v>110</v>
      </c>
      <c r="B114" s="12" t="s">
        <v>89</v>
      </c>
      <c r="C114" s="10" t="s">
        <v>980</v>
      </c>
      <c r="D114" s="12" t="s">
        <v>687</v>
      </c>
      <c r="E114" s="12" t="s">
        <v>981</v>
      </c>
      <c r="F114" s="10" t="s">
        <v>982</v>
      </c>
      <c r="G114" s="12" t="s">
        <v>656</v>
      </c>
      <c r="H114" s="26" t="n">
        <v>14.329</v>
      </c>
      <c r="I114" s="7" t="n">
        <v>1</v>
      </c>
      <c r="J114" s="7" t="n">
        <v>905</v>
      </c>
      <c r="K114" s="11" t="n">
        <v>28093.38</v>
      </c>
      <c r="L114" s="10" t="s">
        <v>90</v>
      </c>
      <c r="M114" s="26" t="n">
        <v>14.329</v>
      </c>
      <c r="N114" s="12" t="s">
        <v>657</v>
      </c>
      <c r="O114" s="12" t="s">
        <v>77</v>
      </c>
      <c r="P114" s="10" t="s">
        <v>658</v>
      </c>
      <c r="Q114" s="30" t="s">
        <v>983</v>
      </c>
      <c r="R114" s="34" t="n">
        <v>1</v>
      </c>
      <c r="S114" s="11" t="n">
        <v>28093.4</v>
      </c>
      <c r="T114" s="10" t="s">
        <v>778</v>
      </c>
      <c r="U114" s="7" t="n">
        <v>12</v>
      </c>
      <c r="V114" s="12" t="s">
        <v>116</v>
      </c>
      <c r="W114" s="12" t="s">
        <v>79</v>
      </c>
      <c r="X114" s="12" t="s">
        <v>80</v>
      </c>
      <c r="Y114" s="10" t="s">
        <v>81</v>
      </c>
      <c r="Z114" s="7" t="s">
        <v>74</v>
      </c>
      <c r="AA114" s="7" t="n">
        <v>2</v>
      </c>
      <c r="AB114" s="9" t="n">
        <v>0.873862115127175</v>
      </c>
    </row>
    <row r="115" customFormat="false" ht="23.85" hidden="false" customHeight="false" outlineLevel="0" collapsed="false">
      <c r="A115" s="7" t="n">
        <v>111</v>
      </c>
      <c r="B115" s="12" t="s">
        <v>112</v>
      </c>
      <c r="C115" s="10" t="s">
        <v>984</v>
      </c>
      <c r="D115" s="12" t="s">
        <v>687</v>
      </c>
      <c r="E115" s="12" t="s">
        <v>985</v>
      </c>
      <c r="F115" s="10" t="s">
        <v>986</v>
      </c>
      <c r="G115" s="12" t="s">
        <v>656</v>
      </c>
      <c r="H115" s="26" t="n">
        <v>559.566</v>
      </c>
      <c r="I115" s="7" t="n">
        <v>1</v>
      </c>
      <c r="J115" s="7" t="n">
        <v>47</v>
      </c>
      <c r="K115" s="11" t="n">
        <v>7904.67</v>
      </c>
      <c r="L115" s="10" t="s">
        <v>113</v>
      </c>
      <c r="M115" s="26" t="n">
        <v>559.566</v>
      </c>
      <c r="N115" s="12" t="s">
        <v>657</v>
      </c>
      <c r="O115" s="12" t="s">
        <v>77</v>
      </c>
      <c r="P115" s="10" t="s">
        <v>658</v>
      </c>
      <c r="Q115" s="30" t="s">
        <v>987</v>
      </c>
      <c r="R115" s="34" t="n">
        <v>1</v>
      </c>
      <c r="S115" s="11" t="n">
        <v>7904.7</v>
      </c>
      <c r="T115" s="10" t="s">
        <v>826</v>
      </c>
      <c r="U115" s="7" t="n">
        <v>10</v>
      </c>
      <c r="V115" s="12" t="s">
        <v>141</v>
      </c>
      <c r="W115" s="12" t="s">
        <v>79</v>
      </c>
      <c r="X115" s="12" t="s">
        <v>86</v>
      </c>
      <c r="Y115" s="10"/>
      <c r="Z115" s="7" t="s">
        <v>74</v>
      </c>
      <c r="AA115" s="7" t="n">
        <v>4</v>
      </c>
      <c r="AB115" s="9" t="n">
        <v>0.815777395295468</v>
      </c>
    </row>
    <row r="116" customFormat="false" ht="23.85" hidden="false" customHeight="false" outlineLevel="0" collapsed="false">
      <c r="A116" s="7" t="n">
        <v>112</v>
      </c>
      <c r="B116" s="12" t="s">
        <v>145</v>
      </c>
      <c r="C116" s="10" t="s">
        <v>988</v>
      </c>
      <c r="D116" s="12" t="s">
        <v>687</v>
      </c>
      <c r="E116" s="12" t="s">
        <v>989</v>
      </c>
      <c r="F116" s="10" t="s">
        <v>990</v>
      </c>
      <c r="G116" s="12" t="s">
        <v>656</v>
      </c>
      <c r="H116" s="26" t="n">
        <v>18.86</v>
      </c>
      <c r="I116" s="7" t="n">
        <v>1</v>
      </c>
      <c r="J116" s="7" t="n">
        <v>223</v>
      </c>
      <c r="K116" s="11" t="n">
        <v>53539.87</v>
      </c>
      <c r="L116" s="10" t="s">
        <v>146</v>
      </c>
      <c r="M116" s="26" t="n">
        <v>18.86</v>
      </c>
      <c r="N116" s="12" t="s">
        <v>657</v>
      </c>
      <c r="O116" s="12" t="s">
        <v>77</v>
      </c>
      <c r="P116" s="10" t="s">
        <v>658</v>
      </c>
      <c r="Q116" s="30" t="s">
        <v>991</v>
      </c>
      <c r="R116" s="34" t="n">
        <v>1</v>
      </c>
      <c r="S116" s="11" t="n">
        <v>53539.9</v>
      </c>
      <c r="T116" s="10" t="s">
        <v>764</v>
      </c>
      <c r="U116" s="7" t="n">
        <v>10</v>
      </c>
      <c r="V116" s="12" t="s">
        <v>147</v>
      </c>
      <c r="W116" s="12" t="s">
        <v>79</v>
      </c>
      <c r="X116" s="12" t="s">
        <v>110</v>
      </c>
      <c r="Y116" s="10" t="s">
        <v>111</v>
      </c>
      <c r="Z116" s="7" t="s">
        <v>106</v>
      </c>
      <c r="AA116" s="7" t="n">
        <v>7</v>
      </c>
      <c r="AB116" s="9" t="n">
        <v>0.706875119525722</v>
      </c>
    </row>
    <row r="117" customFormat="false" ht="23.85" hidden="false" customHeight="false" outlineLevel="0" collapsed="false">
      <c r="A117" s="7" t="n">
        <v>113</v>
      </c>
      <c r="B117" s="12" t="s">
        <v>145</v>
      </c>
      <c r="C117" s="10" t="s">
        <v>988</v>
      </c>
      <c r="D117" s="12" t="s">
        <v>687</v>
      </c>
      <c r="E117" s="12" t="s">
        <v>989</v>
      </c>
      <c r="F117" s="10" t="s">
        <v>992</v>
      </c>
      <c r="G117" s="12" t="s">
        <v>656</v>
      </c>
      <c r="H117" s="26" t="n">
        <v>18.86</v>
      </c>
      <c r="I117" s="7" t="n">
        <v>1</v>
      </c>
      <c r="J117" s="7" t="n">
        <v>223</v>
      </c>
      <c r="K117" s="11" t="n">
        <v>53539.87</v>
      </c>
      <c r="L117" s="10" t="s">
        <v>146</v>
      </c>
      <c r="M117" s="26" t="n">
        <v>18.86</v>
      </c>
      <c r="N117" s="12" t="s">
        <v>657</v>
      </c>
      <c r="O117" s="12" t="s">
        <v>77</v>
      </c>
      <c r="P117" s="10" t="s">
        <v>658</v>
      </c>
      <c r="Q117" s="30" t="s">
        <v>991</v>
      </c>
      <c r="R117" s="34" t="n">
        <v>1</v>
      </c>
      <c r="S117" s="11" t="n">
        <v>53539.9</v>
      </c>
      <c r="T117" s="10" t="s">
        <v>764</v>
      </c>
      <c r="U117" s="7" t="n">
        <v>10</v>
      </c>
      <c r="V117" s="12" t="s">
        <v>147</v>
      </c>
      <c r="W117" s="12" t="s">
        <v>79</v>
      </c>
      <c r="X117" s="12" t="s">
        <v>110</v>
      </c>
      <c r="Y117" s="10" t="s">
        <v>111</v>
      </c>
      <c r="Z117" s="7" t="s">
        <v>106</v>
      </c>
      <c r="AA117" s="7" t="n">
        <v>7</v>
      </c>
      <c r="AB117" s="9" t="n">
        <v>0.706875119525722</v>
      </c>
    </row>
    <row r="118" customFormat="false" ht="35.05" hidden="false" customHeight="false" outlineLevel="0" collapsed="false">
      <c r="A118" s="7" t="n">
        <v>114</v>
      </c>
      <c r="B118" s="12" t="s">
        <v>269</v>
      </c>
      <c r="C118" s="10" t="s">
        <v>993</v>
      </c>
      <c r="D118" s="12" t="s">
        <v>687</v>
      </c>
      <c r="E118" s="12" t="s">
        <v>994</v>
      </c>
      <c r="F118" s="10" t="s">
        <v>990</v>
      </c>
      <c r="G118" s="12" t="s">
        <v>656</v>
      </c>
      <c r="H118" s="26" t="n">
        <v>5.74</v>
      </c>
      <c r="I118" s="7" t="n">
        <v>1</v>
      </c>
      <c r="J118" s="7" t="n">
        <v>290</v>
      </c>
      <c r="K118" s="11" t="n">
        <v>6348.25</v>
      </c>
      <c r="L118" s="10" t="s">
        <v>270</v>
      </c>
      <c r="M118" s="26" t="n">
        <v>5.74</v>
      </c>
      <c r="N118" s="12" t="s">
        <v>657</v>
      </c>
      <c r="O118" s="12" t="s">
        <v>77</v>
      </c>
      <c r="P118" s="10" t="s">
        <v>658</v>
      </c>
      <c r="Q118" s="30" t="s">
        <v>991</v>
      </c>
      <c r="R118" s="34" t="n">
        <v>0.991596638655462</v>
      </c>
      <c r="S118" s="11" t="n">
        <v>6294.9</v>
      </c>
      <c r="T118" s="10" t="s">
        <v>995</v>
      </c>
      <c r="U118" s="7" t="n">
        <v>1</v>
      </c>
      <c r="V118" s="12" t="s">
        <v>323</v>
      </c>
      <c r="W118" s="12" t="s">
        <v>79</v>
      </c>
      <c r="X118" s="12" t="s">
        <v>110</v>
      </c>
      <c r="Y118" s="10" t="s">
        <v>111</v>
      </c>
      <c r="Z118" s="7" t="s">
        <v>688</v>
      </c>
      <c r="AA118" s="7" t="n">
        <v>33</v>
      </c>
      <c r="AB118" s="9" t="n">
        <v>0.39509944540065</v>
      </c>
    </row>
    <row r="119" customFormat="false" ht="35.05" hidden="false" customHeight="false" outlineLevel="0" collapsed="false">
      <c r="A119" s="7" t="n">
        <v>115</v>
      </c>
      <c r="B119" s="12" t="s">
        <v>269</v>
      </c>
      <c r="C119" s="10" t="s">
        <v>993</v>
      </c>
      <c r="D119" s="12" t="s">
        <v>687</v>
      </c>
      <c r="E119" s="12" t="s">
        <v>994</v>
      </c>
      <c r="F119" s="10" t="s">
        <v>992</v>
      </c>
      <c r="G119" s="12" t="s">
        <v>656</v>
      </c>
      <c r="H119" s="26" t="n">
        <v>5.74</v>
      </c>
      <c r="I119" s="7" t="n">
        <v>1</v>
      </c>
      <c r="J119" s="7" t="n">
        <v>290</v>
      </c>
      <c r="K119" s="11" t="n">
        <v>6348.25</v>
      </c>
      <c r="L119" s="10" t="s">
        <v>270</v>
      </c>
      <c r="M119" s="26" t="n">
        <v>5.74</v>
      </c>
      <c r="N119" s="12" t="s">
        <v>657</v>
      </c>
      <c r="O119" s="12" t="s">
        <v>77</v>
      </c>
      <c r="P119" s="10" t="s">
        <v>658</v>
      </c>
      <c r="Q119" s="30" t="s">
        <v>991</v>
      </c>
      <c r="R119" s="34" t="n">
        <v>0.991596638655462</v>
      </c>
      <c r="S119" s="11" t="n">
        <v>6294.9</v>
      </c>
      <c r="T119" s="10" t="s">
        <v>995</v>
      </c>
      <c r="U119" s="7" t="n">
        <v>1</v>
      </c>
      <c r="V119" s="12" t="s">
        <v>323</v>
      </c>
      <c r="W119" s="12" t="s">
        <v>79</v>
      </c>
      <c r="X119" s="12" t="s">
        <v>110</v>
      </c>
      <c r="Y119" s="10" t="s">
        <v>111</v>
      </c>
      <c r="Z119" s="7" t="s">
        <v>688</v>
      </c>
      <c r="AA119" s="7" t="n">
        <v>33</v>
      </c>
      <c r="AB119" s="9" t="n">
        <v>0.39509944540065</v>
      </c>
    </row>
    <row r="120" customFormat="false" ht="35.05" hidden="false" customHeight="false" outlineLevel="0" collapsed="false">
      <c r="A120" s="7" t="n">
        <v>116</v>
      </c>
      <c r="B120" s="12" t="s">
        <v>269</v>
      </c>
      <c r="C120" s="10" t="s">
        <v>993</v>
      </c>
      <c r="D120" s="12" t="s">
        <v>687</v>
      </c>
      <c r="E120" s="12" t="s">
        <v>996</v>
      </c>
      <c r="F120" s="10" t="s">
        <v>997</v>
      </c>
      <c r="G120" s="12" t="s">
        <v>656</v>
      </c>
      <c r="H120" s="26" t="n">
        <v>12.42</v>
      </c>
      <c r="I120" s="7" t="n">
        <v>1</v>
      </c>
      <c r="J120" s="7" t="n">
        <v>290</v>
      </c>
      <c r="K120" s="11" t="n">
        <v>6348.25</v>
      </c>
      <c r="L120" s="10" t="s">
        <v>270</v>
      </c>
      <c r="M120" s="26" t="n">
        <v>12.42</v>
      </c>
      <c r="N120" s="12" t="s">
        <v>657</v>
      </c>
      <c r="O120" s="12" t="s">
        <v>77</v>
      </c>
      <c r="P120" s="10" t="s">
        <v>658</v>
      </c>
      <c r="Q120" s="30" t="s">
        <v>991</v>
      </c>
      <c r="R120" s="34" t="n">
        <v>0.991596638655462</v>
      </c>
      <c r="S120" s="11" t="n">
        <v>6294.9</v>
      </c>
      <c r="T120" s="10" t="s">
        <v>995</v>
      </c>
      <c r="U120" s="7" t="n">
        <v>1</v>
      </c>
      <c r="V120" s="12" t="s">
        <v>323</v>
      </c>
      <c r="W120" s="12" t="s">
        <v>79</v>
      </c>
      <c r="X120" s="12" t="s">
        <v>110</v>
      </c>
      <c r="Y120" s="10" t="s">
        <v>111</v>
      </c>
      <c r="Z120" s="7" t="s">
        <v>688</v>
      </c>
      <c r="AA120" s="7" t="n">
        <v>33</v>
      </c>
      <c r="AB120" s="9" t="n">
        <v>0.39509944540065</v>
      </c>
    </row>
    <row r="121" customFormat="false" ht="35.05" hidden="false" customHeight="false" outlineLevel="0" collapsed="false">
      <c r="A121" s="7" t="n">
        <v>117</v>
      </c>
      <c r="B121" s="12" t="s">
        <v>269</v>
      </c>
      <c r="C121" s="10" t="s">
        <v>993</v>
      </c>
      <c r="D121" s="12" t="s">
        <v>687</v>
      </c>
      <c r="E121" s="12" t="s">
        <v>996</v>
      </c>
      <c r="F121" s="10" t="s">
        <v>998</v>
      </c>
      <c r="G121" s="12" t="s">
        <v>656</v>
      </c>
      <c r="H121" s="26" t="n">
        <v>12.42</v>
      </c>
      <c r="I121" s="7" t="n">
        <v>1</v>
      </c>
      <c r="J121" s="7" t="n">
        <v>290</v>
      </c>
      <c r="K121" s="11" t="n">
        <v>6348.25</v>
      </c>
      <c r="L121" s="10" t="s">
        <v>270</v>
      </c>
      <c r="M121" s="26" t="n">
        <v>12.42</v>
      </c>
      <c r="N121" s="12" t="s">
        <v>657</v>
      </c>
      <c r="O121" s="12" t="s">
        <v>77</v>
      </c>
      <c r="P121" s="10" t="s">
        <v>658</v>
      </c>
      <c r="Q121" s="30" t="s">
        <v>991</v>
      </c>
      <c r="R121" s="34" t="n">
        <v>0.991596638655462</v>
      </c>
      <c r="S121" s="11" t="n">
        <v>6294.9</v>
      </c>
      <c r="T121" s="10" t="s">
        <v>995</v>
      </c>
      <c r="U121" s="7" t="n">
        <v>1</v>
      </c>
      <c r="V121" s="12" t="s">
        <v>323</v>
      </c>
      <c r="W121" s="12" t="s">
        <v>79</v>
      </c>
      <c r="X121" s="12" t="s">
        <v>110</v>
      </c>
      <c r="Y121" s="10" t="s">
        <v>111</v>
      </c>
      <c r="Z121" s="7" t="s">
        <v>688</v>
      </c>
      <c r="AA121" s="7" t="n">
        <v>33</v>
      </c>
      <c r="AB121" s="9" t="n">
        <v>0.39509944540065</v>
      </c>
    </row>
    <row r="122" customFormat="false" ht="23.85" hidden="false" customHeight="false" outlineLevel="0" collapsed="false">
      <c r="A122" s="7" t="n">
        <v>118</v>
      </c>
      <c r="B122" s="12" t="s">
        <v>145</v>
      </c>
      <c r="C122" s="10" t="s">
        <v>999</v>
      </c>
      <c r="D122" s="12" t="s">
        <v>687</v>
      </c>
      <c r="E122" s="12" t="s">
        <v>989</v>
      </c>
      <c r="F122" s="10" t="s">
        <v>992</v>
      </c>
      <c r="G122" s="12" t="s">
        <v>656</v>
      </c>
      <c r="H122" s="26" t="n">
        <v>33.51</v>
      </c>
      <c r="I122" s="7" t="n">
        <v>1</v>
      </c>
      <c r="J122" s="7" t="n">
        <v>223</v>
      </c>
      <c r="K122" s="11" t="n">
        <v>53539.87</v>
      </c>
      <c r="L122" s="10" t="s">
        <v>146</v>
      </c>
      <c r="M122" s="26" t="n">
        <v>33.51</v>
      </c>
      <c r="N122" s="12" t="s">
        <v>657</v>
      </c>
      <c r="O122" s="12" t="s">
        <v>77</v>
      </c>
      <c r="P122" s="10" t="s">
        <v>658</v>
      </c>
      <c r="Q122" s="30" t="s">
        <v>991</v>
      </c>
      <c r="R122" s="34" t="n">
        <v>1</v>
      </c>
      <c r="S122" s="11" t="n">
        <v>53539.9</v>
      </c>
      <c r="T122" s="10" t="s">
        <v>764</v>
      </c>
      <c r="U122" s="7" t="n">
        <v>10</v>
      </c>
      <c r="V122" s="12" t="s">
        <v>147</v>
      </c>
      <c r="W122" s="12" t="s">
        <v>79</v>
      </c>
      <c r="X122" s="12" t="s">
        <v>110</v>
      </c>
      <c r="Y122" s="10" t="s">
        <v>111</v>
      </c>
      <c r="Z122" s="7" t="s">
        <v>106</v>
      </c>
      <c r="AA122" s="7" t="n">
        <v>7</v>
      </c>
      <c r="AB122" s="9" t="n">
        <v>0.706875119525722</v>
      </c>
    </row>
    <row r="123" customFormat="false" ht="23.85" hidden="false" customHeight="false" outlineLevel="0" collapsed="false">
      <c r="A123" s="7" t="n">
        <v>119</v>
      </c>
      <c r="B123" s="12" t="s">
        <v>145</v>
      </c>
      <c r="C123" s="10" t="s">
        <v>999</v>
      </c>
      <c r="D123" s="12" t="s">
        <v>687</v>
      </c>
      <c r="E123" s="12" t="s">
        <v>989</v>
      </c>
      <c r="F123" s="10" t="s">
        <v>990</v>
      </c>
      <c r="G123" s="12" t="s">
        <v>656</v>
      </c>
      <c r="H123" s="26" t="n">
        <v>33.51</v>
      </c>
      <c r="I123" s="7" t="n">
        <v>1</v>
      </c>
      <c r="J123" s="7" t="n">
        <v>223</v>
      </c>
      <c r="K123" s="11" t="n">
        <v>53539.87</v>
      </c>
      <c r="L123" s="10" t="s">
        <v>146</v>
      </c>
      <c r="M123" s="26" t="n">
        <v>33.51</v>
      </c>
      <c r="N123" s="12" t="s">
        <v>657</v>
      </c>
      <c r="O123" s="12" t="s">
        <v>77</v>
      </c>
      <c r="P123" s="10" t="s">
        <v>658</v>
      </c>
      <c r="Q123" s="30" t="s">
        <v>991</v>
      </c>
      <c r="R123" s="34" t="n">
        <v>1</v>
      </c>
      <c r="S123" s="11" t="n">
        <v>53539.9</v>
      </c>
      <c r="T123" s="10" t="s">
        <v>764</v>
      </c>
      <c r="U123" s="7" t="n">
        <v>10</v>
      </c>
      <c r="V123" s="12" t="s">
        <v>147</v>
      </c>
      <c r="W123" s="12" t="s">
        <v>79</v>
      </c>
      <c r="X123" s="12" t="s">
        <v>110</v>
      </c>
      <c r="Y123" s="10" t="s">
        <v>111</v>
      </c>
      <c r="Z123" s="7" t="s">
        <v>106</v>
      </c>
      <c r="AA123" s="7" t="n">
        <v>7</v>
      </c>
      <c r="AB123" s="9" t="n">
        <v>0.706875119525722</v>
      </c>
    </row>
    <row r="124" customFormat="false" ht="35.05" hidden="false" customHeight="false" outlineLevel="0" collapsed="false">
      <c r="A124" s="7" t="n">
        <v>120</v>
      </c>
      <c r="B124" s="12" t="s">
        <v>229</v>
      </c>
      <c r="C124" s="10" t="s">
        <v>1000</v>
      </c>
      <c r="D124" s="12" t="s">
        <v>27</v>
      </c>
      <c r="E124" s="12" t="s">
        <v>1001</v>
      </c>
      <c r="F124" s="10" t="s">
        <v>1002</v>
      </c>
      <c r="G124" s="12" t="s">
        <v>656</v>
      </c>
      <c r="H124" s="26"/>
      <c r="I124" s="7" t="n">
        <v>1</v>
      </c>
      <c r="J124" s="7" t="n">
        <v>2582</v>
      </c>
      <c r="K124" s="11" t="n">
        <v>38106.07</v>
      </c>
      <c r="L124" s="10" t="s">
        <v>230</v>
      </c>
      <c r="M124" s="35" t="n">
        <v>23.15</v>
      </c>
      <c r="N124" s="12" t="s">
        <v>664</v>
      </c>
      <c r="O124" s="12" t="s">
        <v>102</v>
      </c>
      <c r="P124" s="10" t="s">
        <v>665</v>
      </c>
      <c r="Q124" s="30" t="s">
        <v>666</v>
      </c>
      <c r="R124" s="34" t="n">
        <v>0.125714523309917</v>
      </c>
      <c r="S124" s="11" t="n">
        <v>4790.5</v>
      </c>
      <c r="T124" s="10" t="s">
        <v>1003</v>
      </c>
      <c r="U124" s="7" t="n">
        <v>2</v>
      </c>
      <c r="V124" s="12" t="s">
        <v>144</v>
      </c>
      <c r="W124" s="12" t="s">
        <v>79</v>
      </c>
      <c r="X124" s="12" t="s">
        <v>97</v>
      </c>
      <c r="Y124" s="10" t="s">
        <v>111</v>
      </c>
      <c r="Z124" s="7" t="s">
        <v>688</v>
      </c>
      <c r="AA124" s="7" t="n">
        <v>14</v>
      </c>
      <c r="AB124" s="9" t="n">
        <v>0.487201185695162</v>
      </c>
    </row>
    <row r="125" customFormat="false" ht="35.05" hidden="false" customHeight="false" outlineLevel="0" collapsed="false">
      <c r="A125" s="7" t="n">
        <v>121</v>
      </c>
      <c r="B125" s="12" t="s">
        <v>312</v>
      </c>
      <c r="C125" s="10" t="s">
        <v>312</v>
      </c>
      <c r="D125" s="12" t="s">
        <v>27</v>
      </c>
      <c r="E125" s="12" t="s">
        <v>674</v>
      </c>
      <c r="F125" s="10" t="s">
        <v>1004</v>
      </c>
      <c r="G125" s="12" t="s">
        <v>663</v>
      </c>
      <c r="H125" s="26"/>
      <c r="I125" s="7" t="n">
        <v>1</v>
      </c>
      <c r="J125" s="7" t="n">
        <v>51</v>
      </c>
      <c r="K125" s="11" t="n">
        <v>5770.02</v>
      </c>
      <c r="L125" s="10" t="s">
        <v>313</v>
      </c>
      <c r="M125" s="35" t="n">
        <v>3.99</v>
      </c>
      <c r="N125" s="12" t="s">
        <v>664</v>
      </c>
      <c r="O125" s="12" t="s">
        <v>102</v>
      </c>
      <c r="P125" s="10" t="s">
        <v>665</v>
      </c>
      <c r="Q125" s="30" t="s">
        <v>666</v>
      </c>
      <c r="R125" s="34" t="n">
        <v>0.455812270878129</v>
      </c>
      <c r="S125" s="11" t="n">
        <v>2630</v>
      </c>
      <c r="T125" s="10" t="s">
        <v>144</v>
      </c>
      <c r="U125" s="7" t="n">
        <v>1</v>
      </c>
      <c r="V125" s="12" t="s">
        <v>144</v>
      </c>
      <c r="W125" s="12" t="s">
        <v>85</v>
      </c>
      <c r="X125" s="12" t="s">
        <v>86</v>
      </c>
      <c r="Y125" s="10"/>
      <c r="Z125" s="7" t="s">
        <v>688</v>
      </c>
      <c r="AA125" s="7" t="n">
        <v>17</v>
      </c>
      <c r="AB125" s="9" t="n">
        <v>0.464075349015108</v>
      </c>
    </row>
    <row r="126" customFormat="false" ht="35.05" hidden="false" customHeight="false" outlineLevel="0" collapsed="false">
      <c r="A126" s="7" t="n">
        <v>122</v>
      </c>
      <c r="B126" s="12" t="s">
        <v>312</v>
      </c>
      <c r="C126" s="10" t="s">
        <v>312</v>
      </c>
      <c r="D126" s="12" t="s">
        <v>27</v>
      </c>
      <c r="E126" s="12" t="s">
        <v>1005</v>
      </c>
      <c r="F126" s="10" t="s">
        <v>1006</v>
      </c>
      <c r="G126" s="12" t="s">
        <v>1007</v>
      </c>
      <c r="H126" s="26"/>
      <c r="I126" s="7" t="n">
        <v>1</v>
      </c>
      <c r="J126" s="7" t="n">
        <v>51</v>
      </c>
      <c r="K126" s="11" t="n">
        <v>5770.02</v>
      </c>
      <c r="L126" s="10" t="s">
        <v>313</v>
      </c>
      <c r="M126" s="35" t="n">
        <v>39.89</v>
      </c>
      <c r="N126" s="12" t="s">
        <v>664</v>
      </c>
      <c r="O126" s="12" t="s">
        <v>102</v>
      </c>
      <c r="P126" s="10" t="s">
        <v>665</v>
      </c>
      <c r="Q126" s="30" t="s">
        <v>666</v>
      </c>
      <c r="R126" s="34" t="n">
        <v>0.455812270878129</v>
      </c>
      <c r="S126" s="11" t="n">
        <v>2630</v>
      </c>
      <c r="T126" s="10" t="s">
        <v>144</v>
      </c>
      <c r="U126" s="7" t="n">
        <v>1</v>
      </c>
      <c r="V126" s="12" t="s">
        <v>144</v>
      </c>
      <c r="W126" s="12" t="s">
        <v>79</v>
      </c>
      <c r="X126" s="12" t="s">
        <v>86</v>
      </c>
      <c r="Y126" s="10"/>
      <c r="Z126" s="7" t="s">
        <v>688</v>
      </c>
      <c r="AA126" s="7" t="n">
        <v>17</v>
      </c>
      <c r="AB126" s="9" t="n">
        <v>0.464075349015108</v>
      </c>
    </row>
    <row r="127" customFormat="false" ht="35.05" hidden="false" customHeight="false" outlineLevel="0" collapsed="false">
      <c r="A127" s="7" t="n">
        <v>123</v>
      </c>
      <c r="B127" s="12" t="s">
        <v>195</v>
      </c>
      <c r="C127" s="10" t="s">
        <v>195</v>
      </c>
      <c r="D127" s="12" t="s">
        <v>27</v>
      </c>
      <c r="E127" s="12" t="s">
        <v>744</v>
      </c>
      <c r="F127" s="10" t="s">
        <v>1008</v>
      </c>
      <c r="G127" s="12" t="s">
        <v>656</v>
      </c>
      <c r="H127" s="26" t="n">
        <v>27.26</v>
      </c>
      <c r="I127" s="7" t="n">
        <v>1</v>
      </c>
      <c r="J127" s="7" t="n">
        <v>307</v>
      </c>
      <c r="K127" s="11" t="n">
        <v>7276.73</v>
      </c>
      <c r="L127" s="10" t="s">
        <v>196</v>
      </c>
      <c r="M127" s="26" t="n">
        <v>27.26</v>
      </c>
      <c r="N127" s="12" t="s">
        <v>657</v>
      </c>
      <c r="O127" s="12" t="s">
        <v>102</v>
      </c>
      <c r="P127" s="10" t="s">
        <v>658</v>
      </c>
      <c r="Q127" s="30" t="s">
        <v>746</v>
      </c>
      <c r="R127" s="34" t="n">
        <v>0.947368421052632</v>
      </c>
      <c r="S127" s="11" t="n">
        <v>6893.7</v>
      </c>
      <c r="T127" s="10" t="s">
        <v>144</v>
      </c>
      <c r="U127" s="7" t="n">
        <v>1</v>
      </c>
      <c r="V127" s="12" t="s">
        <v>144</v>
      </c>
      <c r="W127" s="12" t="s">
        <v>79</v>
      </c>
      <c r="X127" s="12" t="s">
        <v>86</v>
      </c>
      <c r="Y127" s="10"/>
      <c r="Z127" s="7" t="s">
        <v>688</v>
      </c>
      <c r="AA127" s="7" t="n">
        <v>12</v>
      </c>
      <c r="AB127" s="9" t="n">
        <v>0.516265060240964</v>
      </c>
    </row>
    <row r="128" customFormat="false" ht="57.45" hidden="false" customHeight="false" outlineLevel="0" collapsed="false">
      <c r="A128" s="7" t="n">
        <v>124</v>
      </c>
      <c r="B128" s="12" t="s">
        <v>195</v>
      </c>
      <c r="C128" s="10" t="s">
        <v>195</v>
      </c>
      <c r="D128" s="12" t="s">
        <v>27</v>
      </c>
      <c r="E128" s="12" t="s">
        <v>747</v>
      </c>
      <c r="F128" s="10" t="s">
        <v>1009</v>
      </c>
      <c r="G128" s="12" t="s">
        <v>656</v>
      </c>
      <c r="H128" s="26" t="n">
        <v>14</v>
      </c>
      <c r="I128" s="7" t="n">
        <v>1</v>
      </c>
      <c r="J128" s="7" t="n">
        <v>307</v>
      </c>
      <c r="K128" s="11" t="n">
        <v>7276.73</v>
      </c>
      <c r="L128" s="10" t="s">
        <v>196</v>
      </c>
      <c r="M128" s="26" t="n">
        <v>14</v>
      </c>
      <c r="N128" s="12" t="s">
        <v>657</v>
      </c>
      <c r="O128" s="12" t="s">
        <v>102</v>
      </c>
      <c r="P128" s="10" t="s">
        <v>658</v>
      </c>
      <c r="Q128" s="30" t="s">
        <v>746</v>
      </c>
      <c r="R128" s="34" t="n">
        <v>0.947368421052632</v>
      </c>
      <c r="S128" s="11" t="n">
        <v>6893.7</v>
      </c>
      <c r="T128" s="10" t="s">
        <v>144</v>
      </c>
      <c r="U128" s="7" t="n">
        <v>1</v>
      </c>
      <c r="V128" s="12" t="s">
        <v>144</v>
      </c>
      <c r="W128" s="12" t="s">
        <v>79</v>
      </c>
      <c r="X128" s="12" t="s">
        <v>86</v>
      </c>
      <c r="Y128" s="10"/>
      <c r="Z128" s="7" t="s">
        <v>688</v>
      </c>
      <c r="AA128" s="7" t="n">
        <v>12</v>
      </c>
      <c r="AB128" s="9" t="n">
        <v>0.516265060240964</v>
      </c>
    </row>
    <row r="129" customFormat="false" ht="23.85" hidden="false" customHeight="false" outlineLevel="0" collapsed="false">
      <c r="A129" s="7" t="n">
        <v>125</v>
      </c>
      <c r="B129" s="12" t="s">
        <v>431</v>
      </c>
      <c r="C129" s="10" t="s">
        <v>1010</v>
      </c>
      <c r="D129" s="12" t="s">
        <v>27</v>
      </c>
      <c r="E129" s="12" t="s">
        <v>1011</v>
      </c>
      <c r="F129" s="10" t="s">
        <v>1012</v>
      </c>
      <c r="G129" s="12" t="s">
        <v>663</v>
      </c>
      <c r="H129" s="26" t="n">
        <v>6545.62</v>
      </c>
      <c r="I129" s="7" t="n">
        <v>1</v>
      </c>
      <c r="J129" s="7" t="n">
        <v>25</v>
      </c>
      <c r="K129" s="11" t="n">
        <v>0.23</v>
      </c>
      <c r="L129" s="10" t="s">
        <v>432</v>
      </c>
      <c r="M129" s="26" t="n">
        <v>6545.62</v>
      </c>
      <c r="N129" s="12" t="s">
        <v>657</v>
      </c>
      <c r="O129" s="12" t="s">
        <v>102</v>
      </c>
      <c r="P129" s="10" t="s">
        <v>658</v>
      </c>
      <c r="Q129" s="30" t="s">
        <v>1013</v>
      </c>
      <c r="R129" s="34" t="n">
        <v>1</v>
      </c>
      <c r="S129" s="11" t="n">
        <v>0.2</v>
      </c>
      <c r="T129" s="10" t="s">
        <v>144</v>
      </c>
      <c r="U129" s="7" t="n">
        <v>1</v>
      </c>
      <c r="V129" s="12" t="s">
        <v>144</v>
      </c>
      <c r="W129" s="12" t="s">
        <v>85</v>
      </c>
      <c r="X129" s="12" t="s">
        <v>86</v>
      </c>
      <c r="Y129" s="10" t="s">
        <v>87</v>
      </c>
      <c r="Z129" s="7" t="s">
        <v>688</v>
      </c>
      <c r="AA129" s="7" t="n">
        <v>13</v>
      </c>
      <c r="AB129" s="9" t="n">
        <v>0.496825396825397</v>
      </c>
    </row>
    <row r="130" customFormat="false" ht="23.85" hidden="false" customHeight="false" outlineLevel="0" collapsed="false">
      <c r="A130" s="7" t="n">
        <v>126</v>
      </c>
      <c r="B130" s="12" t="s">
        <v>431</v>
      </c>
      <c r="C130" s="10" t="s">
        <v>1010</v>
      </c>
      <c r="D130" s="12" t="s">
        <v>27</v>
      </c>
      <c r="E130" s="12" t="s">
        <v>1014</v>
      </c>
      <c r="F130" s="10" t="s">
        <v>1015</v>
      </c>
      <c r="G130" s="12" t="s">
        <v>663</v>
      </c>
      <c r="H130" s="26" t="n">
        <v>8714.12</v>
      </c>
      <c r="I130" s="7" t="n">
        <v>1</v>
      </c>
      <c r="J130" s="7" t="n">
        <v>25</v>
      </c>
      <c r="K130" s="11" t="n">
        <v>0.23</v>
      </c>
      <c r="L130" s="10" t="s">
        <v>432</v>
      </c>
      <c r="M130" s="26" t="n">
        <v>8714.12</v>
      </c>
      <c r="N130" s="12" t="s">
        <v>657</v>
      </c>
      <c r="O130" s="12" t="s">
        <v>102</v>
      </c>
      <c r="P130" s="10" t="s">
        <v>658</v>
      </c>
      <c r="Q130" s="30" t="s">
        <v>1013</v>
      </c>
      <c r="R130" s="34" t="n">
        <v>1</v>
      </c>
      <c r="S130" s="11" t="n">
        <v>0.2</v>
      </c>
      <c r="T130" s="10" t="s">
        <v>144</v>
      </c>
      <c r="U130" s="7" t="n">
        <v>1</v>
      </c>
      <c r="V130" s="12" t="s">
        <v>144</v>
      </c>
      <c r="W130" s="12" t="s">
        <v>85</v>
      </c>
      <c r="X130" s="12" t="s">
        <v>86</v>
      </c>
      <c r="Y130" s="10" t="s">
        <v>87</v>
      </c>
      <c r="Z130" s="7" t="s">
        <v>688</v>
      </c>
      <c r="AA130" s="7" t="n">
        <v>13</v>
      </c>
      <c r="AB130" s="9" t="n">
        <v>0.496825396825397</v>
      </c>
    </row>
    <row r="131" customFormat="false" ht="23.85" hidden="false" customHeight="false" outlineLevel="0" collapsed="false">
      <c r="A131" s="7" t="n">
        <v>127</v>
      </c>
      <c r="B131" s="12" t="s">
        <v>431</v>
      </c>
      <c r="C131" s="10" t="s">
        <v>1010</v>
      </c>
      <c r="D131" s="12" t="s">
        <v>27</v>
      </c>
      <c r="E131" s="12" t="s">
        <v>1016</v>
      </c>
      <c r="F131" s="10" t="s">
        <v>1017</v>
      </c>
      <c r="G131" s="12" t="s">
        <v>663</v>
      </c>
      <c r="H131" s="26" t="n">
        <v>2652.02</v>
      </c>
      <c r="I131" s="7" t="n">
        <v>1</v>
      </c>
      <c r="J131" s="7" t="n">
        <v>25</v>
      </c>
      <c r="K131" s="11" t="n">
        <v>0.23</v>
      </c>
      <c r="L131" s="10" t="s">
        <v>432</v>
      </c>
      <c r="M131" s="26" t="n">
        <v>2652.02</v>
      </c>
      <c r="N131" s="12" t="s">
        <v>657</v>
      </c>
      <c r="O131" s="12" t="s">
        <v>102</v>
      </c>
      <c r="P131" s="10" t="s">
        <v>658</v>
      </c>
      <c r="Q131" s="30" t="s">
        <v>1018</v>
      </c>
      <c r="R131" s="34" t="n">
        <v>1</v>
      </c>
      <c r="S131" s="11" t="n">
        <v>0.2</v>
      </c>
      <c r="T131" s="10" t="s">
        <v>144</v>
      </c>
      <c r="U131" s="7" t="n">
        <v>1</v>
      </c>
      <c r="V131" s="12" t="s">
        <v>144</v>
      </c>
      <c r="W131" s="12" t="s">
        <v>85</v>
      </c>
      <c r="X131" s="12" t="s">
        <v>86</v>
      </c>
      <c r="Y131" s="10" t="s">
        <v>87</v>
      </c>
      <c r="Z131" s="7" t="s">
        <v>688</v>
      </c>
      <c r="AA131" s="7" t="n">
        <v>13</v>
      </c>
      <c r="AB131" s="9" t="n">
        <v>0.496825396825397</v>
      </c>
    </row>
    <row r="132" customFormat="false" ht="23.85" hidden="false" customHeight="false" outlineLevel="0" collapsed="false">
      <c r="A132" s="7" t="n">
        <v>128</v>
      </c>
      <c r="B132" s="12" t="s">
        <v>107</v>
      </c>
      <c r="C132" s="10" t="s">
        <v>107</v>
      </c>
      <c r="D132" s="12" t="s">
        <v>27</v>
      </c>
      <c r="E132" s="12" t="s">
        <v>1019</v>
      </c>
      <c r="F132" s="10" t="s">
        <v>1020</v>
      </c>
      <c r="G132" s="12" t="s">
        <v>656</v>
      </c>
      <c r="H132" s="26" t="n">
        <v>81.96</v>
      </c>
      <c r="I132" s="7" t="n">
        <v>1</v>
      </c>
      <c r="J132" s="7" t="n">
        <v>312</v>
      </c>
      <c r="K132" s="11" t="n">
        <v>59827.18</v>
      </c>
      <c r="L132" s="10" t="s">
        <v>108</v>
      </c>
      <c r="M132" s="26" t="n">
        <v>81.96</v>
      </c>
      <c r="N132" s="12" t="s">
        <v>657</v>
      </c>
      <c r="O132" s="12" t="s">
        <v>77</v>
      </c>
      <c r="P132" s="10" t="s">
        <v>658</v>
      </c>
      <c r="Q132" s="30" t="s">
        <v>1021</v>
      </c>
      <c r="R132" s="34" t="n">
        <v>1</v>
      </c>
      <c r="S132" s="11" t="n">
        <v>59827.2</v>
      </c>
      <c r="T132" s="10" t="s">
        <v>1022</v>
      </c>
      <c r="U132" s="7" t="n">
        <v>5</v>
      </c>
      <c r="V132" s="12" t="s">
        <v>166</v>
      </c>
      <c r="W132" s="12" t="s">
        <v>79</v>
      </c>
      <c r="X132" s="12" t="s">
        <v>86</v>
      </c>
      <c r="Y132" s="10" t="s">
        <v>111</v>
      </c>
      <c r="Z132" s="7" t="s">
        <v>74</v>
      </c>
      <c r="AA132" s="7" t="n">
        <v>2</v>
      </c>
      <c r="AB132" s="9" t="n">
        <v>0.848756932491872</v>
      </c>
    </row>
    <row r="133" customFormat="false" ht="23.85" hidden="false" customHeight="false" outlineLevel="0" collapsed="false">
      <c r="A133" s="7" t="n">
        <v>129</v>
      </c>
      <c r="B133" s="12" t="s">
        <v>107</v>
      </c>
      <c r="C133" s="10" t="s">
        <v>1023</v>
      </c>
      <c r="D133" s="12" t="s">
        <v>27</v>
      </c>
      <c r="E133" s="12" t="s">
        <v>873</v>
      </c>
      <c r="F133" s="10" t="s">
        <v>874</v>
      </c>
      <c r="G133" s="12" t="s">
        <v>656</v>
      </c>
      <c r="H133" s="26" t="n">
        <v>93.7335</v>
      </c>
      <c r="I133" s="7" t="n">
        <v>28</v>
      </c>
      <c r="J133" s="7" t="n">
        <v>312</v>
      </c>
      <c r="K133" s="11" t="n">
        <v>59827.18</v>
      </c>
      <c r="L133" s="10" t="s">
        <v>108</v>
      </c>
      <c r="M133" s="26" t="n">
        <v>93.7335</v>
      </c>
      <c r="N133" s="12" t="s">
        <v>657</v>
      </c>
      <c r="O133" s="12" t="s">
        <v>153</v>
      </c>
      <c r="P133" s="10" t="s">
        <v>658</v>
      </c>
      <c r="Q133" s="30" t="s">
        <v>852</v>
      </c>
      <c r="R133" s="34" t="n">
        <v>1</v>
      </c>
      <c r="S133" s="11" t="n">
        <v>59827.2</v>
      </c>
      <c r="T133" s="10" t="s">
        <v>1022</v>
      </c>
      <c r="U133" s="7" t="n">
        <v>5</v>
      </c>
      <c r="V133" s="12" t="s">
        <v>166</v>
      </c>
      <c r="W133" s="12" t="s">
        <v>79</v>
      </c>
      <c r="X133" s="12" t="s">
        <v>80</v>
      </c>
      <c r="Y133" s="10" t="s">
        <v>111</v>
      </c>
      <c r="Z133" s="7" t="s">
        <v>74</v>
      </c>
      <c r="AA133" s="7" t="n">
        <v>2</v>
      </c>
      <c r="AB133" s="9" t="n">
        <v>0.848756932491872</v>
      </c>
    </row>
    <row r="134" customFormat="false" ht="23.85" hidden="false" customHeight="false" outlineLevel="0" collapsed="false">
      <c r="A134" s="7" t="n">
        <v>130</v>
      </c>
      <c r="B134" s="12" t="s">
        <v>114</v>
      </c>
      <c r="C134" s="10" t="s">
        <v>1024</v>
      </c>
      <c r="D134" s="12" t="s">
        <v>27</v>
      </c>
      <c r="E134" s="12" t="s">
        <v>890</v>
      </c>
      <c r="F134" s="10" t="s">
        <v>1025</v>
      </c>
      <c r="G134" s="12" t="s">
        <v>663</v>
      </c>
      <c r="H134" s="26" t="n">
        <v>531.8684</v>
      </c>
      <c r="I134" s="7" t="n">
        <v>31</v>
      </c>
      <c r="J134" s="7" t="n">
        <v>146</v>
      </c>
      <c r="K134" s="11" t="n">
        <v>11366.06</v>
      </c>
      <c r="L134" s="10" t="s">
        <v>115</v>
      </c>
      <c r="M134" s="26" t="n">
        <v>531.8684</v>
      </c>
      <c r="N134" s="12" t="s">
        <v>657</v>
      </c>
      <c r="O134" s="12" t="s">
        <v>153</v>
      </c>
      <c r="P134" s="10" t="s">
        <v>658</v>
      </c>
      <c r="Q134" s="30" t="s">
        <v>852</v>
      </c>
      <c r="R134" s="34" t="n">
        <v>1</v>
      </c>
      <c r="S134" s="11" t="n">
        <v>11366.1</v>
      </c>
      <c r="T134" s="10" t="s">
        <v>888</v>
      </c>
      <c r="U134" s="7" t="n">
        <v>1</v>
      </c>
      <c r="V134" s="12" t="s">
        <v>169</v>
      </c>
      <c r="W134" s="12" t="s">
        <v>85</v>
      </c>
      <c r="X134" s="12" t="s">
        <v>86</v>
      </c>
      <c r="Y134" s="10" t="s">
        <v>87</v>
      </c>
      <c r="Z134" s="7" t="s">
        <v>74</v>
      </c>
      <c r="AA134" s="7" t="n">
        <v>4</v>
      </c>
      <c r="AB134" s="9" t="n">
        <v>0.816389366991777</v>
      </c>
    </row>
    <row r="135" customFormat="false" ht="23.85" hidden="false" customHeight="false" outlineLevel="0" collapsed="false">
      <c r="A135" s="7" t="n">
        <v>131</v>
      </c>
      <c r="B135" s="12" t="s">
        <v>117</v>
      </c>
      <c r="C135" s="10" t="s">
        <v>1026</v>
      </c>
      <c r="D135" s="12" t="s">
        <v>27</v>
      </c>
      <c r="E135" s="12" t="s">
        <v>1027</v>
      </c>
      <c r="F135" s="10" t="s">
        <v>1028</v>
      </c>
      <c r="G135" s="12" t="s">
        <v>656</v>
      </c>
      <c r="H135" s="26" t="n">
        <v>65.0089</v>
      </c>
      <c r="I135" s="7" t="n">
        <v>31</v>
      </c>
      <c r="J135" s="7" t="n">
        <v>346</v>
      </c>
      <c r="K135" s="11" t="n">
        <v>32830.17</v>
      </c>
      <c r="L135" s="10" t="s">
        <v>118</v>
      </c>
      <c r="M135" s="26" t="n">
        <v>65.0089</v>
      </c>
      <c r="N135" s="12" t="s">
        <v>657</v>
      </c>
      <c r="O135" s="12" t="s">
        <v>102</v>
      </c>
      <c r="P135" s="10" t="s">
        <v>658</v>
      </c>
      <c r="Q135" s="30" t="s">
        <v>1029</v>
      </c>
      <c r="R135" s="34" t="n">
        <v>1</v>
      </c>
      <c r="S135" s="11" t="n">
        <v>32830.2</v>
      </c>
      <c r="T135" s="10" t="s">
        <v>1030</v>
      </c>
      <c r="U135" s="7" t="n">
        <v>4</v>
      </c>
      <c r="V135" s="12" t="s">
        <v>169</v>
      </c>
      <c r="W135" s="12" t="s">
        <v>79</v>
      </c>
      <c r="X135" s="12" t="s">
        <v>86</v>
      </c>
      <c r="Y135" s="10"/>
      <c r="Z135" s="7" t="s">
        <v>106</v>
      </c>
      <c r="AA135" s="7" t="n">
        <v>6</v>
      </c>
      <c r="AB135" s="9" t="n">
        <v>0.709475999235036</v>
      </c>
    </row>
    <row r="136" customFormat="false" ht="23.85" hidden="false" customHeight="false" outlineLevel="0" collapsed="false">
      <c r="A136" s="7" t="n">
        <v>132</v>
      </c>
      <c r="B136" s="12" t="s">
        <v>117</v>
      </c>
      <c r="C136" s="10" t="s">
        <v>1031</v>
      </c>
      <c r="D136" s="12" t="s">
        <v>27</v>
      </c>
      <c r="E136" s="12" t="s">
        <v>1032</v>
      </c>
      <c r="F136" s="10" t="s">
        <v>1033</v>
      </c>
      <c r="G136" s="12" t="s">
        <v>656</v>
      </c>
      <c r="H136" s="26"/>
      <c r="I136" s="7" t="n">
        <v>1</v>
      </c>
      <c r="J136" s="7" t="n">
        <v>346</v>
      </c>
      <c r="K136" s="11" t="n">
        <v>32830.17</v>
      </c>
      <c r="L136" s="10" t="s">
        <v>118</v>
      </c>
      <c r="M136" s="26"/>
      <c r="N136" s="12" t="s">
        <v>701</v>
      </c>
      <c r="O136" s="12" t="s">
        <v>323</v>
      </c>
      <c r="P136" s="10" t="s">
        <v>323</v>
      </c>
      <c r="Q136" s="12"/>
      <c r="R136" s="34" t="n">
        <v>1</v>
      </c>
      <c r="S136" s="11" t="n">
        <v>32830.2</v>
      </c>
      <c r="T136" s="10" t="s">
        <v>1030</v>
      </c>
      <c r="U136" s="7" t="n">
        <v>4</v>
      </c>
      <c r="V136" s="12" t="s">
        <v>169</v>
      </c>
      <c r="W136" s="12" t="s">
        <v>79</v>
      </c>
      <c r="X136" s="12" t="s">
        <v>86</v>
      </c>
      <c r="Y136" s="10"/>
      <c r="Z136" s="7" t="s">
        <v>106</v>
      </c>
      <c r="AA136" s="7" t="n">
        <v>6</v>
      </c>
      <c r="AB136" s="9" t="n">
        <v>0.709475999235036</v>
      </c>
    </row>
    <row r="137" customFormat="false" ht="23.85" hidden="false" customHeight="false" outlineLevel="0" collapsed="false">
      <c r="A137" s="7" t="n">
        <v>133</v>
      </c>
      <c r="B137" s="12" t="s">
        <v>117</v>
      </c>
      <c r="C137" s="10" t="s">
        <v>1031</v>
      </c>
      <c r="D137" s="12" t="s">
        <v>27</v>
      </c>
      <c r="E137" s="12" t="s">
        <v>1034</v>
      </c>
      <c r="F137" s="10" t="s">
        <v>1035</v>
      </c>
      <c r="G137" s="12" t="s">
        <v>656</v>
      </c>
      <c r="H137" s="26"/>
      <c r="I137" s="7" t="n">
        <v>1</v>
      </c>
      <c r="J137" s="7" t="n">
        <v>346</v>
      </c>
      <c r="K137" s="11" t="n">
        <v>32830.17</v>
      </c>
      <c r="L137" s="10" t="s">
        <v>118</v>
      </c>
      <c r="M137" s="26"/>
      <c r="N137" s="12" t="s">
        <v>701</v>
      </c>
      <c r="O137" s="12" t="s">
        <v>323</v>
      </c>
      <c r="P137" s="10" t="s">
        <v>323</v>
      </c>
      <c r="Q137" s="12"/>
      <c r="R137" s="34" t="n">
        <v>1</v>
      </c>
      <c r="S137" s="11" t="n">
        <v>32830.2</v>
      </c>
      <c r="T137" s="10" t="s">
        <v>1030</v>
      </c>
      <c r="U137" s="7" t="n">
        <v>4</v>
      </c>
      <c r="V137" s="12" t="s">
        <v>169</v>
      </c>
      <c r="W137" s="12" t="s">
        <v>79</v>
      </c>
      <c r="X137" s="12" t="s">
        <v>86</v>
      </c>
      <c r="Y137" s="10"/>
      <c r="Z137" s="7" t="s">
        <v>106</v>
      </c>
      <c r="AA137" s="7" t="n">
        <v>6</v>
      </c>
      <c r="AB137" s="9" t="n">
        <v>0.709475999235036</v>
      </c>
    </row>
    <row r="138" customFormat="false" ht="23.85" hidden="false" customHeight="false" outlineLevel="0" collapsed="false">
      <c r="A138" s="7" t="n">
        <v>134</v>
      </c>
      <c r="B138" s="12" t="s">
        <v>107</v>
      </c>
      <c r="C138" s="10" t="s">
        <v>1036</v>
      </c>
      <c r="D138" s="12" t="s">
        <v>27</v>
      </c>
      <c r="E138" s="12" t="s">
        <v>1037</v>
      </c>
      <c r="F138" s="10" t="s">
        <v>1038</v>
      </c>
      <c r="G138" s="12" t="s">
        <v>656</v>
      </c>
      <c r="H138" s="26"/>
      <c r="I138" s="7" t="n">
        <v>1</v>
      </c>
      <c r="J138" s="7" t="n">
        <v>312</v>
      </c>
      <c r="K138" s="11" t="n">
        <v>59827.18</v>
      </c>
      <c r="L138" s="10" t="s">
        <v>108</v>
      </c>
      <c r="M138" s="26"/>
      <c r="N138" s="12" t="s">
        <v>701</v>
      </c>
      <c r="O138" s="12" t="s">
        <v>323</v>
      </c>
      <c r="P138" s="10" t="s">
        <v>323</v>
      </c>
      <c r="Q138" s="12"/>
      <c r="R138" s="34" t="n">
        <v>1</v>
      </c>
      <c r="S138" s="11" t="n">
        <v>59827.2</v>
      </c>
      <c r="T138" s="10" t="s">
        <v>1022</v>
      </c>
      <c r="U138" s="7" t="n">
        <v>5</v>
      </c>
      <c r="V138" s="12" t="s">
        <v>166</v>
      </c>
      <c r="W138" s="12" t="s">
        <v>79</v>
      </c>
      <c r="X138" s="12" t="s">
        <v>80</v>
      </c>
      <c r="Y138" s="10" t="s">
        <v>111</v>
      </c>
      <c r="Z138" s="7" t="s">
        <v>74</v>
      </c>
      <c r="AA138" s="7" t="n">
        <v>2</v>
      </c>
      <c r="AB138" s="9" t="n">
        <v>0.848756932491872</v>
      </c>
    </row>
    <row r="139" customFormat="false" ht="23.85" hidden="false" customHeight="false" outlineLevel="0" collapsed="false">
      <c r="A139" s="7" t="n">
        <v>135</v>
      </c>
      <c r="B139" s="12" t="s">
        <v>107</v>
      </c>
      <c r="C139" s="10" t="s">
        <v>1036</v>
      </c>
      <c r="D139" s="12" t="s">
        <v>27</v>
      </c>
      <c r="E139" s="12" t="s">
        <v>963</v>
      </c>
      <c r="F139" s="10" t="s">
        <v>964</v>
      </c>
      <c r="G139" s="12" t="s">
        <v>656</v>
      </c>
      <c r="H139" s="26"/>
      <c r="I139" s="7" t="n">
        <v>1</v>
      </c>
      <c r="J139" s="7" t="n">
        <v>312</v>
      </c>
      <c r="K139" s="11" t="n">
        <v>59827.18</v>
      </c>
      <c r="L139" s="10" t="s">
        <v>108</v>
      </c>
      <c r="M139" s="26"/>
      <c r="N139" s="12" t="s">
        <v>701</v>
      </c>
      <c r="O139" s="12" t="s">
        <v>323</v>
      </c>
      <c r="P139" s="10" t="s">
        <v>323</v>
      </c>
      <c r="Q139" s="12"/>
      <c r="R139" s="34" t="n">
        <v>1</v>
      </c>
      <c r="S139" s="11" t="n">
        <v>59827.2</v>
      </c>
      <c r="T139" s="10" t="s">
        <v>1022</v>
      </c>
      <c r="U139" s="7" t="n">
        <v>5</v>
      </c>
      <c r="V139" s="12" t="s">
        <v>166</v>
      </c>
      <c r="W139" s="12" t="s">
        <v>79</v>
      </c>
      <c r="X139" s="12" t="s">
        <v>80</v>
      </c>
      <c r="Y139" s="10" t="s">
        <v>111</v>
      </c>
      <c r="Z139" s="7" t="s">
        <v>74</v>
      </c>
      <c r="AA139" s="7" t="n">
        <v>2</v>
      </c>
      <c r="AB139" s="9" t="n">
        <v>0.848756932491872</v>
      </c>
    </row>
    <row r="140" customFormat="false" ht="35.05" hidden="false" customHeight="false" outlineLevel="0" collapsed="false">
      <c r="A140" s="7" t="n">
        <v>136</v>
      </c>
      <c r="B140" s="12" t="s">
        <v>164</v>
      </c>
      <c r="C140" s="10" t="s">
        <v>1039</v>
      </c>
      <c r="D140" s="12" t="s">
        <v>27</v>
      </c>
      <c r="E140" s="12" t="s">
        <v>1040</v>
      </c>
      <c r="F140" s="10" t="s">
        <v>1041</v>
      </c>
      <c r="G140" s="12" t="s">
        <v>656</v>
      </c>
      <c r="H140" s="26"/>
      <c r="I140" s="7" t="n">
        <v>1</v>
      </c>
      <c r="J140" s="7" t="n">
        <v>848</v>
      </c>
      <c r="K140" s="11" t="n">
        <v>142879.93</v>
      </c>
      <c r="L140" s="10" t="s">
        <v>165</v>
      </c>
      <c r="M140" s="35" t="n">
        <v>73.63</v>
      </c>
      <c r="N140" s="12" t="s">
        <v>664</v>
      </c>
      <c r="O140" s="12" t="s">
        <v>102</v>
      </c>
      <c r="P140" s="10" t="s">
        <v>1042</v>
      </c>
      <c r="Q140" s="30" t="s">
        <v>1043</v>
      </c>
      <c r="R140" s="34" t="n">
        <v>0.928913192071087</v>
      </c>
      <c r="S140" s="11" t="n">
        <v>132723.1</v>
      </c>
      <c r="T140" s="10" t="s">
        <v>1044</v>
      </c>
      <c r="U140" s="7" t="n">
        <v>1</v>
      </c>
      <c r="V140" s="12" t="s">
        <v>323</v>
      </c>
      <c r="W140" s="12" t="s">
        <v>79</v>
      </c>
      <c r="X140" s="12" t="s">
        <v>80</v>
      </c>
      <c r="Y140" s="10" t="s">
        <v>111</v>
      </c>
      <c r="Z140" s="7" t="s">
        <v>74</v>
      </c>
      <c r="AA140" s="7" t="n">
        <v>1</v>
      </c>
      <c r="AB140" s="9" t="n">
        <v>0.855636833046472</v>
      </c>
    </row>
    <row r="141" customFormat="false" ht="35.05" hidden="false" customHeight="false" outlineLevel="0" collapsed="false">
      <c r="A141" s="7" t="n">
        <v>137</v>
      </c>
      <c r="B141" s="12" t="s">
        <v>229</v>
      </c>
      <c r="C141" s="10" t="s">
        <v>1045</v>
      </c>
      <c r="D141" s="12" t="s">
        <v>27</v>
      </c>
      <c r="E141" s="12" t="s">
        <v>978</v>
      </c>
      <c r="F141" s="10" t="s">
        <v>979</v>
      </c>
      <c r="G141" s="12" t="s">
        <v>656</v>
      </c>
      <c r="H141" s="26"/>
      <c r="I141" s="7" t="n">
        <v>1</v>
      </c>
      <c r="J141" s="7" t="n">
        <v>2582</v>
      </c>
      <c r="K141" s="11" t="n">
        <v>38106.07</v>
      </c>
      <c r="L141" s="10" t="s">
        <v>230</v>
      </c>
      <c r="M141" s="35" t="n">
        <v>23.15</v>
      </c>
      <c r="N141" s="12" t="s">
        <v>664</v>
      </c>
      <c r="O141" s="12" t="s">
        <v>102</v>
      </c>
      <c r="P141" s="10" t="s">
        <v>665</v>
      </c>
      <c r="Q141" s="30" t="s">
        <v>666</v>
      </c>
      <c r="R141" s="34" t="n">
        <v>0.125714523309917</v>
      </c>
      <c r="S141" s="11" t="n">
        <v>4790.5</v>
      </c>
      <c r="T141" s="10" t="s">
        <v>1003</v>
      </c>
      <c r="U141" s="7" t="n">
        <v>2</v>
      </c>
      <c r="V141" s="12" t="s">
        <v>144</v>
      </c>
      <c r="W141" s="12" t="s">
        <v>79</v>
      </c>
      <c r="X141" s="12" t="s">
        <v>80</v>
      </c>
      <c r="Y141" s="10" t="s">
        <v>111</v>
      </c>
      <c r="Z141" s="7" t="s">
        <v>688</v>
      </c>
      <c r="AA141" s="7" t="n">
        <v>14</v>
      </c>
      <c r="AB141" s="9" t="n">
        <v>0.487201185695162</v>
      </c>
    </row>
    <row r="142" customFormat="false" ht="23.85" hidden="false" customHeight="false" outlineLevel="0" collapsed="false">
      <c r="A142" s="7" t="n">
        <v>138</v>
      </c>
      <c r="B142" s="12" t="s">
        <v>170</v>
      </c>
      <c r="C142" s="10" t="s">
        <v>1046</v>
      </c>
      <c r="D142" s="12" t="s">
        <v>27</v>
      </c>
      <c r="E142" s="12" t="s">
        <v>1047</v>
      </c>
      <c r="F142" s="10" t="s">
        <v>1048</v>
      </c>
      <c r="G142" s="12" t="s">
        <v>656</v>
      </c>
      <c r="H142" s="26"/>
      <c r="I142" s="7" t="n">
        <v>1</v>
      </c>
      <c r="J142" s="7" t="n">
        <v>87</v>
      </c>
      <c r="K142" s="11" t="n">
        <v>2931.42</v>
      </c>
      <c r="L142" s="10" t="s">
        <v>171</v>
      </c>
      <c r="M142" s="35" t="n">
        <v>69.18</v>
      </c>
      <c r="N142" s="12" t="s">
        <v>664</v>
      </c>
      <c r="O142" s="12" t="s">
        <v>153</v>
      </c>
      <c r="P142" s="10" t="s">
        <v>1049</v>
      </c>
      <c r="Q142" s="30" t="s">
        <v>1050</v>
      </c>
      <c r="R142" s="34" t="n">
        <v>1</v>
      </c>
      <c r="S142" s="11" t="n">
        <v>2931.4</v>
      </c>
      <c r="T142" s="10" t="s">
        <v>1044</v>
      </c>
      <c r="U142" s="7" t="n">
        <v>1</v>
      </c>
      <c r="V142" s="12" t="s">
        <v>323</v>
      </c>
      <c r="W142" s="12" t="s">
        <v>172</v>
      </c>
      <c r="X142" s="12" t="s">
        <v>86</v>
      </c>
      <c r="Y142" s="10"/>
      <c r="Z142" s="7" t="s">
        <v>106</v>
      </c>
      <c r="AA142" s="7" t="n">
        <v>9</v>
      </c>
      <c r="AB142" s="9" t="n">
        <v>0.563955823293173</v>
      </c>
    </row>
    <row r="143" customFormat="false" ht="23.85" hidden="false" customHeight="false" outlineLevel="0" collapsed="false">
      <c r="A143" s="7" t="n">
        <v>139</v>
      </c>
      <c r="B143" s="12" t="s">
        <v>170</v>
      </c>
      <c r="C143" s="10" t="s">
        <v>1051</v>
      </c>
      <c r="D143" s="12" t="s">
        <v>27</v>
      </c>
      <c r="E143" s="12" t="s">
        <v>1047</v>
      </c>
      <c r="F143" s="10"/>
      <c r="G143" s="12"/>
      <c r="H143" s="26"/>
      <c r="I143" s="7" t="n">
        <v>1</v>
      </c>
      <c r="J143" s="7" t="n">
        <v>87</v>
      </c>
      <c r="K143" s="11" t="n">
        <v>2931.42</v>
      </c>
      <c r="L143" s="10" t="s">
        <v>171</v>
      </c>
      <c r="M143" s="35" t="n">
        <v>69.18</v>
      </c>
      <c r="N143" s="12" t="s">
        <v>664</v>
      </c>
      <c r="O143" s="12" t="s">
        <v>153</v>
      </c>
      <c r="P143" s="10" t="s">
        <v>1049</v>
      </c>
      <c r="Q143" s="30" t="s">
        <v>1050</v>
      </c>
      <c r="R143" s="34" t="n">
        <v>1</v>
      </c>
      <c r="S143" s="11" t="n">
        <v>2931.4</v>
      </c>
      <c r="T143" s="10" t="s">
        <v>1044</v>
      </c>
      <c r="U143" s="7" t="n">
        <v>1</v>
      </c>
      <c r="V143" s="12" t="s">
        <v>323</v>
      </c>
      <c r="W143" s="12" t="s">
        <v>97</v>
      </c>
      <c r="X143" s="12" t="s">
        <v>97</v>
      </c>
      <c r="Y143" s="10"/>
      <c r="Z143" s="7" t="s">
        <v>106</v>
      </c>
      <c r="AA143" s="7" t="n">
        <v>9</v>
      </c>
      <c r="AB143" s="9" t="n">
        <v>0.563955823293173</v>
      </c>
    </row>
    <row r="144" customFormat="false" ht="23.85" hidden="false" customHeight="false" outlineLevel="0" collapsed="false">
      <c r="A144" s="7" t="n">
        <v>140</v>
      </c>
      <c r="B144" s="12" t="s">
        <v>170</v>
      </c>
      <c r="C144" s="10" t="s">
        <v>1046</v>
      </c>
      <c r="D144" s="12" t="s">
        <v>27</v>
      </c>
      <c r="E144" s="12" t="s">
        <v>1052</v>
      </c>
      <c r="F144" s="10" t="s">
        <v>1053</v>
      </c>
      <c r="G144" s="12" t="s">
        <v>656</v>
      </c>
      <c r="H144" s="26"/>
      <c r="I144" s="7" t="n">
        <v>1</v>
      </c>
      <c r="J144" s="7" t="n">
        <v>87</v>
      </c>
      <c r="K144" s="11" t="n">
        <v>2931.42</v>
      </c>
      <c r="L144" s="10" t="s">
        <v>171</v>
      </c>
      <c r="M144" s="35" t="n">
        <v>109.16</v>
      </c>
      <c r="N144" s="12" t="s">
        <v>664</v>
      </c>
      <c r="O144" s="12" t="s">
        <v>153</v>
      </c>
      <c r="P144" s="10" t="s">
        <v>1049</v>
      </c>
      <c r="Q144" s="30" t="s">
        <v>1050</v>
      </c>
      <c r="R144" s="34" t="n">
        <v>1</v>
      </c>
      <c r="S144" s="11" t="n">
        <v>2931.4</v>
      </c>
      <c r="T144" s="10" t="s">
        <v>1044</v>
      </c>
      <c r="U144" s="7" t="n">
        <v>1</v>
      </c>
      <c r="V144" s="12" t="s">
        <v>323</v>
      </c>
      <c r="W144" s="12" t="s">
        <v>172</v>
      </c>
      <c r="X144" s="12" t="s">
        <v>86</v>
      </c>
      <c r="Y144" s="10"/>
      <c r="Z144" s="7" t="s">
        <v>106</v>
      </c>
      <c r="AA144" s="7" t="n">
        <v>9</v>
      </c>
      <c r="AB144" s="9" t="n">
        <v>0.563955823293173</v>
      </c>
    </row>
    <row r="145" customFormat="false" ht="23.85" hidden="false" customHeight="false" outlineLevel="0" collapsed="false">
      <c r="A145" s="7" t="n">
        <v>141</v>
      </c>
      <c r="B145" s="12" t="s">
        <v>365</v>
      </c>
      <c r="C145" s="10" t="s">
        <v>1054</v>
      </c>
      <c r="D145" s="12" t="s">
        <v>27</v>
      </c>
      <c r="E145" s="12" t="s">
        <v>1055</v>
      </c>
      <c r="F145" s="10" t="s">
        <v>1056</v>
      </c>
      <c r="G145" s="12" t="s">
        <v>656</v>
      </c>
      <c r="H145" s="26" t="n">
        <v>19.649</v>
      </c>
      <c r="I145" s="7" t="n">
        <v>1</v>
      </c>
      <c r="J145" s="7" t="n">
        <v>122</v>
      </c>
      <c r="K145" s="11" t="n">
        <v>8000.57</v>
      </c>
      <c r="L145" s="10" t="s">
        <v>366</v>
      </c>
      <c r="M145" s="26" t="n">
        <v>19.649</v>
      </c>
      <c r="N145" s="12" t="s">
        <v>657</v>
      </c>
      <c r="O145" s="12" t="s">
        <v>102</v>
      </c>
      <c r="P145" s="10" t="s">
        <v>658</v>
      </c>
      <c r="Q145" s="30" t="s">
        <v>1057</v>
      </c>
      <c r="R145" s="34" t="n">
        <v>0.33624222999223</v>
      </c>
      <c r="S145" s="11" t="n">
        <v>2690.1</v>
      </c>
      <c r="T145" s="10" t="s">
        <v>1044</v>
      </c>
      <c r="U145" s="7" t="n">
        <v>1</v>
      </c>
      <c r="V145" s="12" t="s">
        <v>323</v>
      </c>
      <c r="W145" s="12" t="s">
        <v>79</v>
      </c>
      <c r="X145" s="12" t="s">
        <v>86</v>
      </c>
      <c r="Y145" s="10"/>
      <c r="Z145" s="7" t="s">
        <v>688</v>
      </c>
      <c r="AA145" s="7" t="n">
        <v>20</v>
      </c>
      <c r="AB145" s="9" t="n">
        <v>0.36383151654236</v>
      </c>
    </row>
    <row r="146" customFormat="false" ht="35.05" hidden="false" customHeight="false" outlineLevel="0" collapsed="false">
      <c r="A146" s="7" t="n">
        <v>142</v>
      </c>
      <c r="B146" s="12" t="s">
        <v>440</v>
      </c>
      <c r="C146" s="10" t="s">
        <v>1058</v>
      </c>
      <c r="D146" s="12" t="s">
        <v>27</v>
      </c>
      <c r="E146" s="12" t="s">
        <v>917</v>
      </c>
      <c r="F146" s="10" t="s">
        <v>1056</v>
      </c>
      <c r="G146" s="12" t="s">
        <v>656</v>
      </c>
      <c r="H146" s="26"/>
      <c r="I146" s="7" t="n">
        <v>1</v>
      </c>
      <c r="J146" s="7" t="n">
        <v>1963</v>
      </c>
      <c r="K146" s="11" t="n">
        <v>49365.77</v>
      </c>
      <c r="L146" s="10" t="s">
        <v>441</v>
      </c>
      <c r="M146" s="35" t="n">
        <v>1</v>
      </c>
      <c r="N146" s="12" t="s">
        <v>664</v>
      </c>
      <c r="O146" s="12" t="s">
        <v>153</v>
      </c>
      <c r="P146" s="10" t="s">
        <v>665</v>
      </c>
      <c r="Q146" s="30" t="s">
        <v>666</v>
      </c>
      <c r="R146" s="34" t="n">
        <v>0.115367076010264</v>
      </c>
      <c r="S146" s="11" t="n">
        <v>5695.2</v>
      </c>
      <c r="T146" s="10" t="s">
        <v>1044</v>
      </c>
      <c r="U146" s="7" t="n">
        <v>1</v>
      </c>
      <c r="V146" s="12" t="s">
        <v>323</v>
      </c>
      <c r="W146" s="12" t="s">
        <v>79</v>
      </c>
      <c r="X146" s="12" t="s">
        <v>86</v>
      </c>
      <c r="Y146" s="10" t="s">
        <v>442</v>
      </c>
      <c r="Z146" s="7" t="s">
        <v>688</v>
      </c>
      <c r="AA146" s="7" t="n">
        <v>21</v>
      </c>
      <c r="AB146" s="9" t="n">
        <v>0.281626506024096</v>
      </c>
    </row>
    <row r="147" customFormat="false" ht="23.85" hidden="false" customHeight="false" outlineLevel="0" collapsed="false">
      <c r="A147" s="7" t="n">
        <v>143</v>
      </c>
      <c r="B147" s="12" t="s">
        <v>75</v>
      </c>
      <c r="C147" s="10" t="s">
        <v>1059</v>
      </c>
      <c r="D147" s="12" t="s">
        <v>27</v>
      </c>
      <c r="E147" s="12" t="s">
        <v>978</v>
      </c>
      <c r="F147" s="10" t="s">
        <v>979</v>
      </c>
      <c r="G147" s="12" t="s">
        <v>656</v>
      </c>
      <c r="H147" s="26" t="n">
        <v>10.241</v>
      </c>
      <c r="I147" s="7" t="n">
        <v>1</v>
      </c>
      <c r="J147" s="7" t="n">
        <v>762</v>
      </c>
      <c r="K147" s="11" t="n">
        <v>50865.56</v>
      </c>
      <c r="L147" s="10" t="s">
        <v>76</v>
      </c>
      <c r="M147" s="26" t="n">
        <v>10.241</v>
      </c>
      <c r="N147" s="12" t="s">
        <v>657</v>
      </c>
      <c r="O147" s="12" t="s">
        <v>102</v>
      </c>
      <c r="P147" s="10" t="s">
        <v>658</v>
      </c>
      <c r="Q147" s="30" t="s">
        <v>976</v>
      </c>
      <c r="R147" s="34" t="n">
        <v>0.829278792417718</v>
      </c>
      <c r="S147" s="11" t="n">
        <v>42181.7</v>
      </c>
      <c r="T147" s="10" t="s">
        <v>1044</v>
      </c>
      <c r="U147" s="7" t="n">
        <v>1</v>
      </c>
      <c r="V147" s="12" t="s">
        <v>323</v>
      </c>
      <c r="W147" s="12" t="s">
        <v>79</v>
      </c>
      <c r="X147" s="12" t="s">
        <v>80</v>
      </c>
      <c r="Y147" s="10" t="s">
        <v>81</v>
      </c>
      <c r="Z147" s="7" t="s">
        <v>106</v>
      </c>
      <c r="AA147" s="7" t="n">
        <v>8</v>
      </c>
      <c r="AB147" s="9" t="n">
        <v>0.575779307707019</v>
      </c>
    </row>
    <row r="148" customFormat="false" ht="23.85" hidden="false" customHeight="false" outlineLevel="0" collapsed="false">
      <c r="A148" s="7" t="n">
        <v>144</v>
      </c>
      <c r="B148" s="12" t="s">
        <v>400</v>
      </c>
      <c r="C148" s="10" t="s">
        <v>1060</v>
      </c>
      <c r="D148" s="12" t="s">
        <v>27</v>
      </c>
      <c r="E148" s="12" t="s">
        <v>1061</v>
      </c>
      <c r="F148" s="10" t="s">
        <v>1035</v>
      </c>
      <c r="G148" s="12" t="s">
        <v>656</v>
      </c>
      <c r="H148" s="26" t="n">
        <v>6.937</v>
      </c>
      <c r="I148" s="7" t="n">
        <v>1</v>
      </c>
      <c r="J148" s="7" t="n">
        <v>119</v>
      </c>
      <c r="K148" s="11" t="n">
        <v>3113.83</v>
      </c>
      <c r="L148" s="10" t="s">
        <v>401</v>
      </c>
      <c r="M148" s="26" t="n">
        <v>6.937</v>
      </c>
      <c r="N148" s="12" t="s">
        <v>657</v>
      </c>
      <c r="O148" s="12" t="s">
        <v>102</v>
      </c>
      <c r="P148" s="10" t="s">
        <v>658</v>
      </c>
      <c r="Q148" s="30" t="s">
        <v>976</v>
      </c>
      <c r="R148" s="34" t="n">
        <v>0.899884259259259</v>
      </c>
      <c r="S148" s="11" t="n">
        <v>2802.1</v>
      </c>
      <c r="T148" s="10" t="s">
        <v>1044</v>
      </c>
      <c r="U148" s="7" t="n">
        <v>1</v>
      </c>
      <c r="V148" s="12" t="s">
        <v>323</v>
      </c>
      <c r="W148" s="12" t="s">
        <v>79</v>
      </c>
      <c r="X148" s="12" t="s">
        <v>86</v>
      </c>
      <c r="Y148" s="10"/>
      <c r="Z148" s="7" t="s">
        <v>688</v>
      </c>
      <c r="AA148" s="7" t="n">
        <v>23</v>
      </c>
      <c r="AB148" s="9" t="n">
        <v>0.23810958118187</v>
      </c>
    </row>
    <row r="149" customFormat="false" ht="23.85" hidden="false" customHeight="false" outlineLevel="0" collapsed="false">
      <c r="A149" s="7" t="n">
        <v>145</v>
      </c>
      <c r="B149" s="12" t="s">
        <v>173</v>
      </c>
      <c r="C149" s="10" t="s">
        <v>1062</v>
      </c>
      <c r="D149" s="12" t="s">
        <v>27</v>
      </c>
      <c r="E149" s="12" t="s">
        <v>1063</v>
      </c>
      <c r="F149" s="10" t="s">
        <v>1064</v>
      </c>
      <c r="G149" s="12" t="s">
        <v>656</v>
      </c>
      <c r="H149" s="26" t="n">
        <v>30.583</v>
      </c>
      <c r="I149" s="7" t="n">
        <v>1</v>
      </c>
      <c r="J149" s="7" t="n">
        <v>441</v>
      </c>
      <c r="K149" s="11" t="n">
        <v>3973.65</v>
      </c>
      <c r="L149" s="10" t="s">
        <v>174</v>
      </c>
      <c r="M149" s="26" t="n">
        <v>30.583</v>
      </c>
      <c r="N149" s="12" t="s">
        <v>657</v>
      </c>
      <c r="O149" s="12" t="s">
        <v>102</v>
      </c>
      <c r="P149" s="10" t="s">
        <v>658</v>
      </c>
      <c r="Q149" s="30" t="s">
        <v>983</v>
      </c>
      <c r="R149" s="34" t="n">
        <v>1</v>
      </c>
      <c r="S149" s="11" t="n">
        <v>3973.7</v>
      </c>
      <c r="T149" s="10" t="s">
        <v>1065</v>
      </c>
      <c r="U149" s="7" t="n">
        <v>2</v>
      </c>
      <c r="V149" s="12" t="s">
        <v>323</v>
      </c>
      <c r="W149" s="12" t="s">
        <v>79</v>
      </c>
      <c r="X149" s="12" t="s">
        <v>80</v>
      </c>
      <c r="Y149" s="10" t="s">
        <v>81</v>
      </c>
      <c r="Z149" s="7" t="s">
        <v>106</v>
      </c>
      <c r="AA149" s="7" t="n">
        <v>10</v>
      </c>
      <c r="AB149" s="9" t="n">
        <v>0.548575253394531</v>
      </c>
    </row>
    <row r="150" customFormat="false" ht="23.85" hidden="false" customHeight="false" outlineLevel="0" collapsed="false">
      <c r="A150" s="7" t="n">
        <v>146</v>
      </c>
      <c r="B150" s="12" t="s">
        <v>435</v>
      </c>
      <c r="C150" s="10" t="s">
        <v>1066</v>
      </c>
      <c r="D150" s="12" t="s">
        <v>27</v>
      </c>
      <c r="E150" s="12" t="s">
        <v>1067</v>
      </c>
      <c r="F150" s="10" t="s">
        <v>1068</v>
      </c>
      <c r="G150" s="12" t="s">
        <v>656</v>
      </c>
      <c r="H150" s="26" t="n">
        <v>145.39</v>
      </c>
      <c r="I150" s="7" t="n">
        <v>1</v>
      </c>
      <c r="J150" s="7" t="n">
        <v>143</v>
      </c>
      <c r="K150" s="11" t="n">
        <v>1308.54</v>
      </c>
      <c r="L150" s="10" t="s">
        <v>436</v>
      </c>
      <c r="M150" s="26" t="n">
        <v>145.39</v>
      </c>
      <c r="N150" s="12" t="s">
        <v>657</v>
      </c>
      <c r="O150" s="12" t="s">
        <v>77</v>
      </c>
      <c r="P150" s="10" t="s">
        <v>1069</v>
      </c>
      <c r="Q150" s="30" t="s">
        <v>1070</v>
      </c>
      <c r="R150" s="34" t="n">
        <v>0.37037037037037</v>
      </c>
      <c r="S150" s="11" t="n">
        <v>484.6</v>
      </c>
      <c r="T150" s="10" t="s">
        <v>995</v>
      </c>
      <c r="U150" s="7" t="n">
        <v>1</v>
      </c>
      <c r="V150" s="12" t="s">
        <v>323</v>
      </c>
      <c r="W150" s="12" t="s">
        <v>79</v>
      </c>
      <c r="X150" s="12" t="s">
        <v>80</v>
      </c>
      <c r="Y150" s="10" t="s">
        <v>111</v>
      </c>
      <c r="Z150" s="7" t="s">
        <v>688</v>
      </c>
      <c r="AA150" s="7" t="n">
        <v>15</v>
      </c>
      <c r="AB150" s="9" t="n">
        <v>0.481363549435839</v>
      </c>
    </row>
    <row r="151" customFormat="false" ht="23.85" hidden="false" customHeight="false" outlineLevel="0" collapsed="false">
      <c r="A151" s="7" t="n">
        <v>147</v>
      </c>
      <c r="B151" s="12" t="s">
        <v>435</v>
      </c>
      <c r="C151" s="10" t="s">
        <v>1066</v>
      </c>
      <c r="D151" s="12" t="s">
        <v>27</v>
      </c>
      <c r="E151" s="12" t="s">
        <v>1071</v>
      </c>
      <c r="F151" s="10" t="s">
        <v>1068</v>
      </c>
      <c r="G151" s="12" t="s">
        <v>656</v>
      </c>
      <c r="H151" s="26" t="n">
        <v>290.78</v>
      </c>
      <c r="I151" s="7" t="n">
        <v>1</v>
      </c>
      <c r="J151" s="7" t="n">
        <v>143</v>
      </c>
      <c r="K151" s="11" t="n">
        <v>1308.54</v>
      </c>
      <c r="L151" s="10" t="s">
        <v>436</v>
      </c>
      <c r="M151" s="26" t="n">
        <v>290.78</v>
      </c>
      <c r="N151" s="12" t="s">
        <v>657</v>
      </c>
      <c r="O151" s="12" t="s">
        <v>77</v>
      </c>
      <c r="P151" s="10" t="s">
        <v>1069</v>
      </c>
      <c r="Q151" s="30" t="s">
        <v>1070</v>
      </c>
      <c r="R151" s="34" t="n">
        <v>0.37037037037037</v>
      </c>
      <c r="S151" s="11" t="n">
        <v>484.6</v>
      </c>
      <c r="T151" s="10" t="s">
        <v>995</v>
      </c>
      <c r="U151" s="7" t="n">
        <v>1</v>
      </c>
      <c r="V151" s="12" t="s">
        <v>323</v>
      </c>
      <c r="W151" s="12" t="s">
        <v>79</v>
      </c>
      <c r="X151" s="12" t="s">
        <v>80</v>
      </c>
      <c r="Y151" s="10" t="s">
        <v>111</v>
      </c>
      <c r="Z151" s="7" t="s">
        <v>688</v>
      </c>
      <c r="AA151" s="7" t="n">
        <v>15</v>
      </c>
      <c r="AB151" s="9" t="n">
        <v>0.481363549435839</v>
      </c>
    </row>
    <row r="152" customFormat="false" ht="35.05" hidden="false" customHeight="false" outlineLevel="0" collapsed="false">
      <c r="A152" s="7" t="n">
        <v>148</v>
      </c>
      <c r="B152" s="12" t="s">
        <v>269</v>
      </c>
      <c r="C152" s="10" t="s">
        <v>1072</v>
      </c>
      <c r="D152" s="12" t="s">
        <v>27</v>
      </c>
      <c r="E152" s="12" t="s">
        <v>989</v>
      </c>
      <c r="F152" s="10"/>
      <c r="G152" s="12"/>
      <c r="H152" s="26" t="n">
        <v>17.03</v>
      </c>
      <c r="I152" s="7" t="n">
        <v>1</v>
      </c>
      <c r="J152" s="7" t="n">
        <v>290</v>
      </c>
      <c r="K152" s="11" t="n">
        <v>6348.25</v>
      </c>
      <c r="L152" s="10" t="s">
        <v>270</v>
      </c>
      <c r="M152" s="26" t="n">
        <v>17.03</v>
      </c>
      <c r="N152" s="12" t="s">
        <v>657</v>
      </c>
      <c r="O152" s="12" t="s">
        <v>77</v>
      </c>
      <c r="P152" s="10" t="s">
        <v>1069</v>
      </c>
      <c r="Q152" s="30" t="s">
        <v>1073</v>
      </c>
      <c r="R152" s="34" t="n">
        <v>0.991596638655462</v>
      </c>
      <c r="S152" s="11" t="n">
        <v>6294.9</v>
      </c>
      <c r="T152" s="10" t="s">
        <v>995</v>
      </c>
      <c r="U152" s="7" t="n">
        <v>1</v>
      </c>
      <c r="V152" s="12" t="s">
        <v>323</v>
      </c>
      <c r="W152" s="12" t="s">
        <v>97</v>
      </c>
      <c r="X152" s="12" t="s">
        <v>97</v>
      </c>
      <c r="Y152" s="10"/>
      <c r="Z152" s="7" t="s">
        <v>688</v>
      </c>
      <c r="AA152" s="7" t="n">
        <v>11</v>
      </c>
      <c r="AB152" s="9" t="n">
        <v>0.531607381908587</v>
      </c>
    </row>
    <row r="153" customFormat="false" ht="35.05" hidden="false" customHeight="false" outlineLevel="0" collapsed="false">
      <c r="A153" s="7" t="n">
        <v>149</v>
      </c>
      <c r="B153" s="12" t="s">
        <v>269</v>
      </c>
      <c r="C153" s="10" t="s">
        <v>1072</v>
      </c>
      <c r="D153" s="12" t="s">
        <v>27</v>
      </c>
      <c r="E153" s="12" t="s">
        <v>1074</v>
      </c>
      <c r="F153" s="10"/>
      <c r="G153" s="12"/>
      <c r="H153" s="26" t="n">
        <v>31.81</v>
      </c>
      <c r="I153" s="7" t="n">
        <v>1</v>
      </c>
      <c r="J153" s="7" t="n">
        <v>290</v>
      </c>
      <c r="K153" s="11" t="n">
        <v>6348.25</v>
      </c>
      <c r="L153" s="10" t="s">
        <v>270</v>
      </c>
      <c r="M153" s="26" t="n">
        <v>31.81</v>
      </c>
      <c r="N153" s="12" t="s">
        <v>657</v>
      </c>
      <c r="O153" s="12" t="s">
        <v>77</v>
      </c>
      <c r="P153" s="10" t="s">
        <v>1069</v>
      </c>
      <c r="Q153" s="30" t="s">
        <v>1073</v>
      </c>
      <c r="R153" s="34" t="n">
        <v>0.991596638655462</v>
      </c>
      <c r="S153" s="11" t="n">
        <v>6294.9</v>
      </c>
      <c r="T153" s="10" t="s">
        <v>995</v>
      </c>
      <c r="U153" s="7" t="n">
        <v>1</v>
      </c>
      <c r="V153" s="12" t="s">
        <v>323</v>
      </c>
      <c r="W153" s="12" t="s">
        <v>97</v>
      </c>
      <c r="X153" s="12" t="s">
        <v>97</v>
      </c>
      <c r="Y153" s="10"/>
      <c r="Z153" s="7" t="s">
        <v>688</v>
      </c>
      <c r="AA153" s="7" t="n">
        <v>11</v>
      </c>
      <c r="AB153" s="9" t="n">
        <v>0.531607381908587</v>
      </c>
    </row>
    <row r="154" customFormat="false" ht="23.85" hidden="false" customHeight="false" outlineLevel="0" collapsed="false">
      <c r="A154" s="7" t="n">
        <v>150</v>
      </c>
      <c r="B154" s="12" t="s">
        <v>247</v>
      </c>
      <c r="C154" s="10" t="s">
        <v>1075</v>
      </c>
      <c r="D154" s="12" t="s">
        <v>27</v>
      </c>
      <c r="E154" s="12" t="s">
        <v>1076</v>
      </c>
      <c r="F154" s="10" t="s">
        <v>1077</v>
      </c>
      <c r="G154" s="12" t="s">
        <v>656</v>
      </c>
      <c r="H154" s="26" t="n">
        <v>118.45</v>
      </c>
      <c r="I154" s="7" t="n">
        <v>1</v>
      </c>
      <c r="J154" s="7" t="n">
        <v>188</v>
      </c>
      <c r="K154" s="11" t="n">
        <v>262.84</v>
      </c>
      <c r="L154" s="10" t="s">
        <v>248</v>
      </c>
      <c r="M154" s="26" t="n">
        <v>118.45</v>
      </c>
      <c r="N154" s="12" t="s">
        <v>657</v>
      </c>
      <c r="O154" s="12" t="s">
        <v>77</v>
      </c>
      <c r="P154" s="10" t="s">
        <v>658</v>
      </c>
      <c r="Q154" s="30" t="s">
        <v>991</v>
      </c>
      <c r="R154" s="34" t="n">
        <v>0.703571428571429</v>
      </c>
      <c r="S154" s="11" t="n">
        <v>184.9</v>
      </c>
      <c r="T154" s="10" t="s">
        <v>995</v>
      </c>
      <c r="U154" s="7" t="n">
        <v>1</v>
      </c>
      <c r="V154" s="12" t="s">
        <v>323</v>
      </c>
      <c r="W154" s="12" t="s">
        <v>79</v>
      </c>
      <c r="X154" s="12" t="s">
        <v>86</v>
      </c>
      <c r="Y154" s="10"/>
      <c r="Z154" s="7" t="s">
        <v>688</v>
      </c>
      <c r="AA154" s="7" t="n">
        <v>18</v>
      </c>
      <c r="AB154" s="9" t="n">
        <v>0.423852553069421</v>
      </c>
    </row>
    <row r="155" customFormat="false" ht="23.85" hidden="false" customHeight="false" outlineLevel="0" collapsed="false">
      <c r="A155" s="7" t="n">
        <v>151</v>
      </c>
      <c r="B155" s="12" t="s">
        <v>117</v>
      </c>
      <c r="C155" s="10" t="s">
        <v>1078</v>
      </c>
      <c r="D155" s="12" t="s">
        <v>27</v>
      </c>
      <c r="E155" s="12" t="s">
        <v>1079</v>
      </c>
      <c r="F155" s="10" t="s">
        <v>1080</v>
      </c>
      <c r="G155" s="12" t="s">
        <v>656</v>
      </c>
      <c r="H155" s="26" t="n">
        <v>13.84</v>
      </c>
      <c r="I155" s="7" t="n">
        <v>1</v>
      </c>
      <c r="J155" s="7" t="n">
        <v>346</v>
      </c>
      <c r="K155" s="11" t="n">
        <v>32830.17</v>
      </c>
      <c r="L155" s="10" t="s">
        <v>118</v>
      </c>
      <c r="M155" s="26" t="n">
        <v>13.84</v>
      </c>
      <c r="N155" s="12" t="s">
        <v>657</v>
      </c>
      <c r="O155" s="12" t="s">
        <v>77</v>
      </c>
      <c r="P155" s="10" t="s">
        <v>1069</v>
      </c>
      <c r="Q155" s="30" t="s">
        <v>1081</v>
      </c>
      <c r="R155" s="34" t="n">
        <v>1</v>
      </c>
      <c r="S155" s="11" t="n">
        <v>32830.2</v>
      </c>
      <c r="T155" s="10" t="s">
        <v>1030</v>
      </c>
      <c r="U155" s="7" t="n">
        <v>4</v>
      </c>
      <c r="V155" s="12" t="s">
        <v>169</v>
      </c>
      <c r="W155" s="12" t="s">
        <v>79</v>
      </c>
      <c r="X155" s="12" t="s">
        <v>86</v>
      </c>
      <c r="Y155" s="10"/>
      <c r="Z155" s="7" t="s">
        <v>106</v>
      </c>
      <c r="AA155" s="7" t="n">
        <v>6</v>
      </c>
      <c r="AB155" s="9" t="n">
        <v>0.709475999235036</v>
      </c>
    </row>
    <row r="156" customFormat="false" ht="23.85" hidden="false" customHeight="false" outlineLevel="0" collapsed="false">
      <c r="A156" s="7" t="n">
        <v>152</v>
      </c>
      <c r="B156" s="12" t="s">
        <v>89</v>
      </c>
      <c r="C156" s="10" t="s">
        <v>1082</v>
      </c>
      <c r="D156" s="12" t="s">
        <v>27</v>
      </c>
      <c r="E156" s="12" t="s">
        <v>1083</v>
      </c>
      <c r="F156" s="10" t="s">
        <v>1084</v>
      </c>
      <c r="G156" s="12" t="s">
        <v>656</v>
      </c>
      <c r="H156" s="26" t="n">
        <v>163.29</v>
      </c>
      <c r="I156" s="7" t="n">
        <v>1</v>
      </c>
      <c r="J156" s="7" t="n">
        <v>905</v>
      </c>
      <c r="K156" s="11" t="n">
        <v>28093.38</v>
      </c>
      <c r="L156" s="10" t="s">
        <v>90</v>
      </c>
      <c r="M156" s="26" t="n">
        <v>163.29</v>
      </c>
      <c r="N156" s="12" t="s">
        <v>657</v>
      </c>
      <c r="O156" s="12" t="s">
        <v>77</v>
      </c>
      <c r="P156" s="10" t="s">
        <v>658</v>
      </c>
      <c r="Q156" s="30" t="s">
        <v>991</v>
      </c>
      <c r="R156" s="34" t="n">
        <v>1</v>
      </c>
      <c r="S156" s="11" t="n">
        <v>28093.4</v>
      </c>
      <c r="T156" s="10" t="s">
        <v>995</v>
      </c>
      <c r="U156" s="7" t="n">
        <v>1</v>
      </c>
      <c r="V156" s="12" t="s">
        <v>323</v>
      </c>
      <c r="W156" s="12" t="s">
        <v>79</v>
      </c>
      <c r="X156" s="12" t="s">
        <v>86</v>
      </c>
      <c r="Y156" s="10" t="s">
        <v>104</v>
      </c>
      <c r="Z156" s="7" t="s">
        <v>74</v>
      </c>
      <c r="AA156" s="7" t="n">
        <v>5</v>
      </c>
      <c r="AB156" s="9" t="n">
        <v>0.813544654809715</v>
      </c>
    </row>
    <row r="157" customFormat="false" ht="23.85" hidden="false" customHeight="false" outlineLevel="0" collapsed="false">
      <c r="A157" s="7" t="n">
        <v>153</v>
      </c>
      <c r="B157" s="12" t="s">
        <v>403</v>
      </c>
      <c r="C157" s="10" t="s">
        <v>1085</v>
      </c>
      <c r="D157" s="12" t="s">
        <v>27</v>
      </c>
      <c r="E157" s="12" t="s">
        <v>1086</v>
      </c>
      <c r="F157" s="10" t="s">
        <v>918</v>
      </c>
      <c r="G157" s="12" t="s">
        <v>656</v>
      </c>
      <c r="H157" s="26" t="n">
        <v>20.12</v>
      </c>
      <c r="I157" s="7" t="n">
        <v>1</v>
      </c>
      <c r="J157" s="7" t="n">
        <v>93</v>
      </c>
      <c r="K157" s="11" t="n">
        <v>528.18</v>
      </c>
      <c r="L157" s="10" t="s">
        <v>404</v>
      </c>
      <c r="M157" s="26" t="n">
        <v>20.12</v>
      </c>
      <c r="N157" s="12" t="s">
        <v>657</v>
      </c>
      <c r="O157" s="12" t="s">
        <v>77</v>
      </c>
      <c r="P157" s="10" t="s">
        <v>658</v>
      </c>
      <c r="Q157" s="30" t="s">
        <v>991</v>
      </c>
      <c r="R157" s="34" t="n">
        <v>0.571145833333333</v>
      </c>
      <c r="S157" s="11" t="n">
        <v>301.7</v>
      </c>
      <c r="T157" s="10" t="s">
        <v>995</v>
      </c>
      <c r="U157" s="7" t="n">
        <v>1</v>
      </c>
      <c r="V157" s="12" t="s">
        <v>323</v>
      </c>
      <c r="W157" s="12" t="s">
        <v>79</v>
      </c>
      <c r="X157" s="12" t="s">
        <v>86</v>
      </c>
      <c r="Y157" s="10" t="s">
        <v>104</v>
      </c>
      <c r="Z157" s="7" t="s">
        <v>688</v>
      </c>
      <c r="AA157" s="7" t="n">
        <v>19</v>
      </c>
      <c r="AB157" s="9" t="n">
        <v>0.378757888697648</v>
      </c>
    </row>
    <row r="158" customFormat="false" ht="23.85" hidden="false" customHeight="false" outlineLevel="0" collapsed="false">
      <c r="A158" s="7" t="n">
        <v>154</v>
      </c>
      <c r="B158" s="12" t="s">
        <v>403</v>
      </c>
      <c r="C158" s="10" t="s">
        <v>1085</v>
      </c>
      <c r="D158" s="12" t="s">
        <v>27</v>
      </c>
      <c r="E158" s="12" t="s">
        <v>1087</v>
      </c>
      <c r="F158" s="10" t="s">
        <v>878</v>
      </c>
      <c r="G158" s="12" t="s">
        <v>656</v>
      </c>
      <c r="H158" s="26" t="n">
        <v>100.61</v>
      </c>
      <c r="I158" s="7" t="n">
        <v>1</v>
      </c>
      <c r="J158" s="7" t="n">
        <v>93</v>
      </c>
      <c r="K158" s="11" t="n">
        <v>528.18</v>
      </c>
      <c r="L158" s="10" t="s">
        <v>404</v>
      </c>
      <c r="M158" s="26" t="n">
        <v>100.61</v>
      </c>
      <c r="N158" s="12" t="s">
        <v>657</v>
      </c>
      <c r="O158" s="12" t="s">
        <v>77</v>
      </c>
      <c r="P158" s="10" t="s">
        <v>658</v>
      </c>
      <c r="Q158" s="30" t="s">
        <v>991</v>
      </c>
      <c r="R158" s="34" t="n">
        <v>0.571145833333333</v>
      </c>
      <c r="S158" s="11" t="n">
        <v>301.7</v>
      </c>
      <c r="T158" s="10" t="s">
        <v>995</v>
      </c>
      <c r="U158" s="7" t="n">
        <v>1</v>
      </c>
      <c r="V158" s="12" t="s">
        <v>323</v>
      </c>
      <c r="W158" s="12" t="s">
        <v>79</v>
      </c>
      <c r="X158" s="12" t="s">
        <v>86</v>
      </c>
      <c r="Y158" s="10" t="s">
        <v>104</v>
      </c>
      <c r="Z158" s="7" t="s">
        <v>688</v>
      </c>
      <c r="AA158" s="7" t="n">
        <v>19</v>
      </c>
      <c r="AB158" s="9" t="n">
        <v>0.378757888697648</v>
      </c>
    </row>
    <row r="159" customFormat="false" ht="23.85" hidden="false" customHeight="false" outlineLevel="0" collapsed="false">
      <c r="A159" s="7" t="n">
        <v>155</v>
      </c>
      <c r="B159" s="12" t="s">
        <v>444</v>
      </c>
      <c r="C159" s="10" t="s">
        <v>1088</v>
      </c>
      <c r="D159" s="12" t="s">
        <v>27</v>
      </c>
      <c r="E159" s="12" t="s">
        <v>1089</v>
      </c>
      <c r="F159" s="10" t="s">
        <v>1090</v>
      </c>
      <c r="G159" s="12" t="s">
        <v>656</v>
      </c>
      <c r="H159" s="26" t="n">
        <v>21.16</v>
      </c>
      <c r="I159" s="7" t="n">
        <v>1</v>
      </c>
      <c r="J159" s="7" t="n">
        <v>342</v>
      </c>
      <c r="K159" s="11" t="n">
        <v>520.76</v>
      </c>
      <c r="L159" s="10" t="s">
        <v>445</v>
      </c>
      <c r="M159" s="26" t="n">
        <v>21.16</v>
      </c>
      <c r="N159" s="12" t="s">
        <v>657</v>
      </c>
      <c r="O159" s="12" t="s">
        <v>77</v>
      </c>
      <c r="P159" s="10" t="s">
        <v>658</v>
      </c>
      <c r="Q159" s="30" t="s">
        <v>991</v>
      </c>
      <c r="R159" s="34" t="n">
        <v>1</v>
      </c>
      <c r="S159" s="11" t="n">
        <v>520.8</v>
      </c>
      <c r="T159" s="10" t="s">
        <v>995</v>
      </c>
      <c r="U159" s="7" t="n">
        <v>1</v>
      </c>
      <c r="V159" s="12" t="s">
        <v>323</v>
      </c>
      <c r="W159" s="12" t="s">
        <v>79</v>
      </c>
      <c r="X159" s="12" t="s">
        <v>86</v>
      </c>
      <c r="Y159" s="10" t="s">
        <v>104</v>
      </c>
      <c r="Z159" s="7" t="s">
        <v>688</v>
      </c>
      <c r="AA159" s="7" t="n">
        <v>22</v>
      </c>
      <c r="AB159" s="9" t="n">
        <v>0.263496844520941</v>
      </c>
    </row>
    <row r="160" customFormat="false" ht="23.85" hidden="false" customHeight="false" outlineLevel="0" collapsed="false">
      <c r="A160" s="7" t="n">
        <v>156</v>
      </c>
      <c r="B160" s="12" t="s">
        <v>120</v>
      </c>
      <c r="C160" s="10" t="s">
        <v>1091</v>
      </c>
      <c r="D160" s="12" t="s">
        <v>27</v>
      </c>
      <c r="E160" s="12" t="s">
        <v>1092</v>
      </c>
      <c r="F160" s="10" t="s">
        <v>1093</v>
      </c>
      <c r="G160" s="12" t="s">
        <v>656</v>
      </c>
      <c r="H160" s="26" t="n">
        <v>6.31</v>
      </c>
      <c r="I160" s="7" t="n">
        <v>1</v>
      </c>
      <c r="J160" s="7" t="n">
        <v>1644</v>
      </c>
      <c r="K160" s="11" t="n">
        <v>41889.23</v>
      </c>
      <c r="L160" s="10" t="s">
        <v>121</v>
      </c>
      <c r="M160" s="26" t="n">
        <v>6.31</v>
      </c>
      <c r="N160" s="12" t="s">
        <v>657</v>
      </c>
      <c r="O160" s="12" t="s">
        <v>77</v>
      </c>
      <c r="P160" s="10" t="s">
        <v>658</v>
      </c>
      <c r="Q160" s="30" t="s">
        <v>991</v>
      </c>
      <c r="R160" s="34" t="n">
        <v>0.990783410138249</v>
      </c>
      <c r="S160" s="11" t="n">
        <v>41503.2</v>
      </c>
      <c r="T160" s="10" t="s">
        <v>995</v>
      </c>
      <c r="U160" s="7" t="n">
        <v>1</v>
      </c>
      <c r="V160" s="12" t="s">
        <v>323</v>
      </c>
      <c r="W160" s="12" t="s">
        <v>79</v>
      </c>
      <c r="X160" s="12" t="s">
        <v>86</v>
      </c>
      <c r="Y160" s="10" t="s">
        <v>81</v>
      </c>
      <c r="Z160" s="7" t="s">
        <v>106</v>
      </c>
      <c r="AA160" s="7" t="n">
        <v>7</v>
      </c>
      <c r="AB160" s="9" t="n">
        <v>0.634834576400842</v>
      </c>
    </row>
    <row r="161" customFormat="false" ht="23.85" hidden="false" customHeight="false" outlineLevel="0" collapsed="false">
      <c r="A161" s="7" t="n">
        <v>157</v>
      </c>
      <c r="B161" s="12" t="s">
        <v>120</v>
      </c>
      <c r="C161" s="10" t="s">
        <v>1091</v>
      </c>
      <c r="D161" s="12" t="s">
        <v>27</v>
      </c>
      <c r="E161" s="12" t="s">
        <v>1094</v>
      </c>
      <c r="F161" s="10" t="s">
        <v>1095</v>
      </c>
      <c r="G161" s="12" t="s">
        <v>656</v>
      </c>
      <c r="H161" s="26" t="n">
        <v>31.54</v>
      </c>
      <c r="I161" s="7" t="n">
        <v>1</v>
      </c>
      <c r="J161" s="7" t="n">
        <v>1644</v>
      </c>
      <c r="K161" s="11" t="n">
        <v>41889.23</v>
      </c>
      <c r="L161" s="10" t="s">
        <v>121</v>
      </c>
      <c r="M161" s="26" t="n">
        <v>31.54</v>
      </c>
      <c r="N161" s="12" t="s">
        <v>657</v>
      </c>
      <c r="O161" s="12" t="s">
        <v>77</v>
      </c>
      <c r="P161" s="10" t="s">
        <v>658</v>
      </c>
      <c r="Q161" s="30" t="s">
        <v>991</v>
      </c>
      <c r="R161" s="34" t="n">
        <v>0.990783410138249</v>
      </c>
      <c r="S161" s="11" t="n">
        <v>41503.2</v>
      </c>
      <c r="T161" s="10" t="s">
        <v>995</v>
      </c>
      <c r="U161" s="7" t="n">
        <v>1</v>
      </c>
      <c r="V161" s="12" t="s">
        <v>323</v>
      </c>
      <c r="W161" s="12" t="s">
        <v>79</v>
      </c>
      <c r="X161" s="12" t="s">
        <v>110</v>
      </c>
      <c r="Y161" s="10" t="s">
        <v>81</v>
      </c>
      <c r="Z161" s="7" t="s">
        <v>106</v>
      </c>
      <c r="AA161" s="7" t="n">
        <v>7</v>
      </c>
      <c r="AB161" s="9" t="n">
        <v>0.634834576400842</v>
      </c>
    </row>
    <row r="162" customFormat="false" ht="23.85" hidden="false" customHeight="false" outlineLevel="0" collapsed="false">
      <c r="A162" s="7" t="n">
        <v>158</v>
      </c>
      <c r="B162" s="12" t="s">
        <v>178</v>
      </c>
      <c r="C162" s="10" t="s">
        <v>1096</v>
      </c>
      <c r="D162" s="12" t="s">
        <v>27</v>
      </c>
      <c r="E162" s="12" t="s">
        <v>1097</v>
      </c>
      <c r="F162" s="10" t="s">
        <v>1098</v>
      </c>
      <c r="G162" s="12" t="s">
        <v>656</v>
      </c>
      <c r="H162" s="26" t="n">
        <v>13.97</v>
      </c>
      <c r="I162" s="7" t="n">
        <v>1</v>
      </c>
      <c r="J162" s="7" t="n">
        <v>106</v>
      </c>
      <c r="K162" s="11" t="n">
        <v>7074.72</v>
      </c>
      <c r="L162" s="10" t="s">
        <v>179</v>
      </c>
      <c r="M162" s="26" t="n">
        <v>13.97</v>
      </c>
      <c r="N162" s="12" t="s">
        <v>657</v>
      </c>
      <c r="O162" s="12" t="s">
        <v>77</v>
      </c>
      <c r="P162" s="10" t="s">
        <v>658</v>
      </c>
      <c r="Q162" s="30" t="s">
        <v>991</v>
      </c>
      <c r="R162" s="34" t="n">
        <v>0.9375</v>
      </c>
      <c r="S162" s="11" t="n">
        <v>6632.6</v>
      </c>
      <c r="T162" s="10" t="s">
        <v>995</v>
      </c>
      <c r="U162" s="7" t="n">
        <v>1</v>
      </c>
      <c r="V162" s="12" t="s">
        <v>323</v>
      </c>
      <c r="W162" s="12" t="s">
        <v>79</v>
      </c>
      <c r="X162" s="12" t="s">
        <v>86</v>
      </c>
      <c r="Y162" s="10" t="s">
        <v>111</v>
      </c>
      <c r="Z162" s="7" t="s">
        <v>688</v>
      </c>
      <c r="AA162" s="7" t="n">
        <v>16</v>
      </c>
      <c r="AB162" s="9" t="n">
        <v>0.466040351883725</v>
      </c>
    </row>
    <row r="163" customFormat="false" ht="23.85" hidden="false" customHeight="false" outlineLevel="0" collapsed="false">
      <c r="A163" s="7" t="n">
        <v>159</v>
      </c>
      <c r="B163" s="12" t="s">
        <v>167</v>
      </c>
      <c r="C163" s="10" t="s">
        <v>1099</v>
      </c>
      <c r="D163" s="12" t="s">
        <v>27</v>
      </c>
      <c r="E163" s="12" t="s">
        <v>1100</v>
      </c>
      <c r="F163" s="10" t="s">
        <v>1101</v>
      </c>
      <c r="G163" s="12" t="s">
        <v>656</v>
      </c>
      <c r="H163" s="26" t="n">
        <v>9.55</v>
      </c>
      <c r="I163" s="7" t="n">
        <v>1</v>
      </c>
      <c r="J163" s="7" t="n">
        <v>590</v>
      </c>
      <c r="K163" s="11" t="n">
        <v>417765.21</v>
      </c>
      <c r="L163" s="10" t="s">
        <v>168</v>
      </c>
      <c r="M163" s="26" t="n">
        <v>9.55</v>
      </c>
      <c r="N163" s="12" t="s">
        <v>657</v>
      </c>
      <c r="O163" s="12" t="s">
        <v>77</v>
      </c>
      <c r="P163" s="10" t="s">
        <v>658</v>
      </c>
      <c r="Q163" s="30" t="s">
        <v>991</v>
      </c>
      <c r="R163" s="34" t="n">
        <v>0.857142857142857</v>
      </c>
      <c r="S163" s="11" t="n">
        <v>358084.5</v>
      </c>
      <c r="T163" s="10" t="s">
        <v>995</v>
      </c>
      <c r="U163" s="7" t="n">
        <v>1</v>
      </c>
      <c r="V163" s="12" t="s">
        <v>323</v>
      </c>
      <c r="W163" s="12" t="s">
        <v>79</v>
      </c>
      <c r="X163" s="12" t="s">
        <v>86</v>
      </c>
      <c r="Y163" s="10"/>
      <c r="Z163" s="7" t="s">
        <v>74</v>
      </c>
      <c r="AA163" s="7" t="n">
        <v>3</v>
      </c>
      <c r="AB163" s="9" t="n">
        <v>0.822222222222222</v>
      </c>
    </row>
    <row r="164" customFormat="false" ht="23.85" hidden="false" customHeight="false" outlineLevel="0" collapsed="false">
      <c r="A164" s="7" t="n">
        <v>160</v>
      </c>
      <c r="B164" s="12" t="s">
        <v>167</v>
      </c>
      <c r="C164" s="10" t="s">
        <v>1099</v>
      </c>
      <c r="D164" s="12" t="s">
        <v>27</v>
      </c>
      <c r="E164" s="12" t="s">
        <v>1100</v>
      </c>
      <c r="F164" s="10" t="s">
        <v>1102</v>
      </c>
      <c r="G164" s="12" t="s">
        <v>656</v>
      </c>
      <c r="H164" s="26" t="n">
        <v>95.55</v>
      </c>
      <c r="I164" s="7" t="n">
        <v>1</v>
      </c>
      <c r="J164" s="7" t="n">
        <v>590</v>
      </c>
      <c r="K164" s="11" t="n">
        <v>417765.21</v>
      </c>
      <c r="L164" s="10" t="s">
        <v>168</v>
      </c>
      <c r="M164" s="26" t="n">
        <v>95.55</v>
      </c>
      <c r="N164" s="12" t="s">
        <v>657</v>
      </c>
      <c r="O164" s="12" t="s">
        <v>77</v>
      </c>
      <c r="P164" s="10" t="s">
        <v>658</v>
      </c>
      <c r="Q164" s="30" t="s">
        <v>991</v>
      </c>
      <c r="R164" s="34" t="n">
        <v>0.857142857142857</v>
      </c>
      <c r="S164" s="11" t="n">
        <v>358084.5</v>
      </c>
      <c r="T164" s="10" t="s">
        <v>995</v>
      </c>
      <c r="U164" s="7" t="n">
        <v>1</v>
      </c>
      <c r="V164" s="12" t="s">
        <v>323</v>
      </c>
      <c r="W164" s="12" t="s">
        <v>79</v>
      </c>
      <c r="X164" s="12" t="s">
        <v>86</v>
      </c>
      <c r="Y164" s="10"/>
      <c r="Z164" s="7" t="s">
        <v>74</v>
      </c>
      <c r="AA164" s="7" t="n">
        <v>3</v>
      </c>
      <c r="AB164" s="9" t="n">
        <v>0.822222222222222</v>
      </c>
    </row>
    <row r="165" customFormat="false" ht="23.85" hidden="false" customHeight="false" outlineLevel="0" collapsed="false">
      <c r="A165" s="7" t="n">
        <v>161</v>
      </c>
      <c r="B165" s="12" t="s">
        <v>173</v>
      </c>
      <c r="C165" s="10" t="s">
        <v>1103</v>
      </c>
      <c r="D165" s="12" t="s">
        <v>27</v>
      </c>
      <c r="E165" s="12" t="s">
        <v>1104</v>
      </c>
      <c r="F165" s="10" t="s">
        <v>1093</v>
      </c>
      <c r="G165" s="12" t="s">
        <v>656</v>
      </c>
      <c r="H165" s="26" t="n">
        <v>51.95</v>
      </c>
      <c r="I165" s="7" t="n">
        <v>1</v>
      </c>
      <c r="J165" s="7" t="n">
        <v>441</v>
      </c>
      <c r="K165" s="11" t="n">
        <v>3973.65</v>
      </c>
      <c r="L165" s="10" t="s">
        <v>174</v>
      </c>
      <c r="M165" s="26" t="n">
        <v>51.95</v>
      </c>
      <c r="N165" s="12" t="s">
        <v>657</v>
      </c>
      <c r="O165" s="12" t="s">
        <v>77</v>
      </c>
      <c r="P165" s="10" t="s">
        <v>658</v>
      </c>
      <c r="Q165" s="30" t="s">
        <v>991</v>
      </c>
      <c r="R165" s="34" t="n">
        <v>1</v>
      </c>
      <c r="S165" s="11" t="n">
        <v>3973.7</v>
      </c>
      <c r="T165" s="10" t="s">
        <v>1065</v>
      </c>
      <c r="U165" s="7" t="n">
        <v>2</v>
      </c>
      <c r="V165" s="12" t="s">
        <v>323</v>
      </c>
      <c r="W165" s="12" t="s">
        <v>79</v>
      </c>
      <c r="X165" s="12" t="s">
        <v>86</v>
      </c>
      <c r="Y165" s="10" t="s">
        <v>81</v>
      </c>
      <c r="Z165" s="7" t="s">
        <v>106</v>
      </c>
      <c r="AA165" s="7" t="n">
        <v>10</v>
      </c>
      <c r="AB165" s="9" t="n">
        <v>0.548575253394531</v>
      </c>
    </row>
    <row r="166" customFormat="false" ht="35.05" hidden="false" customHeight="false" outlineLevel="0" collapsed="false">
      <c r="A166" s="7" t="n">
        <v>162</v>
      </c>
      <c r="B166" s="12" t="s">
        <v>162</v>
      </c>
      <c r="C166" s="10" t="s">
        <v>652</v>
      </c>
      <c r="D166" s="12" t="s">
        <v>1105</v>
      </c>
      <c r="E166" s="12" t="s">
        <v>654</v>
      </c>
      <c r="F166" s="10" t="s">
        <v>1106</v>
      </c>
      <c r="G166" s="12" t="s">
        <v>663</v>
      </c>
      <c r="H166" s="26"/>
      <c r="I166" s="7" t="n">
        <v>1</v>
      </c>
      <c r="J166" s="7" t="n">
        <v>156</v>
      </c>
      <c r="K166" s="11" t="n">
        <v>3954.83</v>
      </c>
      <c r="L166" s="10" t="s">
        <v>163</v>
      </c>
      <c r="M166" s="35" t="n">
        <v>127.38</v>
      </c>
      <c r="N166" s="12" t="s">
        <v>664</v>
      </c>
      <c r="O166" s="12" t="s">
        <v>102</v>
      </c>
      <c r="P166" s="10" t="s">
        <v>1049</v>
      </c>
      <c r="Q166" s="30" t="s">
        <v>1050</v>
      </c>
      <c r="R166" s="34" t="n">
        <v>0.916666666666667</v>
      </c>
      <c r="S166" s="11" t="n">
        <v>3625.3</v>
      </c>
      <c r="T166" s="10" t="s">
        <v>1003</v>
      </c>
      <c r="U166" s="7" t="n">
        <v>2</v>
      </c>
      <c r="V166" s="12" t="s">
        <v>144</v>
      </c>
      <c r="W166" s="12" t="s">
        <v>85</v>
      </c>
      <c r="X166" s="12" t="s">
        <v>86</v>
      </c>
      <c r="Y166" s="10"/>
      <c r="Z166" s="7" t="s">
        <v>106</v>
      </c>
      <c r="AA166" s="7" t="n">
        <v>10</v>
      </c>
      <c r="AB166" s="9" t="n">
        <v>0.628996940141519</v>
      </c>
    </row>
    <row r="167" customFormat="false" ht="35.05" hidden="false" customHeight="false" outlineLevel="0" collapsed="false">
      <c r="A167" s="7" t="n">
        <v>163</v>
      </c>
      <c r="B167" s="12" t="s">
        <v>451</v>
      </c>
      <c r="C167" s="10" t="s">
        <v>1107</v>
      </c>
      <c r="D167" s="12" t="s">
        <v>1105</v>
      </c>
      <c r="E167" s="12" t="s">
        <v>1108</v>
      </c>
      <c r="F167" s="10" t="s">
        <v>1109</v>
      </c>
      <c r="G167" s="12" t="s">
        <v>656</v>
      </c>
      <c r="H167" s="26" t="n">
        <v>133.8</v>
      </c>
      <c r="I167" s="7" t="n">
        <v>1</v>
      </c>
      <c r="J167" s="7" t="n">
        <v>209</v>
      </c>
      <c r="K167" s="11" t="n">
        <v>2827.35</v>
      </c>
      <c r="L167" s="10" t="s">
        <v>452</v>
      </c>
      <c r="M167" s="26" t="n">
        <v>133.8</v>
      </c>
      <c r="N167" s="12" t="s">
        <v>657</v>
      </c>
      <c r="O167" s="12" t="s">
        <v>102</v>
      </c>
      <c r="P167" s="10" t="s">
        <v>658</v>
      </c>
      <c r="Q167" s="30" t="s">
        <v>1110</v>
      </c>
      <c r="R167" s="34" t="n">
        <v>0.192047803841401</v>
      </c>
      <c r="S167" s="11" t="n">
        <v>543</v>
      </c>
      <c r="T167" s="10" t="s">
        <v>144</v>
      </c>
      <c r="U167" s="7" t="n">
        <v>1</v>
      </c>
      <c r="V167" s="12" t="s">
        <v>144</v>
      </c>
      <c r="W167" s="12" t="s">
        <v>79</v>
      </c>
      <c r="X167" s="12" t="s">
        <v>86</v>
      </c>
      <c r="Y167" s="10"/>
      <c r="Z167" s="7" t="s">
        <v>688</v>
      </c>
      <c r="AA167" s="7" t="n">
        <v>13</v>
      </c>
      <c r="AB167" s="9" t="n">
        <v>0.465002868617326</v>
      </c>
    </row>
    <row r="168" customFormat="false" ht="35.05" hidden="false" customHeight="false" outlineLevel="0" collapsed="false">
      <c r="A168" s="7" t="n">
        <v>164</v>
      </c>
      <c r="B168" s="12" t="s">
        <v>291</v>
      </c>
      <c r="C168" s="10" t="s">
        <v>291</v>
      </c>
      <c r="D168" s="12" t="s">
        <v>1105</v>
      </c>
      <c r="E168" s="12" t="s">
        <v>661</v>
      </c>
      <c r="F168" s="10" t="s">
        <v>662</v>
      </c>
      <c r="G168" s="12" t="s">
        <v>663</v>
      </c>
      <c r="H168" s="26"/>
      <c r="I168" s="7" t="n">
        <v>1</v>
      </c>
      <c r="J168" s="7" t="n">
        <v>180</v>
      </c>
      <c r="K168" s="11" t="n">
        <v>5403.25</v>
      </c>
      <c r="L168" s="10" t="s">
        <v>292</v>
      </c>
      <c r="M168" s="35" t="n">
        <v>10.14</v>
      </c>
      <c r="N168" s="12" t="s">
        <v>664</v>
      </c>
      <c r="O168" s="12" t="s">
        <v>102</v>
      </c>
      <c r="P168" s="10" t="s">
        <v>665</v>
      </c>
      <c r="Q168" s="30" t="s">
        <v>666</v>
      </c>
      <c r="R168" s="34" t="n">
        <v>0.194998811159637</v>
      </c>
      <c r="S168" s="11" t="n">
        <v>1053.6</v>
      </c>
      <c r="T168" s="10" t="s">
        <v>144</v>
      </c>
      <c r="U168" s="7" t="n">
        <v>1</v>
      </c>
      <c r="V168" s="12" t="s">
        <v>144</v>
      </c>
      <c r="W168" s="12" t="s">
        <v>85</v>
      </c>
      <c r="X168" s="12" t="s">
        <v>86</v>
      </c>
      <c r="Y168" s="10" t="s">
        <v>87</v>
      </c>
      <c r="Z168" s="7" t="s">
        <v>688</v>
      </c>
      <c r="AA168" s="7" t="n">
        <v>22</v>
      </c>
      <c r="AB168" s="9" t="n">
        <v>0.197523427041499</v>
      </c>
    </row>
    <row r="169" customFormat="false" ht="23.85" hidden="false" customHeight="false" outlineLevel="0" collapsed="false">
      <c r="A169" s="7" t="n">
        <v>165</v>
      </c>
      <c r="B169" s="12" t="s">
        <v>374</v>
      </c>
      <c r="C169" s="10" t="s">
        <v>731</v>
      </c>
      <c r="D169" s="12" t="s">
        <v>1105</v>
      </c>
      <c r="E169" s="12" t="s">
        <v>732</v>
      </c>
      <c r="F169" s="10" t="s">
        <v>1111</v>
      </c>
      <c r="G169" s="12" t="s">
        <v>663</v>
      </c>
      <c r="H169" s="26"/>
      <c r="I169" s="7" t="n">
        <v>1</v>
      </c>
      <c r="J169" s="7" t="n">
        <v>365</v>
      </c>
      <c r="K169" s="11" t="n">
        <v>5976.94</v>
      </c>
      <c r="L169" s="10" t="s">
        <v>375</v>
      </c>
      <c r="M169" s="35" t="n">
        <v>13.87</v>
      </c>
      <c r="N169" s="12" t="s">
        <v>664</v>
      </c>
      <c r="O169" s="12" t="s">
        <v>77</v>
      </c>
      <c r="P169" s="10" t="s">
        <v>1049</v>
      </c>
      <c r="Q169" s="30" t="s">
        <v>1050</v>
      </c>
      <c r="R169" s="34" t="n">
        <v>0.240571827983426</v>
      </c>
      <c r="S169" s="11" t="n">
        <v>1437.9</v>
      </c>
      <c r="T169" s="10" t="s">
        <v>144</v>
      </c>
      <c r="U169" s="7" t="n">
        <v>1</v>
      </c>
      <c r="V169" s="12" t="s">
        <v>144</v>
      </c>
      <c r="W169" s="12" t="s">
        <v>85</v>
      </c>
      <c r="X169" s="12" t="s">
        <v>86</v>
      </c>
      <c r="Y169" s="10" t="s">
        <v>87</v>
      </c>
      <c r="Z169" s="7" t="s">
        <v>688</v>
      </c>
      <c r="AA169" s="7" t="n">
        <v>20</v>
      </c>
      <c r="AB169" s="9" t="n">
        <v>0.259471218206158</v>
      </c>
    </row>
    <row r="170" customFormat="false" ht="23.85" hidden="false" customHeight="false" outlineLevel="0" collapsed="false">
      <c r="A170" s="7" t="n">
        <v>166</v>
      </c>
      <c r="B170" s="12" t="s">
        <v>312</v>
      </c>
      <c r="C170" s="10" t="s">
        <v>312</v>
      </c>
      <c r="D170" s="12" t="s">
        <v>1105</v>
      </c>
      <c r="E170" s="12" t="s">
        <v>674</v>
      </c>
      <c r="F170" s="10" t="s">
        <v>1112</v>
      </c>
      <c r="G170" s="12" t="s">
        <v>1007</v>
      </c>
      <c r="H170" s="26"/>
      <c r="I170" s="7" t="n">
        <v>1</v>
      </c>
      <c r="J170" s="7" t="n">
        <v>51</v>
      </c>
      <c r="K170" s="11" t="n">
        <v>5770.02</v>
      </c>
      <c r="L170" s="10" t="s">
        <v>313</v>
      </c>
      <c r="M170" s="26"/>
      <c r="N170" s="12" t="s">
        <v>701</v>
      </c>
      <c r="O170" s="12" t="s">
        <v>323</v>
      </c>
      <c r="P170" s="10" t="s">
        <v>323</v>
      </c>
      <c r="Q170" s="12"/>
      <c r="R170" s="34" t="n">
        <v>0.455812270878129</v>
      </c>
      <c r="S170" s="11" t="n">
        <v>2630</v>
      </c>
      <c r="T170" s="10" t="s">
        <v>144</v>
      </c>
      <c r="U170" s="7" t="n">
        <v>1</v>
      </c>
      <c r="V170" s="12" t="s">
        <v>144</v>
      </c>
      <c r="W170" s="12" t="s">
        <v>172</v>
      </c>
      <c r="X170" s="12" t="s">
        <v>86</v>
      </c>
      <c r="Y170" s="10"/>
      <c r="Z170" s="7" t="s">
        <v>688</v>
      </c>
      <c r="AA170" s="7" t="n">
        <v>16</v>
      </c>
      <c r="AB170" s="9" t="n">
        <v>0.346615031554791</v>
      </c>
    </row>
    <row r="171" customFormat="false" ht="23.85" hidden="false" customHeight="false" outlineLevel="0" collapsed="false">
      <c r="A171" s="7" t="n">
        <v>167</v>
      </c>
      <c r="B171" s="12" t="s">
        <v>312</v>
      </c>
      <c r="C171" s="10" t="s">
        <v>312</v>
      </c>
      <c r="D171" s="12" t="s">
        <v>1105</v>
      </c>
      <c r="E171" s="12" t="s">
        <v>1005</v>
      </c>
      <c r="F171" s="10" t="s">
        <v>1112</v>
      </c>
      <c r="G171" s="12" t="s">
        <v>1007</v>
      </c>
      <c r="H171" s="26" t="n">
        <v>16.96</v>
      </c>
      <c r="I171" s="7" t="n">
        <v>1</v>
      </c>
      <c r="J171" s="7" t="n">
        <v>51</v>
      </c>
      <c r="K171" s="11" t="n">
        <v>5770.02</v>
      </c>
      <c r="L171" s="10" t="s">
        <v>313</v>
      </c>
      <c r="M171" s="26" t="n">
        <v>16.96</v>
      </c>
      <c r="N171" s="12" t="s">
        <v>657</v>
      </c>
      <c r="O171" s="12" t="s">
        <v>102</v>
      </c>
      <c r="P171" s="10" t="s">
        <v>658</v>
      </c>
      <c r="Q171" s="30" t="s">
        <v>1113</v>
      </c>
      <c r="R171" s="34" t="n">
        <v>0.455812270878129</v>
      </c>
      <c r="S171" s="11" t="n">
        <v>2630</v>
      </c>
      <c r="T171" s="10" t="s">
        <v>144</v>
      </c>
      <c r="U171" s="7" t="n">
        <v>1</v>
      </c>
      <c r="V171" s="12" t="s">
        <v>144</v>
      </c>
      <c r="W171" s="12" t="s">
        <v>172</v>
      </c>
      <c r="X171" s="12" t="s">
        <v>86</v>
      </c>
      <c r="Y171" s="10"/>
      <c r="Z171" s="7" t="s">
        <v>688</v>
      </c>
      <c r="AA171" s="7" t="n">
        <v>16</v>
      </c>
      <c r="AB171" s="9" t="n">
        <v>0.346615031554791</v>
      </c>
    </row>
    <row r="172" customFormat="false" ht="23.85" hidden="false" customHeight="false" outlineLevel="0" collapsed="false">
      <c r="A172" s="7" t="n">
        <v>168</v>
      </c>
      <c r="B172" s="12" t="s">
        <v>265</v>
      </c>
      <c r="C172" s="10" t="s">
        <v>1114</v>
      </c>
      <c r="D172" s="12" t="s">
        <v>1105</v>
      </c>
      <c r="E172" s="12" t="s">
        <v>1115</v>
      </c>
      <c r="F172" s="10" t="s">
        <v>1116</v>
      </c>
      <c r="G172" s="12" t="s">
        <v>656</v>
      </c>
      <c r="H172" s="26"/>
      <c r="I172" s="7" t="n">
        <v>1</v>
      </c>
      <c r="J172" s="7" t="n">
        <v>286</v>
      </c>
      <c r="K172" s="11" t="n">
        <v>3067.39</v>
      </c>
      <c r="L172" s="10" t="s">
        <v>266</v>
      </c>
      <c r="M172" s="26"/>
      <c r="N172" s="12" t="s">
        <v>701</v>
      </c>
      <c r="O172" s="12" t="s">
        <v>323</v>
      </c>
      <c r="P172" s="10" t="s">
        <v>323</v>
      </c>
      <c r="Q172" s="12"/>
      <c r="R172" s="34" t="n">
        <v>1</v>
      </c>
      <c r="S172" s="11" t="n">
        <v>3067.4</v>
      </c>
      <c r="T172" s="10" t="s">
        <v>734</v>
      </c>
      <c r="U172" s="7" t="n">
        <v>2</v>
      </c>
      <c r="V172" s="12" t="s">
        <v>376</v>
      </c>
      <c r="W172" s="12" t="s">
        <v>79</v>
      </c>
      <c r="X172" s="12" t="s">
        <v>86</v>
      </c>
      <c r="Y172" s="10"/>
      <c r="Z172" s="7" t="s">
        <v>688</v>
      </c>
      <c r="AA172" s="7" t="n">
        <v>14</v>
      </c>
      <c r="AB172" s="9" t="n">
        <v>0.426797666857908</v>
      </c>
    </row>
    <row r="173" customFormat="false" ht="35.05" hidden="false" customHeight="false" outlineLevel="0" collapsed="false">
      <c r="A173" s="7" t="n">
        <v>169</v>
      </c>
      <c r="B173" s="12" t="s">
        <v>158</v>
      </c>
      <c r="C173" s="10" t="s">
        <v>158</v>
      </c>
      <c r="D173" s="12" t="s">
        <v>1105</v>
      </c>
      <c r="E173" s="12" t="s">
        <v>1117</v>
      </c>
      <c r="F173" s="10" t="s">
        <v>1118</v>
      </c>
      <c r="G173" s="12" t="s">
        <v>656</v>
      </c>
      <c r="H173" s="26" t="n">
        <v>154.8</v>
      </c>
      <c r="I173" s="7" t="n">
        <v>1</v>
      </c>
      <c r="J173" s="7" t="n">
        <v>147</v>
      </c>
      <c r="K173" s="11" t="n">
        <v>11040.91</v>
      </c>
      <c r="L173" s="10" t="s">
        <v>159</v>
      </c>
      <c r="M173" s="26" t="n">
        <v>154.8</v>
      </c>
      <c r="N173" s="12" t="s">
        <v>657</v>
      </c>
      <c r="O173" s="12" t="s">
        <v>102</v>
      </c>
      <c r="P173" s="10" t="s">
        <v>658</v>
      </c>
      <c r="Q173" s="30" t="s">
        <v>1119</v>
      </c>
      <c r="R173" s="34" t="n">
        <v>1</v>
      </c>
      <c r="S173" s="11" t="n">
        <v>11040.9</v>
      </c>
      <c r="T173" s="10" t="s">
        <v>144</v>
      </c>
      <c r="U173" s="7" t="n">
        <v>1</v>
      </c>
      <c r="V173" s="12" t="s">
        <v>144</v>
      </c>
      <c r="W173" s="12" t="s">
        <v>79</v>
      </c>
      <c r="X173" s="12" t="s">
        <v>80</v>
      </c>
      <c r="Y173" s="10" t="s">
        <v>81</v>
      </c>
      <c r="Z173" s="7" t="s">
        <v>106</v>
      </c>
      <c r="AA173" s="7" t="n">
        <v>6</v>
      </c>
      <c r="AB173" s="9" t="n">
        <v>0.754565882577931</v>
      </c>
    </row>
    <row r="174" customFormat="false" ht="35.05" hidden="false" customHeight="false" outlineLevel="0" collapsed="false">
      <c r="A174" s="7" t="n">
        <v>170</v>
      </c>
      <c r="B174" s="12" t="s">
        <v>308</v>
      </c>
      <c r="C174" s="10" t="s">
        <v>308</v>
      </c>
      <c r="D174" s="12" t="s">
        <v>1105</v>
      </c>
      <c r="E174" s="12" t="s">
        <v>1005</v>
      </c>
      <c r="F174" s="10" t="s">
        <v>678</v>
      </c>
      <c r="G174" s="12" t="s">
        <v>678</v>
      </c>
      <c r="H174" s="26"/>
      <c r="I174" s="7" t="n">
        <v>1</v>
      </c>
      <c r="J174" s="7" t="n">
        <v>735</v>
      </c>
      <c r="K174" s="11" t="n">
        <v>16205.48</v>
      </c>
      <c r="L174" s="10" t="s">
        <v>309</v>
      </c>
      <c r="M174" s="35" t="n">
        <v>3.94</v>
      </c>
      <c r="N174" s="12" t="s">
        <v>664</v>
      </c>
      <c r="O174" s="12" t="s">
        <v>102</v>
      </c>
      <c r="P174" s="10" t="s">
        <v>665</v>
      </c>
      <c r="Q174" s="30" t="s">
        <v>666</v>
      </c>
      <c r="R174" s="34" t="n">
        <v>0.262678151411075</v>
      </c>
      <c r="S174" s="11" t="n">
        <v>4256.8</v>
      </c>
      <c r="T174" s="10" t="s">
        <v>144</v>
      </c>
      <c r="U174" s="7" t="n">
        <v>1</v>
      </c>
      <c r="V174" s="12" t="s">
        <v>144</v>
      </c>
      <c r="W174" s="12" t="s">
        <v>97</v>
      </c>
      <c r="X174" s="12" t="s">
        <v>97</v>
      </c>
      <c r="Y174" s="10"/>
      <c r="Z174" s="7" t="s">
        <v>676</v>
      </c>
      <c r="AA174" s="7"/>
      <c r="AB174" s="9" t="n">
        <v>0.512048192771084</v>
      </c>
    </row>
    <row r="175" customFormat="false" ht="35.05" hidden="false" customHeight="false" outlineLevel="0" collapsed="false">
      <c r="A175" s="7" t="n">
        <v>171</v>
      </c>
      <c r="B175" s="12" t="s">
        <v>308</v>
      </c>
      <c r="C175" s="10" t="s">
        <v>308</v>
      </c>
      <c r="D175" s="12" t="s">
        <v>1105</v>
      </c>
      <c r="E175" s="12" t="s">
        <v>677</v>
      </c>
      <c r="F175" s="10" t="s">
        <v>678</v>
      </c>
      <c r="G175" s="12" t="s">
        <v>678</v>
      </c>
      <c r="H175" s="26"/>
      <c r="I175" s="7" t="n">
        <v>1</v>
      </c>
      <c r="J175" s="7" t="n">
        <v>735</v>
      </c>
      <c r="K175" s="11" t="n">
        <v>16205.48</v>
      </c>
      <c r="L175" s="10" t="s">
        <v>309</v>
      </c>
      <c r="M175" s="35" t="n">
        <v>3.15</v>
      </c>
      <c r="N175" s="12" t="s">
        <v>664</v>
      </c>
      <c r="O175" s="12" t="s">
        <v>102</v>
      </c>
      <c r="P175" s="10" t="s">
        <v>665</v>
      </c>
      <c r="Q175" s="30" t="s">
        <v>666</v>
      </c>
      <c r="R175" s="34" t="n">
        <v>0.262678151411075</v>
      </c>
      <c r="S175" s="11" t="n">
        <v>4256.8</v>
      </c>
      <c r="T175" s="10" t="s">
        <v>144</v>
      </c>
      <c r="U175" s="7" t="n">
        <v>1</v>
      </c>
      <c r="V175" s="12" t="s">
        <v>144</v>
      </c>
      <c r="W175" s="12" t="s">
        <v>97</v>
      </c>
      <c r="X175" s="12" t="s">
        <v>97</v>
      </c>
      <c r="Y175" s="10"/>
      <c r="Z175" s="7" t="s">
        <v>676</v>
      </c>
      <c r="AA175" s="7"/>
      <c r="AB175" s="9" t="n">
        <v>0.512048192771084</v>
      </c>
    </row>
    <row r="176" customFormat="false" ht="23.85" hidden="false" customHeight="false" outlineLevel="0" collapsed="false">
      <c r="A176" s="7" t="n">
        <v>172</v>
      </c>
      <c r="B176" s="12" t="s">
        <v>455</v>
      </c>
      <c r="C176" s="10" t="s">
        <v>455</v>
      </c>
      <c r="D176" s="12" t="s">
        <v>1105</v>
      </c>
      <c r="E176" s="12" t="s">
        <v>1120</v>
      </c>
      <c r="F176" s="10" t="s">
        <v>1121</v>
      </c>
      <c r="G176" s="12" t="s">
        <v>656</v>
      </c>
      <c r="H176" s="26" t="n">
        <v>31.16</v>
      </c>
      <c r="I176" s="7" t="n">
        <v>1</v>
      </c>
      <c r="J176" s="7" t="n">
        <v>5</v>
      </c>
      <c r="K176" s="11" t="n">
        <v>806.34</v>
      </c>
      <c r="L176" s="10" t="s">
        <v>456</v>
      </c>
      <c r="M176" s="26" t="n">
        <v>31.16</v>
      </c>
      <c r="N176" s="12" t="s">
        <v>657</v>
      </c>
      <c r="O176" s="12" t="s">
        <v>102</v>
      </c>
      <c r="P176" s="10" t="s">
        <v>658</v>
      </c>
      <c r="Q176" s="30" t="s">
        <v>1122</v>
      </c>
      <c r="R176" s="34" t="n">
        <v>1</v>
      </c>
      <c r="S176" s="11" t="n">
        <v>806.3</v>
      </c>
      <c r="T176" s="10" t="s">
        <v>144</v>
      </c>
      <c r="U176" s="7" t="n">
        <v>1</v>
      </c>
      <c r="V176" s="12" t="s">
        <v>144</v>
      </c>
      <c r="W176" s="12" t="s">
        <v>79</v>
      </c>
      <c r="X176" s="12" t="s">
        <v>80</v>
      </c>
      <c r="Y176" s="10" t="s">
        <v>111</v>
      </c>
      <c r="Z176" s="7" t="s">
        <v>688</v>
      </c>
      <c r="AA176" s="7" t="n">
        <v>17</v>
      </c>
      <c r="AB176" s="9" t="n">
        <v>0.335943775100402</v>
      </c>
    </row>
    <row r="177" customFormat="false" ht="46.25" hidden="false" customHeight="false" outlineLevel="0" collapsed="false">
      <c r="A177" s="7" t="n">
        <v>173</v>
      </c>
      <c r="B177" s="12" t="s">
        <v>400</v>
      </c>
      <c r="C177" s="10" t="s">
        <v>771</v>
      </c>
      <c r="D177" s="12" t="s">
        <v>1105</v>
      </c>
      <c r="E177" s="12" t="s">
        <v>772</v>
      </c>
      <c r="F177" s="10" t="s">
        <v>1123</v>
      </c>
      <c r="G177" s="12" t="s">
        <v>656</v>
      </c>
      <c r="H177" s="26" t="n">
        <v>9.74</v>
      </c>
      <c r="I177" s="7" t="n">
        <v>1</v>
      </c>
      <c r="J177" s="7" t="n">
        <v>119</v>
      </c>
      <c r="K177" s="11" t="n">
        <v>3113.83</v>
      </c>
      <c r="L177" s="10" t="s">
        <v>401</v>
      </c>
      <c r="M177" s="26" t="n">
        <v>9.74</v>
      </c>
      <c r="N177" s="12" t="s">
        <v>657</v>
      </c>
      <c r="O177" s="12" t="s">
        <v>102</v>
      </c>
      <c r="P177" s="10" t="s">
        <v>658</v>
      </c>
      <c r="Q177" s="30" t="s">
        <v>774</v>
      </c>
      <c r="R177" s="34" t="n">
        <v>0.899884259259259</v>
      </c>
      <c r="S177" s="11" t="n">
        <v>2802.1</v>
      </c>
      <c r="T177" s="10" t="s">
        <v>1124</v>
      </c>
      <c r="U177" s="7" t="n">
        <v>5</v>
      </c>
      <c r="V177" s="12" t="s">
        <v>450</v>
      </c>
      <c r="W177" s="12" t="s">
        <v>79</v>
      </c>
      <c r="X177" s="12" t="s">
        <v>86</v>
      </c>
      <c r="Y177" s="10"/>
      <c r="Z177" s="7" t="s">
        <v>688</v>
      </c>
      <c r="AA177" s="7" t="n">
        <v>12</v>
      </c>
      <c r="AB177" s="9" t="n">
        <v>0.468268311340601</v>
      </c>
    </row>
    <row r="178" customFormat="false" ht="46.25" hidden="false" customHeight="false" outlineLevel="0" collapsed="false">
      <c r="A178" s="7" t="n">
        <v>174</v>
      </c>
      <c r="B178" s="12" t="s">
        <v>89</v>
      </c>
      <c r="C178" s="10" t="s">
        <v>89</v>
      </c>
      <c r="D178" s="12" t="s">
        <v>1105</v>
      </c>
      <c r="E178" s="12" t="s">
        <v>775</v>
      </c>
      <c r="F178" s="10" t="s">
        <v>1125</v>
      </c>
      <c r="G178" s="12" t="s">
        <v>656</v>
      </c>
      <c r="H178" s="26" t="n">
        <v>22.25</v>
      </c>
      <c r="I178" s="7" t="n">
        <v>1</v>
      </c>
      <c r="J178" s="7" t="n">
        <v>905</v>
      </c>
      <c r="K178" s="11" t="n">
        <v>28093.38</v>
      </c>
      <c r="L178" s="10" t="s">
        <v>90</v>
      </c>
      <c r="M178" s="26" t="n">
        <v>22.25</v>
      </c>
      <c r="N178" s="12" t="s">
        <v>657</v>
      </c>
      <c r="O178" s="12" t="s">
        <v>102</v>
      </c>
      <c r="P178" s="10" t="s">
        <v>658</v>
      </c>
      <c r="Q178" s="30" t="s">
        <v>777</v>
      </c>
      <c r="R178" s="34" t="n">
        <v>1</v>
      </c>
      <c r="S178" s="11" t="n">
        <v>28093.4</v>
      </c>
      <c r="T178" s="10" t="s">
        <v>1126</v>
      </c>
      <c r="U178" s="7" t="n">
        <v>18</v>
      </c>
      <c r="V178" s="12" t="s">
        <v>155</v>
      </c>
      <c r="W178" s="12" t="s">
        <v>79</v>
      </c>
      <c r="X178" s="12" t="s">
        <v>80</v>
      </c>
      <c r="Y178" s="10" t="s">
        <v>81</v>
      </c>
      <c r="Z178" s="7" t="s">
        <v>74</v>
      </c>
      <c r="AA178" s="7" t="n">
        <v>2</v>
      </c>
      <c r="AB178" s="9" t="n">
        <v>0.87862401988908</v>
      </c>
    </row>
    <row r="179" customFormat="false" ht="35.05" hidden="false" customHeight="false" outlineLevel="0" collapsed="false">
      <c r="A179" s="7" t="n">
        <v>175</v>
      </c>
      <c r="B179" s="12" t="s">
        <v>114</v>
      </c>
      <c r="C179" s="10" t="s">
        <v>114</v>
      </c>
      <c r="D179" s="12" t="s">
        <v>1105</v>
      </c>
      <c r="E179" s="12" t="s">
        <v>679</v>
      </c>
      <c r="F179" s="10" t="s">
        <v>1127</v>
      </c>
      <c r="G179" s="12" t="s">
        <v>681</v>
      </c>
      <c r="H179" s="26" t="n">
        <v>29.97</v>
      </c>
      <c r="I179" s="7" t="n">
        <v>1</v>
      </c>
      <c r="J179" s="7" t="n">
        <v>146</v>
      </c>
      <c r="K179" s="11" t="n">
        <v>11366.06</v>
      </c>
      <c r="L179" s="10" t="s">
        <v>115</v>
      </c>
      <c r="M179" s="26" t="n">
        <v>29.97</v>
      </c>
      <c r="N179" s="12" t="s">
        <v>657</v>
      </c>
      <c r="O179" s="12" t="s">
        <v>102</v>
      </c>
      <c r="P179" s="10" t="s">
        <v>658</v>
      </c>
      <c r="Q179" s="30" t="s">
        <v>682</v>
      </c>
      <c r="R179" s="34" t="n">
        <v>1</v>
      </c>
      <c r="S179" s="11" t="n">
        <v>11366.1</v>
      </c>
      <c r="T179" s="10" t="s">
        <v>1128</v>
      </c>
      <c r="U179" s="7" t="n">
        <v>14</v>
      </c>
      <c r="V179" s="12" t="s">
        <v>157</v>
      </c>
      <c r="W179" s="12" t="s">
        <v>85</v>
      </c>
      <c r="X179" s="12" t="s">
        <v>86</v>
      </c>
      <c r="Y179" s="10" t="s">
        <v>87</v>
      </c>
      <c r="Z179" s="7" t="s">
        <v>74</v>
      </c>
      <c r="AA179" s="7" t="n">
        <v>4</v>
      </c>
      <c r="AB179" s="9" t="n">
        <v>0.77988143048384</v>
      </c>
    </row>
    <row r="180" customFormat="false" ht="23.85" hidden="false" customHeight="false" outlineLevel="0" collapsed="false">
      <c r="A180" s="7" t="n">
        <v>176</v>
      </c>
      <c r="B180" s="12" t="s">
        <v>124</v>
      </c>
      <c r="C180" s="10" t="s">
        <v>124</v>
      </c>
      <c r="D180" s="12" t="s">
        <v>1105</v>
      </c>
      <c r="E180" s="12" t="s">
        <v>797</v>
      </c>
      <c r="F180" s="10" t="s">
        <v>1129</v>
      </c>
      <c r="G180" s="12" t="s">
        <v>79</v>
      </c>
      <c r="H180" s="26" t="n">
        <v>216.12</v>
      </c>
      <c r="I180" s="7" t="n">
        <v>1</v>
      </c>
      <c r="J180" s="7" t="n">
        <v>843</v>
      </c>
      <c r="K180" s="11" t="n">
        <v>4508</v>
      </c>
      <c r="L180" s="10" t="s">
        <v>125</v>
      </c>
      <c r="M180" s="26" t="n">
        <v>216.12</v>
      </c>
      <c r="N180" s="12" t="s">
        <v>657</v>
      </c>
      <c r="O180" s="12" t="s">
        <v>102</v>
      </c>
      <c r="P180" s="10" t="s">
        <v>658</v>
      </c>
      <c r="Q180" s="30" t="s">
        <v>799</v>
      </c>
      <c r="R180" s="34" t="n">
        <v>0.858739397335643</v>
      </c>
      <c r="S180" s="11" t="n">
        <v>3871.2</v>
      </c>
      <c r="T180" s="10" t="s">
        <v>1130</v>
      </c>
      <c r="U180" s="7" t="n">
        <v>5</v>
      </c>
      <c r="V180" s="12" t="s">
        <v>161</v>
      </c>
      <c r="W180" s="12" t="s">
        <v>79</v>
      </c>
      <c r="X180" s="12" t="s">
        <v>86</v>
      </c>
      <c r="Y180" s="10" t="s">
        <v>104</v>
      </c>
      <c r="Z180" s="7" t="s">
        <v>106</v>
      </c>
      <c r="AA180" s="7" t="n">
        <v>9</v>
      </c>
      <c r="AB180" s="9" t="n">
        <v>0.669697838974947</v>
      </c>
    </row>
    <row r="181" customFormat="false" ht="23.85" hidden="false" customHeight="false" outlineLevel="0" collapsed="false">
      <c r="A181" s="7" t="n">
        <v>177</v>
      </c>
      <c r="B181" s="12" t="s">
        <v>124</v>
      </c>
      <c r="C181" s="10" t="s">
        <v>124</v>
      </c>
      <c r="D181" s="12" t="s">
        <v>1105</v>
      </c>
      <c r="E181" s="12" t="s">
        <v>800</v>
      </c>
      <c r="F181" s="10" t="s">
        <v>1131</v>
      </c>
      <c r="G181" s="12" t="s">
        <v>79</v>
      </c>
      <c r="H181" s="26" t="n">
        <v>427.8</v>
      </c>
      <c r="I181" s="7" t="n">
        <v>1</v>
      </c>
      <c r="J181" s="7" t="n">
        <v>843</v>
      </c>
      <c r="K181" s="11" t="n">
        <v>4508</v>
      </c>
      <c r="L181" s="10" t="s">
        <v>125</v>
      </c>
      <c r="M181" s="26" t="n">
        <v>427.8</v>
      </c>
      <c r="N181" s="12" t="s">
        <v>657</v>
      </c>
      <c r="O181" s="12" t="s">
        <v>102</v>
      </c>
      <c r="P181" s="10" t="s">
        <v>658</v>
      </c>
      <c r="Q181" s="30" t="s">
        <v>799</v>
      </c>
      <c r="R181" s="34" t="n">
        <v>0.858739397335643</v>
      </c>
      <c r="S181" s="11" t="n">
        <v>3871.2</v>
      </c>
      <c r="T181" s="10" t="s">
        <v>1130</v>
      </c>
      <c r="U181" s="7" t="n">
        <v>5</v>
      </c>
      <c r="V181" s="12" t="s">
        <v>161</v>
      </c>
      <c r="W181" s="12" t="s">
        <v>79</v>
      </c>
      <c r="X181" s="12" t="s">
        <v>86</v>
      </c>
      <c r="Y181" s="10" t="s">
        <v>104</v>
      </c>
      <c r="Z181" s="7" t="s">
        <v>106</v>
      </c>
      <c r="AA181" s="7" t="n">
        <v>9</v>
      </c>
      <c r="AB181" s="9" t="n">
        <v>0.669697838974947</v>
      </c>
    </row>
    <row r="182" customFormat="false" ht="23.85" hidden="false" customHeight="false" outlineLevel="0" collapsed="false">
      <c r="A182" s="7" t="n">
        <v>178</v>
      </c>
      <c r="B182" s="12" t="s">
        <v>124</v>
      </c>
      <c r="C182" s="10" t="s">
        <v>124</v>
      </c>
      <c r="D182" s="12" t="s">
        <v>1105</v>
      </c>
      <c r="E182" s="12" t="s">
        <v>802</v>
      </c>
      <c r="F182" s="10" t="s">
        <v>1132</v>
      </c>
      <c r="G182" s="12" t="s">
        <v>79</v>
      </c>
      <c r="H182" s="26" t="n">
        <v>58.2</v>
      </c>
      <c r="I182" s="7" t="n">
        <v>1</v>
      </c>
      <c r="J182" s="7" t="n">
        <v>843</v>
      </c>
      <c r="K182" s="11" t="n">
        <v>4508</v>
      </c>
      <c r="L182" s="10" t="s">
        <v>125</v>
      </c>
      <c r="M182" s="26" t="n">
        <v>58.2</v>
      </c>
      <c r="N182" s="12" t="s">
        <v>657</v>
      </c>
      <c r="O182" s="12" t="s">
        <v>102</v>
      </c>
      <c r="P182" s="10" t="s">
        <v>658</v>
      </c>
      <c r="Q182" s="30" t="s">
        <v>799</v>
      </c>
      <c r="R182" s="34" t="n">
        <v>0.858739397335643</v>
      </c>
      <c r="S182" s="11" t="n">
        <v>3871.2</v>
      </c>
      <c r="T182" s="10" t="s">
        <v>1130</v>
      </c>
      <c r="U182" s="7" t="n">
        <v>5</v>
      </c>
      <c r="V182" s="12" t="s">
        <v>161</v>
      </c>
      <c r="W182" s="12" t="s">
        <v>79</v>
      </c>
      <c r="X182" s="12" t="s">
        <v>86</v>
      </c>
      <c r="Y182" s="10" t="s">
        <v>104</v>
      </c>
      <c r="Z182" s="7" t="s">
        <v>106</v>
      </c>
      <c r="AA182" s="7" t="n">
        <v>9</v>
      </c>
      <c r="AB182" s="9" t="n">
        <v>0.669697838974947</v>
      </c>
    </row>
    <row r="183" customFormat="false" ht="23.85" hidden="false" customHeight="false" outlineLevel="0" collapsed="false">
      <c r="A183" s="7" t="n">
        <v>179</v>
      </c>
      <c r="B183" s="12" t="s">
        <v>411</v>
      </c>
      <c r="C183" s="10" t="s">
        <v>804</v>
      </c>
      <c r="D183" s="12" t="s">
        <v>1105</v>
      </c>
      <c r="E183" s="12" t="s">
        <v>805</v>
      </c>
      <c r="F183" s="10" t="s">
        <v>1133</v>
      </c>
      <c r="G183" s="12" t="s">
        <v>79</v>
      </c>
      <c r="H183" s="26" t="n">
        <v>5.35</v>
      </c>
      <c r="I183" s="7" t="n">
        <v>1</v>
      </c>
      <c r="J183" s="7" t="n">
        <v>78</v>
      </c>
      <c r="K183" s="11" t="n">
        <v>4714.67</v>
      </c>
      <c r="L183" s="10" t="s">
        <v>412</v>
      </c>
      <c r="M183" s="26" t="n">
        <v>5.35</v>
      </c>
      <c r="N183" s="12" t="s">
        <v>657</v>
      </c>
      <c r="O183" s="12" t="s">
        <v>102</v>
      </c>
      <c r="P183" s="10" t="s">
        <v>658</v>
      </c>
      <c r="Q183" s="30" t="s">
        <v>807</v>
      </c>
      <c r="R183" s="34" t="n">
        <v>0.623015352554995</v>
      </c>
      <c r="S183" s="11" t="n">
        <v>2937.3</v>
      </c>
      <c r="T183" s="10" t="s">
        <v>144</v>
      </c>
      <c r="U183" s="7" t="n">
        <v>1</v>
      </c>
      <c r="V183" s="12" t="s">
        <v>144</v>
      </c>
      <c r="W183" s="12" t="s">
        <v>79</v>
      </c>
      <c r="X183" s="12" t="s">
        <v>86</v>
      </c>
      <c r="Y183" s="10"/>
      <c r="Z183" s="7" t="s">
        <v>688</v>
      </c>
      <c r="AA183" s="7" t="n">
        <v>21</v>
      </c>
      <c r="AB183" s="9" t="n">
        <v>0.219186268885064</v>
      </c>
    </row>
    <row r="184" customFormat="false" ht="23.85" hidden="false" customHeight="false" outlineLevel="0" collapsed="false">
      <c r="A184" s="7" t="n">
        <v>180</v>
      </c>
      <c r="B184" s="12" t="s">
        <v>131</v>
      </c>
      <c r="C184" s="10" t="s">
        <v>1134</v>
      </c>
      <c r="D184" s="12" t="s">
        <v>1105</v>
      </c>
      <c r="E184" s="12" t="s">
        <v>1135</v>
      </c>
      <c r="F184" s="10" t="s">
        <v>1136</v>
      </c>
      <c r="G184" s="12" t="s">
        <v>79</v>
      </c>
      <c r="H184" s="26" t="n">
        <v>301.8</v>
      </c>
      <c r="I184" s="7" t="n">
        <v>1</v>
      </c>
      <c r="J184" s="7" t="n">
        <v>42</v>
      </c>
      <c r="K184" s="11" t="n">
        <v>1874.63</v>
      </c>
      <c r="L184" s="10" t="s">
        <v>132</v>
      </c>
      <c r="M184" s="26" t="n">
        <v>301.8</v>
      </c>
      <c r="N184" s="12" t="s">
        <v>657</v>
      </c>
      <c r="O184" s="12" t="s">
        <v>102</v>
      </c>
      <c r="P184" s="10" t="s">
        <v>658</v>
      </c>
      <c r="Q184" s="30" t="s">
        <v>1137</v>
      </c>
      <c r="R184" s="34" t="n">
        <v>1</v>
      </c>
      <c r="S184" s="11" t="n">
        <v>1874.6</v>
      </c>
      <c r="T184" s="10" t="s">
        <v>1138</v>
      </c>
      <c r="U184" s="7" t="n">
        <v>8</v>
      </c>
      <c r="V184" s="12" t="s">
        <v>448</v>
      </c>
      <c r="W184" s="12" t="s">
        <v>79</v>
      </c>
      <c r="X184" s="12" t="s">
        <v>86</v>
      </c>
      <c r="Y184" s="10" t="s">
        <v>104</v>
      </c>
      <c r="Z184" s="7" t="s">
        <v>688</v>
      </c>
      <c r="AA184" s="7" t="n">
        <v>11</v>
      </c>
      <c r="AB184" s="9" t="n">
        <v>0.57278160260088</v>
      </c>
    </row>
    <row r="185" customFormat="false" ht="23.85" hidden="false" customHeight="false" outlineLevel="0" collapsed="false">
      <c r="A185" s="7" t="n">
        <v>181</v>
      </c>
      <c r="B185" s="12" t="s">
        <v>461</v>
      </c>
      <c r="C185" s="10" t="s">
        <v>1139</v>
      </c>
      <c r="D185" s="12" t="s">
        <v>1105</v>
      </c>
      <c r="E185" s="12" t="s">
        <v>1140</v>
      </c>
      <c r="F185" s="10" t="s">
        <v>1141</v>
      </c>
      <c r="G185" s="12" t="s">
        <v>1142</v>
      </c>
      <c r="H185" s="26" t="n">
        <v>13.38</v>
      </c>
      <c r="I185" s="7" t="n">
        <v>1</v>
      </c>
      <c r="J185" s="7" t="n">
        <v>236</v>
      </c>
      <c r="K185" s="11" t="n">
        <v>1845.67</v>
      </c>
      <c r="L185" s="10" t="s">
        <v>462</v>
      </c>
      <c r="M185" s="26" t="n">
        <v>13.38</v>
      </c>
      <c r="N185" s="12" t="s">
        <v>657</v>
      </c>
      <c r="O185" s="12" t="s">
        <v>102</v>
      </c>
      <c r="P185" s="10" t="s">
        <v>658</v>
      </c>
      <c r="Q185" s="30" t="s">
        <v>1143</v>
      </c>
      <c r="R185" s="34" t="n">
        <v>0.991758241758242</v>
      </c>
      <c r="S185" s="11" t="n">
        <v>1830.5</v>
      </c>
      <c r="T185" s="10" t="s">
        <v>144</v>
      </c>
      <c r="U185" s="7" t="n">
        <v>1</v>
      </c>
      <c r="V185" s="12" t="s">
        <v>144</v>
      </c>
      <c r="W185" s="12" t="s">
        <v>85</v>
      </c>
      <c r="X185" s="12" t="s">
        <v>86</v>
      </c>
      <c r="Y185" s="10"/>
      <c r="Z185" s="7" t="s">
        <v>688</v>
      </c>
      <c r="AA185" s="7" t="n">
        <v>19</v>
      </c>
      <c r="AB185" s="9" t="n">
        <v>0.303184165232358</v>
      </c>
    </row>
    <row r="186" customFormat="false" ht="23.85" hidden="false" customHeight="false" outlineLevel="0" collapsed="false">
      <c r="A186" s="7" t="n">
        <v>182</v>
      </c>
      <c r="B186" s="12" t="s">
        <v>461</v>
      </c>
      <c r="C186" s="10" t="s">
        <v>1139</v>
      </c>
      <c r="D186" s="12" t="s">
        <v>1105</v>
      </c>
      <c r="E186" s="12" t="s">
        <v>1144</v>
      </c>
      <c r="F186" s="10" t="s">
        <v>1145</v>
      </c>
      <c r="G186" s="12" t="s">
        <v>79</v>
      </c>
      <c r="H186" s="26" t="n">
        <v>19.55</v>
      </c>
      <c r="I186" s="7" t="n">
        <v>1</v>
      </c>
      <c r="J186" s="7" t="n">
        <v>236</v>
      </c>
      <c r="K186" s="11" t="n">
        <v>1845.67</v>
      </c>
      <c r="L186" s="10" t="s">
        <v>462</v>
      </c>
      <c r="M186" s="26" t="n">
        <v>19.55</v>
      </c>
      <c r="N186" s="12" t="s">
        <v>657</v>
      </c>
      <c r="O186" s="12" t="s">
        <v>102</v>
      </c>
      <c r="P186" s="10" t="s">
        <v>658</v>
      </c>
      <c r="Q186" s="30" t="s">
        <v>1143</v>
      </c>
      <c r="R186" s="34" t="n">
        <v>0.991758241758242</v>
      </c>
      <c r="S186" s="11" t="n">
        <v>1830.5</v>
      </c>
      <c r="T186" s="10" t="s">
        <v>144</v>
      </c>
      <c r="U186" s="7" t="n">
        <v>1</v>
      </c>
      <c r="V186" s="12" t="s">
        <v>144</v>
      </c>
      <c r="W186" s="12" t="s">
        <v>79</v>
      </c>
      <c r="X186" s="12" t="s">
        <v>86</v>
      </c>
      <c r="Y186" s="10"/>
      <c r="Z186" s="7" t="s">
        <v>688</v>
      </c>
      <c r="AA186" s="7" t="n">
        <v>19</v>
      </c>
      <c r="AB186" s="9" t="n">
        <v>0.303184165232358</v>
      </c>
    </row>
    <row r="187" customFormat="false" ht="23.85" hidden="false" customHeight="false" outlineLevel="0" collapsed="false">
      <c r="A187" s="7" t="n">
        <v>183</v>
      </c>
      <c r="B187" s="12" t="s">
        <v>461</v>
      </c>
      <c r="C187" s="10" t="s">
        <v>1139</v>
      </c>
      <c r="D187" s="12" t="s">
        <v>1105</v>
      </c>
      <c r="E187" s="12" t="s">
        <v>1146</v>
      </c>
      <c r="F187" s="10" t="s">
        <v>1147</v>
      </c>
      <c r="G187" s="12" t="s">
        <v>79</v>
      </c>
      <c r="H187" s="26" t="n">
        <v>20.45</v>
      </c>
      <c r="I187" s="7" t="n">
        <v>1</v>
      </c>
      <c r="J187" s="7" t="n">
        <v>236</v>
      </c>
      <c r="K187" s="11" t="n">
        <v>1845.67</v>
      </c>
      <c r="L187" s="10" t="s">
        <v>462</v>
      </c>
      <c r="M187" s="26" t="n">
        <v>20.45</v>
      </c>
      <c r="N187" s="12" t="s">
        <v>657</v>
      </c>
      <c r="O187" s="12" t="s">
        <v>102</v>
      </c>
      <c r="P187" s="10" t="s">
        <v>658</v>
      </c>
      <c r="Q187" s="30" t="s">
        <v>1143</v>
      </c>
      <c r="R187" s="34" t="n">
        <v>0.991758241758242</v>
      </c>
      <c r="S187" s="11" t="n">
        <v>1830.5</v>
      </c>
      <c r="T187" s="10" t="s">
        <v>144</v>
      </c>
      <c r="U187" s="7" t="n">
        <v>1</v>
      </c>
      <c r="V187" s="12" t="s">
        <v>144</v>
      </c>
      <c r="W187" s="12" t="s">
        <v>79</v>
      </c>
      <c r="X187" s="12" t="s">
        <v>86</v>
      </c>
      <c r="Y187" s="10"/>
      <c r="Z187" s="7" t="s">
        <v>688</v>
      </c>
      <c r="AA187" s="7" t="n">
        <v>19</v>
      </c>
      <c r="AB187" s="9" t="n">
        <v>0.303184165232358</v>
      </c>
    </row>
    <row r="188" customFormat="false" ht="35.05" hidden="false" customHeight="false" outlineLevel="0" collapsed="false">
      <c r="A188" s="7" t="n">
        <v>184</v>
      </c>
      <c r="B188" s="12" t="s">
        <v>415</v>
      </c>
      <c r="C188" s="10" t="s">
        <v>415</v>
      </c>
      <c r="D188" s="12" t="s">
        <v>1105</v>
      </c>
      <c r="E188" s="12" t="s">
        <v>809</v>
      </c>
      <c r="F188" s="10" t="s">
        <v>1148</v>
      </c>
      <c r="G188" s="12" t="s">
        <v>79</v>
      </c>
      <c r="H188" s="26"/>
      <c r="I188" s="7" t="n">
        <v>1</v>
      </c>
      <c r="J188" s="7" t="n">
        <v>9</v>
      </c>
      <c r="K188" s="11" t="n">
        <v>1127.64</v>
      </c>
      <c r="L188" s="10" t="s">
        <v>416</v>
      </c>
      <c r="M188" s="35" t="n">
        <v>10.03</v>
      </c>
      <c r="N188" s="12" t="s">
        <v>664</v>
      </c>
      <c r="O188" s="12" t="s">
        <v>102</v>
      </c>
      <c r="P188" s="10" t="s">
        <v>665</v>
      </c>
      <c r="Q188" s="30" t="s">
        <v>666</v>
      </c>
      <c r="R188" s="34" t="n">
        <v>1</v>
      </c>
      <c r="S188" s="11" t="n">
        <v>1127.6</v>
      </c>
      <c r="T188" s="10" t="s">
        <v>144</v>
      </c>
      <c r="U188" s="7" t="n">
        <v>1</v>
      </c>
      <c r="V188" s="12" t="s">
        <v>144</v>
      </c>
      <c r="W188" s="12" t="s">
        <v>85</v>
      </c>
      <c r="X188" s="12" t="s">
        <v>86</v>
      </c>
      <c r="Y188" s="10" t="s">
        <v>87</v>
      </c>
      <c r="Z188" s="7" t="s">
        <v>688</v>
      </c>
      <c r="AA188" s="7" t="n">
        <v>23</v>
      </c>
      <c r="AB188" s="9" t="n">
        <v>0.197198317077835</v>
      </c>
    </row>
    <row r="189" customFormat="false" ht="46.25" hidden="false" customHeight="false" outlineLevel="0" collapsed="false">
      <c r="A189" s="7" t="n">
        <v>185</v>
      </c>
      <c r="B189" s="12" t="s">
        <v>117</v>
      </c>
      <c r="C189" s="10" t="s">
        <v>1149</v>
      </c>
      <c r="D189" s="12" t="s">
        <v>1105</v>
      </c>
      <c r="E189" s="12" t="s">
        <v>1150</v>
      </c>
      <c r="F189" s="10" t="s">
        <v>1151</v>
      </c>
      <c r="G189" s="12" t="s">
        <v>79</v>
      </c>
      <c r="H189" s="26" t="n">
        <v>21.78</v>
      </c>
      <c r="I189" s="7" t="n">
        <v>1</v>
      </c>
      <c r="J189" s="7" t="n">
        <v>346</v>
      </c>
      <c r="K189" s="11" t="n">
        <v>32830.17</v>
      </c>
      <c r="L189" s="10" t="s">
        <v>118</v>
      </c>
      <c r="M189" s="26" t="n">
        <v>21.78</v>
      </c>
      <c r="N189" s="12" t="s">
        <v>657</v>
      </c>
      <c r="O189" s="12" t="s">
        <v>102</v>
      </c>
      <c r="P189" s="10" t="s">
        <v>658</v>
      </c>
      <c r="Q189" s="30" t="s">
        <v>1152</v>
      </c>
      <c r="R189" s="34" t="n">
        <v>1</v>
      </c>
      <c r="S189" s="11" t="n">
        <v>32830.2</v>
      </c>
      <c r="T189" s="10" t="s">
        <v>1153</v>
      </c>
      <c r="U189" s="7" t="n">
        <v>21</v>
      </c>
      <c r="V189" s="12" t="s">
        <v>160</v>
      </c>
      <c r="W189" s="12" t="s">
        <v>79</v>
      </c>
      <c r="X189" s="12" t="s">
        <v>86</v>
      </c>
      <c r="Y189" s="10"/>
      <c r="Z189" s="7" t="s">
        <v>106</v>
      </c>
      <c r="AA189" s="7" t="n">
        <v>8</v>
      </c>
      <c r="AB189" s="9" t="n">
        <v>0.745983935742972</v>
      </c>
    </row>
    <row r="190" customFormat="false" ht="46.25" hidden="false" customHeight="false" outlineLevel="0" collapsed="false">
      <c r="A190" s="7" t="n">
        <v>186</v>
      </c>
      <c r="B190" s="12" t="s">
        <v>117</v>
      </c>
      <c r="C190" s="10" t="s">
        <v>1149</v>
      </c>
      <c r="D190" s="12" t="s">
        <v>1105</v>
      </c>
      <c r="E190" s="12" t="s">
        <v>1154</v>
      </c>
      <c r="F190" s="10" t="s">
        <v>1155</v>
      </c>
      <c r="G190" s="12" t="s">
        <v>79</v>
      </c>
      <c r="H190" s="26" t="n">
        <v>48.28</v>
      </c>
      <c r="I190" s="7" t="n">
        <v>1</v>
      </c>
      <c r="J190" s="7" t="n">
        <v>346</v>
      </c>
      <c r="K190" s="11" t="n">
        <v>32830.17</v>
      </c>
      <c r="L190" s="10" t="s">
        <v>118</v>
      </c>
      <c r="M190" s="26" t="n">
        <v>48.28</v>
      </c>
      <c r="N190" s="12" t="s">
        <v>657</v>
      </c>
      <c r="O190" s="12" t="s">
        <v>102</v>
      </c>
      <c r="P190" s="10" t="s">
        <v>658</v>
      </c>
      <c r="Q190" s="30" t="s">
        <v>1152</v>
      </c>
      <c r="R190" s="34" t="n">
        <v>1</v>
      </c>
      <c r="S190" s="11" t="n">
        <v>32830.2</v>
      </c>
      <c r="T190" s="10" t="s">
        <v>1153</v>
      </c>
      <c r="U190" s="7" t="n">
        <v>21</v>
      </c>
      <c r="V190" s="12" t="s">
        <v>160</v>
      </c>
      <c r="W190" s="12" t="s">
        <v>79</v>
      </c>
      <c r="X190" s="12" t="s">
        <v>86</v>
      </c>
      <c r="Y190" s="10"/>
      <c r="Z190" s="7" t="s">
        <v>106</v>
      </c>
      <c r="AA190" s="7" t="n">
        <v>8</v>
      </c>
      <c r="AB190" s="9" t="n">
        <v>0.745983935742972</v>
      </c>
    </row>
    <row r="191" customFormat="false" ht="23.85" hidden="false" customHeight="false" outlineLevel="0" collapsed="false">
      <c r="A191" s="7" t="n">
        <v>187</v>
      </c>
      <c r="B191" s="12" t="s">
        <v>112</v>
      </c>
      <c r="C191" s="10" t="s">
        <v>112</v>
      </c>
      <c r="D191" s="12" t="s">
        <v>1105</v>
      </c>
      <c r="E191" s="12" t="s">
        <v>823</v>
      </c>
      <c r="F191" s="10" t="s">
        <v>824</v>
      </c>
      <c r="G191" s="12" t="s">
        <v>656</v>
      </c>
      <c r="H191" s="26" t="n">
        <v>343.8</v>
      </c>
      <c r="I191" s="7" t="n">
        <v>1</v>
      </c>
      <c r="J191" s="7" t="n">
        <v>47</v>
      </c>
      <c r="K191" s="11" t="n">
        <v>7904.67</v>
      </c>
      <c r="L191" s="10" t="s">
        <v>113</v>
      </c>
      <c r="M191" s="26" t="n">
        <v>343.8</v>
      </c>
      <c r="N191" s="12" t="s">
        <v>657</v>
      </c>
      <c r="O191" s="12" t="s">
        <v>102</v>
      </c>
      <c r="P191" s="10" t="s">
        <v>658</v>
      </c>
      <c r="Q191" s="30" t="s">
        <v>825</v>
      </c>
      <c r="R191" s="34" t="n">
        <v>1</v>
      </c>
      <c r="S191" s="11" t="n">
        <v>7904.7</v>
      </c>
      <c r="T191" s="10" t="s">
        <v>144</v>
      </c>
      <c r="U191" s="7" t="n">
        <v>1</v>
      </c>
      <c r="V191" s="12" t="s">
        <v>144</v>
      </c>
      <c r="W191" s="12" t="s">
        <v>79</v>
      </c>
      <c r="X191" s="12" t="s">
        <v>86</v>
      </c>
      <c r="Y191" s="10"/>
      <c r="Z191" s="7" t="s">
        <v>74</v>
      </c>
      <c r="AA191" s="7" t="n">
        <v>5</v>
      </c>
      <c r="AB191" s="9" t="n">
        <v>0.77768215720023</v>
      </c>
    </row>
    <row r="192" customFormat="false" ht="46.25" hidden="false" customHeight="false" outlineLevel="0" collapsed="false">
      <c r="A192" s="7" t="n">
        <v>188</v>
      </c>
      <c r="B192" s="12" t="s">
        <v>89</v>
      </c>
      <c r="C192" s="10" t="s">
        <v>1156</v>
      </c>
      <c r="D192" s="12" t="s">
        <v>1105</v>
      </c>
      <c r="E192" s="12" t="s">
        <v>828</v>
      </c>
      <c r="F192" s="10" t="s">
        <v>829</v>
      </c>
      <c r="G192" s="12" t="s">
        <v>656</v>
      </c>
      <c r="H192" s="26" t="n">
        <v>1007.87</v>
      </c>
      <c r="I192" s="7" t="n">
        <v>1</v>
      </c>
      <c r="J192" s="7" t="n">
        <v>905</v>
      </c>
      <c r="K192" s="11" t="n">
        <v>28093.38</v>
      </c>
      <c r="L192" s="10" t="s">
        <v>90</v>
      </c>
      <c r="M192" s="26" t="n">
        <v>1007.87</v>
      </c>
      <c r="N192" s="12" t="s">
        <v>657</v>
      </c>
      <c r="O192" s="12" t="s">
        <v>77</v>
      </c>
      <c r="P192" s="10" t="s">
        <v>658</v>
      </c>
      <c r="Q192" s="30" t="s">
        <v>1157</v>
      </c>
      <c r="R192" s="34" t="n">
        <v>1</v>
      </c>
      <c r="S192" s="11" t="n">
        <v>28093.4</v>
      </c>
      <c r="T192" s="10" t="s">
        <v>1126</v>
      </c>
      <c r="U192" s="7" t="n">
        <v>18</v>
      </c>
      <c r="V192" s="12" t="s">
        <v>155</v>
      </c>
      <c r="W192" s="12" t="s">
        <v>79</v>
      </c>
      <c r="X192" s="12" t="s">
        <v>80</v>
      </c>
      <c r="Y192" s="10" t="s">
        <v>81</v>
      </c>
      <c r="Z192" s="7" t="s">
        <v>74</v>
      </c>
      <c r="AA192" s="7" t="n">
        <v>2</v>
      </c>
      <c r="AB192" s="9" t="n">
        <v>0.87862401988908</v>
      </c>
    </row>
    <row r="193" customFormat="false" ht="35.05" hidden="false" customHeight="false" outlineLevel="0" collapsed="false">
      <c r="A193" s="7" t="n">
        <v>189</v>
      </c>
      <c r="B193" s="12" t="s">
        <v>107</v>
      </c>
      <c r="C193" s="10" t="s">
        <v>1158</v>
      </c>
      <c r="D193" s="12" t="s">
        <v>1105</v>
      </c>
      <c r="E193" s="12" t="s">
        <v>1019</v>
      </c>
      <c r="F193" s="10" t="s">
        <v>874</v>
      </c>
      <c r="G193" s="12" t="s">
        <v>656</v>
      </c>
      <c r="H193" s="26" t="n">
        <v>81.96</v>
      </c>
      <c r="I193" s="7" t="n">
        <v>1</v>
      </c>
      <c r="J193" s="7" t="n">
        <v>312</v>
      </c>
      <c r="K193" s="11" t="n">
        <v>59827.18</v>
      </c>
      <c r="L193" s="10" t="s">
        <v>108</v>
      </c>
      <c r="M193" s="26" t="n">
        <v>81.96</v>
      </c>
      <c r="N193" s="12" t="s">
        <v>657</v>
      </c>
      <c r="O193" s="12" t="s">
        <v>77</v>
      </c>
      <c r="P193" s="10" t="s">
        <v>658</v>
      </c>
      <c r="Q193" s="30" t="s">
        <v>1159</v>
      </c>
      <c r="R193" s="34" t="n">
        <v>1</v>
      </c>
      <c r="S193" s="11" t="n">
        <v>59827.2</v>
      </c>
      <c r="T193" s="10" t="s">
        <v>1160</v>
      </c>
      <c r="U193" s="7" t="n">
        <v>15</v>
      </c>
      <c r="V193" s="12" t="s">
        <v>156</v>
      </c>
      <c r="W193" s="12" t="s">
        <v>79</v>
      </c>
      <c r="X193" s="12" t="s">
        <v>80</v>
      </c>
      <c r="Y193" s="10" t="s">
        <v>111</v>
      </c>
      <c r="Z193" s="7" t="s">
        <v>74</v>
      </c>
      <c r="AA193" s="7" t="n">
        <v>3</v>
      </c>
      <c r="AB193" s="9" t="n">
        <v>0.867804551539491</v>
      </c>
    </row>
    <row r="194" customFormat="false" ht="35.05" hidden="false" customHeight="false" outlineLevel="0" collapsed="false">
      <c r="A194" s="7" t="n">
        <v>190</v>
      </c>
      <c r="B194" s="12" t="s">
        <v>114</v>
      </c>
      <c r="C194" s="10" t="s">
        <v>1161</v>
      </c>
      <c r="D194" s="12" t="s">
        <v>1105</v>
      </c>
      <c r="E194" s="12" t="s">
        <v>831</v>
      </c>
      <c r="F194" s="10" t="s">
        <v>832</v>
      </c>
      <c r="G194" s="12" t="s">
        <v>663</v>
      </c>
      <c r="H194" s="26" t="n">
        <v>345.31</v>
      </c>
      <c r="I194" s="7" t="n">
        <v>1</v>
      </c>
      <c r="J194" s="7" t="n">
        <v>146</v>
      </c>
      <c r="K194" s="11" t="n">
        <v>11366.06</v>
      </c>
      <c r="L194" s="10" t="s">
        <v>115</v>
      </c>
      <c r="M194" s="26" t="n">
        <v>345.31</v>
      </c>
      <c r="N194" s="12" t="s">
        <v>657</v>
      </c>
      <c r="O194" s="12" t="s">
        <v>77</v>
      </c>
      <c r="P194" s="10" t="s">
        <v>658</v>
      </c>
      <c r="Q194" s="30" t="s">
        <v>1162</v>
      </c>
      <c r="R194" s="34" t="n">
        <v>1</v>
      </c>
      <c r="S194" s="11" t="n">
        <v>11366.1</v>
      </c>
      <c r="T194" s="10" t="s">
        <v>1128</v>
      </c>
      <c r="U194" s="7" t="n">
        <v>14</v>
      </c>
      <c r="V194" s="12" t="s">
        <v>157</v>
      </c>
      <c r="W194" s="12" t="s">
        <v>85</v>
      </c>
      <c r="X194" s="12" t="s">
        <v>86</v>
      </c>
      <c r="Y194" s="10" t="s">
        <v>87</v>
      </c>
      <c r="Z194" s="7" t="s">
        <v>74</v>
      </c>
      <c r="AA194" s="7" t="n">
        <v>4</v>
      </c>
      <c r="AB194" s="9" t="n">
        <v>0.77988143048384</v>
      </c>
    </row>
    <row r="195" customFormat="false" ht="46.25" hidden="false" customHeight="false" outlineLevel="0" collapsed="false">
      <c r="A195" s="7" t="n">
        <v>191</v>
      </c>
      <c r="B195" s="12" t="s">
        <v>117</v>
      </c>
      <c r="C195" s="10" t="s">
        <v>117</v>
      </c>
      <c r="D195" s="12" t="s">
        <v>1105</v>
      </c>
      <c r="E195" s="12" t="s">
        <v>934</v>
      </c>
      <c r="F195" s="10" t="s">
        <v>1080</v>
      </c>
      <c r="G195" s="12" t="s">
        <v>656</v>
      </c>
      <c r="H195" s="26" t="n">
        <v>78.84</v>
      </c>
      <c r="I195" s="7" t="n">
        <v>1</v>
      </c>
      <c r="J195" s="7" t="n">
        <v>346</v>
      </c>
      <c r="K195" s="11" t="n">
        <v>32830.17</v>
      </c>
      <c r="L195" s="10" t="s">
        <v>118</v>
      </c>
      <c r="M195" s="26" t="n">
        <v>78.84</v>
      </c>
      <c r="N195" s="12" t="s">
        <v>657</v>
      </c>
      <c r="O195" s="12" t="s">
        <v>77</v>
      </c>
      <c r="P195" s="10" t="s">
        <v>658</v>
      </c>
      <c r="Q195" s="30" t="s">
        <v>1163</v>
      </c>
      <c r="R195" s="34" t="n">
        <v>1</v>
      </c>
      <c r="S195" s="11" t="n">
        <v>32830.2</v>
      </c>
      <c r="T195" s="10" t="s">
        <v>1153</v>
      </c>
      <c r="U195" s="7" t="n">
        <v>21</v>
      </c>
      <c r="V195" s="12" t="s">
        <v>160</v>
      </c>
      <c r="W195" s="12" t="s">
        <v>79</v>
      </c>
      <c r="X195" s="12" t="s">
        <v>86</v>
      </c>
      <c r="Y195" s="10"/>
      <c r="Z195" s="7" t="s">
        <v>106</v>
      </c>
      <c r="AA195" s="7" t="n">
        <v>8</v>
      </c>
      <c r="AB195" s="9" t="n">
        <v>0.745983935742972</v>
      </c>
    </row>
    <row r="196" customFormat="false" ht="23.85" hidden="false" customHeight="false" outlineLevel="0" collapsed="false">
      <c r="A196" s="7" t="n">
        <v>192</v>
      </c>
      <c r="B196" s="12" t="s">
        <v>131</v>
      </c>
      <c r="C196" s="10" t="s">
        <v>131</v>
      </c>
      <c r="D196" s="12" t="s">
        <v>1105</v>
      </c>
      <c r="E196" s="12" t="s">
        <v>1164</v>
      </c>
      <c r="F196" s="10" t="s">
        <v>1165</v>
      </c>
      <c r="G196" s="12" t="s">
        <v>656</v>
      </c>
      <c r="H196" s="26" t="n">
        <v>429.52</v>
      </c>
      <c r="I196" s="7" t="n">
        <v>1</v>
      </c>
      <c r="J196" s="7" t="n">
        <v>42</v>
      </c>
      <c r="K196" s="11" t="n">
        <v>1874.63</v>
      </c>
      <c r="L196" s="10" t="s">
        <v>132</v>
      </c>
      <c r="M196" s="26" t="n">
        <v>429.52</v>
      </c>
      <c r="N196" s="12" t="s">
        <v>657</v>
      </c>
      <c r="O196" s="12" t="s">
        <v>77</v>
      </c>
      <c r="P196" s="10" t="s">
        <v>658</v>
      </c>
      <c r="Q196" s="30" t="s">
        <v>1166</v>
      </c>
      <c r="R196" s="34" t="n">
        <v>1</v>
      </c>
      <c r="S196" s="11" t="n">
        <v>1874.6</v>
      </c>
      <c r="T196" s="10" t="s">
        <v>1138</v>
      </c>
      <c r="U196" s="7" t="n">
        <v>8</v>
      </c>
      <c r="V196" s="12" t="s">
        <v>448</v>
      </c>
      <c r="W196" s="12" t="s">
        <v>79</v>
      </c>
      <c r="X196" s="12" t="s">
        <v>86</v>
      </c>
      <c r="Y196" s="10" t="s">
        <v>104</v>
      </c>
      <c r="Z196" s="7" t="s">
        <v>688</v>
      </c>
      <c r="AA196" s="7" t="n">
        <v>11</v>
      </c>
      <c r="AB196" s="9" t="n">
        <v>0.57278160260088</v>
      </c>
    </row>
    <row r="197" customFormat="false" ht="79.85" hidden="false" customHeight="false" outlineLevel="0" collapsed="false">
      <c r="A197" s="7" t="n">
        <v>193</v>
      </c>
      <c r="B197" s="12" t="s">
        <v>75</v>
      </c>
      <c r="C197" s="10" t="s">
        <v>1167</v>
      </c>
      <c r="D197" s="12" t="s">
        <v>1105</v>
      </c>
      <c r="E197" s="12" t="s">
        <v>838</v>
      </c>
      <c r="F197" s="10" t="s">
        <v>843</v>
      </c>
      <c r="G197" s="12" t="s">
        <v>656</v>
      </c>
      <c r="H197" s="26" t="n">
        <v>360.71</v>
      </c>
      <c r="I197" s="7" t="n">
        <v>1</v>
      </c>
      <c r="J197" s="7" t="n">
        <v>762</v>
      </c>
      <c r="K197" s="11" t="n">
        <v>50865.56</v>
      </c>
      <c r="L197" s="10" t="s">
        <v>76</v>
      </c>
      <c r="M197" s="26" t="n">
        <v>360.71</v>
      </c>
      <c r="N197" s="12" t="s">
        <v>657</v>
      </c>
      <c r="O197" s="12" t="s">
        <v>102</v>
      </c>
      <c r="P197" s="10" t="s">
        <v>658</v>
      </c>
      <c r="Q197" s="30" t="s">
        <v>840</v>
      </c>
      <c r="R197" s="34" t="n">
        <v>0.829278792417718</v>
      </c>
      <c r="S197" s="11" t="n">
        <v>42181.7</v>
      </c>
      <c r="T197" s="10" t="s">
        <v>1168</v>
      </c>
      <c r="U197" s="7" t="n">
        <v>34</v>
      </c>
      <c r="V197" s="12" t="s">
        <v>154</v>
      </c>
      <c r="W197" s="12" t="s">
        <v>79</v>
      </c>
      <c r="X197" s="12" t="s">
        <v>97</v>
      </c>
      <c r="Y197" s="10" t="s">
        <v>81</v>
      </c>
      <c r="Z197" s="7" t="s">
        <v>74</v>
      </c>
      <c r="AA197" s="7" t="n">
        <v>1</v>
      </c>
      <c r="AB197" s="9" t="n">
        <v>0.891652323580034</v>
      </c>
    </row>
    <row r="198" customFormat="false" ht="79.85" hidden="false" customHeight="false" outlineLevel="0" collapsed="false">
      <c r="A198" s="7" t="n">
        <v>194</v>
      </c>
      <c r="B198" s="12" t="s">
        <v>75</v>
      </c>
      <c r="C198" s="10" t="s">
        <v>1167</v>
      </c>
      <c r="D198" s="12" t="s">
        <v>1105</v>
      </c>
      <c r="E198" s="12" t="s">
        <v>851</v>
      </c>
      <c r="F198" s="10" t="s">
        <v>839</v>
      </c>
      <c r="G198" s="12" t="s">
        <v>656</v>
      </c>
      <c r="H198" s="26" t="n">
        <v>397.421</v>
      </c>
      <c r="I198" s="7" t="n">
        <v>30</v>
      </c>
      <c r="J198" s="7" t="n">
        <v>762</v>
      </c>
      <c r="K198" s="11" t="n">
        <v>50865.56</v>
      </c>
      <c r="L198" s="10" t="s">
        <v>76</v>
      </c>
      <c r="M198" s="26" t="n">
        <v>397.421</v>
      </c>
      <c r="N198" s="12" t="s">
        <v>657</v>
      </c>
      <c r="O198" s="12" t="s">
        <v>77</v>
      </c>
      <c r="P198" s="10" t="s">
        <v>658</v>
      </c>
      <c r="Q198" s="30" t="s">
        <v>852</v>
      </c>
      <c r="R198" s="34" t="n">
        <v>0.829278792417718</v>
      </c>
      <c r="S198" s="11" t="n">
        <v>42181.7</v>
      </c>
      <c r="T198" s="10" t="s">
        <v>1168</v>
      </c>
      <c r="U198" s="7" t="n">
        <v>34</v>
      </c>
      <c r="V198" s="12" t="s">
        <v>154</v>
      </c>
      <c r="W198" s="12" t="s">
        <v>79</v>
      </c>
      <c r="X198" s="12" t="s">
        <v>80</v>
      </c>
      <c r="Y198" s="10" t="s">
        <v>81</v>
      </c>
      <c r="Z198" s="7" t="s">
        <v>74</v>
      </c>
      <c r="AA198" s="7" t="n">
        <v>1</v>
      </c>
      <c r="AB198" s="9" t="n">
        <v>0.891652323580034</v>
      </c>
    </row>
    <row r="199" customFormat="false" ht="46.25" hidden="false" customHeight="false" outlineLevel="0" collapsed="false">
      <c r="A199" s="7" t="n">
        <v>195</v>
      </c>
      <c r="B199" s="12" t="s">
        <v>89</v>
      </c>
      <c r="C199" s="10" t="s">
        <v>89</v>
      </c>
      <c r="D199" s="12" t="s">
        <v>1105</v>
      </c>
      <c r="E199" s="12" t="s">
        <v>854</v>
      </c>
      <c r="F199" s="10" t="s">
        <v>829</v>
      </c>
      <c r="G199" s="12" t="s">
        <v>656</v>
      </c>
      <c r="H199" s="26" t="n">
        <v>1444.1174</v>
      </c>
      <c r="I199" s="7" t="n">
        <v>29</v>
      </c>
      <c r="J199" s="7" t="n">
        <v>905</v>
      </c>
      <c r="K199" s="11" t="n">
        <v>28093.38</v>
      </c>
      <c r="L199" s="10" t="s">
        <v>90</v>
      </c>
      <c r="M199" s="26" t="n">
        <v>1444.1174</v>
      </c>
      <c r="N199" s="12" t="s">
        <v>657</v>
      </c>
      <c r="O199" s="12" t="s">
        <v>77</v>
      </c>
      <c r="P199" s="10" t="s">
        <v>658</v>
      </c>
      <c r="Q199" s="30" t="s">
        <v>852</v>
      </c>
      <c r="R199" s="34" t="n">
        <v>1</v>
      </c>
      <c r="S199" s="11" t="n">
        <v>28093.4</v>
      </c>
      <c r="T199" s="10" t="s">
        <v>1126</v>
      </c>
      <c r="U199" s="7" t="n">
        <v>18</v>
      </c>
      <c r="V199" s="12" t="s">
        <v>155</v>
      </c>
      <c r="W199" s="12" t="s">
        <v>79</v>
      </c>
      <c r="X199" s="12" t="s">
        <v>80</v>
      </c>
      <c r="Y199" s="10" t="s">
        <v>81</v>
      </c>
      <c r="Z199" s="7" t="s">
        <v>74</v>
      </c>
      <c r="AA199" s="7" t="n">
        <v>2</v>
      </c>
      <c r="AB199" s="9" t="n">
        <v>0.87862401988908</v>
      </c>
    </row>
    <row r="200" customFormat="false" ht="23.85" hidden="false" customHeight="false" outlineLevel="0" collapsed="false">
      <c r="A200" s="7" t="n">
        <v>196</v>
      </c>
      <c r="B200" s="12" t="s">
        <v>124</v>
      </c>
      <c r="C200" s="10" t="s">
        <v>1169</v>
      </c>
      <c r="D200" s="12" t="s">
        <v>1105</v>
      </c>
      <c r="E200" s="12" t="s">
        <v>1170</v>
      </c>
      <c r="F200" s="10" t="s">
        <v>918</v>
      </c>
      <c r="G200" s="12" t="s">
        <v>656</v>
      </c>
      <c r="H200" s="26" t="n">
        <v>4.9946</v>
      </c>
      <c r="I200" s="7" t="n">
        <v>27</v>
      </c>
      <c r="J200" s="7" t="n">
        <v>843</v>
      </c>
      <c r="K200" s="11" t="n">
        <v>4508</v>
      </c>
      <c r="L200" s="10" t="s">
        <v>125</v>
      </c>
      <c r="M200" s="26" t="n">
        <v>4.9946</v>
      </c>
      <c r="N200" s="12" t="s">
        <v>657</v>
      </c>
      <c r="O200" s="12" t="s">
        <v>77</v>
      </c>
      <c r="P200" s="10" t="s">
        <v>658</v>
      </c>
      <c r="Q200" s="30" t="s">
        <v>1171</v>
      </c>
      <c r="R200" s="34" t="n">
        <v>0.858739397335643</v>
      </c>
      <c r="S200" s="11" t="n">
        <v>3871.2</v>
      </c>
      <c r="T200" s="10" t="s">
        <v>1130</v>
      </c>
      <c r="U200" s="7" t="n">
        <v>5</v>
      </c>
      <c r="V200" s="12" t="s">
        <v>161</v>
      </c>
      <c r="W200" s="12" t="s">
        <v>79</v>
      </c>
      <c r="X200" s="12" t="s">
        <v>86</v>
      </c>
      <c r="Y200" s="10" t="s">
        <v>104</v>
      </c>
      <c r="Z200" s="7" t="s">
        <v>106</v>
      </c>
      <c r="AA200" s="7" t="n">
        <v>9</v>
      </c>
      <c r="AB200" s="9" t="n">
        <v>0.669697838974947</v>
      </c>
    </row>
    <row r="201" customFormat="false" ht="35.05" hidden="false" customHeight="false" outlineLevel="0" collapsed="false">
      <c r="A201" s="7" t="n">
        <v>197</v>
      </c>
      <c r="B201" s="12" t="s">
        <v>107</v>
      </c>
      <c r="C201" s="10" t="s">
        <v>1172</v>
      </c>
      <c r="D201" s="12" t="s">
        <v>1105</v>
      </c>
      <c r="E201" s="12" t="s">
        <v>873</v>
      </c>
      <c r="F201" s="10" t="s">
        <v>874</v>
      </c>
      <c r="G201" s="12" t="s">
        <v>656</v>
      </c>
      <c r="H201" s="26" t="n">
        <v>100.4344</v>
      </c>
      <c r="I201" s="7" t="n">
        <v>28</v>
      </c>
      <c r="J201" s="7" t="n">
        <v>312</v>
      </c>
      <c r="K201" s="11" t="n">
        <v>59827.18</v>
      </c>
      <c r="L201" s="10" t="s">
        <v>108</v>
      </c>
      <c r="M201" s="26" t="n">
        <v>100.4344</v>
      </c>
      <c r="N201" s="12" t="s">
        <v>657</v>
      </c>
      <c r="O201" s="12" t="s">
        <v>471</v>
      </c>
      <c r="P201" s="10" t="s">
        <v>658</v>
      </c>
      <c r="Q201" s="12"/>
      <c r="R201" s="34" t="n">
        <v>1</v>
      </c>
      <c r="S201" s="11" t="n">
        <v>59827.2</v>
      </c>
      <c r="T201" s="10" t="s">
        <v>1160</v>
      </c>
      <c r="U201" s="7" t="n">
        <v>15</v>
      </c>
      <c r="V201" s="12" t="s">
        <v>156</v>
      </c>
      <c r="W201" s="12" t="s">
        <v>79</v>
      </c>
      <c r="X201" s="12" t="s">
        <v>80</v>
      </c>
      <c r="Y201" s="10" t="s">
        <v>111</v>
      </c>
      <c r="Z201" s="7" t="s">
        <v>74</v>
      </c>
      <c r="AA201" s="7" t="n">
        <v>3</v>
      </c>
      <c r="AB201" s="9" t="n">
        <v>0.867804551539491</v>
      </c>
    </row>
    <row r="202" customFormat="false" ht="35.05" hidden="false" customHeight="false" outlineLevel="0" collapsed="false">
      <c r="A202" s="7" t="n">
        <v>198</v>
      </c>
      <c r="B202" s="12" t="s">
        <v>131</v>
      </c>
      <c r="C202" s="10" t="s">
        <v>1173</v>
      </c>
      <c r="D202" s="12" t="s">
        <v>1105</v>
      </c>
      <c r="E202" s="12" t="s">
        <v>1174</v>
      </c>
      <c r="F202" s="10" t="s">
        <v>1175</v>
      </c>
      <c r="G202" s="12" t="s">
        <v>656</v>
      </c>
      <c r="H202" s="26" t="n">
        <v>471.2665</v>
      </c>
      <c r="I202" s="7" t="n">
        <v>25</v>
      </c>
      <c r="J202" s="7" t="n">
        <v>42</v>
      </c>
      <c r="K202" s="11" t="n">
        <v>1874.63</v>
      </c>
      <c r="L202" s="10" t="s">
        <v>132</v>
      </c>
      <c r="M202" s="26" t="n">
        <v>471.2665</v>
      </c>
      <c r="N202" s="12" t="s">
        <v>657</v>
      </c>
      <c r="O202" s="12" t="s">
        <v>153</v>
      </c>
      <c r="P202" s="10" t="s">
        <v>658</v>
      </c>
      <c r="Q202" s="30" t="s">
        <v>852</v>
      </c>
      <c r="R202" s="34" t="n">
        <v>1</v>
      </c>
      <c r="S202" s="11" t="n">
        <v>1874.6</v>
      </c>
      <c r="T202" s="10" t="s">
        <v>1138</v>
      </c>
      <c r="U202" s="7" t="n">
        <v>8</v>
      </c>
      <c r="V202" s="12" t="s">
        <v>448</v>
      </c>
      <c r="W202" s="12" t="s">
        <v>79</v>
      </c>
      <c r="X202" s="12" t="s">
        <v>86</v>
      </c>
      <c r="Y202" s="10" t="s">
        <v>104</v>
      </c>
      <c r="Z202" s="7" t="s">
        <v>688</v>
      </c>
      <c r="AA202" s="7" t="n">
        <v>11</v>
      </c>
      <c r="AB202" s="9" t="n">
        <v>0.57278160260088</v>
      </c>
    </row>
    <row r="203" customFormat="false" ht="35.05" hidden="false" customHeight="false" outlineLevel="0" collapsed="false">
      <c r="A203" s="7" t="n">
        <v>199</v>
      </c>
      <c r="B203" s="12" t="s">
        <v>114</v>
      </c>
      <c r="C203" s="10" t="s">
        <v>1176</v>
      </c>
      <c r="D203" s="12" t="s">
        <v>1105</v>
      </c>
      <c r="E203" s="12" t="s">
        <v>890</v>
      </c>
      <c r="F203" s="10" t="s">
        <v>891</v>
      </c>
      <c r="G203" s="12" t="s">
        <v>663</v>
      </c>
      <c r="H203" s="26" t="n">
        <v>531.8684</v>
      </c>
      <c r="I203" s="7" t="n">
        <v>31</v>
      </c>
      <c r="J203" s="7" t="n">
        <v>146</v>
      </c>
      <c r="K203" s="11" t="n">
        <v>11366.06</v>
      </c>
      <c r="L203" s="10" t="s">
        <v>115</v>
      </c>
      <c r="M203" s="26" t="n">
        <v>531.8684</v>
      </c>
      <c r="N203" s="12" t="s">
        <v>657</v>
      </c>
      <c r="O203" s="12" t="s">
        <v>102</v>
      </c>
      <c r="P203" s="10" t="s">
        <v>658</v>
      </c>
      <c r="Q203" s="30" t="s">
        <v>852</v>
      </c>
      <c r="R203" s="34" t="n">
        <v>1</v>
      </c>
      <c r="S203" s="11" t="n">
        <v>11366.1</v>
      </c>
      <c r="T203" s="10" t="s">
        <v>1128</v>
      </c>
      <c r="U203" s="7" t="n">
        <v>14</v>
      </c>
      <c r="V203" s="12" t="s">
        <v>157</v>
      </c>
      <c r="W203" s="12" t="s">
        <v>85</v>
      </c>
      <c r="X203" s="12" t="s">
        <v>86</v>
      </c>
      <c r="Y203" s="10" t="s">
        <v>87</v>
      </c>
      <c r="Z203" s="7" t="s">
        <v>74</v>
      </c>
      <c r="AA203" s="7" t="n">
        <v>4</v>
      </c>
      <c r="AB203" s="9" t="n">
        <v>0.77988143048384</v>
      </c>
    </row>
    <row r="204" customFormat="false" ht="23.85" hidden="false" customHeight="false" outlineLevel="0" collapsed="false">
      <c r="A204" s="7" t="n">
        <v>200</v>
      </c>
      <c r="B204" s="12" t="s">
        <v>368</v>
      </c>
      <c r="C204" s="10" t="s">
        <v>1177</v>
      </c>
      <c r="D204" s="12" t="s">
        <v>1105</v>
      </c>
      <c r="E204" s="12" t="s">
        <v>1178</v>
      </c>
      <c r="F204" s="10" t="s">
        <v>1179</v>
      </c>
      <c r="G204" s="12" t="s">
        <v>663</v>
      </c>
      <c r="H204" s="26" t="n">
        <v>46.3526</v>
      </c>
      <c r="I204" s="7" t="n">
        <v>29</v>
      </c>
      <c r="J204" s="7" t="n">
        <v>116</v>
      </c>
      <c r="K204" s="11" t="n">
        <v>1162.12</v>
      </c>
      <c r="L204" s="10" t="s">
        <v>369</v>
      </c>
      <c r="M204" s="26" t="n">
        <v>46.3526</v>
      </c>
      <c r="N204" s="12" t="s">
        <v>657</v>
      </c>
      <c r="O204" s="12" t="s">
        <v>77</v>
      </c>
      <c r="P204" s="10" t="s">
        <v>658</v>
      </c>
      <c r="Q204" s="30" t="s">
        <v>1180</v>
      </c>
      <c r="R204" s="34" t="n">
        <v>0.444974105461394</v>
      </c>
      <c r="S204" s="11" t="n">
        <v>517.1</v>
      </c>
      <c r="T204" s="10" t="s">
        <v>888</v>
      </c>
      <c r="U204" s="7" t="n">
        <v>1</v>
      </c>
      <c r="V204" s="12" t="s">
        <v>169</v>
      </c>
      <c r="W204" s="12" t="s">
        <v>85</v>
      </c>
      <c r="X204" s="12" t="s">
        <v>97</v>
      </c>
      <c r="Y204" s="10" t="s">
        <v>87</v>
      </c>
      <c r="Z204" s="7" t="s">
        <v>688</v>
      </c>
      <c r="AA204" s="7" t="n">
        <v>15</v>
      </c>
      <c r="AB204" s="9" t="n">
        <v>0.363740676993689</v>
      </c>
    </row>
    <row r="205" customFormat="false" ht="23.85" hidden="false" customHeight="false" outlineLevel="0" collapsed="false">
      <c r="A205" s="7" t="n">
        <v>201</v>
      </c>
      <c r="B205" s="12" t="s">
        <v>400</v>
      </c>
      <c r="C205" s="10" t="s">
        <v>1181</v>
      </c>
      <c r="D205" s="12" t="s">
        <v>1105</v>
      </c>
      <c r="E205" s="12" t="s">
        <v>1182</v>
      </c>
      <c r="F205" s="10" t="s">
        <v>878</v>
      </c>
      <c r="G205" s="12" t="s">
        <v>656</v>
      </c>
      <c r="H205" s="26" t="n">
        <v>96.9427</v>
      </c>
      <c r="I205" s="7" t="n">
        <v>27</v>
      </c>
      <c r="J205" s="7" t="n">
        <v>119</v>
      </c>
      <c r="K205" s="11" t="n">
        <v>3113.83</v>
      </c>
      <c r="L205" s="10" t="s">
        <v>401</v>
      </c>
      <c r="M205" s="26" t="n">
        <v>96.9427</v>
      </c>
      <c r="N205" s="12" t="s">
        <v>657</v>
      </c>
      <c r="O205" s="12" t="s">
        <v>102</v>
      </c>
      <c r="P205" s="10" t="s">
        <v>658</v>
      </c>
      <c r="Q205" s="30" t="s">
        <v>852</v>
      </c>
      <c r="R205" s="34" t="n">
        <v>0.899884259259259</v>
      </c>
      <c r="S205" s="11" t="n">
        <v>2802.1</v>
      </c>
      <c r="T205" s="10" t="s">
        <v>1124</v>
      </c>
      <c r="U205" s="7" t="n">
        <v>5</v>
      </c>
      <c r="V205" s="12" t="s">
        <v>450</v>
      </c>
      <c r="W205" s="12" t="s">
        <v>79</v>
      </c>
      <c r="X205" s="12" t="s">
        <v>86</v>
      </c>
      <c r="Y205" s="10"/>
      <c r="Z205" s="7" t="s">
        <v>688</v>
      </c>
      <c r="AA205" s="7" t="n">
        <v>12</v>
      </c>
      <c r="AB205" s="9" t="n">
        <v>0.468268311340601</v>
      </c>
    </row>
    <row r="206" customFormat="false" ht="46.25" hidden="false" customHeight="false" outlineLevel="0" collapsed="false">
      <c r="A206" s="7" t="n">
        <v>202</v>
      </c>
      <c r="B206" s="12" t="s">
        <v>117</v>
      </c>
      <c r="C206" s="10" t="s">
        <v>117</v>
      </c>
      <c r="D206" s="12" t="s">
        <v>1105</v>
      </c>
      <c r="E206" s="12" t="s">
        <v>1183</v>
      </c>
      <c r="F206" s="10" t="s">
        <v>1080</v>
      </c>
      <c r="G206" s="12" t="s">
        <v>656</v>
      </c>
      <c r="H206" s="26" t="n">
        <v>92.0498</v>
      </c>
      <c r="I206" s="7" t="n">
        <v>31</v>
      </c>
      <c r="J206" s="7" t="n">
        <v>346</v>
      </c>
      <c r="K206" s="11" t="n">
        <v>32830.17</v>
      </c>
      <c r="L206" s="10" t="s">
        <v>118</v>
      </c>
      <c r="M206" s="26" t="n">
        <v>92.0498</v>
      </c>
      <c r="N206" s="12" t="s">
        <v>657</v>
      </c>
      <c r="O206" s="12" t="s">
        <v>77</v>
      </c>
      <c r="P206" s="10" t="s">
        <v>658</v>
      </c>
      <c r="Q206" s="30" t="s">
        <v>852</v>
      </c>
      <c r="R206" s="34" t="n">
        <v>1</v>
      </c>
      <c r="S206" s="11" t="n">
        <v>32830.2</v>
      </c>
      <c r="T206" s="10" t="s">
        <v>1153</v>
      </c>
      <c r="U206" s="7" t="n">
        <v>21</v>
      </c>
      <c r="V206" s="12" t="s">
        <v>160</v>
      </c>
      <c r="W206" s="12" t="s">
        <v>79</v>
      </c>
      <c r="X206" s="12" t="s">
        <v>86</v>
      </c>
      <c r="Y206" s="10"/>
      <c r="Z206" s="7" t="s">
        <v>106</v>
      </c>
      <c r="AA206" s="7" t="n">
        <v>8</v>
      </c>
      <c r="AB206" s="9" t="n">
        <v>0.745983935742972</v>
      </c>
    </row>
    <row r="207" customFormat="false" ht="46.25" hidden="false" customHeight="false" outlineLevel="0" collapsed="false">
      <c r="A207" s="7" t="n">
        <v>203</v>
      </c>
      <c r="B207" s="12" t="s">
        <v>117</v>
      </c>
      <c r="C207" s="10" t="s">
        <v>117</v>
      </c>
      <c r="D207" s="12" t="s">
        <v>1105</v>
      </c>
      <c r="E207" s="12" t="s">
        <v>1183</v>
      </c>
      <c r="F207" s="10" t="s">
        <v>1080</v>
      </c>
      <c r="G207" s="12" t="s">
        <v>656</v>
      </c>
      <c r="H207" s="26" t="n">
        <v>92.0498</v>
      </c>
      <c r="I207" s="7" t="n">
        <v>26</v>
      </c>
      <c r="J207" s="7" t="n">
        <v>346</v>
      </c>
      <c r="K207" s="11" t="n">
        <v>32830.17</v>
      </c>
      <c r="L207" s="10" t="s">
        <v>118</v>
      </c>
      <c r="M207" s="26" t="n">
        <v>92.0498</v>
      </c>
      <c r="N207" s="12" t="s">
        <v>657</v>
      </c>
      <c r="O207" s="12" t="s">
        <v>77</v>
      </c>
      <c r="P207" s="10" t="s">
        <v>658</v>
      </c>
      <c r="Q207" s="30" t="s">
        <v>852</v>
      </c>
      <c r="R207" s="34" t="n">
        <v>1</v>
      </c>
      <c r="S207" s="11" t="n">
        <v>32830.2</v>
      </c>
      <c r="T207" s="10" t="s">
        <v>1153</v>
      </c>
      <c r="U207" s="7" t="n">
        <v>21</v>
      </c>
      <c r="V207" s="12" t="s">
        <v>160</v>
      </c>
      <c r="W207" s="12" t="s">
        <v>79</v>
      </c>
      <c r="X207" s="12" t="s">
        <v>86</v>
      </c>
      <c r="Y207" s="10"/>
      <c r="Z207" s="7" t="s">
        <v>106</v>
      </c>
      <c r="AA207" s="7" t="n">
        <v>8</v>
      </c>
      <c r="AB207" s="9" t="n">
        <v>0.745983935742972</v>
      </c>
    </row>
    <row r="208" customFormat="false" ht="46.25" hidden="false" customHeight="false" outlineLevel="0" collapsed="false">
      <c r="A208" s="7" t="n">
        <v>204</v>
      </c>
      <c r="B208" s="12" t="s">
        <v>89</v>
      </c>
      <c r="C208" s="10" t="s">
        <v>89</v>
      </c>
      <c r="D208" s="12" t="s">
        <v>1105</v>
      </c>
      <c r="E208" s="12" t="s">
        <v>1184</v>
      </c>
      <c r="F208" s="10" t="s">
        <v>1185</v>
      </c>
      <c r="G208" s="12" t="s">
        <v>656</v>
      </c>
      <c r="H208" s="26" t="n">
        <v>981.694</v>
      </c>
      <c r="I208" s="7" t="n">
        <v>1</v>
      </c>
      <c r="J208" s="7" t="n">
        <v>905</v>
      </c>
      <c r="K208" s="11" t="n">
        <v>28093.38</v>
      </c>
      <c r="L208" s="10" t="s">
        <v>90</v>
      </c>
      <c r="M208" s="26" t="n">
        <v>981.694</v>
      </c>
      <c r="N208" s="12" t="s">
        <v>657</v>
      </c>
      <c r="O208" s="12" t="s">
        <v>102</v>
      </c>
      <c r="P208" s="10" t="s">
        <v>658</v>
      </c>
      <c r="Q208" s="30" t="s">
        <v>927</v>
      </c>
      <c r="R208" s="34" t="n">
        <v>1</v>
      </c>
      <c r="S208" s="11" t="n">
        <v>28093.4</v>
      </c>
      <c r="T208" s="10" t="s">
        <v>1126</v>
      </c>
      <c r="U208" s="7" t="n">
        <v>18</v>
      </c>
      <c r="V208" s="12" t="s">
        <v>155</v>
      </c>
      <c r="W208" s="12" t="s">
        <v>79</v>
      </c>
      <c r="X208" s="12" t="s">
        <v>97</v>
      </c>
      <c r="Y208" s="10" t="s">
        <v>81</v>
      </c>
      <c r="Z208" s="7" t="s">
        <v>74</v>
      </c>
      <c r="AA208" s="7" t="n">
        <v>2</v>
      </c>
      <c r="AB208" s="9" t="n">
        <v>0.87862401988908</v>
      </c>
    </row>
    <row r="209" customFormat="false" ht="79.85" hidden="false" customHeight="false" outlineLevel="0" collapsed="false">
      <c r="A209" s="7" t="n">
        <v>205</v>
      </c>
      <c r="B209" s="12" t="s">
        <v>75</v>
      </c>
      <c r="C209" s="10" t="s">
        <v>75</v>
      </c>
      <c r="D209" s="12" t="s">
        <v>1105</v>
      </c>
      <c r="E209" s="12" t="s">
        <v>1186</v>
      </c>
      <c r="F209" s="10" t="s">
        <v>1187</v>
      </c>
      <c r="G209" s="12" t="s">
        <v>656</v>
      </c>
      <c r="H209" s="26" t="n">
        <v>398.335</v>
      </c>
      <c r="I209" s="7" t="n">
        <v>1</v>
      </c>
      <c r="J209" s="7" t="n">
        <v>762</v>
      </c>
      <c r="K209" s="11" t="n">
        <v>50865.56</v>
      </c>
      <c r="L209" s="10" t="s">
        <v>76</v>
      </c>
      <c r="M209" s="26" t="n">
        <v>398.335</v>
      </c>
      <c r="N209" s="12" t="s">
        <v>657</v>
      </c>
      <c r="O209" s="12" t="s">
        <v>102</v>
      </c>
      <c r="P209" s="10" t="s">
        <v>658</v>
      </c>
      <c r="Q209" s="30" t="s">
        <v>927</v>
      </c>
      <c r="R209" s="34" t="n">
        <v>0.829278792417718</v>
      </c>
      <c r="S209" s="11" t="n">
        <v>42181.7</v>
      </c>
      <c r="T209" s="10" t="s">
        <v>1168</v>
      </c>
      <c r="U209" s="7" t="n">
        <v>34</v>
      </c>
      <c r="V209" s="12" t="s">
        <v>154</v>
      </c>
      <c r="W209" s="12" t="s">
        <v>79</v>
      </c>
      <c r="X209" s="12" t="s">
        <v>97</v>
      </c>
      <c r="Y209" s="10" t="s">
        <v>81</v>
      </c>
      <c r="Z209" s="7" t="s">
        <v>74</v>
      </c>
      <c r="AA209" s="7" t="n">
        <v>1</v>
      </c>
      <c r="AB209" s="9" t="n">
        <v>0.891652323580034</v>
      </c>
    </row>
    <row r="210" customFormat="false" ht="35.05" hidden="false" customHeight="false" outlineLevel="0" collapsed="false">
      <c r="A210" s="7" t="n">
        <v>206</v>
      </c>
      <c r="B210" s="12" t="s">
        <v>107</v>
      </c>
      <c r="C210" s="10" t="s">
        <v>107</v>
      </c>
      <c r="D210" s="12" t="s">
        <v>1105</v>
      </c>
      <c r="E210" s="12" t="s">
        <v>929</v>
      </c>
      <c r="F210" s="10" t="s">
        <v>1188</v>
      </c>
      <c r="G210" s="12" t="s">
        <v>656</v>
      </c>
      <c r="H210" s="26" t="n">
        <v>113.645</v>
      </c>
      <c r="I210" s="7" t="n">
        <v>1</v>
      </c>
      <c r="J210" s="7" t="n">
        <v>312</v>
      </c>
      <c r="K210" s="11" t="n">
        <v>59827.18</v>
      </c>
      <c r="L210" s="10" t="s">
        <v>108</v>
      </c>
      <c r="M210" s="26" t="n">
        <v>113.645</v>
      </c>
      <c r="N210" s="12" t="s">
        <v>657</v>
      </c>
      <c r="O210" s="12" t="s">
        <v>77</v>
      </c>
      <c r="P210" s="10" t="s">
        <v>658</v>
      </c>
      <c r="Q210" s="30" t="s">
        <v>1189</v>
      </c>
      <c r="R210" s="34" t="n">
        <v>1</v>
      </c>
      <c r="S210" s="11" t="n">
        <v>59827.2</v>
      </c>
      <c r="T210" s="10" t="s">
        <v>1160</v>
      </c>
      <c r="U210" s="7" t="n">
        <v>15</v>
      </c>
      <c r="V210" s="12" t="s">
        <v>156</v>
      </c>
      <c r="W210" s="12" t="s">
        <v>79</v>
      </c>
      <c r="X210" s="12" t="s">
        <v>80</v>
      </c>
      <c r="Y210" s="10" t="s">
        <v>111</v>
      </c>
      <c r="Z210" s="7" t="s">
        <v>74</v>
      </c>
      <c r="AA210" s="7" t="n">
        <v>3</v>
      </c>
      <c r="AB210" s="9" t="n">
        <v>0.867804551539491</v>
      </c>
    </row>
    <row r="211" customFormat="false" ht="23.85" hidden="false" customHeight="false" outlineLevel="0" collapsed="false">
      <c r="A211" s="7" t="n">
        <v>207</v>
      </c>
      <c r="B211" s="12" t="s">
        <v>265</v>
      </c>
      <c r="C211" s="10" t="s">
        <v>1114</v>
      </c>
      <c r="D211" s="12" t="s">
        <v>1105</v>
      </c>
      <c r="E211" s="12" t="s">
        <v>835</v>
      </c>
      <c r="F211" s="10" t="s">
        <v>1190</v>
      </c>
      <c r="G211" s="12" t="s">
        <v>656</v>
      </c>
      <c r="H211" s="26" t="n">
        <v>22.7605</v>
      </c>
      <c r="I211" s="7" t="n">
        <v>1</v>
      </c>
      <c r="J211" s="7" t="n">
        <v>286</v>
      </c>
      <c r="K211" s="11" t="n">
        <v>3067.39</v>
      </c>
      <c r="L211" s="10" t="s">
        <v>266</v>
      </c>
      <c r="M211" s="26" t="n">
        <v>22.7605</v>
      </c>
      <c r="N211" s="12" t="s">
        <v>657</v>
      </c>
      <c r="O211" s="12" t="s">
        <v>102</v>
      </c>
      <c r="P211" s="10" t="s">
        <v>658</v>
      </c>
      <c r="Q211" s="30" t="s">
        <v>944</v>
      </c>
      <c r="R211" s="34" t="n">
        <v>1</v>
      </c>
      <c r="S211" s="11" t="n">
        <v>3067.4</v>
      </c>
      <c r="T211" s="10" t="s">
        <v>734</v>
      </c>
      <c r="U211" s="7" t="n">
        <v>2</v>
      </c>
      <c r="V211" s="12" t="s">
        <v>376</v>
      </c>
      <c r="W211" s="12" t="s">
        <v>79</v>
      </c>
      <c r="X211" s="12" t="s">
        <v>86</v>
      </c>
      <c r="Y211" s="10"/>
      <c r="Z211" s="7" t="s">
        <v>688</v>
      </c>
      <c r="AA211" s="7" t="n">
        <v>14</v>
      </c>
      <c r="AB211" s="9" t="n">
        <v>0.426797666857908</v>
      </c>
    </row>
    <row r="212" customFormat="false" ht="23.85" hidden="false" customHeight="false" outlineLevel="0" collapsed="false">
      <c r="A212" s="7" t="n">
        <v>208</v>
      </c>
      <c r="B212" s="12" t="s">
        <v>145</v>
      </c>
      <c r="C212" s="10" t="s">
        <v>145</v>
      </c>
      <c r="D212" s="12" t="s">
        <v>1105</v>
      </c>
      <c r="E212" s="12" t="s">
        <v>932</v>
      </c>
      <c r="F212" s="10" t="s">
        <v>957</v>
      </c>
      <c r="G212" s="12" t="s">
        <v>656</v>
      </c>
      <c r="H212" s="26" t="n">
        <v>36.5855</v>
      </c>
      <c r="I212" s="7" t="n">
        <v>1</v>
      </c>
      <c r="J212" s="7" t="n">
        <v>223</v>
      </c>
      <c r="K212" s="11" t="n">
        <v>53539.87</v>
      </c>
      <c r="L212" s="10" t="s">
        <v>146</v>
      </c>
      <c r="M212" s="26" t="n">
        <v>36.5855</v>
      </c>
      <c r="N212" s="12" t="s">
        <v>657</v>
      </c>
      <c r="O212" s="12" t="s">
        <v>77</v>
      </c>
      <c r="P212" s="10" t="s">
        <v>658</v>
      </c>
      <c r="Q212" s="30" t="s">
        <v>944</v>
      </c>
      <c r="R212" s="34" t="n">
        <v>1</v>
      </c>
      <c r="S212" s="11" t="n">
        <v>53539.9</v>
      </c>
      <c r="T212" s="10" t="s">
        <v>948</v>
      </c>
      <c r="U212" s="7" t="n">
        <v>1</v>
      </c>
      <c r="V212" s="12" t="s">
        <v>126</v>
      </c>
      <c r="W212" s="12" t="s">
        <v>79</v>
      </c>
      <c r="X212" s="12" t="s">
        <v>97</v>
      </c>
      <c r="Y212" s="10"/>
      <c r="Z212" s="7" t="s">
        <v>106</v>
      </c>
      <c r="AA212" s="7" t="n">
        <v>7</v>
      </c>
      <c r="AB212" s="9" t="n">
        <v>0.751319563970166</v>
      </c>
    </row>
    <row r="213" customFormat="false" ht="23.85" hidden="false" customHeight="false" outlineLevel="0" collapsed="false">
      <c r="A213" s="7" t="n">
        <v>209</v>
      </c>
      <c r="B213" s="12" t="s">
        <v>131</v>
      </c>
      <c r="C213" s="10" t="s">
        <v>1134</v>
      </c>
      <c r="D213" s="12" t="s">
        <v>1105</v>
      </c>
      <c r="E213" s="12" t="s">
        <v>1191</v>
      </c>
      <c r="F213" s="10" t="s">
        <v>1192</v>
      </c>
      <c r="G213" s="12" t="s">
        <v>656</v>
      </c>
      <c r="H213" s="26" t="n">
        <v>378</v>
      </c>
      <c r="I213" s="7" t="n">
        <v>1</v>
      </c>
      <c r="J213" s="7" t="n">
        <v>42</v>
      </c>
      <c r="K213" s="11" t="n">
        <v>1874.63</v>
      </c>
      <c r="L213" s="10" t="s">
        <v>132</v>
      </c>
      <c r="M213" s="26" t="n">
        <v>378</v>
      </c>
      <c r="N213" s="12" t="s">
        <v>657</v>
      </c>
      <c r="O213" s="12" t="s">
        <v>102</v>
      </c>
      <c r="P213" s="10" t="s">
        <v>658</v>
      </c>
      <c r="Q213" s="30" t="s">
        <v>944</v>
      </c>
      <c r="R213" s="34" t="n">
        <v>1</v>
      </c>
      <c r="S213" s="11" t="n">
        <v>1874.6</v>
      </c>
      <c r="T213" s="10" t="s">
        <v>1138</v>
      </c>
      <c r="U213" s="7" t="n">
        <v>8</v>
      </c>
      <c r="V213" s="12" t="s">
        <v>448</v>
      </c>
      <c r="W213" s="12" t="s">
        <v>79</v>
      </c>
      <c r="X213" s="12" t="s">
        <v>86</v>
      </c>
      <c r="Y213" s="10" t="s">
        <v>104</v>
      </c>
      <c r="Z213" s="7" t="s">
        <v>688</v>
      </c>
      <c r="AA213" s="7" t="n">
        <v>11</v>
      </c>
      <c r="AB213" s="9" t="n">
        <v>0.57278160260088</v>
      </c>
    </row>
    <row r="214" customFormat="false" ht="35.05" hidden="false" customHeight="false" outlineLevel="0" collapsed="false">
      <c r="A214" s="7" t="n">
        <v>210</v>
      </c>
      <c r="B214" s="12" t="s">
        <v>458</v>
      </c>
      <c r="C214" s="10" t="s">
        <v>1193</v>
      </c>
      <c r="D214" s="12" t="s">
        <v>1105</v>
      </c>
      <c r="E214" s="12" t="s">
        <v>1194</v>
      </c>
      <c r="F214" s="10" t="s">
        <v>1109</v>
      </c>
      <c r="G214" s="12" t="s">
        <v>656</v>
      </c>
      <c r="H214" s="26" t="n">
        <v>28.679</v>
      </c>
      <c r="I214" s="7" t="n">
        <v>1</v>
      </c>
      <c r="J214" s="7" t="n">
        <v>132</v>
      </c>
      <c r="K214" s="11" t="n">
        <v>376.39</v>
      </c>
      <c r="L214" s="10" t="s">
        <v>459</v>
      </c>
      <c r="M214" s="26" t="n">
        <v>28.679</v>
      </c>
      <c r="N214" s="12" t="s">
        <v>657</v>
      </c>
      <c r="O214" s="12" t="s">
        <v>77</v>
      </c>
      <c r="P214" s="10" t="s">
        <v>658</v>
      </c>
      <c r="Q214" s="30" t="s">
        <v>976</v>
      </c>
      <c r="R214" s="34" t="n">
        <v>0.993333333333333</v>
      </c>
      <c r="S214" s="11" t="n">
        <v>373.9</v>
      </c>
      <c r="T214" s="10" t="s">
        <v>1044</v>
      </c>
      <c r="U214" s="7" t="n">
        <v>1</v>
      </c>
      <c r="V214" s="12" t="s">
        <v>323</v>
      </c>
      <c r="W214" s="12" t="s">
        <v>79</v>
      </c>
      <c r="X214" s="12" t="s">
        <v>86</v>
      </c>
      <c r="Y214" s="10"/>
      <c r="Z214" s="7" t="s">
        <v>688</v>
      </c>
      <c r="AA214" s="7" t="n">
        <v>18</v>
      </c>
      <c r="AB214" s="9" t="n">
        <v>0.310178810480015</v>
      </c>
    </row>
    <row r="215" customFormat="false" ht="35.05" hidden="false" customHeight="false" outlineLevel="0" collapsed="false">
      <c r="A215" s="7" t="n">
        <v>211</v>
      </c>
      <c r="B215" s="12" t="s">
        <v>458</v>
      </c>
      <c r="C215" s="10" t="s">
        <v>1193</v>
      </c>
      <c r="D215" s="12" t="s">
        <v>1105</v>
      </c>
      <c r="E215" s="12" t="s">
        <v>1195</v>
      </c>
      <c r="F215" s="10" t="s">
        <v>1196</v>
      </c>
      <c r="G215" s="12" t="s">
        <v>656</v>
      </c>
      <c r="H215" s="26" t="n">
        <v>57.358</v>
      </c>
      <c r="I215" s="7" t="n">
        <v>1</v>
      </c>
      <c r="J215" s="7" t="n">
        <v>132</v>
      </c>
      <c r="K215" s="11" t="n">
        <v>376.39</v>
      </c>
      <c r="L215" s="10" t="s">
        <v>459</v>
      </c>
      <c r="M215" s="26" t="n">
        <v>57.358</v>
      </c>
      <c r="N215" s="12" t="s">
        <v>657</v>
      </c>
      <c r="O215" s="12" t="s">
        <v>77</v>
      </c>
      <c r="P215" s="10" t="s">
        <v>658</v>
      </c>
      <c r="Q215" s="30" t="s">
        <v>976</v>
      </c>
      <c r="R215" s="34" t="n">
        <v>0.993333333333333</v>
      </c>
      <c r="S215" s="11" t="n">
        <v>373.9</v>
      </c>
      <c r="T215" s="10" t="s">
        <v>1044</v>
      </c>
      <c r="U215" s="7" t="n">
        <v>1</v>
      </c>
      <c r="V215" s="12" t="s">
        <v>323</v>
      </c>
      <c r="W215" s="12" t="s">
        <v>79</v>
      </c>
      <c r="X215" s="12" t="s">
        <v>671</v>
      </c>
      <c r="Y215" s="10"/>
      <c r="Z215" s="7" t="s">
        <v>688</v>
      </c>
      <c r="AA215" s="7" t="n">
        <v>18</v>
      </c>
      <c r="AB215" s="9" t="n">
        <v>0.310178810480015</v>
      </c>
    </row>
    <row r="216" customFormat="false" ht="35.05" hidden="false" customHeight="false" outlineLevel="0" collapsed="false">
      <c r="A216" s="7" t="n">
        <v>212</v>
      </c>
      <c r="B216" s="12" t="s">
        <v>458</v>
      </c>
      <c r="C216" s="10" t="s">
        <v>1193</v>
      </c>
      <c r="D216" s="12" t="s">
        <v>1105</v>
      </c>
      <c r="E216" s="12" t="s">
        <v>1197</v>
      </c>
      <c r="F216" s="10" t="s">
        <v>1033</v>
      </c>
      <c r="G216" s="12" t="s">
        <v>656</v>
      </c>
      <c r="H216" s="26" t="n">
        <v>5.733</v>
      </c>
      <c r="I216" s="7" t="n">
        <v>1</v>
      </c>
      <c r="J216" s="7" t="n">
        <v>132</v>
      </c>
      <c r="K216" s="11" t="n">
        <v>376.39</v>
      </c>
      <c r="L216" s="10" t="s">
        <v>459</v>
      </c>
      <c r="M216" s="26" t="n">
        <v>5.733</v>
      </c>
      <c r="N216" s="12" t="s">
        <v>657</v>
      </c>
      <c r="O216" s="12" t="s">
        <v>102</v>
      </c>
      <c r="P216" s="10" t="s">
        <v>658</v>
      </c>
      <c r="Q216" s="30" t="s">
        <v>1198</v>
      </c>
      <c r="R216" s="34" t="n">
        <v>0.993333333333333</v>
      </c>
      <c r="S216" s="11" t="n">
        <v>373.9</v>
      </c>
      <c r="T216" s="10" t="s">
        <v>1044</v>
      </c>
      <c r="U216" s="7" t="n">
        <v>1</v>
      </c>
      <c r="V216" s="12" t="s">
        <v>323</v>
      </c>
      <c r="W216" s="12" t="s">
        <v>79</v>
      </c>
      <c r="X216" s="12" t="s">
        <v>86</v>
      </c>
      <c r="Y216" s="10"/>
      <c r="Z216" s="7" t="s">
        <v>688</v>
      </c>
      <c r="AA216" s="7" t="n">
        <v>18</v>
      </c>
      <c r="AB216" s="9" t="n">
        <v>0.310178810480015</v>
      </c>
    </row>
    <row r="217" customFormat="false" ht="23.85" hidden="false" customHeight="false" outlineLevel="0" collapsed="false">
      <c r="A217" s="7" t="n">
        <v>213</v>
      </c>
      <c r="B217" s="12" t="s">
        <v>131</v>
      </c>
      <c r="C217" s="10" t="s">
        <v>1199</v>
      </c>
      <c r="D217" s="12" t="s">
        <v>1105</v>
      </c>
      <c r="E217" s="12" t="s">
        <v>1200</v>
      </c>
      <c r="F217" s="10" t="s">
        <v>1033</v>
      </c>
      <c r="G217" s="12" t="s">
        <v>656</v>
      </c>
      <c r="H217" s="26" t="n">
        <v>113.715</v>
      </c>
      <c r="I217" s="7" t="n">
        <v>1</v>
      </c>
      <c r="J217" s="7" t="n">
        <v>42</v>
      </c>
      <c r="K217" s="11" t="n">
        <v>1874.63</v>
      </c>
      <c r="L217" s="10" t="s">
        <v>132</v>
      </c>
      <c r="M217" s="26" t="n">
        <v>113.715</v>
      </c>
      <c r="N217" s="12" t="s">
        <v>657</v>
      </c>
      <c r="O217" s="12" t="s">
        <v>77</v>
      </c>
      <c r="P217" s="10" t="s">
        <v>658</v>
      </c>
      <c r="Q217" s="30" t="s">
        <v>983</v>
      </c>
      <c r="R217" s="34" t="n">
        <v>1</v>
      </c>
      <c r="S217" s="11" t="n">
        <v>1874.6</v>
      </c>
      <c r="T217" s="10" t="s">
        <v>1138</v>
      </c>
      <c r="U217" s="7" t="n">
        <v>8</v>
      </c>
      <c r="V217" s="12" t="s">
        <v>448</v>
      </c>
      <c r="W217" s="12" t="s">
        <v>79</v>
      </c>
      <c r="X217" s="12" t="s">
        <v>86</v>
      </c>
      <c r="Y217" s="10" t="s">
        <v>104</v>
      </c>
      <c r="Z217" s="7" t="s">
        <v>688</v>
      </c>
      <c r="AA217" s="7" t="n">
        <v>11</v>
      </c>
      <c r="AB217" s="9" t="n">
        <v>0.57278160260088</v>
      </c>
    </row>
    <row r="218" customFormat="false" ht="35.05" hidden="false" customHeight="false" outlineLevel="0" collapsed="false">
      <c r="A218" s="7" t="n">
        <v>214</v>
      </c>
      <c r="B218" s="12" t="s">
        <v>162</v>
      </c>
      <c r="C218" s="10" t="s">
        <v>1201</v>
      </c>
      <c r="D218" s="12" t="s">
        <v>1105</v>
      </c>
      <c r="E218" s="12" t="s">
        <v>1202</v>
      </c>
      <c r="F218" s="10" t="s">
        <v>1056</v>
      </c>
      <c r="G218" s="12" t="s">
        <v>656</v>
      </c>
      <c r="H218" s="26"/>
      <c r="I218" s="7" t="n">
        <v>1</v>
      </c>
      <c r="J218" s="7" t="n">
        <v>156</v>
      </c>
      <c r="K218" s="11" t="n">
        <v>3954.83</v>
      </c>
      <c r="L218" s="10" t="s">
        <v>163</v>
      </c>
      <c r="M218" s="35" t="n">
        <v>127.38</v>
      </c>
      <c r="N218" s="12" t="s">
        <v>664</v>
      </c>
      <c r="O218" s="12" t="s">
        <v>102</v>
      </c>
      <c r="P218" s="10" t="s">
        <v>1049</v>
      </c>
      <c r="Q218" s="30" t="s">
        <v>1050</v>
      </c>
      <c r="R218" s="34" t="n">
        <v>0.916666666666667</v>
      </c>
      <c r="S218" s="11" t="n">
        <v>3625.3</v>
      </c>
      <c r="T218" s="10" t="s">
        <v>1003</v>
      </c>
      <c r="U218" s="7" t="n">
        <v>2</v>
      </c>
      <c r="V218" s="12" t="s">
        <v>144</v>
      </c>
      <c r="W218" s="12" t="s">
        <v>79</v>
      </c>
      <c r="X218" s="12" t="s">
        <v>86</v>
      </c>
      <c r="Y218" s="10"/>
      <c r="Z218" s="7" t="s">
        <v>106</v>
      </c>
      <c r="AA218" s="7" t="n">
        <v>10</v>
      </c>
      <c r="AB218" s="9" t="n">
        <v>0.628996940141519</v>
      </c>
    </row>
    <row r="219" customFormat="false" ht="35.05" hidden="false" customHeight="false" outlineLevel="0" collapsed="false">
      <c r="A219" s="7" t="n">
        <v>215</v>
      </c>
      <c r="B219" s="12" t="s">
        <v>107</v>
      </c>
      <c r="C219" s="10" t="s">
        <v>1203</v>
      </c>
      <c r="D219" s="12" t="s">
        <v>1105</v>
      </c>
      <c r="E219" s="12" t="s">
        <v>1037</v>
      </c>
      <c r="F219" s="10" t="s">
        <v>1038</v>
      </c>
      <c r="G219" s="12" t="s">
        <v>656</v>
      </c>
      <c r="H219" s="26"/>
      <c r="I219" s="7" t="n">
        <v>1</v>
      </c>
      <c r="J219" s="7" t="n">
        <v>312</v>
      </c>
      <c r="K219" s="11" t="n">
        <v>59827.18</v>
      </c>
      <c r="L219" s="10" t="s">
        <v>108</v>
      </c>
      <c r="M219" s="26"/>
      <c r="N219" s="12" t="s">
        <v>701</v>
      </c>
      <c r="O219" s="12" t="s">
        <v>323</v>
      </c>
      <c r="P219" s="10" t="s">
        <v>323</v>
      </c>
      <c r="Q219" s="12"/>
      <c r="R219" s="34" t="n">
        <v>1</v>
      </c>
      <c r="S219" s="11" t="n">
        <v>59827.2</v>
      </c>
      <c r="T219" s="10" t="s">
        <v>1160</v>
      </c>
      <c r="U219" s="7" t="n">
        <v>15</v>
      </c>
      <c r="V219" s="12" t="s">
        <v>156</v>
      </c>
      <c r="W219" s="12" t="s">
        <v>79</v>
      </c>
      <c r="X219" s="12" t="s">
        <v>80</v>
      </c>
      <c r="Y219" s="10" t="s">
        <v>111</v>
      </c>
      <c r="Z219" s="7" t="s">
        <v>74</v>
      </c>
      <c r="AA219" s="7" t="n">
        <v>3</v>
      </c>
      <c r="AB219" s="9" t="n">
        <v>0.867804551539491</v>
      </c>
    </row>
    <row r="220" customFormat="false" ht="35.05" hidden="false" customHeight="false" outlineLevel="0" collapsed="false">
      <c r="A220" s="7" t="n">
        <v>216</v>
      </c>
      <c r="B220" s="12" t="s">
        <v>107</v>
      </c>
      <c r="C220" s="10" t="s">
        <v>1203</v>
      </c>
      <c r="D220" s="12" t="s">
        <v>1105</v>
      </c>
      <c r="E220" s="12" t="s">
        <v>963</v>
      </c>
      <c r="F220" s="10" t="s">
        <v>964</v>
      </c>
      <c r="G220" s="12" t="s">
        <v>656</v>
      </c>
      <c r="H220" s="26"/>
      <c r="I220" s="7" t="n">
        <v>1</v>
      </c>
      <c r="J220" s="7" t="n">
        <v>312</v>
      </c>
      <c r="K220" s="11" t="n">
        <v>59827.18</v>
      </c>
      <c r="L220" s="10" t="s">
        <v>108</v>
      </c>
      <c r="M220" s="26"/>
      <c r="N220" s="12" t="s">
        <v>701</v>
      </c>
      <c r="O220" s="12" t="s">
        <v>323</v>
      </c>
      <c r="P220" s="10" t="s">
        <v>323</v>
      </c>
      <c r="Q220" s="12"/>
      <c r="R220" s="34" t="n">
        <v>1</v>
      </c>
      <c r="S220" s="11" t="n">
        <v>59827.2</v>
      </c>
      <c r="T220" s="10" t="s">
        <v>1160</v>
      </c>
      <c r="U220" s="7" t="n">
        <v>15</v>
      </c>
      <c r="V220" s="12" t="s">
        <v>156</v>
      </c>
      <c r="W220" s="12" t="s">
        <v>79</v>
      </c>
      <c r="X220" s="12" t="s">
        <v>80</v>
      </c>
      <c r="Y220" s="10" t="s">
        <v>111</v>
      </c>
      <c r="Z220" s="7" t="s">
        <v>74</v>
      </c>
      <c r="AA220" s="7" t="n">
        <v>3</v>
      </c>
      <c r="AB220" s="9" t="n">
        <v>0.867804551539491</v>
      </c>
    </row>
    <row r="221" customFormat="false" ht="46.25" hidden="false" customHeight="false" outlineLevel="0" collapsed="false">
      <c r="A221" s="7" t="n">
        <v>217</v>
      </c>
      <c r="B221" s="12" t="s">
        <v>117</v>
      </c>
      <c r="C221" s="10" t="s">
        <v>1204</v>
      </c>
      <c r="D221" s="12" t="s">
        <v>1105</v>
      </c>
      <c r="E221" s="12" t="s">
        <v>1032</v>
      </c>
      <c r="F221" s="10" t="s">
        <v>1033</v>
      </c>
      <c r="G221" s="12" t="s">
        <v>656</v>
      </c>
      <c r="H221" s="26"/>
      <c r="I221" s="7" t="n">
        <v>1</v>
      </c>
      <c r="J221" s="7" t="n">
        <v>346</v>
      </c>
      <c r="K221" s="11" t="n">
        <v>32830.17</v>
      </c>
      <c r="L221" s="10" t="s">
        <v>118</v>
      </c>
      <c r="M221" s="26"/>
      <c r="N221" s="12" t="s">
        <v>701</v>
      </c>
      <c r="O221" s="12" t="s">
        <v>323</v>
      </c>
      <c r="P221" s="10" t="s">
        <v>323</v>
      </c>
      <c r="Q221" s="12"/>
      <c r="R221" s="34" t="n">
        <v>1</v>
      </c>
      <c r="S221" s="11" t="n">
        <v>32830.2</v>
      </c>
      <c r="T221" s="10" t="s">
        <v>1153</v>
      </c>
      <c r="U221" s="7" t="n">
        <v>21</v>
      </c>
      <c r="V221" s="12" t="s">
        <v>160</v>
      </c>
      <c r="W221" s="12" t="s">
        <v>79</v>
      </c>
      <c r="X221" s="12" t="s">
        <v>86</v>
      </c>
      <c r="Y221" s="10"/>
      <c r="Z221" s="7" t="s">
        <v>106</v>
      </c>
      <c r="AA221" s="7" t="n">
        <v>8</v>
      </c>
      <c r="AB221" s="9" t="n">
        <v>0.745983935742972</v>
      </c>
    </row>
    <row r="222" customFormat="false" ht="46.25" hidden="false" customHeight="false" outlineLevel="0" collapsed="false">
      <c r="A222" s="7" t="n">
        <v>218</v>
      </c>
      <c r="B222" s="12" t="s">
        <v>117</v>
      </c>
      <c r="C222" s="10" t="s">
        <v>1205</v>
      </c>
      <c r="D222" s="12" t="s">
        <v>1105</v>
      </c>
      <c r="E222" s="12" t="s">
        <v>1034</v>
      </c>
      <c r="F222" s="10" t="s">
        <v>1035</v>
      </c>
      <c r="G222" s="12" t="s">
        <v>656</v>
      </c>
      <c r="H222" s="26"/>
      <c r="I222" s="7" t="n">
        <v>1</v>
      </c>
      <c r="J222" s="7" t="n">
        <v>346</v>
      </c>
      <c r="K222" s="11" t="n">
        <v>32830.17</v>
      </c>
      <c r="L222" s="10" t="s">
        <v>118</v>
      </c>
      <c r="M222" s="26"/>
      <c r="N222" s="12" t="s">
        <v>701</v>
      </c>
      <c r="O222" s="12" t="s">
        <v>323</v>
      </c>
      <c r="P222" s="10" t="s">
        <v>323</v>
      </c>
      <c r="Q222" s="12"/>
      <c r="R222" s="34" t="n">
        <v>1</v>
      </c>
      <c r="S222" s="11" t="n">
        <v>32830.2</v>
      </c>
      <c r="T222" s="10" t="s">
        <v>1153</v>
      </c>
      <c r="U222" s="7" t="n">
        <v>21</v>
      </c>
      <c r="V222" s="12" t="s">
        <v>160</v>
      </c>
      <c r="W222" s="12" t="s">
        <v>79</v>
      </c>
      <c r="X222" s="12" t="s">
        <v>86</v>
      </c>
      <c r="Y222" s="10"/>
      <c r="Z222" s="7" t="s">
        <v>106</v>
      </c>
      <c r="AA222" s="7" t="n">
        <v>8</v>
      </c>
      <c r="AB222" s="9" t="n">
        <v>0.745983935742972</v>
      </c>
    </row>
    <row r="223" customFormat="false" ht="23.85" hidden="false" customHeight="false" outlineLevel="0" collapsed="false">
      <c r="A223" s="7" t="n">
        <v>219</v>
      </c>
      <c r="B223" s="12" t="s">
        <v>400</v>
      </c>
      <c r="C223" s="10" t="s">
        <v>1206</v>
      </c>
      <c r="D223" s="12" t="s">
        <v>1105</v>
      </c>
      <c r="E223" s="12" t="s">
        <v>1061</v>
      </c>
      <c r="F223" s="10" t="s">
        <v>1035</v>
      </c>
      <c r="G223" s="12" t="s">
        <v>656</v>
      </c>
      <c r="H223" s="26" t="n">
        <v>6.937</v>
      </c>
      <c r="I223" s="7" t="n">
        <v>1</v>
      </c>
      <c r="J223" s="7" t="n">
        <v>119</v>
      </c>
      <c r="K223" s="11" t="n">
        <v>3113.83</v>
      </c>
      <c r="L223" s="10" t="s">
        <v>401</v>
      </c>
      <c r="M223" s="26" t="n">
        <v>6.937</v>
      </c>
      <c r="N223" s="12" t="s">
        <v>657</v>
      </c>
      <c r="O223" s="12" t="s">
        <v>77</v>
      </c>
      <c r="P223" s="10" t="s">
        <v>658</v>
      </c>
      <c r="Q223" s="30" t="s">
        <v>976</v>
      </c>
      <c r="R223" s="34" t="n">
        <v>0.899884259259259</v>
      </c>
      <c r="S223" s="11" t="n">
        <v>2802.1</v>
      </c>
      <c r="T223" s="10" t="s">
        <v>1124</v>
      </c>
      <c r="U223" s="7" t="n">
        <v>5</v>
      </c>
      <c r="V223" s="12" t="s">
        <v>450</v>
      </c>
      <c r="W223" s="12" t="s">
        <v>79</v>
      </c>
      <c r="X223" s="12" t="s">
        <v>86</v>
      </c>
      <c r="Y223" s="10"/>
      <c r="Z223" s="7" t="s">
        <v>688</v>
      </c>
      <c r="AA223" s="7" t="n">
        <v>12</v>
      </c>
      <c r="AB223" s="9" t="n">
        <v>0.468268311340601</v>
      </c>
    </row>
    <row r="224" customFormat="false" ht="79.85" hidden="false" customHeight="false" outlineLevel="0" collapsed="false">
      <c r="A224" s="7" t="n">
        <v>220</v>
      </c>
      <c r="B224" s="12" t="s">
        <v>75</v>
      </c>
      <c r="C224" s="10" t="s">
        <v>1207</v>
      </c>
      <c r="D224" s="12" t="s">
        <v>1105</v>
      </c>
      <c r="E224" s="12" t="s">
        <v>978</v>
      </c>
      <c r="F224" s="10" t="s">
        <v>979</v>
      </c>
      <c r="G224" s="12" t="s">
        <v>656</v>
      </c>
      <c r="H224" s="26" t="n">
        <v>10.241</v>
      </c>
      <c r="I224" s="7" t="n">
        <v>1</v>
      </c>
      <c r="J224" s="7" t="n">
        <v>762</v>
      </c>
      <c r="K224" s="11" t="n">
        <v>50865.56</v>
      </c>
      <c r="L224" s="10" t="s">
        <v>76</v>
      </c>
      <c r="M224" s="26" t="n">
        <v>10.241</v>
      </c>
      <c r="N224" s="12" t="s">
        <v>657</v>
      </c>
      <c r="O224" s="12" t="s">
        <v>77</v>
      </c>
      <c r="P224" s="10" t="s">
        <v>658</v>
      </c>
      <c r="Q224" s="30" t="s">
        <v>976</v>
      </c>
      <c r="R224" s="34" t="n">
        <v>0.829278792417718</v>
      </c>
      <c r="S224" s="11" t="n">
        <v>42181.7</v>
      </c>
      <c r="T224" s="10" t="s">
        <v>1168</v>
      </c>
      <c r="U224" s="7" t="n">
        <v>34</v>
      </c>
      <c r="V224" s="12" t="s">
        <v>154</v>
      </c>
      <c r="W224" s="12" t="s">
        <v>79</v>
      </c>
      <c r="X224" s="12" t="s">
        <v>80</v>
      </c>
      <c r="Y224" s="10" t="s">
        <v>81</v>
      </c>
      <c r="Z224" s="7" t="s">
        <v>74</v>
      </c>
      <c r="AA224" s="7" t="n">
        <v>1</v>
      </c>
      <c r="AB224" s="9" t="n">
        <v>0.891652323580034</v>
      </c>
    </row>
    <row r="225" customFormat="false" ht="23.85" hidden="false" customHeight="false" outlineLevel="0" collapsed="false">
      <c r="A225" s="7" t="n">
        <v>221</v>
      </c>
      <c r="B225" s="12" t="s">
        <v>131</v>
      </c>
      <c r="C225" s="10" t="s">
        <v>1208</v>
      </c>
      <c r="D225" s="12" t="s">
        <v>1105</v>
      </c>
      <c r="E225" s="12" t="s">
        <v>1209</v>
      </c>
      <c r="F225" s="10" t="s">
        <v>1210</v>
      </c>
      <c r="G225" s="12" t="s">
        <v>656</v>
      </c>
      <c r="H225" s="26" t="n">
        <v>308.77</v>
      </c>
      <c r="I225" s="7" t="n">
        <v>1</v>
      </c>
      <c r="J225" s="7" t="n">
        <v>42</v>
      </c>
      <c r="K225" s="11" t="n">
        <v>1874.63</v>
      </c>
      <c r="L225" s="10" t="s">
        <v>132</v>
      </c>
      <c r="M225" s="26" t="n">
        <v>308.77</v>
      </c>
      <c r="N225" s="12" t="s">
        <v>657</v>
      </c>
      <c r="O225" s="12" t="s">
        <v>77</v>
      </c>
      <c r="P225" s="10" t="s">
        <v>658</v>
      </c>
      <c r="Q225" s="30" t="s">
        <v>991</v>
      </c>
      <c r="R225" s="34" t="n">
        <v>1</v>
      </c>
      <c r="S225" s="11" t="n">
        <v>1874.6</v>
      </c>
      <c r="T225" s="10" t="s">
        <v>1138</v>
      </c>
      <c r="U225" s="7" t="n">
        <v>8</v>
      </c>
      <c r="V225" s="12" t="s">
        <v>448</v>
      </c>
      <c r="W225" s="12" t="s">
        <v>79</v>
      </c>
      <c r="X225" s="12" t="s">
        <v>86</v>
      </c>
      <c r="Y225" s="10" t="s">
        <v>104</v>
      </c>
      <c r="Z225" s="7" t="s">
        <v>688</v>
      </c>
      <c r="AA225" s="7" t="n">
        <v>11</v>
      </c>
      <c r="AB225" s="9" t="n">
        <v>0.57278160260088</v>
      </c>
    </row>
    <row r="226" customFormat="false" ht="46.25" hidden="false" customHeight="false" outlineLevel="0" collapsed="false">
      <c r="A226" s="7" t="n">
        <v>222</v>
      </c>
      <c r="B226" s="12" t="s">
        <v>117</v>
      </c>
      <c r="C226" s="10" t="s">
        <v>1211</v>
      </c>
      <c r="D226" s="12" t="s">
        <v>1105</v>
      </c>
      <c r="E226" s="12" t="s">
        <v>1079</v>
      </c>
      <c r="F226" s="10" t="s">
        <v>1080</v>
      </c>
      <c r="G226" s="12" t="s">
        <v>656</v>
      </c>
      <c r="H226" s="26" t="n">
        <v>6.93</v>
      </c>
      <c r="I226" s="7" t="n">
        <v>1</v>
      </c>
      <c r="J226" s="7" t="n">
        <v>346</v>
      </c>
      <c r="K226" s="11" t="n">
        <v>32830.17</v>
      </c>
      <c r="L226" s="10" t="s">
        <v>118</v>
      </c>
      <c r="M226" s="26" t="n">
        <v>6.93</v>
      </c>
      <c r="N226" s="12" t="s">
        <v>657</v>
      </c>
      <c r="O226" s="12" t="s">
        <v>77</v>
      </c>
      <c r="P226" s="10" t="s">
        <v>1069</v>
      </c>
      <c r="Q226" s="30" t="s">
        <v>1212</v>
      </c>
      <c r="R226" s="34" t="n">
        <v>1</v>
      </c>
      <c r="S226" s="11" t="n">
        <v>32830.2</v>
      </c>
      <c r="T226" s="10" t="s">
        <v>1153</v>
      </c>
      <c r="U226" s="7" t="n">
        <v>21</v>
      </c>
      <c r="V226" s="12" t="s">
        <v>160</v>
      </c>
      <c r="W226" s="12" t="s">
        <v>79</v>
      </c>
      <c r="X226" s="12" t="s">
        <v>86</v>
      </c>
      <c r="Y226" s="10"/>
      <c r="Z226" s="7" t="s">
        <v>106</v>
      </c>
      <c r="AA226" s="7" t="n">
        <v>8</v>
      </c>
      <c r="AB226" s="9" t="n">
        <v>0.745983935742972</v>
      </c>
    </row>
    <row r="227" customFormat="false" ht="35.05" hidden="false" customHeight="false" outlineLevel="0" collapsed="false">
      <c r="A227" s="7" t="n">
        <v>223</v>
      </c>
      <c r="B227" s="12" t="s">
        <v>114</v>
      </c>
      <c r="C227" s="10" t="s">
        <v>1213</v>
      </c>
      <c r="D227" s="12" t="s">
        <v>1105</v>
      </c>
      <c r="E227" s="12" t="s">
        <v>1214</v>
      </c>
      <c r="F227" s="10" t="s">
        <v>891</v>
      </c>
      <c r="G227" s="12" t="s">
        <v>663</v>
      </c>
      <c r="H227" s="26" t="n">
        <v>87.27</v>
      </c>
      <c r="I227" s="7" t="n">
        <v>1</v>
      </c>
      <c r="J227" s="7" t="n">
        <v>146</v>
      </c>
      <c r="K227" s="11" t="n">
        <v>11366.06</v>
      </c>
      <c r="L227" s="10" t="s">
        <v>115</v>
      </c>
      <c r="M227" s="26" t="n">
        <v>87.27</v>
      </c>
      <c r="N227" s="12" t="s">
        <v>657</v>
      </c>
      <c r="O227" s="12" t="s">
        <v>77</v>
      </c>
      <c r="P227" s="10" t="s">
        <v>1069</v>
      </c>
      <c r="Q227" s="30" t="s">
        <v>1215</v>
      </c>
      <c r="R227" s="34" t="n">
        <v>1</v>
      </c>
      <c r="S227" s="11" t="n">
        <v>11366.1</v>
      </c>
      <c r="T227" s="10" t="s">
        <v>1128</v>
      </c>
      <c r="U227" s="7" t="n">
        <v>14</v>
      </c>
      <c r="V227" s="12" t="s">
        <v>157</v>
      </c>
      <c r="W227" s="12" t="s">
        <v>85</v>
      </c>
      <c r="X227" s="12" t="s">
        <v>86</v>
      </c>
      <c r="Y227" s="10" t="s">
        <v>87</v>
      </c>
      <c r="Z227" s="7" t="s">
        <v>74</v>
      </c>
      <c r="AA227" s="7" t="n">
        <v>4</v>
      </c>
      <c r="AB227" s="9" t="n">
        <v>0.77988143048384</v>
      </c>
    </row>
    <row r="228" customFormat="false" ht="46.25" hidden="false" customHeight="false" outlineLevel="0" collapsed="false">
      <c r="A228" s="7" t="n">
        <v>224</v>
      </c>
      <c r="B228" s="12" t="s">
        <v>89</v>
      </c>
      <c r="C228" s="10" t="s">
        <v>1216</v>
      </c>
      <c r="D228" s="12" t="s">
        <v>1105</v>
      </c>
      <c r="E228" s="12" t="s">
        <v>1083</v>
      </c>
      <c r="F228" s="10" t="s">
        <v>1217</v>
      </c>
      <c r="G228" s="12" t="s">
        <v>656</v>
      </c>
      <c r="H228" s="26" t="n">
        <v>102.85</v>
      </c>
      <c r="I228" s="7" t="n">
        <v>1</v>
      </c>
      <c r="J228" s="7" t="n">
        <v>905</v>
      </c>
      <c r="K228" s="11" t="n">
        <v>28093.38</v>
      </c>
      <c r="L228" s="10" t="s">
        <v>90</v>
      </c>
      <c r="M228" s="26" t="n">
        <v>102.85</v>
      </c>
      <c r="N228" s="12" t="s">
        <v>657</v>
      </c>
      <c r="O228" s="12" t="s">
        <v>77</v>
      </c>
      <c r="P228" s="10" t="s">
        <v>1069</v>
      </c>
      <c r="Q228" s="30" t="s">
        <v>1218</v>
      </c>
      <c r="R228" s="34" t="n">
        <v>1</v>
      </c>
      <c r="S228" s="11" t="n">
        <v>28093.4</v>
      </c>
      <c r="T228" s="10" t="s">
        <v>1126</v>
      </c>
      <c r="U228" s="7" t="n">
        <v>18</v>
      </c>
      <c r="V228" s="12" t="s">
        <v>155</v>
      </c>
      <c r="W228" s="12" t="s">
        <v>79</v>
      </c>
      <c r="X228" s="12" t="s">
        <v>86</v>
      </c>
      <c r="Y228" s="10" t="s">
        <v>81</v>
      </c>
      <c r="Z228" s="7" t="s">
        <v>74</v>
      </c>
      <c r="AA228" s="7" t="n">
        <v>2</v>
      </c>
      <c r="AB228" s="9" t="n">
        <v>0.87862401988908</v>
      </c>
    </row>
    <row r="229" customFormat="false" ht="79.85" hidden="false" customHeight="false" outlineLevel="0" collapsed="false">
      <c r="A229" s="7" t="n">
        <v>225</v>
      </c>
      <c r="B229" s="12" t="s">
        <v>75</v>
      </c>
      <c r="C229" s="10" t="s">
        <v>1219</v>
      </c>
      <c r="D229" s="12" t="s">
        <v>1105</v>
      </c>
      <c r="E229" s="12" t="s">
        <v>1220</v>
      </c>
      <c r="F229" s="10" t="s">
        <v>1221</v>
      </c>
      <c r="G229" s="12" t="s">
        <v>656</v>
      </c>
      <c r="H229" s="26" t="n">
        <v>129.54</v>
      </c>
      <c r="I229" s="7" t="n">
        <v>1</v>
      </c>
      <c r="J229" s="7" t="n">
        <v>762</v>
      </c>
      <c r="K229" s="11" t="n">
        <v>50865.56</v>
      </c>
      <c r="L229" s="10" t="s">
        <v>76</v>
      </c>
      <c r="M229" s="26" t="n">
        <v>129.54</v>
      </c>
      <c r="N229" s="12" t="s">
        <v>657</v>
      </c>
      <c r="O229" s="12" t="s">
        <v>77</v>
      </c>
      <c r="P229" s="10" t="s">
        <v>658</v>
      </c>
      <c r="Q229" s="30" t="s">
        <v>991</v>
      </c>
      <c r="R229" s="34" t="n">
        <v>0.829278792417718</v>
      </c>
      <c r="S229" s="11" t="n">
        <v>42181.7</v>
      </c>
      <c r="T229" s="10" t="s">
        <v>1168</v>
      </c>
      <c r="U229" s="7" t="n">
        <v>34</v>
      </c>
      <c r="V229" s="12" t="s">
        <v>154</v>
      </c>
      <c r="W229" s="12" t="s">
        <v>79</v>
      </c>
      <c r="X229" s="12" t="s">
        <v>110</v>
      </c>
      <c r="Y229" s="10" t="s">
        <v>81</v>
      </c>
      <c r="Z229" s="7" t="s">
        <v>74</v>
      </c>
      <c r="AA229" s="7" t="n">
        <v>1</v>
      </c>
      <c r="AB229" s="9" t="n">
        <v>0.891652323580034</v>
      </c>
    </row>
    <row r="230" customFormat="false" ht="35.05" hidden="false" customHeight="false" outlineLevel="0" collapsed="false">
      <c r="A230" s="7" t="n">
        <v>226</v>
      </c>
      <c r="B230" s="12" t="s">
        <v>75</v>
      </c>
      <c r="C230" s="10" t="s">
        <v>1222</v>
      </c>
      <c r="D230" s="12" t="s">
        <v>1223</v>
      </c>
      <c r="E230" s="12" t="s">
        <v>838</v>
      </c>
      <c r="F230" s="10" t="s">
        <v>839</v>
      </c>
      <c r="G230" s="12" t="s">
        <v>656</v>
      </c>
      <c r="H230" s="26" t="n">
        <v>424.36</v>
      </c>
      <c r="I230" s="7" t="n">
        <v>1</v>
      </c>
      <c r="J230" s="7" t="n">
        <v>762</v>
      </c>
      <c r="K230" s="11" t="n">
        <v>50865.56</v>
      </c>
      <c r="L230" s="10" t="s">
        <v>76</v>
      </c>
      <c r="M230" s="26" t="n">
        <v>424.36</v>
      </c>
      <c r="N230" s="12" t="s">
        <v>657</v>
      </c>
      <c r="O230" s="12" t="s">
        <v>77</v>
      </c>
      <c r="P230" s="10" t="s">
        <v>658</v>
      </c>
      <c r="Q230" s="30" t="s">
        <v>1224</v>
      </c>
      <c r="R230" s="34" t="n">
        <v>0.829278792417718</v>
      </c>
      <c r="S230" s="11" t="n">
        <v>42181.7</v>
      </c>
      <c r="T230" s="10" t="s">
        <v>1225</v>
      </c>
      <c r="U230" s="7" t="n">
        <v>11</v>
      </c>
      <c r="V230" s="12" t="s">
        <v>109</v>
      </c>
      <c r="W230" s="12" t="s">
        <v>79</v>
      </c>
      <c r="X230" s="12" t="s">
        <v>80</v>
      </c>
      <c r="Y230" s="10" t="s">
        <v>81</v>
      </c>
      <c r="Z230" s="7" t="s">
        <v>74</v>
      </c>
      <c r="AA230" s="7" t="n">
        <v>1</v>
      </c>
      <c r="AB230" s="9" t="n">
        <v>0.913874545802257</v>
      </c>
    </row>
    <row r="231" customFormat="false" ht="23.85" hidden="false" customHeight="false" outlineLevel="0" collapsed="false">
      <c r="A231" s="7" t="n">
        <v>227</v>
      </c>
      <c r="B231" s="12" t="s">
        <v>117</v>
      </c>
      <c r="C231" s="10" t="s">
        <v>117</v>
      </c>
      <c r="D231" s="12" t="s">
        <v>1223</v>
      </c>
      <c r="E231" s="12" t="s">
        <v>934</v>
      </c>
      <c r="F231" s="10" t="s">
        <v>1080</v>
      </c>
      <c r="G231" s="12" t="s">
        <v>656</v>
      </c>
      <c r="H231" s="26" t="n">
        <v>56.77</v>
      </c>
      <c r="I231" s="7" t="n">
        <v>1</v>
      </c>
      <c r="J231" s="7" t="n">
        <v>346</v>
      </c>
      <c r="K231" s="11" t="n">
        <v>32830.17</v>
      </c>
      <c r="L231" s="10" t="s">
        <v>118</v>
      </c>
      <c r="M231" s="26" t="n">
        <v>56.77</v>
      </c>
      <c r="N231" s="12" t="s">
        <v>657</v>
      </c>
      <c r="O231" s="12" t="s">
        <v>77</v>
      </c>
      <c r="P231" s="10" t="s">
        <v>658</v>
      </c>
      <c r="Q231" s="30" t="s">
        <v>1226</v>
      </c>
      <c r="R231" s="34" t="n">
        <v>1</v>
      </c>
      <c r="S231" s="11" t="n">
        <v>32830.2</v>
      </c>
      <c r="T231" s="10" t="s">
        <v>1227</v>
      </c>
      <c r="U231" s="7" t="n">
        <v>7</v>
      </c>
      <c r="V231" s="12" t="s">
        <v>109</v>
      </c>
      <c r="W231" s="12" t="s">
        <v>79</v>
      </c>
      <c r="X231" s="12" t="s">
        <v>86</v>
      </c>
      <c r="Y231" s="10"/>
      <c r="Z231" s="7" t="s">
        <v>74</v>
      </c>
      <c r="AA231" s="7" t="n">
        <v>5</v>
      </c>
      <c r="AB231" s="9" t="n">
        <v>0.771380761139797</v>
      </c>
    </row>
    <row r="232" customFormat="false" ht="23.85" hidden="false" customHeight="false" outlineLevel="0" collapsed="false">
      <c r="A232" s="7" t="n">
        <v>228</v>
      </c>
      <c r="B232" s="12" t="s">
        <v>107</v>
      </c>
      <c r="C232" s="10" t="s">
        <v>1228</v>
      </c>
      <c r="D232" s="12" t="s">
        <v>1223</v>
      </c>
      <c r="E232" s="12" t="s">
        <v>1019</v>
      </c>
      <c r="F232" s="10" t="s">
        <v>1229</v>
      </c>
      <c r="G232" s="12" t="s">
        <v>656</v>
      </c>
      <c r="H232" s="26" t="n">
        <v>81.96</v>
      </c>
      <c r="I232" s="7" t="n">
        <v>1</v>
      </c>
      <c r="J232" s="7" t="n">
        <v>312</v>
      </c>
      <c r="K232" s="11" t="n">
        <v>59827.18</v>
      </c>
      <c r="L232" s="10" t="s">
        <v>108</v>
      </c>
      <c r="M232" s="26" t="n">
        <v>81.96</v>
      </c>
      <c r="N232" s="12" t="s">
        <v>657</v>
      </c>
      <c r="O232" s="12" t="s">
        <v>77</v>
      </c>
      <c r="P232" s="10" t="s">
        <v>658</v>
      </c>
      <c r="Q232" s="30" t="s">
        <v>1230</v>
      </c>
      <c r="R232" s="34" t="n">
        <v>1</v>
      </c>
      <c r="S232" s="11" t="n">
        <v>59827.2</v>
      </c>
      <c r="T232" s="10" t="s">
        <v>1231</v>
      </c>
      <c r="U232" s="7" t="n">
        <v>5</v>
      </c>
      <c r="V232" s="12" t="s">
        <v>123</v>
      </c>
      <c r="W232" s="12" t="s">
        <v>79</v>
      </c>
      <c r="X232" s="12" t="s">
        <v>97</v>
      </c>
      <c r="Y232" s="10" t="s">
        <v>111</v>
      </c>
      <c r="Z232" s="7" t="s">
        <v>74</v>
      </c>
      <c r="AA232" s="7" t="n">
        <v>3</v>
      </c>
      <c r="AB232" s="9" t="n">
        <v>0.848756932491872</v>
      </c>
    </row>
    <row r="233" customFormat="false" ht="23.85" hidden="false" customHeight="false" outlineLevel="0" collapsed="false">
      <c r="A233" s="7" t="n">
        <v>229</v>
      </c>
      <c r="B233" s="12" t="s">
        <v>112</v>
      </c>
      <c r="C233" s="10" t="s">
        <v>112</v>
      </c>
      <c r="D233" s="12" t="s">
        <v>1223</v>
      </c>
      <c r="E233" s="12" t="s">
        <v>835</v>
      </c>
      <c r="F233" s="10" t="s">
        <v>836</v>
      </c>
      <c r="G233" s="12" t="s">
        <v>656</v>
      </c>
      <c r="H233" s="26" t="n">
        <v>5023.6</v>
      </c>
      <c r="I233" s="7" t="n">
        <v>1</v>
      </c>
      <c r="J233" s="7" t="n">
        <v>47</v>
      </c>
      <c r="K233" s="11" t="n">
        <v>7904.67</v>
      </c>
      <c r="L233" s="10" t="s">
        <v>113</v>
      </c>
      <c r="M233" s="26" t="n">
        <v>5023.6</v>
      </c>
      <c r="N233" s="12" t="s">
        <v>657</v>
      </c>
      <c r="O233" s="12" t="s">
        <v>77</v>
      </c>
      <c r="P233" s="10" t="s">
        <v>658</v>
      </c>
      <c r="Q233" s="30" t="s">
        <v>1232</v>
      </c>
      <c r="R233" s="34" t="n">
        <v>1</v>
      </c>
      <c r="S233" s="11" t="n">
        <v>7904.7</v>
      </c>
      <c r="T233" s="10" t="s">
        <v>1233</v>
      </c>
      <c r="U233" s="7" t="n">
        <v>4</v>
      </c>
      <c r="V233" s="12" t="s">
        <v>123</v>
      </c>
      <c r="W233" s="12" t="s">
        <v>79</v>
      </c>
      <c r="X233" s="12" t="s">
        <v>86</v>
      </c>
      <c r="Y233" s="10"/>
      <c r="Z233" s="7" t="s">
        <v>74</v>
      </c>
      <c r="AA233" s="7" t="n">
        <v>4</v>
      </c>
      <c r="AB233" s="9" t="n">
        <v>0.823713903231976</v>
      </c>
    </row>
    <row r="234" customFormat="false" ht="35.05" hidden="false" customHeight="false" outlineLevel="0" collapsed="false">
      <c r="A234" s="7" t="n">
        <v>230</v>
      </c>
      <c r="B234" s="12" t="s">
        <v>137</v>
      </c>
      <c r="C234" s="10" t="s">
        <v>1234</v>
      </c>
      <c r="D234" s="12" t="s">
        <v>1223</v>
      </c>
      <c r="E234" s="12" t="s">
        <v>1235</v>
      </c>
      <c r="F234" s="10" t="s">
        <v>1236</v>
      </c>
      <c r="G234" s="12" t="s">
        <v>656</v>
      </c>
      <c r="H234" s="26" t="n">
        <v>452.12</v>
      </c>
      <c r="I234" s="7" t="n">
        <v>1</v>
      </c>
      <c r="J234" s="7" t="n">
        <v>12</v>
      </c>
      <c r="K234" s="11" t="n">
        <v>2202.64</v>
      </c>
      <c r="L234" s="10" t="s">
        <v>138</v>
      </c>
      <c r="M234" s="26" t="n">
        <v>452.12</v>
      </c>
      <c r="N234" s="12" t="s">
        <v>657</v>
      </c>
      <c r="O234" s="12" t="s">
        <v>77</v>
      </c>
      <c r="P234" s="10" t="s">
        <v>658</v>
      </c>
      <c r="Q234" s="30" t="s">
        <v>1237</v>
      </c>
      <c r="R234" s="34" t="n">
        <v>0.75</v>
      </c>
      <c r="S234" s="11" t="n">
        <v>1652</v>
      </c>
      <c r="T234" s="10" t="s">
        <v>1238</v>
      </c>
      <c r="U234" s="7" t="n">
        <v>12</v>
      </c>
      <c r="V234" s="12" t="s">
        <v>139</v>
      </c>
      <c r="W234" s="12" t="s">
        <v>79</v>
      </c>
      <c r="X234" s="12" t="s">
        <v>80</v>
      </c>
      <c r="Y234" s="10" t="s">
        <v>111</v>
      </c>
      <c r="Z234" s="7" t="s">
        <v>106</v>
      </c>
      <c r="AA234" s="7" t="n">
        <v>10</v>
      </c>
      <c r="AB234" s="9" t="n">
        <v>0.536842608529356</v>
      </c>
    </row>
    <row r="235" customFormat="false" ht="23.85" hidden="false" customHeight="false" outlineLevel="0" collapsed="false">
      <c r="A235" s="7" t="n">
        <v>231</v>
      </c>
      <c r="B235" s="12" t="s">
        <v>180</v>
      </c>
      <c r="C235" s="10" t="s">
        <v>180</v>
      </c>
      <c r="D235" s="12" t="s">
        <v>1223</v>
      </c>
      <c r="E235" s="12" t="s">
        <v>842</v>
      </c>
      <c r="F235" s="10" t="s">
        <v>1239</v>
      </c>
      <c r="G235" s="12" t="s">
        <v>656</v>
      </c>
      <c r="H235" s="26" t="n">
        <v>6.61</v>
      </c>
      <c r="I235" s="7" t="n">
        <v>1</v>
      </c>
      <c r="J235" s="7" t="n">
        <v>3515</v>
      </c>
      <c r="K235" s="11" t="n">
        <v>140084.73</v>
      </c>
      <c r="L235" s="10" t="s">
        <v>181</v>
      </c>
      <c r="M235" s="26" t="n">
        <v>6.61</v>
      </c>
      <c r="N235" s="12" t="s">
        <v>657</v>
      </c>
      <c r="O235" s="12" t="s">
        <v>77</v>
      </c>
      <c r="P235" s="10" t="s">
        <v>658</v>
      </c>
      <c r="Q235" s="30" t="s">
        <v>844</v>
      </c>
      <c r="R235" s="34" t="n">
        <v>0.251824206147514</v>
      </c>
      <c r="S235" s="11" t="n">
        <v>35276.7</v>
      </c>
      <c r="T235" s="10" t="s">
        <v>1240</v>
      </c>
      <c r="U235" s="7" t="n">
        <v>5</v>
      </c>
      <c r="V235" s="12" t="s">
        <v>469</v>
      </c>
      <c r="W235" s="12" t="s">
        <v>79</v>
      </c>
      <c r="X235" s="12" t="s">
        <v>80</v>
      </c>
      <c r="Y235" s="10" t="s">
        <v>111</v>
      </c>
      <c r="Z235" s="7" t="s">
        <v>688</v>
      </c>
      <c r="AA235" s="7" t="n">
        <v>13</v>
      </c>
      <c r="AB235" s="9" t="n">
        <v>0.487621916236374</v>
      </c>
    </row>
    <row r="236" customFormat="false" ht="23.85" hidden="false" customHeight="false" outlineLevel="0" collapsed="false">
      <c r="A236" s="7" t="n">
        <v>232</v>
      </c>
      <c r="B236" s="12" t="s">
        <v>208</v>
      </c>
      <c r="C236" s="10" t="s">
        <v>208</v>
      </c>
      <c r="D236" s="12" t="s">
        <v>1223</v>
      </c>
      <c r="E236" s="12" t="s">
        <v>1241</v>
      </c>
      <c r="F236" s="10" t="s">
        <v>1242</v>
      </c>
      <c r="G236" s="12" t="s">
        <v>656</v>
      </c>
      <c r="H236" s="26" t="n">
        <v>23.67</v>
      </c>
      <c r="I236" s="7" t="n">
        <v>1</v>
      </c>
      <c r="J236" s="7" t="n">
        <v>133</v>
      </c>
      <c r="K236" s="11" t="n">
        <v>4036.55</v>
      </c>
      <c r="L236" s="10" t="s">
        <v>209</v>
      </c>
      <c r="M236" s="26" t="n">
        <v>23.67</v>
      </c>
      <c r="N236" s="12" t="s">
        <v>657</v>
      </c>
      <c r="O236" s="12" t="s">
        <v>77</v>
      </c>
      <c r="P236" s="10" t="s">
        <v>658</v>
      </c>
      <c r="Q236" s="30" t="s">
        <v>1243</v>
      </c>
      <c r="R236" s="34" t="n">
        <v>1</v>
      </c>
      <c r="S236" s="11" t="n">
        <v>4036.6</v>
      </c>
      <c r="T236" s="10" t="s">
        <v>1244</v>
      </c>
      <c r="U236" s="7" t="n">
        <v>7</v>
      </c>
      <c r="V236" s="12" t="s">
        <v>109</v>
      </c>
      <c r="W236" s="12" t="s">
        <v>79</v>
      </c>
      <c r="X236" s="12" t="s">
        <v>86</v>
      </c>
      <c r="Y236" s="10"/>
      <c r="Z236" s="7" t="s">
        <v>688</v>
      </c>
      <c r="AA236" s="7" t="n">
        <v>14</v>
      </c>
      <c r="AB236" s="9" t="n">
        <v>0.462617135207497</v>
      </c>
    </row>
    <row r="237" customFormat="false" ht="46.25" hidden="false" customHeight="false" outlineLevel="0" collapsed="false">
      <c r="A237" s="7" t="n">
        <v>233</v>
      </c>
      <c r="B237" s="12" t="s">
        <v>128</v>
      </c>
      <c r="C237" s="10" t="s">
        <v>128</v>
      </c>
      <c r="D237" s="12" t="s">
        <v>1223</v>
      </c>
      <c r="E237" s="12" t="s">
        <v>1245</v>
      </c>
      <c r="F237" s="10" t="s">
        <v>1246</v>
      </c>
      <c r="G237" s="12" t="s">
        <v>656</v>
      </c>
      <c r="H237" s="26" t="n">
        <v>138.81</v>
      </c>
      <c r="I237" s="7" t="n">
        <v>1</v>
      </c>
      <c r="J237" s="7" t="n">
        <v>257</v>
      </c>
      <c r="K237" s="11" t="n">
        <v>4183.29</v>
      </c>
      <c r="L237" s="10" t="s">
        <v>129</v>
      </c>
      <c r="M237" s="26" t="n">
        <v>138.81</v>
      </c>
      <c r="N237" s="12" t="s">
        <v>657</v>
      </c>
      <c r="O237" s="12" t="s">
        <v>77</v>
      </c>
      <c r="P237" s="10" t="s">
        <v>658</v>
      </c>
      <c r="Q237" s="30" t="s">
        <v>1247</v>
      </c>
      <c r="R237" s="34" t="n">
        <v>0.689888576486515</v>
      </c>
      <c r="S237" s="11" t="n">
        <v>2886</v>
      </c>
      <c r="T237" s="10" t="s">
        <v>1248</v>
      </c>
      <c r="U237" s="7" t="n">
        <v>18</v>
      </c>
      <c r="V237" s="12" t="s">
        <v>130</v>
      </c>
      <c r="W237" s="12" t="s">
        <v>79</v>
      </c>
      <c r="X237" s="12" t="s">
        <v>86</v>
      </c>
      <c r="Y237" s="10" t="s">
        <v>81</v>
      </c>
      <c r="Z237" s="7" t="s">
        <v>106</v>
      </c>
      <c r="AA237" s="7" t="n">
        <v>7</v>
      </c>
      <c r="AB237" s="9" t="n">
        <v>0.613731114935934</v>
      </c>
    </row>
    <row r="238" customFormat="false" ht="23.85" hidden="false" customHeight="false" outlineLevel="0" collapsed="false">
      <c r="A238" s="7" t="n">
        <v>234</v>
      </c>
      <c r="B238" s="12" t="s">
        <v>134</v>
      </c>
      <c r="C238" s="10" t="s">
        <v>134</v>
      </c>
      <c r="D238" s="12" t="s">
        <v>1223</v>
      </c>
      <c r="E238" s="12" t="s">
        <v>1249</v>
      </c>
      <c r="F238" s="10" t="s">
        <v>1250</v>
      </c>
      <c r="G238" s="12" t="s">
        <v>656</v>
      </c>
      <c r="H238" s="26" t="n">
        <v>15.86</v>
      </c>
      <c r="I238" s="7" t="n">
        <v>1</v>
      </c>
      <c r="J238" s="7" t="n">
        <v>684</v>
      </c>
      <c r="K238" s="11" t="n">
        <v>8785.35</v>
      </c>
      <c r="L238" s="10" t="s">
        <v>135</v>
      </c>
      <c r="M238" s="26" t="n">
        <v>15.86</v>
      </c>
      <c r="N238" s="12" t="s">
        <v>657</v>
      </c>
      <c r="O238" s="12" t="s">
        <v>77</v>
      </c>
      <c r="P238" s="10" t="s">
        <v>658</v>
      </c>
      <c r="Q238" s="30" t="s">
        <v>1251</v>
      </c>
      <c r="R238" s="34" t="n">
        <v>0.959959846916369</v>
      </c>
      <c r="S238" s="11" t="n">
        <v>8433.6</v>
      </c>
      <c r="T238" s="10" t="s">
        <v>1252</v>
      </c>
      <c r="U238" s="7" t="n">
        <v>5</v>
      </c>
      <c r="V238" s="12" t="s">
        <v>136</v>
      </c>
      <c r="W238" s="12" t="s">
        <v>79</v>
      </c>
      <c r="X238" s="12" t="s">
        <v>86</v>
      </c>
      <c r="Y238" s="10"/>
      <c r="Z238" s="7" t="s">
        <v>106</v>
      </c>
      <c r="AA238" s="7" t="n">
        <v>9</v>
      </c>
      <c r="AB238" s="9" t="n">
        <v>0.581793842034806</v>
      </c>
    </row>
    <row r="239" customFormat="false" ht="23.85" hidden="false" customHeight="false" outlineLevel="0" collapsed="false">
      <c r="A239" s="7" t="n">
        <v>235</v>
      </c>
      <c r="B239" s="12" t="s">
        <v>480</v>
      </c>
      <c r="C239" s="10" t="s">
        <v>1253</v>
      </c>
      <c r="D239" s="12" t="s">
        <v>1223</v>
      </c>
      <c r="E239" s="12" t="s">
        <v>1254</v>
      </c>
      <c r="F239" s="10" t="s">
        <v>843</v>
      </c>
      <c r="G239" s="12" t="s">
        <v>656</v>
      </c>
      <c r="H239" s="26" t="n">
        <v>19.51</v>
      </c>
      <c r="I239" s="7" t="n">
        <v>1</v>
      </c>
      <c r="J239" s="7" t="n">
        <v>310</v>
      </c>
      <c r="K239" s="11" t="n">
        <v>8995.42</v>
      </c>
      <c r="L239" s="10" t="s">
        <v>481</v>
      </c>
      <c r="M239" s="26" t="n">
        <v>19.51</v>
      </c>
      <c r="N239" s="12" t="s">
        <v>657</v>
      </c>
      <c r="O239" s="12" t="s">
        <v>102</v>
      </c>
      <c r="P239" s="10" t="s">
        <v>658</v>
      </c>
      <c r="Q239" s="30" t="s">
        <v>1255</v>
      </c>
      <c r="R239" s="34" t="n">
        <v>0.156211180124224</v>
      </c>
      <c r="S239" s="11" t="n">
        <v>1405.2</v>
      </c>
      <c r="T239" s="10" t="s">
        <v>175</v>
      </c>
      <c r="U239" s="7" t="n">
        <v>2</v>
      </c>
      <c r="V239" s="12" t="s">
        <v>175</v>
      </c>
      <c r="W239" s="12" t="s">
        <v>79</v>
      </c>
      <c r="X239" s="12" t="s">
        <v>97</v>
      </c>
      <c r="Y239" s="10" t="s">
        <v>111</v>
      </c>
      <c r="Z239" s="7" t="s">
        <v>688</v>
      </c>
      <c r="AA239" s="7" t="n">
        <v>19</v>
      </c>
      <c r="AB239" s="9" t="n">
        <v>0.288205201759419</v>
      </c>
    </row>
    <row r="240" customFormat="false" ht="23.85" hidden="false" customHeight="false" outlineLevel="0" collapsed="false">
      <c r="A240" s="7" t="n">
        <v>236</v>
      </c>
      <c r="B240" s="12" t="s">
        <v>480</v>
      </c>
      <c r="C240" s="10" t="s">
        <v>1253</v>
      </c>
      <c r="D240" s="12" t="s">
        <v>1223</v>
      </c>
      <c r="E240" s="12" t="s">
        <v>897</v>
      </c>
      <c r="F240" s="10" t="s">
        <v>1256</v>
      </c>
      <c r="G240" s="12" t="s">
        <v>656</v>
      </c>
      <c r="H240" s="26" t="n">
        <v>16.1025</v>
      </c>
      <c r="I240" s="7" t="n">
        <v>26</v>
      </c>
      <c r="J240" s="7" t="n">
        <v>310</v>
      </c>
      <c r="K240" s="11" t="n">
        <v>8995.42</v>
      </c>
      <c r="L240" s="10" t="s">
        <v>481</v>
      </c>
      <c r="M240" s="26" t="n">
        <v>16.1025</v>
      </c>
      <c r="N240" s="12" t="s">
        <v>657</v>
      </c>
      <c r="O240" s="12" t="s">
        <v>153</v>
      </c>
      <c r="P240" s="10" t="s">
        <v>658</v>
      </c>
      <c r="Q240" s="30" t="s">
        <v>1257</v>
      </c>
      <c r="R240" s="34" t="n">
        <v>0.156211180124224</v>
      </c>
      <c r="S240" s="11" t="n">
        <v>1405.2</v>
      </c>
      <c r="T240" s="10" t="s">
        <v>175</v>
      </c>
      <c r="U240" s="7" t="n">
        <v>2</v>
      </c>
      <c r="V240" s="12" t="s">
        <v>175</v>
      </c>
      <c r="W240" s="12" t="s">
        <v>79</v>
      </c>
      <c r="X240" s="12" t="s">
        <v>80</v>
      </c>
      <c r="Y240" s="10" t="s">
        <v>111</v>
      </c>
      <c r="Z240" s="7" t="s">
        <v>688</v>
      </c>
      <c r="AA240" s="7" t="n">
        <v>19</v>
      </c>
      <c r="AB240" s="9" t="n">
        <v>0.288205201759419</v>
      </c>
    </row>
    <row r="241" customFormat="false" ht="23.85" hidden="false" customHeight="false" outlineLevel="0" collapsed="false">
      <c r="A241" s="7" t="n">
        <v>237</v>
      </c>
      <c r="B241" s="12" t="s">
        <v>134</v>
      </c>
      <c r="C241" s="10" t="s">
        <v>1258</v>
      </c>
      <c r="D241" s="12" t="s">
        <v>1223</v>
      </c>
      <c r="E241" s="12" t="s">
        <v>1259</v>
      </c>
      <c r="F241" s="10" t="s">
        <v>1250</v>
      </c>
      <c r="G241" s="12" t="s">
        <v>656</v>
      </c>
      <c r="H241" s="26" t="n">
        <v>5.6839</v>
      </c>
      <c r="I241" s="7" t="n">
        <v>29</v>
      </c>
      <c r="J241" s="7" t="n">
        <v>684</v>
      </c>
      <c r="K241" s="11" t="n">
        <v>8785.35</v>
      </c>
      <c r="L241" s="10" t="s">
        <v>135</v>
      </c>
      <c r="M241" s="26" t="n">
        <v>5.6839</v>
      </c>
      <c r="N241" s="12" t="s">
        <v>657</v>
      </c>
      <c r="O241" s="12" t="s">
        <v>153</v>
      </c>
      <c r="P241" s="10" t="s">
        <v>658</v>
      </c>
      <c r="Q241" s="30" t="s">
        <v>871</v>
      </c>
      <c r="R241" s="34" t="n">
        <v>0.959959846916369</v>
      </c>
      <c r="S241" s="11" t="n">
        <v>8433.6</v>
      </c>
      <c r="T241" s="10" t="s">
        <v>1252</v>
      </c>
      <c r="U241" s="7" t="n">
        <v>5</v>
      </c>
      <c r="V241" s="12" t="s">
        <v>136</v>
      </c>
      <c r="W241" s="12" t="s">
        <v>79</v>
      </c>
      <c r="X241" s="12" t="s">
        <v>86</v>
      </c>
      <c r="Y241" s="10"/>
      <c r="Z241" s="7" t="s">
        <v>106</v>
      </c>
      <c r="AA241" s="7" t="n">
        <v>9</v>
      </c>
      <c r="AB241" s="9" t="n">
        <v>0.581793842034806</v>
      </c>
    </row>
    <row r="242" customFormat="false" ht="23.85" hidden="false" customHeight="false" outlineLevel="0" collapsed="false">
      <c r="A242" s="7" t="n">
        <v>238</v>
      </c>
      <c r="B242" s="12" t="s">
        <v>352</v>
      </c>
      <c r="C242" s="10" t="s">
        <v>1260</v>
      </c>
      <c r="D242" s="12" t="s">
        <v>1223</v>
      </c>
      <c r="E242" s="12" t="s">
        <v>861</v>
      </c>
      <c r="F242" s="10" t="s">
        <v>1261</v>
      </c>
      <c r="G242" s="12" t="s">
        <v>656</v>
      </c>
      <c r="H242" s="26" t="n">
        <v>9.04</v>
      </c>
      <c r="I242" s="7" t="n">
        <v>24</v>
      </c>
      <c r="J242" s="7" t="n">
        <v>1393</v>
      </c>
      <c r="K242" s="11" t="n">
        <v>52401.4</v>
      </c>
      <c r="L242" s="10" t="s">
        <v>353</v>
      </c>
      <c r="M242" s="26" t="n">
        <v>9.04</v>
      </c>
      <c r="N242" s="12" t="s">
        <v>657</v>
      </c>
      <c r="O242" s="12" t="s">
        <v>77</v>
      </c>
      <c r="P242" s="10" t="s">
        <v>658</v>
      </c>
      <c r="Q242" s="30" t="s">
        <v>1262</v>
      </c>
      <c r="R242" s="34" t="n">
        <v>0.670397578386193</v>
      </c>
      <c r="S242" s="11" t="n">
        <v>35129.8</v>
      </c>
      <c r="T242" s="10" t="s">
        <v>1263</v>
      </c>
      <c r="U242" s="7" t="n">
        <v>1</v>
      </c>
      <c r="V242" s="12" t="s">
        <v>323</v>
      </c>
      <c r="W242" s="12" t="s">
        <v>79</v>
      </c>
      <c r="X242" s="12" t="s">
        <v>97</v>
      </c>
      <c r="Y242" s="10"/>
      <c r="Z242" s="7" t="s">
        <v>688</v>
      </c>
      <c r="AA242" s="7" t="n">
        <v>11</v>
      </c>
      <c r="AB242" s="9" t="n">
        <v>0.529054312488048</v>
      </c>
    </row>
    <row r="243" customFormat="false" ht="35.05" hidden="false" customHeight="false" outlineLevel="0" collapsed="false">
      <c r="A243" s="7" t="n">
        <v>239</v>
      </c>
      <c r="B243" s="12" t="s">
        <v>75</v>
      </c>
      <c r="C243" s="10" t="s">
        <v>1264</v>
      </c>
      <c r="D243" s="12" t="s">
        <v>1223</v>
      </c>
      <c r="E243" s="12" t="s">
        <v>851</v>
      </c>
      <c r="F243" s="10" t="s">
        <v>839</v>
      </c>
      <c r="G243" s="12" t="s">
        <v>656</v>
      </c>
      <c r="H243" s="26" t="n">
        <v>397.421</v>
      </c>
      <c r="I243" s="7" t="n">
        <v>30</v>
      </c>
      <c r="J243" s="7" t="n">
        <v>762</v>
      </c>
      <c r="K243" s="11" t="n">
        <v>50865.56</v>
      </c>
      <c r="L243" s="10" t="s">
        <v>76</v>
      </c>
      <c r="M243" s="26" t="n">
        <v>397.421</v>
      </c>
      <c r="N243" s="12" t="s">
        <v>657</v>
      </c>
      <c r="O243" s="12" t="s">
        <v>77</v>
      </c>
      <c r="P243" s="10" t="s">
        <v>658</v>
      </c>
      <c r="Q243" s="30" t="s">
        <v>852</v>
      </c>
      <c r="R243" s="34" t="n">
        <v>0.829278792417718</v>
      </c>
      <c r="S243" s="11" t="n">
        <v>42181.7</v>
      </c>
      <c r="T243" s="10" t="s">
        <v>1225</v>
      </c>
      <c r="U243" s="7" t="n">
        <v>11</v>
      </c>
      <c r="V243" s="12" t="s">
        <v>109</v>
      </c>
      <c r="W243" s="12" t="s">
        <v>79</v>
      </c>
      <c r="X243" s="12" t="s">
        <v>80</v>
      </c>
      <c r="Y243" s="10" t="s">
        <v>81</v>
      </c>
      <c r="Z243" s="7" t="s">
        <v>74</v>
      </c>
      <c r="AA243" s="7" t="n">
        <v>1</v>
      </c>
      <c r="AB243" s="9" t="n">
        <v>0.913874545802257</v>
      </c>
    </row>
    <row r="244" customFormat="false" ht="23.85" hidden="false" customHeight="false" outlineLevel="0" collapsed="false">
      <c r="A244" s="7" t="n">
        <v>240</v>
      </c>
      <c r="B244" s="12" t="s">
        <v>89</v>
      </c>
      <c r="C244" s="10" t="s">
        <v>1265</v>
      </c>
      <c r="D244" s="12" t="s">
        <v>1223</v>
      </c>
      <c r="E244" s="12" t="s">
        <v>854</v>
      </c>
      <c r="F244" s="10" t="s">
        <v>829</v>
      </c>
      <c r="G244" s="12" t="s">
        <v>656</v>
      </c>
      <c r="H244" s="26" t="n">
        <v>1444.1174</v>
      </c>
      <c r="I244" s="7" t="n">
        <v>29</v>
      </c>
      <c r="J244" s="7" t="n">
        <v>905</v>
      </c>
      <c r="K244" s="11" t="n">
        <v>28093.38</v>
      </c>
      <c r="L244" s="10" t="s">
        <v>90</v>
      </c>
      <c r="M244" s="26" t="n">
        <v>1444.1174</v>
      </c>
      <c r="N244" s="12" t="s">
        <v>657</v>
      </c>
      <c r="O244" s="12" t="s">
        <v>153</v>
      </c>
      <c r="P244" s="10" t="s">
        <v>658</v>
      </c>
      <c r="Q244" s="30" t="s">
        <v>852</v>
      </c>
      <c r="R244" s="34" t="n">
        <v>1</v>
      </c>
      <c r="S244" s="11" t="n">
        <v>28093.4</v>
      </c>
      <c r="T244" s="10" t="s">
        <v>1266</v>
      </c>
      <c r="U244" s="7" t="n">
        <v>4</v>
      </c>
      <c r="V244" s="12" t="s">
        <v>122</v>
      </c>
      <c r="W244" s="12" t="s">
        <v>79</v>
      </c>
      <c r="X244" s="12" t="s">
        <v>80</v>
      </c>
      <c r="Y244" s="10" t="s">
        <v>81</v>
      </c>
      <c r="Z244" s="7" t="s">
        <v>74</v>
      </c>
      <c r="AA244" s="7" t="n">
        <v>2</v>
      </c>
      <c r="AB244" s="9" t="n">
        <v>0.883385924650985</v>
      </c>
    </row>
    <row r="245" customFormat="false" ht="23.85" hidden="false" customHeight="false" outlineLevel="0" collapsed="false">
      <c r="A245" s="7" t="n">
        <v>241</v>
      </c>
      <c r="B245" s="12" t="s">
        <v>107</v>
      </c>
      <c r="C245" s="10" t="s">
        <v>1267</v>
      </c>
      <c r="D245" s="12" t="s">
        <v>1223</v>
      </c>
      <c r="E245" s="12" t="s">
        <v>873</v>
      </c>
      <c r="F245" s="10" t="s">
        <v>874</v>
      </c>
      <c r="G245" s="12" t="s">
        <v>656</v>
      </c>
      <c r="H245" s="26" t="n">
        <v>93.7335</v>
      </c>
      <c r="I245" s="7" t="n">
        <v>28</v>
      </c>
      <c r="J245" s="7" t="n">
        <v>312</v>
      </c>
      <c r="K245" s="11" t="n">
        <v>59827.18</v>
      </c>
      <c r="L245" s="10" t="s">
        <v>108</v>
      </c>
      <c r="M245" s="26" t="n">
        <v>93.7335</v>
      </c>
      <c r="N245" s="12" t="s">
        <v>657</v>
      </c>
      <c r="O245" s="12" t="s">
        <v>77</v>
      </c>
      <c r="P245" s="10" t="s">
        <v>658</v>
      </c>
      <c r="Q245" s="30" t="s">
        <v>852</v>
      </c>
      <c r="R245" s="34" t="n">
        <v>1</v>
      </c>
      <c r="S245" s="11" t="n">
        <v>59827.2</v>
      </c>
      <c r="T245" s="10" t="s">
        <v>1231</v>
      </c>
      <c r="U245" s="7" t="n">
        <v>5</v>
      </c>
      <c r="V245" s="12" t="s">
        <v>123</v>
      </c>
      <c r="W245" s="12" t="s">
        <v>79</v>
      </c>
      <c r="X245" s="12" t="s">
        <v>80</v>
      </c>
      <c r="Y245" s="10" t="s">
        <v>111</v>
      </c>
      <c r="Z245" s="7" t="s">
        <v>74</v>
      </c>
      <c r="AA245" s="7" t="n">
        <v>3</v>
      </c>
      <c r="AB245" s="9" t="n">
        <v>0.848756932491872</v>
      </c>
    </row>
    <row r="246" customFormat="false" ht="23.85" hidden="false" customHeight="false" outlineLevel="0" collapsed="false">
      <c r="A246" s="7" t="n">
        <v>242</v>
      </c>
      <c r="B246" s="12" t="s">
        <v>131</v>
      </c>
      <c r="C246" s="10" t="s">
        <v>1268</v>
      </c>
      <c r="D246" s="12" t="s">
        <v>1223</v>
      </c>
      <c r="E246" s="12" t="s">
        <v>1269</v>
      </c>
      <c r="F246" s="10" t="s">
        <v>1210</v>
      </c>
      <c r="G246" s="12" t="s">
        <v>656</v>
      </c>
      <c r="H246" s="26" t="n">
        <v>404.5852</v>
      </c>
      <c r="I246" s="7" t="n">
        <v>25</v>
      </c>
      <c r="J246" s="7" t="n">
        <v>42</v>
      </c>
      <c r="K246" s="11" t="n">
        <v>1874.63</v>
      </c>
      <c r="L246" s="10" t="s">
        <v>132</v>
      </c>
      <c r="M246" s="26" t="n">
        <v>404.5852</v>
      </c>
      <c r="N246" s="12" t="s">
        <v>657</v>
      </c>
      <c r="O246" s="12" t="s">
        <v>102</v>
      </c>
      <c r="P246" s="10" t="s">
        <v>658</v>
      </c>
      <c r="Q246" s="30" t="s">
        <v>1270</v>
      </c>
      <c r="R246" s="34" t="n">
        <v>1</v>
      </c>
      <c r="S246" s="11" t="n">
        <v>1874.6</v>
      </c>
      <c r="T246" s="10" t="s">
        <v>1271</v>
      </c>
      <c r="U246" s="7" t="n">
        <v>7</v>
      </c>
      <c r="V246" s="12" t="s">
        <v>133</v>
      </c>
      <c r="W246" s="12" t="s">
        <v>79</v>
      </c>
      <c r="X246" s="12" t="s">
        <v>86</v>
      </c>
      <c r="Y246" s="10" t="s">
        <v>104</v>
      </c>
      <c r="Z246" s="7" t="s">
        <v>106</v>
      </c>
      <c r="AA246" s="7" t="n">
        <v>8</v>
      </c>
      <c r="AB246" s="9" t="n">
        <v>0.585480015299292</v>
      </c>
    </row>
    <row r="247" customFormat="false" ht="23.85" hidden="false" customHeight="false" outlineLevel="0" collapsed="false">
      <c r="A247" s="7" t="n">
        <v>243</v>
      </c>
      <c r="B247" s="12" t="s">
        <v>473</v>
      </c>
      <c r="C247" s="10" t="s">
        <v>1272</v>
      </c>
      <c r="D247" s="12" t="s">
        <v>1223</v>
      </c>
      <c r="E247" s="12" t="s">
        <v>1273</v>
      </c>
      <c r="F247" s="10" t="s">
        <v>1274</v>
      </c>
      <c r="G247" s="12" t="s">
        <v>656</v>
      </c>
      <c r="H247" s="26" t="n">
        <v>7.2772</v>
      </c>
      <c r="I247" s="7" t="n">
        <v>31</v>
      </c>
      <c r="J247" s="7" t="n">
        <v>3168</v>
      </c>
      <c r="K247" s="11" t="n">
        <v>130453.11</v>
      </c>
      <c r="L247" s="10" t="s">
        <v>474</v>
      </c>
      <c r="M247" s="26" t="n">
        <v>7.2772</v>
      </c>
      <c r="N247" s="12" t="s">
        <v>657</v>
      </c>
      <c r="O247" s="12" t="s">
        <v>77</v>
      </c>
      <c r="P247" s="10" t="s">
        <v>658</v>
      </c>
      <c r="Q247" s="30" t="s">
        <v>852</v>
      </c>
      <c r="R247" s="34" t="n">
        <v>0.103608949323645</v>
      </c>
      <c r="S247" s="11" t="n">
        <v>13516.1</v>
      </c>
      <c r="T247" s="10" t="s">
        <v>1275</v>
      </c>
      <c r="U247" s="7" t="n">
        <v>8</v>
      </c>
      <c r="V247" s="12" t="s">
        <v>475</v>
      </c>
      <c r="W247" s="12" t="s">
        <v>79</v>
      </c>
      <c r="X247" s="12" t="s">
        <v>80</v>
      </c>
      <c r="Y247" s="10" t="s">
        <v>111</v>
      </c>
      <c r="Z247" s="7" t="s">
        <v>688</v>
      </c>
      <c r="AA247" s="7" t="n">
        <v>16</v>
      </c>
      <c r="AB247" s="9" t="n">
        <v>0.435805125262957</v>
      </c>
    </row>
    <row r="248" customFormat="false" ht="46.25" hidden="false" customHeight="false" outlineLevel="0" collapsed="false">
      <c r="A248" s="7" t="n">
        <v>244</v>
      </c>
      <c r="B248" s="12" t="s">
        <v>128</v>
      </c>
      <c r="C248" s="10" t="s">
        <v>1276</v>
      </c>
      <c r="D248" s="12" t="s">
        <v>1223</v>
      </c>
      <c r="E248" s="12" t="s">
        <v>893</v>
      </c>
      <c r="F248" s="10" t="s">
        <v>1246</v>
      </c>
      <c r="G248" s="12" t="s">
        <v>656</v>
      </c>
      <c r="H248" s="26" t="n">
        <v>189.1846</v>
      </c>
      <c r="I248" s="7" t="n">
        <v>28</v>
      </c>
      <c r="J248" s="7" t="n">
        <v>257</v>
      </c>
      <c r="K248" s="11" t="n">
        <v>4183.29</v>
      </c>
      <c r="L248" s="10" t="s">
        <v>129</v>
      </c>
      <c r="M248" s="26" t="n">
        <v>189.1846</v>
      </c>
      <c r="N248" s="12" t="s">
        <v>657</v>
      </c>
      <c r="O248" s="12" t="s">
        <v>77</v>
      </c>
      <c r="P248" s="10" t="s">
        <v>658</v>
      </c>
      <c r="Q248" s="30" t="s">
        <v>852</v>
      </c>
      <c r="R248" s="34" t="n">
        <v>0.689888576486515</v>
      </c>
      <c r="S248" s="11" t="n">
        <v>2886</v>
      </c>
      <c r="T248" s="10" t="s">
        <v>1248</v>
      </c>
      <c r="U248" s="7" t="n">
        <v>18</v>
      </c>
      <c r="V248" s="12" t="s">
        <v>130</v>
      </c>
      <c r="W248" s="12" t="s">
        <v>79</v>
      </c>
      <c r="X248" s="12" t="s">
        <v>86</v>
      </c>
      <c r="Y248" s="10" t="s">
        <v>81</v>
      </c>
      <c r="Z248" s="7" t="s">
        <v>106</v>
      </c>
      <c r="AA248" s="7" t="n">
        <v>7</v>
      </c>
      <c r="AB248" s="9" t="n">
        <v>0.613731114935934</v>
      </c>
    </row>
    <row r="249" customFormat="false" ht="46.25" hidden="false" customHeight="false" outlineLevel="0" collapsed="false">
      <c r="A249" s="7" t="n">
        <v>245</v>
      </c>
      <c r="B249" s="12" t="s">
        <v>128</v>
      </c>
      <c r="C249" s="10" t="s">
        <v>1277</v>
      </c>
      <c r="D249" s="12" t="s">
        <v>1223</v>
      </c>
      <c r="E249" s="12" t="s">
        <v>893</v>
      </c>
      <c r="F249" s="10" t="s">
        <v>1246</v>
      </c>
      <c r="G249" s="12" t="s">
        <v>656</v>
      </c>
      <c r="H249" s="26" t="n">
        <v>189.1846</v>
      </c>
      <c r="I249" s="7" t="n">
        <v>13</v>
      </c>
      <c r="J249" s="7" t="n">
        <v>257</v>
      </c>
      <c r="K249" s="11" t="n">
        <v>4183.29</v>
      </c>
      <c r="L249" s="10" t="s">
        <v>129</v>
      </c>
      <c r="M249" s="26" t="n">
        <v>189.1846</v>
      </c>
      <c r="N249" s="12" t="s">
        <v>657</v>
      </c>
      <c r="O249" s="12" t="s">
        <v>77</v>
      </c>
      <c r="P249" s="10" t="s">
        <v>658</v>
      </c>
      <c r="Q249" s="30" t="s">
        <v>852</v>
      </c>
      <c r="R249" s="34" t="n">
        <v>0.689888576486515</v>
      </c>
      <c r="S249" s="11" t="n">
        <v>2886</v>
      </c>
      <c r="T249" s="10" t="s">
        <v>1248</v>
      </c>
      <c r="U249" s="7" t="n">
        <v>18</v>
      </c>
      <c r="V249" s="12" t="s">
        <v>130</v>
      </c>
      <c r="W249" s="12" t="s">
        <v>79</v>
      </c>
      <c r="X249" s="12" t="s">
        <v>86</v>
      </c>
      <c r="Y249" s="10" t="s">
        <v>81</v>
      </c>
      <c r="Z249" s="7" t="s">
        <v>106</v>
      </c>
      <c r="AA249" s="7" t="n">
        <v>7</v>
      </c>
      <c r="AB249" s="9" t="n">
        <v>0.613731114935934</v>
      </c>
    </row>
    <row r="250" customFormat="false" ht="23.85" hidden="false" customHeight="false" outlineLevel="0" collapsed="false">
      <c r="A250" s="7" t="n">
        <v>246</v>
      </c>
      <c r="B250" s="12" t="s">
        <v>208</v>
      </c>
      <c r="C250" s="10" t="s">
        <v>1278</v>
      </c>
      <c r="D250" s="12" t="s">
        <v>1223</v>
      </c>
      <c r="E250" s="12" t="s">
        <v>1279</v>
      </c>
      <c r="F250" s="10" t="s">
        <v>1242</v>
      </c>
      <c r="G250" s="12" t="s">
        <v>656</v>
      </c>
      <c r="H250" s="26" t="n">
        <v>21.0971</v>
      </c>
      <c r="I250" s="7" t="n">
        <v>24</v>
      </c>
      <c r="J250" s="7" t="n">
        <v>133</v>
      </c>
      <c r="K250" s="11" t="n">
        <v>4036.55</v>
      </c>
      <c r="L250" s="10" t="s">
        <v>209</v>
      </c>
      <c r="M250" s="26" t="n">
        <v>21.0971</v>
      </c>
      <c r="N250" s="12" t="s">
        <v>657</v>
      </c>
      <c r="O250" s="12" t="s">
        <v>102</v>
      </c>
      <c r="P250" s="10" t="s">
        <v>658</v>
      </c>
      <c r="Q250" s="30" t="s">
        <v>1280</v>
      </c>
      <c r="R250" s="34" t="n">
        <v>1</v>
      </c>
      <c r="S250" s="11" t="n">
        <v>4036.6</v>
      </c>
      <c r="T250" s="10" t="s">
        <v>1244</v>
      </c>
      <c r="U250" s="7" t="n">
        <v>7</v>
      </c>
      <c r="V250" s="12" t="s">
        <v>109</v>
      </c>
      <c r="W250" s="12" t="s">
        <v>79</v>
      </c>
      <c r="X250" s="12" t="s">
        <v>86</v>
      </c>
      <c r="Y250" s="10"/>
      <c r="Z250" s="7" t="s">
        <v>688</v>
      </c>
      <c r="AA250" s="7" t="n">
        <v>14</v>
      </c>
      <c r="AB250" s="9" t="n">
        <v>0.462617135207497</v>
      </c>
    </row>
    <row r="251" customFormat="false" ht="23.85" hidden="false" customHeight="false" outlineLevel="0" collapsed="false">
      <c r="A251" s="7" t="n">
        <v>247</v>
      </c>
      <c r="B251" s="12" t="s">
        <v>210</v>
      </c>
      <c r="C251" s="10" t="s">
        <v>1281</v>
      </c>
      <c r="D251" s="12" t="s">
        <v>1223</v>
      </c>
      <c r="E251" s="12" t="s">
        <v>907</v>
      </c>
      <c r="F251" s="10" t="s">
        <v>1282</v>
      </c>
      <c r="G251" s="12" t="s">
        <v>656</v>
      </c>
      <c r="H251" s="26" t="n">
        <v>5.3223</v>
      </c>
      <c r="I251" s="7" t="n">
        <v>28</v>
      </c>
      <c r="J251" s="7" t="n">
        <v>2546</v>
      </c>
      <c r="K251" s="11" t="n">
        <v>46507.62</v>
      </c>
      <c r="L251" s="10" t="s">
        <v>211</v>
      </c>
      <c r="M251" s="26" t="n">
        <v>5.3223</v>
      </c>
      <c r="N251" s="12" t="s">
        <v>657</v>
      </c>
      <c r="O251" s="12" t="s">
        <v>153</v>
      </c>
      <c r="P251" s="10" t="s">
        <v>658</v>
      </c>
      <c r="Q251" s="30" t="s">
        <v>852</v>
      </c>
      <c r="R251" s="34" t="n">
        <v>0.378228374732698</v>
      </c>
      <c r="S251" s="11" t="n">
        <v>17590.5</v>
      </c>
      <c r="T251" s="10" t="s">
        <v>888</v>
      </c>
      <c r="U251" s="7" t="n">
        <v>1</v>
      </c>
      <c r="V251" s="12" t="s">
        <v>169</v>
      </c>
      <c r="W251" s="12" t="s">
        <v>172</v>
      </c>
      <c r="X251" s="12" t="s">
        <v>86</v>
      </c>
      <c r="Y251" s="10"/>
      <c r="Z251" s="7" t="s">
        <v>688</v>
      </c>
      <c r="AA251" s="7" t="n">
        <v>17</v>
      </c>
      <c r="AB251" s="9" t="n">
        <v>0.386192388602027</v>
      </c>
    </row>
    <row r="252" customFormat="false" ht="35.05" hidden="false" customHeight="false" outlineLevel="0" collapsed="false">
      <c r="A252" s="7" t="n">
        <v>248</v>
      </c>
      <c r="B252" s="12" t="s">
        <v>137</v>
      </c>
      <c r="C252" s="10" t="s">
        <v>1283</v>
      </c>
      <c r="D252" s="12" t="s">
        <v>1223</v>
      </c>
      <c r="E252" s="12" t="s">
        <v>1284</v>
      </c>
      <c r="F252" s="10" t="s">
        <v>1285</v>
      </c>
      <c r="G252" s="12" t="s">
        <v>656</v>
      </c>
      <c r="H252" s="26" t="n">
        <v>15.0064</v>
      </c>
      <c r="I252" s="7" t="n">
        <v>13</v>
      </c>
      <c r="J252" s="7" t="n">
        <v>12</v>
      </c>
      <c r="K252" s="11" t="n">
        <v>2202.64</v>
      </c>
      <c r="L252" s="10" t="s">
        <v>138</v>
      </c>
      <c r="M252" s="26" t="n">
        <v>15.0064</v>
      </c>
      <c r="N252" s="12" t="s">
        <v>657</v>
      </c>
      <c r="O252" s="12" t="s">
        <v>77</v>
      </c>
      <c r="P252" s="10" t="s">
        <v>658</v>
      </c>
      <c r="Q252" s="30" t="s">
        <v>1286</v>
      </c>
      <c r="R252" s="34" t="n">
        <v>0.75</v>
      </c>
      <c r="S252" s="11" t="n">
        <v>1652</v>
      </c>
      <c r="T252" s="10" t="s">
        <v>1238</v>
      </c>
      <c r="U252" s="7" t="n">
        <v>12</v>
      </c>
      <c r="V252" s="12" t="s">
        <v>139</v>
      </c>
      <c r="W252" s="12" t="s">
        <v>79</v>
      </c>
      <c r="X252" s="12" t="s">
        <v>80</v>
      </c>
      <c r="Y252" s="10" t="s">
        <v>111</v>
      </c>
      <c r="Z252" s="7" t="s">
        <v>106</v>
      </c>
      <c r="AA252" s="7" t="n">
        <v>10</v>
      </c>
      <c r="AB252" s="9" t="n">
        <v>0.536842608529356</v>
      </c>
    </row>
    <row r="253" customFormat="false" ht="23.85" hidden="false" customHeight="false" outlineLevel="0" collapsed="false">
      <c r="A253" s="7" t="n">
        <v>249</v>
      </c>
      <c r="B253" s="12" t="s">
        <v>112</v>
      </c>
      <c r="C253" s="10" t="s">
        <v>1287</v>
      </c>
      <c r="D253" s="12" t="s">
        <v>1223</v>
      </c>
      <c r="E253" s="12" t="s">
        <v>910</v>
      </c>
      <c r="F253" s="10" t="s">
        <v>836</v>
      </c>
      <c r="G253" s="12" t="s">
        <v>656</v>
      </c>
      <c r="H253" s="26" t="n">
        <v>7322.4226</v>
      </c>
      <c r="I253" s="7" t="n">
        <v>25</v>
      </c>
      <c r="J253" s="7" t="n">
        <v>47</v>
      </c>
      <c r="K253" s="11" t="n">
        <v>7904.67</v>
      </c>
      <c r="L253" s="10" t="s">
        <v>113</v>
      </c>
      <c r="M253" s="26" t="n">
        <v>7322.4226</v>
      </c>
      <c r="N253" s="12" t="s">
        <v>657</v>
      </c>
      <c r="O253" s="12" t="s">
        <v>77</v>
      </c>
      <c r="P253" s="10" t="s">
        <v>658</v>
      </c>
      <c r="Q253" s="30" t="s">
        <v>852</v>
      </c>
      <c r="R253" s="34" t="n">
        <v>1</v>
      </c>
      <c r="S253" s="11" t="n">
        <v>7904.7</v>
      </c>
      <c r="T253" s="10" t="s">
        <v>1233</v>
      </c>
      <c r="U253" s="7" t="n">
        <v>4</v>
      </c>
      <c r="V253" s="12" t="s">
        <v>123</v>
      </c>
      <c r="W253" s="12" t="s">
        <v>79</v>
      </c>
      <c r="X253" s="12" t="s">
        <v>86</v>
      </c>
      <c r="Y253" s="10"/>
      <c r="Z253" s="7" t="s">
        <v>74</v>
      </c>
      <c r="AA253" s="7" t="n">
        <v>4</v>
      </c>
      <c r="AB253" s="9" t="n">
        <v>0.823713903231976</v>
      </c>
    </row>
    <row r="254" customFormat="false" ht="23.85" hidden="false" customHeight="false" outlineLevel="0" collapsed="false">
      <c r="A254" s="7" t="n">
        <v>250</v>
      </c>
      <c r="B254" s="12" t="s">
        <v>117</v>
      </c>
      <c r="C254" s="10" t="s">
        <v>1288</v>
      </c>
      <c r="D254" s="12" t="s">
        <v>1223</v>
      </c>
      <c r="E254" s="12" t="s">
        <v>1183</v>
      </c>
      <c r="F254" s="10" t="s">
        <v>1080</v>
      </c>
      <c r="G254" s="12" t="s">
        <v>656</v>
      </c>
      <c r="H254" s="26" t="n">
        <v>92.0498</v>
      </c>
      <c r="I254" s="7" t="n">
        <v>31</v>
      </c>
      <c r="J254" s="7" t="n">
        <v>346</v>
      </c>
      <c r="K254" s="11" t="n">
        <v>32830.17</v>
      </c>
      <c r="L254" s="10" t="s">
        <v>118</v>
      </c>
      <c r="M254" s="26" t="n">
        <v>92.0498</v>
      </c>
      <c r="N254" s="12" t="s">
        <v>657</v>
      </c>
      <c r="O254" s="12" t="s">
        <v>77</v>
      </c>
      <c r="P254" s="10" t="s">
        <v>658</v>
      </c>
      <c r="Q254" s="30" t="s">
        <v>852</v>
      </c>
      <c r="R254" s="34" t="n">
        <v>1</v>
      </c>
      <c r="S254" s="11" t="n">
        <v>32830.2</v>
      </c>
      <c r="T254" s="10" t="s">
        <v>1227</v>
      </c>
      <c r="U254" s="7" t="n">
        <v>7</v>
      </c>
      <c r="V254" s="12" t="s">
        <v>109</v>
      </c>
      <c r="W254" s="12" t="s">
        <v>79</v>
      </c>
      <c r="X254" s="12" t="s">
        <v>86</v>
      </c>
      <c r="Y254" s="10"/>
      <c r="Z254" s="7" t="s">
        <v>74</v>
      </c>
      <c r="AA254" s="7" t="n">
        <v>5</v>
      </c>
      <c r="AB254" s="9" t="n">
        <v>0.771380761139797</v>
      </c>
    </row>
    <row r="255" customFormat="false" ht="46.25" hidden="false" customHeight="false" outlineLevel="0" collapsed="false">
      <c r="A255" s="7" t="n">
        <v>251</v>
      </c>
      <c r="B255" s="12" t="s">
        <v>128</v>
      </c>
      <c r="C255" s="10" t="s">
        <v>128</v>
      </c>
      <c r="D255" s="12" t="s">
        <v>1223</v>
      </c>
      <c r="E255" s="12" t="s">
        <v>1289</v>
      </c>
      <c r="F255" s="10" t="s">
        <v>1290</v>
      </c>
      <c r="G255" s="12" t="s">
        <v>656</v>
      </c>
      <c r="H255" s="26" t="n">
        <v>265.643</v>
      </c>
      <c r="I255" s="7" t="n">
        <v>1</v>
      </c>
      <c r="J255" s="7" t="n">
        <v>257</v>
      </c>
      <c r="K255" s="11" t="n">
        <v>4183.29</v>
      </c>
      <c r="L255" s="10" t="s">
        <v>129</v>
      </c>
      <c r="M255" s="26" t="n">
        <v>265.643</v>
      </c>
      <c r="N255" s="12" t="s">
        <v>657</v>
      </c>
      <c r="O255" s="12" t="s">
        <v>102</v>
      </c>
      <c r="P255" s="10" t="s">
        <v>658</v>
      </c>
      <c r="Q255" s="30" t="s">
        <v>944</v>
      </c>
      <c r="R255" s="34" t="n">
        <v>0.689888576486515</v>
      </c>
      <c r="S255" s="11" t="n">
        <v>2886</v>
      </c>
      <c r="T255" s="10" t="s">
        <v>1248</v>
      </c>
      <c r="U255" s="7" t="n">
        <v>18</v>
      </c>
      <c r="V255" s="12" t="s">
        <v>130</v>
      </c>
      <c r="W255" s="12" t="s">
        <v>79</v>
      </c>
      <c r="X255" s="12" t="s">
        <v>86</v>
      </c>
      <c r="Y255" s="10" t="s">
        <v>81</v>
      </c>
      <c r="Z255" s="7" t="s">
        <v>106</v>
      </c>
      <c r="AA255" s="7" t="n">
        <v>7</v>
      </c>
      <c r="AB255" s="9" t="n">
        <v>0.613731114935934</v>
      </c>
    </row>
    <row r="256" customFormat="false" ht="23.85" hidden="false" customHeight="false" outlineLevel="0" collapsed="false">
      <c r="A256" s="7" t="n">
        <v>252</v>
      </c>
      <c r="B256" s="12" t="s">
        <v>461</v>
      </c>
      <c r="C256" s="10" t="s">
        <v>1139</v>
      </c>
      <c r="D256" s="12" t="s">
        <v>1223</v>
      </c>
      <c r="E256" s="12" t="s">
        <v>1191</v>
      </c>
      <c r="F256" s="10" t="s">
        <v>1291</v>
      </c>
      <c r="G256" s="12" t="s">
        <v>656</v>
      </c>
      <c r="H256" s="26" t="n">
        <v>7.56</v>
      </c>
      <c r="I256" s="7" t="n">
        <v>1</v>
      </c>
      <c r="J256" s="7" t="n">
        <v>236</v>
      </c>
      <c r="K256" s="11" t="n">
        <v>1845.67</v>
      </c>
      <c r="L256" s="10" t="s">
        <v>462</v>
      </c>
      <c r="M256" s="26" t="n">
        <v>7.56</v>
      </c>
      <c r="N256" s="12" t="s">
        <v>657</v>
      </c>
      <c r="O256" s="12" t="s">
        <v>102</v>
      </c>
      <c r="P256" s="10" t="s">
        <v>658</v>
      </c>
      <c r="Q256" s="30" t="s">
        <v>944</v>
      </c>
      <c r="R256" s="34" t="n">
        <v>0.991758241758242</v>
      </c>
      <c r="S256" s="11" t="n">
        <v>1830.5</v>
      </c>
      <c r="T256" s="10" t="s">
        <v>948</v>
      </c>
      <c r="U256" s="7" t="n">
        <v>1</v>
      </c>
      <c r="V256" s="12" t="s">
        <v>126</v>
      </c>
      <c r="W256" s="12" t="s">
        <v>79</v>
      </c>
      <c r="X256" s="12" t="s">
        <v>86</v>
      </c>
      <c r="Y256" s="10"/>
      <c r="Z256" s="7" t="s">
        <v>688</v>
      </c>
      <c r="AA256" s="7" t="n">
        <v>20</v>
      </c>
      <c r="AB256" s="9" t="n">
        <v>0.20477146681966</v>
      </c>
    </row>
    <row r="257" customFormat="false" ht="23.85" hidden="false" customHeight="false" outlineLevel="0" collapsed="false">
      <c r="A257" s="7" t="n">
        <v>253</v>
      </c>
      <c r="B257" s="12" t="s">
        <v>461</v>
      </c>
      <c r="C257" s="10" t="s">
        <v>1139</v>
      </c>
      <c r="D257" s="12" t="s">
        <v>1223</v>
      </c>
      <c r="E257" s="12" t="s">
        <v>1241</v>
      </c>
      <c r="F257" s="10" t="s">
        <v>1291</v>
      </c>
      <c r="G257" s="12" t="s">
        <v>656</v>
      </c>
      <c r="H257" s="26" t="n">
        <v>8.393</v>
      </c>
      <c r="I257" s="7" t="n">
        <v>1</v>
      </c>
      <c r="J257" s="7" t="n">
        <v>236</v>
      </c>
      <c r="K257" s="11" t="n">
        <v>1845.67</v>
      </c>
      <c r="L257" s="10" t="s">
        <v>462</v>
      </c>
      <c r="M257" s="26" t="n">
        <v>8.393</v>
      </c>
      <c r="N257" s="12" t="s">
        <v>657</v>
      </c>
      <c r="O257" s="12" t="s">
        <v>102</v>
      </c>
      <c r="P257" s="10" t="s">
        <v>658</v>
      </c>
      <c r="Q257" s="30" t="s">
        <v>944</v>
      </c>
      <c r="R257" s="34" t="n">
        <v>0.991758241758242</v>
      </c>
      <c r="S257" s="11" t="n">
        <v>1830.5</v>
      </c>
      <c r="T257" s="10" t="s">
        <v>948</v>
      </c>
      <c r="U257" s="7" t="n">
        <v>1</v>
      </c>
      <c r="V257" s="12" t="s">
        <v>126</v>
      </c>
      <c r="W257" s="12" t="s">
        <v>79</v>
      </c>
      <c r="X257" s="12" t="s">
        <v>86</v>
      </c>
      <c r="Y257" s="10"/>
      <c r="Z257" s="7" t="s">
        <v>688</v>
      </c>
      <c r="AA257" s="7" t="n">
        <v>20</v>
      </c>
      <c r="AB257" s="9" t="n">
        <v>0.20477146681966</v>
      </c>
    </row>
    <row r="258" customFormat="false" ht="23.85" hidden="false" customHeight="false" outlineLevel="0" collapsed="false">
      <c r="A258" s="7" t="n">
        <v>254</v>
      </c>
      <c r="B258" s="12" t="s">
        <v>134</v>
      </c>
      <c r="C258" s="10" t="s">
        <v>1292</v>
      </c>
      <c r="D258" s="12" t="s">
        <v>1223</v>
      </c>
      <c r="E258" s="12" t="s">
        <v>1293</v>
      </c>
      <c r="F258" s="10" t="s">
        <v>1294</v>
      </c>
      <c r="G258" s="12" t="s">
        <v>656</v>
      </c>
      <c r="H258" s="26" t="n">
        <v>62.4008</v>
      </c>
      <c r="I258" s="7" t="n">
        <v>1</v>
      </c>
      <c r="J258" s="7" t="n">
        <v>684</v>
      </c>
      <c r="K258" s="11" t="n">
        <v>8785.35</v>
      </c>
      <c r="L258" s="10" t="s">
        <v>135</v>
      </c>
      <c r="M258" s="26" t="n">
        <v>62.4008</v>
      </c>
      <c r="N258" s="12" t="s">
        <v>657</v>
      </c>
      <c r="O258" s="12" t="s">
        <v>77</v>
      </c>
      <c r="P258" s="10" t="s">
        <v>658</v>
      </c>
      <c r="Q258" s="30" t="s">
        <v>936</v>
      </c>
      <c r="R258" s="34" t="n">
        <v>0.959959846916369</v>
      </c>
      <c r="S258" s="11" t="n">
        <v>8433.6</v>
      </c>
      <c r="T258" s="10" t="s">
        <v>1252</v>
      </c>
      <c r="U258" s="7" t="n">
        <v>5</v>
      </c>
      <c r="V258" s="12" t="s">
        <v>136</v>
      </c>
      <c r="W258" s="12" t="s">
        <v>79</v>
      </c>
      <c r="X258" s="12" t="s">
        <v>86</v>
      </c>
      <c r="Y258" s="10"/>
      <c r="Z258" s="7" t="s">
        <v>106</v>
      </c>
      <c r="AA258" s="7" t="n">
        <v>9</v>
      </c>
      <c r="AB258" s="9" t="n">
        <v>0.581793842034806</v>
      </c>
    </row>
    <row r="259" customFormat="false" ht="23.85" hidden="false" customHeight="false" outlineLevel="0" collapsed="false">
      <c r="A259" s="7" t="n">
        <v>255</v>
      </c>
      <c r="B259" s="12" t="s">
        <v>89</v>
      </c>
      <c r="C259" s="10" t="s">
        <v>89</v>
      </c>
      <c r="D259" s="12" t="s">
        <v>1223</v>
      </c>
      <c r="E259" s="12" t="s">
        <v>1184</v>
      </c>
      <c r="F259" s="10" t="s">
        <v>1295</v>
      </c>
      <c r="G259" s="12" t="s">
        <v>656</v>
      </c>
      <c r="H259" s="26" t="n">
        <v>981.694</v>
      </c>
      <c r="I259" s="7" t="n">
        <v>1</v>
      </c>
      <c r="J259" s="7" t="n">
        <v>905</v>
      </c>
      <c r="K259" s="11" t="n">
        <v>28093.38</v>
      </c>
      <c r="L259" s="10" t="s">
        <v>90</v>
      </c>
      <c r="M259" s="26" t="n">
        <v>981.694</v>
      </c>
      <c r="N259" s="12" t="s">
        <v>657</v>
      </c>
      <c r="O259" s="12" t="s">
        <v>102</v>
      </c>
      <c r="P259" s="10" t="s">
        <v>658</v>
      </c>
      <c r="Q259" s="30" t="s">
        <v>944</v>
      </c>
      <c r="R259" s="34" t="n">
        <v>1</v>
      </c>
      <c r="S259" s="11" t="n">
        <v>28093.4</v>
      </c>
      <c r="T259" s="10" t="s">
        <v>1266</v>
      </c>
      <c r="U259" s="7" t="n">
        <v>4</v>
      </c>
      <c r="V259" s="12" t="s">
        <v>122</v>
      </c>
      <c r="W259" s="12" t="s">
        <v>79</v>
      </c>
      <c r="X259" s="12" t="s">
        <v>86</v>
      </c>
      <c r="Y259" s="10" t="s">
        <v>81</v>
      </c>
      <c r="Z259" s="7" t="s">
        <v>74</v>
      </c>
      <c r="AA259" s="7" t="n">
        <v>2</v>
      </c>
      <c r="AB259" s="9" t="n">
        <v>0.883385924650985</v>
      </c>
    </row>
    <row r="260" customFormat="false" ht="23.85" hidden="false" customHeight="false" outlineLevel="0" collapsed="false">
      <c r="A260" s="7" t="n">
        <v>256</v>
      </c>
      <c r="B260" s="12" t="s">
        <v>170</v>
      </c>
      <c r="C260" s="10" t="s">
        <v>1296</v>
      </c>
      <c r="D260" s="12" t="s">
        <v>1223</v>
      </c>
      <c r="E260" s="12" t="s">
        <v>1297</v>
      </c>
      <c r="F260" s="10" t="s">
        <v>1298</v>
      </c>
      <c r="G260" s="12" t="s">
        <v>656</v>
      </c>
      <c r="H260" s="26" t="n">
        <v>8.4133</v>
      </c>
      <c r="I260" s="7" t="n">
        <v>1</v>
      </c>
      <c r="J260" s="7" t="n">
        <v>87</v>
      </c>
      <c r="K260" s="11" t="n">
        <v>2931.42</v>
      </c>
      <c r="L260" s="10" t="s">
        <v>171</v>
      </c>
      <c r="M260" s="26" t="n">
        <v>8.4133</v>
      </c>
      <c r="N260" s="12" t="s">
        <v>657</v>
      </c>
      <c r="O260" s="12" t="s">
        <v>471</v>
      </c>
      <c r="P260" s="10" t="s">
        <v>658</v>
      </c>
      <c r="Q260" s="12"/>
      <c r="R260" s="34" t="n">
        <v>1</v>
      </c>
      <c r="S260" s="11" t="n">
        <v>2931.4</v>
      </c>
      <c r="T260" s="10" t="s">
        <v>1299</v>
      </c>
      <c r="U260" s="7" t="n">
        <v>3</v>
      </c>
      <c r="V260" s="12" t="s">
        <v>472</v>
      </c>
      <c r="W260" s="12" t="s">
        <v>79</v>
      </c>
      <c r="X260" s="12" t="s">
        <v>86</v>
      </c>
      <c r="Y260" s="10"/>
      <c r="Z260" s="7" t="s">
        <v>688</v>
      </c>
      <c r="AA260" s="7" t="n">
        <v>15</v>
      </c>
      <c r="AB260" s="9" t="n">
        <v>0.438558997896347</v>
      </c>
    </row>
    <row r="261" customFormat="false" ht="23.85" hidden="false" customHeight="false" outlineLevel="0" collapsed="false">
      <c r="A261" s="7" t="n">
        <v>257</v>
      </c>
      <c r="B261" s="12" t="s">
        <v>170</v>
      </c>
      <c r="C261" s="10" t="s">
        <v>1296</v>
      </c>
      <c r="D261" s="12" t="s">
        <v>1223</v>
      </c>
      <c r="E261" s="12" t="s">
        <v>1300</v>
      </c>
      <c r="F261" s="10" t="s">
        <v>1301</v>
      </c>
      <c r="G261" s="12" t="s">
        <v>656</v>
      </c>
      <c r="H261" s="26" t="n">
        <v>42.0665</v>
      </c>
      <c r="I261" s="7" t="n">
        <v>1</v>
      </c>
      <c r="J261" s="7" t="n">
        <v>87</v>
      </c>
      <c r="K261" s="11" t="n">
        <v>2931.42</v>
      </c>
      <c r="L261" s="10" t="s">
        <v>171</v>
      </c>
      <c r="M261" s="26" t="n">
        <v>42.0665</v>
      </c>
      <c r="N261" s="12" t="s">
        <v>657</v>
      </c>
      <c r="O261" s="12" t="s">
        <v>471</v>
      </c>
      <c r="P261" s="10" t="s">
        <v>658</v>
      </c>
      <c r="Q261" s="12"/>
      <c r="R261" s="34" t="n">
        <v>1</v>
      </c>
      <c r="S261" s="11" t="n">
        <v>2931.4</v>
      </c>
      <c r="T261" s="10" t="s">
        <v>1299</v>
      </c>
      <c r="U261" s="7" t="n">
        <v>3</v>
      </c>
      <c r="V261" s="12" t="s">
        <v>472</v>
      </c>
      <c r="W261" s="12" t="s">
        <v>79</v>
      </c>
      <c r="X261" s="12" t="s">
        <v>86</v>
      </c>
      <c r="Y261" s="10"/>
      <c r="Z261" s="7" t="s">
        <v>688</v>
      </c>
      <c r="AA261" s="7" t="n">
        <v>15</v>
      </c>
      <c r="AB261" s="9" t="n">
        <v>0.438558997896347</v>
      </c>
    </row>
    <row r="262" customFormat="false" ht="35.05" hidden="false" customHeight="false" outlineLevel="0" collapsed="false">
      <c r="A262" s="7" t="n">
        <v>258</v>
      </c>
      <c r="B262" s="12" t="s">
        <v>137</v>
      </c>
      <c r="C262" s="10" t="s">
        <v>1302</v>
      </c>
      <c r="D262" s="12" t="s">
        <v>1223</v>
      </c>
      <c r="E262" s="12" t="s">
        <v>1303</v>
      </c>
      <c r="F262" s="10" t="s">
        <v>1304</v>
      </c>
      <c r="G262" s="12" t="s">
        <v>656</v>
      </c>
      <c r="H262" s="26" t="n">
        <v>91</v>
      </c>
      <c r="I262" s="7" t="n">
        <v>1</v>
      </c>
      <c r="J262" s="7" t="n">
        <v>12</v>
      </c>
      <c r="K262" s="11" t="n">
        <v>2202.64</v>
      </c>
      <c r="L262" s="10" t="s">
        <v>138</v>
      </c>
      <c r="M262" s="26" t="n">
        <v>91</v>
      </c>
      <c r="N262" s="12" t="s">
        <v>657</v>
      </c>
      <c r="O262" s="12" t="s">
        <v>77</v>
      </c>
      <c r="P262" s="10" t="s">
        <v>658</v>
      </c>
      <c r="Q262" s="30" t="s">
        <v>944</v>
      </c>
      <c r="R262" s="34" t="n">
        <v>0.75</v>
      </c>
      <c r="S262" s="11" t="n">
        <v>1652</v>
      </c>
      <c r="T262" s="10" t="s">
        <v>1238</v>
      </c>
      <c r="U262" s="7" t="n">
        <v>12</v>
      </c>
      <c r="V262" s="12" t="s">
        <v>139</v>
      </c>
      <c r="W262" s="12" t="s">
        <v>79</v>
      </c>
      <c r="X262" s="12" t="s">
        <v>110</v>
      </c>
      <c r="Y262" s="10" t="s">
        <v>111</v>
      </c>
      <c r="Z262" s="7" t="s">
        <v>106</v>
      </c>
      <c r="AA262" s="7" t="n">
        <v>10</v>
      </c>
      <c r="AB262" s="9" t="n">
        <v>0.536842608529356</v>
      </c>
    </row>
    <row r="263" customFormat="false" ht="23.85" hidden="false" customHeight="false" outlineLevel="0" collapsed="false">
      <c r="A263" s="7" t="n">
        <v>259</v>
      </c>
      <c r="B263" s="12" t="s">
        <v>466</v>
      </c>
      <c r="C263" s="10" t="s">
        <v>466</v>
      </c>
      <c r="D263" s="12" t="s">
        <v>1223</v>
      </c>
      <c r="E263" s="12" t="s">
        <v>1305</v>
      </c>
      <c r="F263" s="10" t="s">
        <v>1306</v>
      </c>
      <c r="G263" s="12" t="s">
        <v>656</v>
      </c>
      <c r="H263" s="26" t="n">
        <v>6.44</v>
      </c>
      <c r="I263" s="7" t="n">
        <v>1</v>
      </c>
      <c r="J263" s="7" t="n">
        <v>615</v>
      </c>
      <c r="K263" s="11" t="n">
        <v>54682.27</v>
      </c>
      <c r="L263" s="10" t="s">
        <v>467</v>
      </c>
      <c r="M263" s="26" t="n">
        <v>6.44</v>
      </c>
      <c r="N263" s="12" t="s">
        <v>657</v>
      </c>
      <c r="O263" s="12" t="s">
        <v>102</v>
      </c>
      <c r="P263" s="10" t="s">
        <v>658</v>
      </c>
      <c r="Q263" s="30" t="s">
        <v>944</v>
      </c>
      <c r="R263" s="34" t="n">
        <v>0.998949579831933</v>
      </c>
      <c r="S263" s="11" t="n">
        <v>54624.8</v>
      </c>
      <c r="T263" s="10" t="s">
        <v>948</v>
      </c>
      <c r="U263" s="7" t="n">
        <v>1</v>
      </c>
      <c r="V263" s="12" t="s">
        <v>126</v>
      </c>
      <c r="W263" s="12" t="s">
        <v>79</v>
      </c>
      <c r="X263" s="12" t="s">
        <v>671</v>
      </c>
      <c r="Y263" s="10"/>
      <c r="Z263" s="7" t="s">
        <v>688</v>
      </c>
      <c r="AA263" s="7" t="n">
        <v>12</v>
      </c>
      <c r="AB263" s="9" t="n">
        <v>0.511393191814879</v>
      </c>
    </row>
    <row r="264" customFormat="false" ht="23.85" hidden="false" customHeight="false" outlineLevel="0" collapsed="false">
      <c r="A264" s="7" t="n">
        <v>260</v>
      </c>
      <c r="B264" s="12" t="s">
        <v>477</v>
      </c>
      <c r="C264" s="10" t="s">
        <v>1307</v>
      </c>
      <c r="D264" s="12" t="s">
        <v>1223</v>
      </c>
      <c r="E264" s="12" t="s">
        <v>1308</v>
      </c>
      <c r="F264" s="10" t="s">
        <v>1309</v>
      </c>
      <c r="G264" s="12" t="s">
        <v>656</v>
      </c>
      <c r="H264" s="26" t="n">
        <v>23.975</v>
      </c>
      <c r="I264" s="7" t="n">
        <v>1</v>
      </c>
      <c r="J264" s="7" t="n">
        <v>123</v>
      </c>
      <c r="K264" s="11" t="n">
        <v>3010.2</v>
      </c>
      <c r="L264" s="10" t="s">
        <v>478</v>
      </c>
      <c r="M264" s="26" t="n">
        <v>23.975</v>
      </c>
      <c r="N264" s="12" t="s">
        <v>657</v>
      </c>
      <c r="O264" s="12" t="s">
        <v>102</v>
      </c>
      <c r="P264" s="10" t="s">
        <v>658</v>
      </c>
      <c r="Q264" s="30" t="s">
        <v>944</v>
      </c>
      <c r="R264" s="34" t="n">
        <v>0.675601982054373</v>
      </c>
      <c r="S264" s="11" t="n">
        <v>2033.7</v>
      </c>
      <c r="T264" s="10" t="s">
        <v>948</v>
      </c>
      <c r="U264" s="7" t="n">
        <v>1</v>
      </c>
      <c r="V264" s="12" t="s">
        <v>126</v>
      </c>
      <c r="W264" s="12" t="s">
        <v>79</v>
      </c>
      <c r="X264" s="12" t="s">
        <v>86</v>
      </c>
      <c r="Y264" s="10"/>
      <c r="Z264" s="7" t="s">
        <v>688</v>
      </c>
      <c r="AA264" s="7" t="n">
        <v>18</v>
      </c>
      <c r="AB264" s="9" t="n">
        <v>0.36102027156244</v>
      </c>
    </row>
    <row r="265" customFormat="false" ht="23.85" hidden="false" customHeight="false" outlineLevel="0" collapsed="false">
      <c r="A265" s="7" t="n">
        <v>261</v>
      </c>
      <c r="B265" s="12" t="s">
        <v>124</v>
      </c>
      <c r="C265" s="10" t="s">
        <v>124</v>
      </c>
      <c r="D265" s="12" t="s">
        <v>1223</v>
      </c>
      <c r="E265" s="12" t="s">
        <v>1310</v>
      </c>
      <c r="F265" s="10" t="s">
        <v>1311</v>
      </c>
      <c r="G265" s="12" t="s">
        <v>656</v>
      </c>
      <c r="H265" s="26" t="n">
        <v>80.5</v>
      </c>
      <c r="I265" s="7" t="n">
        <v>1</v>
      </c>
      <c r="J265" s="7" t="n">
        <v>843</v>
      </c>
      <c r="K265" s="11" t="n">
        <v>4508</v>
      </c>
      <c r="L265" s="10" t="s">
        <v>125</v>
      </c>
      <c r="M265" s="26" t="n">
        <v>80.5</v>
      </c>
      <c r="N265" s="12" t="s">
        <v>657</v>
      </c>
      <c r="O265" s="12" t="s">
        <v>102</v>
      </c>
      <c r="P265" s="10" t="s">
        <v>658</v>
      </c>
      <c r="Q265" s="30" t="s">
        <v>944</v>
      </c>
      <c r="R265" s="34" t="n">
        <v>0.858739397335643</v>
      </c>
      <c r="S265" s="11" t="n">
        <v>3871.2</v>
      </c>
      <c r="T265" s="10" t="s">
        <v>948</v>
      </c>
      <c r="U265" s="7" t="n">
        <v>1</v>
      </c>
      <c r="V265" s="12" t="s">
        <v>126</v>
      </c>
      <c r="W265" s="12" t="s">
        <v>79</v>
      </c>
      <c r="X265" s="12" t="s">
        <v>671</v>
      </c>
      <c r="Y265" s="10" t="s">
        <v>104</v>
      </c>
      <c r="Z265" s="7" t="s">
        <v>106</v>
      </c>
      <c r="AA265" s="7" t="n">
        <v>6</v>
      </c>
      <c r="AB265" s="9" t="n">
        <v>0.6220787913559</v>
      </c>
    </row>
    <row r="266" customFormat="false" ht="23.85" hidden="false" customHeight="false" outlineLevel="0" collapsed="false">
      <c r="A266" s="7" t="n">
        <v>262</v>
      </c>
      <c r="B266" s="12" t="s">
        <v>124</v>
      </c>
      <c r="C266" s="10" t="s">
        <v>124</v>
      </c>
      <c r="D266" s="12" t="s">
        <v>1223</v>
      </c>
      <c r="E266" s="12" t="s">
        <v>1312</v>
      </c>
      <c r="F266" s="10" t="s">
        <v>1313</v>
      </c>
      <c r="G266" s="12" t="s">
        <v>656</v>
      </c>
      <c r="H266" s="26" t="n">
        <v>105</v>
      </c>
      <c r="I266" s="7" t="n">
        <v>1</v>
      </c>
      <c r="J266" s="7" t="n">
        <v>843</v>
      </c>
      <c r="K266" s="11" t="n">
        <v>4508</v>
      </c>
      <c r="L266" s="10" t="s">
        <v>125</v>
      </c>
      <c r="M266" s="26" t="n">
        <v>105</v>
      </c>
      <c r="N266" s="12" t="s">
        <v>657</v>
      </c>
      <c r="O266" s="12" t="s">
        <v>102</v>
      </c>
      <c r="P266" s="10" t="s">
        <v>658</v>
      </c>
      <c r="Q266" s="30" t="s">
        <v>944</v>
      </c>
      <c r="R266" s="34" t="n">
        <v>0.858739397335643</v>
      </c>
      <c r="S266" s="11" t="n">
        <v>3871.2</v>
      </c>
      <c r="T266" s="10" t="s">
        <v>948</v>
      </c>
      <c r="U266" s="7" t="n">
        <v>1</v>
      </c>
      <c r="V266" s="12" t="s">
        <v>126</v>
      </c>
      <c r="W266" s="12" t="s">
        <v>79</v>
      </c>
      <c r="X266" s="12" t="s">
        <v>671</v>
      </c>
      <c r="Y266" s="10" t="s">
        <v>104</v>
      </c>
      <c r="Z266" s="7" t="s">
        <v>106</v>
      </c>
      <c r="AA266" s="7" t="n">
        <v>6</v>
      </c>
      <c r="AB266" s="9" t="n">
        <v>0.6220787913559</v>
      </c>
    </row>
    <row r="267" customFormat="false" ht="35.05" hidden="false" customHeight="false" outlineLevel="0" collapsed="false">
      <c r="A267" s="7" t="n">
        <v>263</v>
      </c>
      <c r="B267" s="12" t="s">
        <v>137</v>
      </c>
      <c r="C267" s="10" t="s">
        <v>1314</v>
      </c>
      <c r="D267" s="12" t="s">
        <v>1223</v>
      </c>
      <c r="E267" s="12" t="s">
        <v>1315</v>
      </c>
      <c r="F267" s="10" t="s">
        <v>1316</v>
      </c>
      <c r="G267" s="12" t="s">
        <v>656</v>
      </c>
      <c r="H267" s="26"/>
      <c r="I267" s="7" t="n">
        <v>1</v>
      </c>
      <c r="J267" s="7" t="n">
        <v>12</v>
      </c>
      <c r="K267" s="11" t="n">
        <v>2202.64</v>
      </c>
      <c r="L267" s="10" t="s">
        <v>138</v>
      </c>
      <c r="M267" s="26"/>
      <c r="N267" s="12" t="s">
        <v>701</v>
      </c>
      <c r="O267" s="12" t="s">
        <v>323</v>
      </c>
      <c r="P267" s="10" t="s">
        <v>323</v>
      </c>
      <c r="Q267" s="12"/>
      <c r="R267" s="34" t="n">
        <v>0.75</v>
      </c>
      <c r="S267" s="11" t="n">
        <v>1652</v>
      </c>
      <c r="T267" s="10" t="s">
        <v>1238</v>
      </c>
      <c r="U267" s="7" t="n">
        <v>12</v>
      </c>
      <c r="V267" s="12" t="s">
        <v>139</v>
      </c>
      <c r="W267" s="12" t="s">
        <v>79</v>
      </c>
      <c r="X267" s="12" t="s">
        <v>80</v>
      </c>
      <c r="Y267" s="10" t="s">
        <v>111</v>
      </c>
      <c r="Z267" s="7" t="s">
        <v>106</v>
      </c>
      <c r="AA267" s="7" t="n">
        <v>10</v>
      </c>
      <c r="AB267" s="9" t="n">
        <v>0.536842608529356</v>
      </c>
    </row>
    <row r="268" customFormat="false" ht="23.85" hidden="false" customHeight="false" outlineLevel="0" collapsed="false">
      <c r="A268" s="7" t="n">
        <v>264</v>
      </c>
      <c r="B268" s="12" t="s">
        <v>134</v>
      </c>
      <c r="C268" s="10" t="s">
        <v>1317</v>
      </c>
      <c r="D268" s="12" t="s">
        <v>1223</v>
      </c>
      <c r="E268" s="12" t="s">
        <v>1318</v>
      </c>
      <c r="F268" s="10" t="s">
        <v>1033</v>
      </c>
      <c r="G268" s="12" t="s">
        <v>656</v>
      </c>
      <c r="H268" s="26"/>
      <c r="I268" s="7" t="n">
        <v>1</v>
      </c>
      <c r="J268" s="7" t="n">
        <v>684</v>
      </c>
      <c r="K268" s="11" t="n">
        <v>8785.35</v>
      </c>
      <c r="L268" s="10" t="s">
        <v>135</v>
      </c>
      <c r="M268" s="26"/>
      <c r="N268" s="12" t="s">
        <v>701</v>
      </c>
      <c r="O268" s="12" t="s">
        <v>323</v>
      </c>
      <c r="P268" s="10" t="s">
        <v>323</v>
      </c>
      <c r="Q268" s="12"/>
      <c r="R268" s="34" t="n">
        <v>0.959959846916369</v>
      </c>
      <c r="S268" s="11" t="n">
        <v>8433.6</v>
      </c>
      <c r="T268" s="10" t="s">
        <v>1252</v>
      </c>
      <c r="U268" s="7" t="n">
        <v>5</v>
      </c>
      <c r="V268" s="12" t="s">
        <v>136</v>
      </c>
      <c r="W268" s="12" t="s">
        <v>79</v>
      </c>
      <c r="X268" s="12" t="s">
        <v>86</v>
      </c>
      <c r="Y268" s="10"/>
      <c r="Z268" s="7" t="s">
        <v>106</v>
      </c>
      <c r="AA268" s="7" t="n">
        <v>9</v>
      </c>
      <c r="AB268" s="9" t="n">
        <v>0.581793842034806</v>
      </c>
    </row>
    <row r="269" customFormat="false" ht="46.25" hidden="false" customHeight="false" outlineLevel="0" collapsed="false">
      <c r="A269" s="7" t="n">
        <v>265</v>
      </c>
      <c r="B269" s="12" t="s">
        <v>128</v>
      </c>
      <c r="C269" s="10" t="s">
        <v>1319</v>
      </c>
      <c r="D269" s="12" t="s">
        <v>1223</v>
      </c>
      <c r="E269" s="12" t="s">
        <v>1320</v>
      </c>
      <c r="F269" s="10" t="s">
        <v>1321</v>
      </c>
      <c r="G269" s="12" t="s">
        <v>656</v>
      </c>
      <c r="H269" s="26"/>
      <c r="I269" s="7" t="n">
        <v>1</v>
      </c>
      <c r="J269" s="7" t="n">
        <v>257</v>
      </c>
      <c r="K269" s="11" t="n">
        <v>4183.29</v>
      </c>
      <c r="L269" s="10" t="s">
        <v>129</v>
      </c>
      <c r="M269" s="26"/>
      <c r="N269" s="12" t="s">
        <v>701</v>
      </c>
      <c r="O269" s="12" t="s">
        <v>323</v>
      </c>
      <c r="P269" s="10" t="s">
        <v>323</v>
      </c>
      <c r="Q269" s="12"/>
      <c r="R269" s="34" t="n">
        <v>0.689888576486515</v>
      </c>
      <c r="S269" s="11" t="n">
        <v>2886</v>
      </c>
      <c r="T269" s="10" t="s">
        <v>1248</v>
      </c>
      <c r="U269" s="7" t="n">
        <v>18</v>
      </c>
      <c r="V269" s="12" t="s">
        <v>130</v>
      </c>
      <c r="W269" s="12" t="s">
        <v>79</v>
      </c>
      <c r="X269" s="12" t="s">
        <v>80</v>
      </c>
      <c r="Y269" s="10" t="s">
        <v>81</v>
      </c>
      <c r="Z269" s="7" t="s">
        <v>106</v>
      </c>
      <c r="AA269" s="7" t="n">
        <v>7</v>
      </c>
      <c r="AB269" s="9" t="n">
        <v>0.613731114935934</v>
      </c>
    </row>
    <row r="270" customFormat="false" ht="23.85" hidden="false" customHeight="false" outlineLevel="0" collapsed="false">
      <c r="A270" s="7" t="n">
        <v>266</v>
      </c>
      <c r="B270" s="12" t="s">
        <v>114</v>
      </c>
      <c r="C270" s="10" t="s">
        <v>114</v>
      </c>
      <c r="D270" s="12" t="s">
        <v>1322</v>
      </c>
      <c r="E270" s="12" t="s">
        <v>679</v>
      </c>
      <c r="F270" s="10" t="s">
        <v>1323</v>
      </c>
      <c r="G270" s="12" t="s">
        <v>681</v>
      </c>
      <c r="H270" s="26" t="n">
        <v>29.97</v>
      </c>
      <c r="I270" s="7" t="n">
        <v>1</v>
      </c>
      <c r="J270" s="7" t="n">
        <v>146</v>
      </c>
      <c r="K270" s="11" t="n">
        <v>11366.06</v>
      </c>
      <c r="L270" s="10" t="s">
        <v>115</v>
      </c>
      <c r="M270" s="26" t="n">
        <v>29.97</v>
      </c>
      <c r="N270" s="12" t="s">
        <v>657</v>
      </c>
      <c r="O270" s="12" t="s">
        <v>102</v>
      </c>
      <c r="P270" s="10" t="s">
        <v>658</v>
      </c>
      <c r="Q270" s="30" t="s">
        <v>682</v>
      </c>
      <c r="R270" s="34" t="n">
        <v>1</v>
      </c>
      <c r="S270" s="11" t="n">
        <v>11366.1</v>
      </c>
      <c r="T270" s="10" t="s">
        <v>1324</v>
      </c>
      <c r="U270" s="7" t="n">
        <v>8</v>
      </c>
      <c r="V270" s="12" t="s">
        <v>177</v>
      </c>
      <c r="W270" s="12" t="s">
        <v>85</v>
      </c>
      <c r="X270" s="12" t="s">
        <v>86</v>
      </c>
      <c r="Y270" s="10" t="s">
        <v>87</v>
      </c>
      <c r="Z270" s="7" t="s">
        <v>74</v>
      </c>
      <c r="AA270" s="7" t="n">
        <v>3</v>
      </c>
      <c r="AB270" s="9" t="n">
        <v>0.790992541594951</v>
      </c>
    </row>
    <row r="271" customFormat="false" ht="23.85" hidden="false" customHeight="false" outlineLevel="0" collapsed="false">
      <c r="A271" s="7" t="n">
        <v>267</v>
      </c>
      <c r="B271" s="12" t="s">
        <v>131</v>
      </c>
      <c r="C271" s="10" t="s">
        <v>1134</v>
      </c>
      <c r="D271" s="12" t="s">
        <v>1322</v>
      </c>
      <c r="E271" s="12" t="s">
        <v>1135</v>
      </c>
      <c r="F271" s="10" t="s">
        <v>1325</v>
      </c>
      <c r="G271" s="12" t="s">
        <v>79</v>
      </c>
      <c r="H271" s="26" t="n">
        <v>301.8</v>
      </c>
      <c r="I271" s="7" t="n">
        <v>1</v>
      </c>
      <c r="J271" s="7" t="n">
        <v>42</v>
      </c>
      <c r="K271" s="11" t="n">
        <v>1874.63</v>
      </c>
      <c r="L271" s="10" t="s">
        <v>132</v>
      </c>
      <c r="M271" s="26" t="n">
        <v>301.8</v>
      </c>
      <c r="N271" s="12" t="s">
        <v>657</v>
      </c>
      <c r="O271" s="12" t="s">
        <v>102</v>
      </c>
      <c r="P271" s="10" t="s">
        <v>658</v>
      </c>
      <c r="Q271" s="30" t="s">
        <v>1137</v>
      </c>
      <c r="R271" s="34" t="n">
        <v>1</v>
      </c>
      <c r="S271" s="11" t="n">
        <v>1874.6</v>
      </c>
      <c r="T271" s="10" t="s">
        <v>1326</v>
      </c>
      <c r="U271" s="7" t="n">
        <v>9</v>
      </c>
      <c r="V271" s="12" t="s">
        <v>186</v>
      </c>
      <c r="W271" s="12" t="s">
        <v>79</v>
      </c>
      <c r="X271" s="12" t="s">
        <v>86</v>
      </c>
      <c r="Y271" s="10" t="s">
        <v>104</v>
      </c>
      <c r="Z271" s="7" t="s">
        <v>106</v>
      </c>
      <c r="AA271" s="7" t="n">
        <v>6</v>
      </c>
      <c r="AB271" s="9" t="n">
        <v>0.583892713711991</v>
      </c>
    </row>
    <row r="272" customFormat="false" ht="35.05" hidden="false" customHeight="false" outlineLevel="0" collapsed="false">
      <c r="A272" s="7" t="n">
        <v>268</v>
      </c>
      <c r="B272" s="12" t="s">
        <v>114</v>
      </c>
      <c r="C272" s="10" t="s">
        <v>114</v>
      </c>
      <c r="D272" s="12" t="s">
        <v>1322</v>
      </c>
      <c r="E272" s="12" t="s">
        <v>831</v>
      </c>
      <c r="F272" s="10" t="s">
        <v>1327</v>
      </c>
      <c r="G272" s="12" t="s">
        <v>663</v>
      </c>
      <c r="H272" s="26" t="n">
        <v>345.31</v>
      </c>
      <c r="I272" s="7" t="n">
        <v>1</v>
      </c>
      <c r="J272" s="7" t="n">
        <v>146</v>
      </c>
      <c r="K272" s="11" t="n">
        <v>11366.06</v>
      </c>
      <c r="L272" s="10" t="s">
        <v>115</v>
      </c>
      <c r="M272" s="26" t="n">
        <v>345.31</v>
      </c>
      <c r="N272" s="12" t="s">
        <v>657</v>
      </c>
      <c r="O272" s="12" t="s">
        <v>102</v>
      </c>
      <c r="P272" s="10" t="s">
        <v>658</v>
      </c>
      <c r="Q272" s="30" t="s">
        <v>833</v>
      </c>
      <c r="R272" s="34" t="n">
        <v>1</v>
      </c>
      <c r="S272" s="11" t="n">
        <v>11366.1</v>
      </c>
      <c r="T272" s="10" t="s">
        <v>1324</v>
      </c>
      <c r="U272" s="7" t="n">
        <v>8</v>
      </c>
      <c r="V272" s="12" t="s">
        <v>177</v>
      </c>
      <c r="W272" s="12" t="s">
        <v>85</v>
      </c>
      <c r="X272" s="12" t="s">
        <v>97</v>
      </c>
      <c r="Y272" s="10" t="s">
        <v>87</v>
      </c>
      <c r="Z272" s="7" t="s">
        <v>74</v>
      </c>
      <c r="AA272" s="7" t="n">
        <v>3</v>
      </c>
      <c r="AB272" s="9" t="n">
        <v>0.790992541594951</v>
      </c>
    </row>
    <row r="273" customFormat="false" ht="23.85" hidden="false" customHeight="false" outlineLevel="0" collapsed="false">
      <c r="A273" s="7" t="n">
        <v>269</v>
      </c>
      <c r="B273" s="12" t="s">
        <v>117</v>
      </c>
      <c r="C273" s="10" t="s">
        <v>117</v>
      </c>
      <c r="D273" s="12" t="s">
        <v>1322</v>
      </c>
      <c r="E273" s="12" t="s">
        <v>934</v>
      </c>
      <c r="F273" s="10" t="s">
        <v>1328</v>
      </c>
      <c r="G273" s="12" t="s">
        <v>656</v>
      </c>
      <c r="H273" s="26" t="n">
        <v>67.02</v>
      </c>
      <c r="I273" s="7" t="n">
        <v>1</v>
      </c>
      <c r="J273" s="7" t="n">
        <v>346</v>
      </c>
      <c r="K273" s="11" t="n">
        <v>32830.17</v>
      </c>
      <c r="L273" s="10" t="s">
        <v>118</v>
      </c>
      <c r="M273" s="26" t="n">
        <v>67.02</v>
      </c>
      <c r="N273" s="12" t="s">
        <v>657</v>
      </c>
      <c r="O273" s="12" t="s">
        <v>102</v>
      </c>
      <c r="P273" s="10" t="s">
        <v>658</v>
      </c>
      <c r="Q273" s="30" t="s">
        <v>1329</v>
      </c>
      <c r="R273" s="34" t="n">
        <v>1</v>
      </c>
      <c r="S273" s="11" t="n">
        <v>32830.2</v>
      </c>
      <c r="T273" s="10" t="s">
        <v>1330</v>
      </c>
      <c r="U273" s="7" t="n">
        <v>9</v>
      </c>
      <c r="V273" s="12" t="s">
        <v>184</v>
      </c>
      <c r="W273" s="12" t="s">
        <v>79</v>
      </c>
      <c r="X273" s="12" t="s">
        <v>97</v>
      </c>
      <c r="Y273" s="10"/>
      <c r="Z273" s="7" t="s">
        <v>74</v>
      </c>
      <c r="AA273" s="7" t="n">
        <v>4</v>
      </c>
      <c r="AB273" s="9" t="n">
        <v>0.772968062727099</v>
      </c>
    </row>
    <row r="274" customFormat="false" ht="23.85" hidden="false" customHeight="false" outlineLevel="0" collapsed="false">
      <c r="A274" s="7" t="n">
        <v>270</v>
      </c>
      <c r="B274" s="12" t="s">
        <v>131</v>
      </c>
      <c r="C274" s="10" t="s">
        <v>131</v>
      </c>
      <c r="D274" s="12" t="s">
        <v>1322</v>
      </c>
      <c r="E274" s="12" t="s">
        <v>1164</v>
      </c>
      <c r="F274" s="10" t="s">
        <v>843</v>
      </c>
      <c r="G274" s="12" t="s">
        <v>656</v>
      </c>
      <c r="H274" s="26" t="n">
        <v>429.52</v>
      </c>
      <c r="I274" s="7" t="n">
        <v>1</v>
      </c>
      <c r="J274" s="7" t="n">
        <v>42</v>
      </c>
      <c r="K274" s="11" t="n">
        <v>1874.63</v>
      </c>
      <c r="L274" s="10" t="s">
        <v>132</v>
      </c>
      <c r="M274" s="26" t="n">
        <v>429.52</v>
      </c>
      <c r="N274" s="12" t="s">
        <v>657</v>
      </c>
      <c r="O274" s="12" t="s">
        <v>102</v>
      </c>
      <c r="P274" s="10" t="s">
        <v>658</v>
      </c>
      <c r="Q274" s="30" t="s">
        <v>1331</v>
      </c>
      <c r="R274" s="34" t="n">
        <v>1</v>
      </c>
      <c r="S274" s="11" t="n">
        <v>1874.6</v>
      </c>
      <c r="T274" s="10" t="s">
        <v>1326</v>
      </c>
      <c r="U274" s="7" t="n">
        <v>9</v>
      </c>
      <c r="V274" s="12" t="s">
        <v>186</v>
      </c>
      <c r="W274" s="12" t="s">
        <v>79</v>
      </c>
      <c r="X274" s="12" t="s">
        <v>97</v>
      </c>
      <c r="Y274" s="10" t="s">
        <v>104</v>
      </c>
      <c r="Z274" s="7" t="s">
        <v>106</v>
      </c>
      <c r="AA274" s="7" t="n">
        <v>6</v>
      </c>
      <c r="AB274" s="9" t="n">
        <v>0.583892713711991</v>
      </c>
    </row>
    <row r="275" customFormat="false" ht="23.85" hidden="false" customHeight="false" outlineLevel="0" collapsed="false">
      <c r="A275" s="7" t="n">
        <v>271</v>
      </c>
      <c r="B275" s="12" t="s">
        <v>75</v>
      </c>
      <c r="C275" s="10" t="s">
        <v>1332</v>
      </c>
      <c r="D275" s="12" t="s">
        <v>1322</v>
      </c>
      <c r="E275" s="12" t="s">
        <v>851</v>
      </c>
      <c r="F275" s="10" t="s">
        <v>839</v>
      </c>
      <c r="G275" s="12" t="s">
        <v>656</v>
      </c>
      <c r="H275" s="26" t="n">
        <v>397.421</v>
      </c>
      <c r="I275" s="7" t="n">
        <v>30</v>
      </c>
      <c r="J275" s="7" t="n">
        <v>762</v>
      </c>
      <c r="K275" s="11" t="n">
        <v>50865.56</v>
      </c>
      <c r="L275" s="10" t="s">
        <v>76</v>
      </c>
      <c r="M275" s="26" t="n">
        <v>397.421</v>
      </c>
      <c r="N275" s="12" t="s">
        <v>657</v>
      </c>
      <c r="O275" s="12" t="s">
        <v>153</v>
      </c>
      <c r="P275" s="10" t="s">
        <v>658</v>
      </c>
      <c r="Q275" s="30" t="s">
        <v>852</v>
      </c>
      <c r="R275" s="34" t="n">
        <v>0.829278792417718</v>
      </c>
      <c r="S275" s="11" t="n">
        <v>42181.7</v>
      </c>
      <c r="T275" s="10" t="s">
        <v>1333</v>
      </c>
      <c r="U275" s="7" t="n">
        <v>3</v>
      </c>
      <c r="V275" s="12" t="s">
        <v>323</v>
      </c>
      <c r="W275" s="12" t="s">
        <v>79</v>
      </c>
      <c r="X275" s="12" t="s">
        <v>80</v>
      </c>
      <c r="Y275" s="10" t="s">
        <v>81</v>
      </c>
      <c r="Z275" s="7" t="s">
        <v>74</v>
      </c>
      <c r="AA275" s="7" t="n">
        <v>1</v>
      </c>
      <c r="AB275" s="9" t="n">
        <v>0.909112641040352</v>
      </c>
    </row>
    <row r="276" customFormat="false" ht="35.05" hidden="false" customHeight="false" outlineLevel="0" collapsed="false">
      <c r="A276" s="7" t="n">
        <v>272</v>
      </c>
      <c r="B276" s="12" t="s">
        <v>89</v>
      </c>
      <c r="C276" s="10" t="s">
        <v>1334</v>
      </c>
      <c r="D276" s="12" t="s">
        <v>1322</v>
      </c>
      <c r="E276" s="12" t="s">
        <v>912</v>
      </c>
      <c r="F276" s="10" t="s">
        <v>1335</v>
      </c>
      <c r="G276" s="12" t="s">
        <v>656</v>
      </c>
      <c r="H276" s="26" t="n">
        <v>162.9686</v>
      </c>
      <c r="I276" s="7" t="n">
        <v>29</v>
      </c>
      <c r="J276" s="7" t="n">
        <v>905</v>
      </c>
      <c r="K276" s="11" t="n">
        <v>28093.38</v>
      </c>
      <c r="L276" s="10" t="s">
        <v>90</v>
      </c>
      <c r="M276" s="26" t="n">
        <v>162.9686</v>
      </c>
      <c r="N276" s="12" t="s">
        <v>657</v>
      </c>
      <c r="O276" s="12" t="s">
        <v>102</v>
      </c>
      <c r="P276" s="10" t="s">
        <v>658</v>
      </c>
      <c r="Q276" s="30" t="s">
        <v>1171</v>
      </c>
      <c r="R276" s="34" t="n">
        <v>1</v>
      </c>
      <c r="S276" s="11" t="n">
        <v>28093.4</v>
      </c>
      <c r="T276" s="10" t="s">
        <v>1336</v>
      </c>
      <c r="U276" s="7" t="n">
        <v>12</v>
      </c>
      <c r="V276" s="12" t="s">
        <v>185</v>
      </c>
      <c r="W276" s="12" t="s">
        <v>79</v>
      </c>
      <c r="X276" s="12" t="s">
        <v>80</v>
      </c>
      <c r="Y276" s="10" t="s">
        <v>81</v>
      </c>
      <c r="Z276" s="7" t="s">
        <v>74</v>
      </c>
      <c r="AA276" s="7" t="n">
        <v>5</v>
      </c>
      <c r="AB276" s="9" t="n">
        <v>0.743703384968445</v>
      </c>
    </row>
    <row r="277" customFormat="false" ht="23.85" hidden="false" customHeight="false" outlineLevel="0" collapsed="false">
      <c r="A277" s="7" t="n">
        <v>273</v>
      </c>
      <c r="B277" s="12" t="s">
        <v>131</v>
      </c>
      <c r="C277" s="10" t="s">
        <v>1337</v>
      </c>
      <c r="D277" s="12" t="s">
        <v>1322</v>
      </c>
      <c r="E277" s="12" t="s">
        <v>1174</v>
      </c>
      <c r="F277" s="10" t="s">
        <v>1210</v>
      </c>
      <c r="G277" s="12" t="s">
        <v>656</v>
      </c>
      <c r="H277" s="26" t="n">
        <v>471.2665</v>
      </c>
      <c r="I277" s="7" t="n">
        <v>25</v>
      </c>
      <c r="J277" s="7" t="n">
        <v>42</v>
      </c>
      <c r="K277" s="11" t="n">
        <v>1874.63</v>
      </c>
      <c r="L277" s="10" t="s">
        <v>132</v>
      </c>
      <c r="M277" s="26" t="n">
        <v>471.2665</v>
      </c>
      <c r="N277" s="12" t="s">
        <v>657</v>
      </c>
      <c r="O277" s="12" t="s">
        <v>77</v>
      </c>
      <c r="P277" s="10" t="s">
        <v>658</v>
      </c>
      <c r="Q277" s="30" t="s">
        <v>852</v>
      </c>
      <c r="R277" s="34" t="n">
        <v>1</v>
      </c>
      <c r="S277" s="11" t="n">
        <v>1874.6</v>
      </c>
      <c r="T277" s="10" t="s">
        <v>1326</v>
      </c>
      <c r="U277" s="7" t="n">
        <v>9</v>
      </c>
      <c r="V277" s="12" t="s">
        <v>186</v>
      </c>
      <c r="W277" s="12" t="s">
        <v>79</v>
      </c>
      <c r="X277" s="12" t="s">
        <v>86</v>
      </c>
      <c r="Y277" s="10" t="s">
        <v>104</v>
      </c>
      <c r="Z277" s="7" t="s">
        <v>106</v>
      </c>
      <c r="AA277" s="7" t="n">
        <v>6</v>
      </c>
      <c r="AB277" s="9" t="n">
        <v>0.583892713711991</v>
      </c>
    </row>
    <row r="278" customFormat="false" ht="23.85" hidden="false" customHeight="false" outlineLevel="0" collapsed="false">
      <c r="A278" s="7" t="n">
        <v>274</v>
      </c>
      <c r="B278" s="12" t="s">
        <v>114</v>
      </c>
      <c r="C278" s="10" t="s">
        <v>1338</v>
      </c>
      <c r="D278" s="12" t="s">
        <v>1322</v>
      </c>
      <c r="E278" s="12" t="s">
        <v>1339</v>
      </c>
      <c r="F278" s="10" t="s">
        <v>1340</v>
      </c>
      <c r="G278" s="12" t="s">
        <v>663</v>
      </c>
      <c r="H278" s="26" t="n">
        <v>531.8684</v>
      </c>
      <c r="I278" s="7" t="n">
        <v>31</v>
      </c>
      <c r="J278" s="7" t="n">
        <v>146</v>
      </c>
      <c r="K278" s="11" t="n">
        <v>11366.06</v>
      </c>
      <c r="L278" s="10" t="s">
        <v>115</v>
      </c>
      <c r="M278" s="26" t="n">
        <v>531.8684</v>
      </c>
      <c r="N278" s="12" t="s">
        <v>657</v>
      </c>
      <c r="O278" s="12" t="s">
        <v>153</v>
      </c>
      <c r="P278" s="10" t="s">
        <v>658</v>
      </c>
      <c r="Q278" s="30" t="s">
        <v>852</v>
      </c>
      <c r="R278" s="34" t="n">
        <v>1</v>
      </c>
      <c r="S278" s="11" t="n">
        <v>11366.1</v>
      </c>
      <c r="T278" s="10" t="s">
        <v>1324</v>
      </c>
      <c r="U278" s="7" t="n">
        <v>8</v>
      </c>
      <c r="V278" s="12" t="s">
        <v>177</v>
      </c>
      <c r="W278" s="12" t="s">
        <v>85</v>
      </c>
      <c r="X278" s="12" t="s">
        <v>97</v>
      </c>
      <c r="Y278" s="10" t="s">
        <v>87</v>
      </c>
      <c r="Z278" s="7" t="s">
        <v>74</v>
      </c>
      <c r="AA278" s="7" t="n">
        <v>3</v>
      </c>
      <c r="AB278" s="9" t="n">
        <v>0.790992541594951</v>
      </c>
    </row>
    <row r="279" customFormat="false" ht="23.85" hidden="false" customHeight="false" outlineLevel="0" collapsed="false">
      <c r="A279" s="7" t="n">
        <v>275</v>
      </c>
      <c r="B279" s="12" t="s">
        <v>112</v>
      </c>
      <c r="C279" s="10" t="s">
        <v>1341</v>
      </c>
      <c r="D279" s="12" t="s">
        <v>1322</v>
      </c>
      <c r="E279" s="12" t="s">
        <v>1342</v>
      </c>
      <c r="F279" s="10" t="s">
        <v>1343</v>
      </c>
      <c r="G279" s="12" t="s">
        <v>656</v>
      </c>
      <c r="H279" s="26" t="n">
        <v>7322.4226</v>
      </c>
      <c r="I279" s="7" t="n">
        <v>25</v>
      </c>
      <c r="J279" s="7" t="n">
        <v>47</v>
      </c>
      <c r="K279" s="11" t="n">
        <v>7904.67</v>
      </c>
      <c r="L279" s="10" t="s">
        <v>113</v>
      </c>
      <c r="M279" s="26" t="n">
        <v>7322.4226</v>
      </c>
      <c r="N279" s="12" t="s">
        <v>657</v>
      </c>
      <c r="O279" s="12" t="s">
        <v>153</v>
      </c>
      <c r="P279" s="10" t="s">
        <v>658</v>
      </c>
      <c r="Q279" s="30" t="s">
        <v>852</v>
      </c>
      <c r="R279" s="34" t="n">
        <v>1</v>
      </c>
      <c r="S279" s="11" t="n">
        <v>7904.7</v>
      </c>
      <c r="T279" s="10" t="s">
        <v>1344</v>
      </c>
      <c r="U279" s="7" t="n">
        <v>1</v>
      </c>
      <c r="V279" s="12" t="s">
        <v>323</v>
      </c>
      <c r="W279" s="12" t="s">
        <v>79</v>
      </c>
      <c r="X279" s="12" t="s">
        <v>86</v>
      </c>
      <c r="Y279" s="10"/>
      <c r="Z279" s="7" t="s">
        <v>74</v>
      </c>
      <c r="AA279" s="7" t="n">
        <v>2</v>
      </c>
      <c r="AB279" s="9" t="n">
        <v>0.825301204819277</v>
      </c>
    </row>
    <row r="280" customFormat="false" ht="23.85" hidden="false" customHeight="false" outlineLevel="0" collapsed="false">
      <c r="A280" s="7" t="n">
        <v>276</v>
      </c>
      <c r="B280" s="12" t="s">
        <v>117</v>
      </c>
      <c r="C280" s="10" t="s">
        <v>1345</v>
      </c>
      <c r="D280" s="12" t="s">
        <v>1322</v>
      </c>
      <c r="E280" s="12" t="s">
        <v>1183</v>
      </c>
      <c r="F280" s="10" t="s">
        <v>1080</v>
      </c>
      <c r="G280" s="12" t="s">
        <v>656</v>
      </c>
      <c r="H280" s="26" t="n">
        <v>92.0498</v>
      </c>
      <c r="I280" s="7" t="n">
        <v>31</v>
      </c>
      <c r="J280" s="7" t="n">
        <v>346</v>
      </c>
      <c r="K280" s="11" t="n">
        <v>32830.17</v>
      </c>
      <c r="L280" s="10" t="s">
        <v>118</v>
      </c>
      <c r="M280" s="26" t="n">
        <v>92.0498</v>
      </c>
      <c r="N280" s="12" t="s">
        <v>657</v>
      </c>
      <c r="O280" s="12" t="s">
        <v>102</v>
      </c>
      <c r="P280" s="10" t="s">
        <v>658</v>
      </c>
      <c r="Q280" s="30" t="s">
        <v>852</v>
      </c>
      <c r="R280" s="34" t="n">
        <v>1</v>
      </c>
      <c r="S280" s="11" t="n">
        <v>32830.2</v>
      </c>
      <c r="T280" s="10" t="s">
        <v>1330</v>
      </c>
      <c r="U280" s="7" t="n">
        <v>9</v>
      </c>
      <c r="V280" s="12" t="s">
        <v>184</v>
      </c>
      <c r="W280" s="12" t="s">
        <v>79</v>
      </c>
      <c r="X280" s="12" t="s">
        <v>86</v>
      </c>
      <c r="Y280" s="10"/>
      <c r="Z280" s="7" t="s">
        <v>74</v>
      </c>
      <c r="AA280" s="7" t="n">
        <v>4</v>
      </c>
      <c r="AB280" s="9" t="n">
        <v>0.772968062727099</v>
      </c>
    </row>
    <row r="281" customFormat="false" ht="35.05" hidden="false" customHeight="false" outlineLevel="0" collapsed="false">
      <c r="A281" s="7" t="n">
        <v>277</v>
      </c>
      <c r="B281" s="12" t="s">
        <v>89</v>
      </c>
      <c r="C281" s="10" t="s">
        <v>1346</v>
      </c>
      <c r="D281" s="12" t="s">
        <v>1322</v>
      </c>
      <c r="E281" s="12" t="s">
        <v>1347</v>
      </c>
      <c r="F281" s="10" t="s">
        <v>1056</v>
      </c>
      <c r="G281" s="12" t="s">
        <v>656</v>
      </c>
      <c r="H281" s="26" t="n">
        <v>17.444</v>
      </c>
      <c r="I281" s="7" t="n">
        <v>1</v>
      </c>
      <c r="J281" s="7" t="n">
        <v>905</v>
      </c>
      <c r="K281" s="11" t="n">
        <v>28093.38</v>
      </c>
      <c r="L281" s="10" t="s">
        <v>90</v>
      </c>
      <c r="M281" s="26" t="n">
        <v>17.444</v>
      </c>
      <c r="N281" s="12" t="s">
        <v>657</v>
      </c>
      <c r="O281" s="12" t="s">
        <v>77</v>
      </c>
      <c r="P281" s="10" t="s">
        <v>658</v>
      </c>
      <c r="Q281" s="30" t="s">
        <v>983</v>
      </c>
      <c r="R281" s="34" t="n">
        <v>1</v>
      </c>
      <c r="S281" s="11" t="n">
        <v>28093.4</v>
      </c>
      <c r="T281" s="10" t="s">
        <v>1336</v>
      </c>
      <c r="U281" s="7" t="n">
        <v>12</v>
      </c>
      <c r="V281" s="12" t="s">
        <v>185</v>
      </c>
      <c r="W281" s="12" t="s">
        <v>79</v>
      </c>
      <c r="X281" s="12" t="s">
        <v>86</v>
      </c>
      <c r="Y281" s="10" t="s">
        <v>81</v>
      </c>
      <c r="Z281" s="7" t="s">
        <v>74</v>
      </c>
      <c r="AA281" s="7" t="n">
        <v>5</v>
      </c>
      <c r="AB281" s="9" t="n">
        <v>0.743703384968445</v>
      </c>
    </row>
    <row r="282" customFormat="false" ht="35.05" hidden="false" customHeight="false" outlineLevel="0" collapsed="false">
      <c r="A282" s="7" t="n">
        <v>278</v>
      </c>
      <c r="B282" s="12" t="s">
        <v>89</v>
      </c>
      <c r="C282" s="10" t="s">
        <v>1346</v>
      </c>
      <c r="D282" s="12" t="s">
        <v>1322</v>
      </c>
      <c r="E282" s="12" t="s">
        <v>1348</v>
      </c>
      <c r="F282" s="10" t="s">
        <v>1349</v>
      </c>
      <c r="G282" s="12" t="s">
        <v>656</v>
      </c>
      <c r="H282" s="26" t="n">
        <v>14.329</v>
      </c>
      <c r="I282" s="7" t="n">
        <v>1</v>
      </c>
      <c r="J282" s="7" t="n">
        <v>905</v>
      </c>
      <c r="K282" s="11" t="n">
        <v>28093.38</v>
      </c>
      <c r="L282" s="10" t="s">
        <v>90</v>
      </c>
      <c r="M282" s="26" t="n">
        <v>14.329</v>
      </c>
      <c r="N282" s="12" t="s">
        <v>657</v>
      </c>
      <c r="O282" s="12" t="s">
        <v>77</v>
      </c>
      <c r="P282" s="10" t="s">
        <v>658</v>
      </c>
      <c r="Q282" s="30" t="s">
        <v>983</v>
      </c>
      <c r="R282" s="34" t="n">
        <v>1</v>
      </c>
      <c r="S282" s="11" t="n">
        <v>28093.4</v>
      </c>
      <c r="T282" s="10" t="s">
        <v>1336</v>
      </c>
      <c r="U282" s="7" t="n">
        <v>12</v>
      </c>
      <c r="V282" s="12" t="s">
        <v>185</v>
      </c>
      <c r="W282" s="12" t="s">
        <v>79</v>
      </c>
      <c r="X282" s="12" t="s">
        <v>86</v>
      </c>
      <c r="Y282" s="10" t="s">
        <v>81</v>
      </c>
      <c r="Z282" s="7" t="s">
        <v>74</v>
      </c>
      <c r="AA282" s="7" t="n">
        <v>5</v>
      </c>
      <c r="AB282" s="9" t="n">
        <v>0.743703384968445</v>
      </c>
    </row>
    <row r="283" customFormat="false" ht="23.85" hidden="false" customHeight="false" outlineLevel="0" collapsed="false">
      <c r="A283" s="7" t="n">
        <v>279</v>
      </c>
      <c r="B283" s="12" t="s">
        <v>223</v>
      </c>
      <c r="C283" s="10" t="s">
        <v>689</v>
      </c>
      <c r="D283" s="12" t="s">
        <v>1350</v>
      </c>
      <c r="E283" s="12" t="s">
        <v>690</v>
      </c>
      <c r="F283" s="10" t="s">
        <v>1351</v>
      </c>
      <c r="G283" s="12" t="s">
        <v>656</v>
      </c>
      <c r="H283" s="26" t="n">
        <v>14.96</v>
      </c>
      <c r="I283" s="7" t="n">
        <v>1</v>
      </c>
      <c r="J283" s="7" t="n">
        <v>472</v>
      </c>
      <c r="K283" s="11" t="n">
        <v>7831.08</v>
      </c>
      <c r="L283" s="10" t="s">
        <v>224</v>
      </c>
      <c r="M283" s="26" t="n">
        <v>14.96</v>
      </c>
      <c r="N283" s="12" t="s">
        <v>657</v>
      </c>
      <c r="O283" s="12" t="s">
        <v>102</v>
      </c>
      <c r="P283" s="10" t="s">
        <v>658</v>
      </c>
      <c r="Q283" s="30" t="s">
        <v>692</v>
      </c>
      <c r="R283" s="34" t="n">
        <v>0.172727272727273</v>
      </c>
      <c r="S283" s="11" t="n">
        <v>1352.6</v>
      </c>
      <c r="T283" s="10" t="s">
        <v>144</v>
      </c>
      <c r="U283" s="7" t="n">
        <v>1</v>
      </c>
      <c r="V283" s="12" t="s">
        <v>144</v>
      </c>
      <c r="W283" s="12" t="s">
        <v>79</v>
      </c>
      <c r="X283" s="12" t="s">
        <v>86</v>
      </c>
      <c r="Y283" s="10"/>
      <c r="Z283" s="7" t="s">
        <v>688</v>
      </c>
      <c r="AA283" s="7" t="n">
        <v>17</v>
      </c>
      <c r="AB283" s="9" t="n">
        <v>0.261546184738956</v>
      </c>
    </row>
    <row r="284" customFormat="false" ht="35.05" hidden="false" customHeight="false" outlineLevel="0" collapsed="false">
      <c r="A284" s="7" t="n">
        <v>280</v>
      </c>
      <c r="B284" s="12" t="s">
        <v>235</v>
      </c>
      <c r="C284" s="10" t="s">
        <v>235</v>
      </c>
      <c r="D284" s="12" t="s">
        <v>1350</v>
      </c>
      <c r="E284" s="12" t="s">
        <v>732</v>
      </c>
      <c r="F284" s="10"/>
      <c r="G284" s="12"/>
      <c r="H284" s="26"/>
      <c r="I284" s="7" t="n">
        <v>1</v>
      </c>
      <c r="J284" s="7" t="n">
        <v>445</v>
      </c>
      <c r="K284" s="11" t="n">
        <v>8796.85</v>
      </c>
      <c r="L284" s="10" t="s">
        <v>236</v>
      </c>
      <c r="M284" s="35" t="n">
        <v>0.65</v>
      </c>
      <c r="N284" s="12" t="s">
        <v>664</v>
      </c>
      <c r="O284" s="12" t="s">
        <v>102</v>
      </c>
      <c r="P284" s="10" t="s">
        <v>665</v>
      </c>
      <c r="Q284" s="30" t="s">
        <v>666</v>
      </c>
      <c r="R284" s="34" t="n">
        <v>0.273441592608893</v>
      </c>
      <c r="S284" s="11" t="n">
        <v>2405.4</v>
      </c>
      <c r="T284" s="10" t="s">
        <v>144</v>
      </c>
      <c r="U284" s="7" t="n">
        <v>1</v>
      </c>
      <c r="V284" s="12" t="s">
        <v>144</v>
      </c>
      <c r="W284" s="12" t="s">
        <v>97</v>
      </c>
      <c r="X284" s="12" t="s">
        <v>97</v>
      </c>
      <c r="Y284" s="10"/>
      <c r="Z284" s="7" t="s">
        <v>676</v>
      </c>
      <c r="AA284" s="7"/>
      <c r="AB284" s="9" t="n">
        <v>0.283132530120482</v>
      </c>
    </row>
    <row r="285" customFormat="false" ht="23.85" hidden="false" customHeight="false" outlineLevel="0" collapsed="false">
      <c r="A285" s="7" t="n">
        <v>281</v>
      </c>
      <c r="B285" s="12" t="s">
        <v>170</v>
      </c>
      <c r="C285" s="10" t="s">
        <v>1296</v>
      </c>
      <c r="D285" s="12" t="s">
        <v>1350</v>
      </c>
      <c r="E285" s="12" t="s">
        <v>1352</v>
      </c>
      <c r="F285" s="10"/>
      <c r="G285" s="12"/>
      <c r="H285" s="26"/>
      <c r="I285" s="7" t="n">
        <v>1</v>
      </c>
      <c r="J285" s="7" t="n">
        <v>87</v>
      </c>
      <c r="K285" s="11" t="n">
        <v>2931.42</v>
      </c>
      <c r="L285" s="10" t="s">
        <v>171</v>
      </c>
      <c r="M285" s="35" t="n">
        <v>69.18</v>
      </c>
      <c r="N285" s="12" t="s">
        <v>664</v>
      </c>
      <c r="O285" s="12" t="s">
        <v>102</v>
      </c>
      <c r="P285" s="10" t="s">
        <v>1049</v>
      </c>
      <c r="Q285" s="30" t="s">
        <v>1050</v>
      </c>
      <c r="R285" s="34" t="n">
        <v>1</v>
      </c>
      <c r="S285" s="11" t="n">
        <v>2931.4</v>
      </c>
      <c r="T285" s="10" t="s">
        <v>144</v>
      </c>
      <c r="U285" s="7" t="n">
        <v>1</v>
      </c>
      <c r="V285" s="12" t="s">
        <v>144</v>
      </c>
      <c r="W285" s="12" t="s">
        <v>97</v>
      </c>
      <c r="X285" s="12" t="s">
        <v>97</v>
      </c>
      <c r="Y285" s="10"/>
      <c r="Z285" s="7" t="s">
        <v>106</v>
      </c>
      <c r="AA285" s="7" t="n">
        <v>8</v>
      </c>
      <c r="AB285" s="9" t="n">
        <v>0.55125741059476</v>
      </c>
    </row>
    <row r="286" customFormat="false" ht="35.05" hidden="false" customHeight="false" outlineLevel="0" collapsed="false">
      <c r="A286" s="7" t="n">
        <v>282</v>
      </c>
      <c r="B286" s="12" t="s">
        <v>492</v>
      </c>
      <c r="C286" s="10" t="s">
        <v>1353</v>
      </c>
      <c r="D286" s="12" t="s">
        <v>1350</v>
      </c>
      <c r="E286" s="12" t="s">
        <v>1354</v>
      </c>
      <c r="F286" s="10" t="s">
        <v>1355</v>
      </c>
      <c r="G286" s="12" t="s">
        <v>656</v>
      </c>
      <c r="H286" s="26"/>
      <c r="I286" s="7" t="n">
        <v>1</v>
      </c>
      <c r="J286" s="7" t="n">
        <v>1683</v>
      </c>
      <c r="K286" s="11" t="n">
        <v>46739.27</v>
      </c>
      <c r="L286" s="10" t="s">
        <v>493</v>
      </c>
      <c r="M286" s="35" t="n">
        <v>1.91</v>
      </c>
      <c r="N286" s="12" t="s">
        <v>664</v>
      </c>
      <c r="O286" s="12" t="s">
        <v>102</v>
      </c>
      <c r="P286" s="10" t="s">
        <v>1049</v>
      </c>
      <c r="Q286" s="30" t="s">
        <v>1050</v>
      </c>
      <c r="R286" s="34" t="n">
        <v>0.397871292803773</v>
      </c>
      <c r="S286" s="11" t="n">
        <v>18596.2</v>
      </c>
      <c r="T286" s="10" t="s">
        <v>144</v>
      </c>
      <c r="U286" s="7" t="n">
        <v>1</v>
      </c>
      <c r="V286" s="12" t="s">
        <v>144</v>
      </c>
      <c r="W286" s="12" t="s">
        <v>79</v>
      </c>
      <c r="X286" s="12" t="s">
        <v>671</v>
      </c>
      <c r="Y286" s="10"/>
      <c r="Z286" s="7" t="s">
        <v>676</v>
      </c>
      <c r="AA286" s="7"/>
      <c r="AB286" s="9" t="n">
        <v>0.768072289156627</v>
      </c>
    </row>
    <row r="287" customFormat="false" ht="35.05" hidden="false" customHeight="false" outlineLevel="0" collapsed="false">
      <c r="A287" s="7" t="n">
        <v>283</v>
      </c>
      <c r="B287" s="12" t="s">
        <v>289</v>
      </c>
      <c r="C287" s="10" t="s">
        <v>667</v>
      </c>
      <c r="D287" s="12" t="s">
        <v>1350</v>
      </c>
      <c r="E287" s="12" t="s">
        <v>672</v>
      </c>
      <c r="F287" s="10"/>
      <c r="G287" s="12"/>
      <c r="H287" s="26" t="n">
        <v>7.15</v>
      </c>
      <c r="I287" s="7" t="n">
        <v>1</v>
      </c>
      <c r="J287" s="7" t="n">
        <v>1282</v>
      </c>
      <c r="K287" s="11" t="n">
        <v>16792.84</v>
      </c>
      <c r="L287" s="10" t="s">
        <v>290</v>
      </c>
      <c r="M287" s="26" t="n">
        <v>7.15</v>
      </c>
      <c r="N287" s="12" t="s">
        <v>657</v>
      </c>
      <c r="O287" s="12" t="s">
        <v>102</v>
      </c>
      <c r="P287" s="10" t="s">
        <v>658</v>
      </c>
      <c r="Q287" s="30" t="s">
        <v>670</v>
      </c>
      <c r="R287" s="34" t="n">
        <v>0.776857437207773</v>
      </c>
      <c r="S287" s="11" t="n">
        <v>13045.6</v>
      </c>
      <c r="T287" s="10" t="s">
        <v>144</v>
      </c>
      <c r="U287" s="7" t="n">
        <v>1</v>
      </c>
      <c r="V287" s="12" t="s">
        <v>144</v>
      </c>
      <c r="W287" s="12" t="s">
        <v>97</v>
      </c>
      <c r="X287" s="12" t="s">
        <v>86</v>
      </c>
      <c r="Y287" s="10" t="s">
        <v>104</v>
      </c>
      <c r="Z287" s="7" t="s">
        <v>688</v>
      </c>
      <c r="AA287" s="7" t="n">
        <v>11</v>
      </c>
      <c r="AB287" s="9" t="n">
        <v>0.426606425702811</v>
      </c>
    </row>
    <row r="288" customFormat="false" ht="35.05" hidden="false" customHeight="false" outlineLevel="0" collapsed="false">
      <c r="A288" s="7" t="n">
        <v>284</v>
      </c>
      <c r="B288" s="12" t="s">
        <v>466</v>
      </c>
      <c r="C288" s="10" t="s">
        <v>466</v>
      </c>
      <c r="D288" s="12" t="s">
        <v>1350</v>
      </c>
      <c r="E288" s="12" t="s">
        <v>1005</v>
      </c>
      <c r="F288" s="10"/>
      <c r="G288" s="12"/>
      <c r="H288" s="26"/>
      <c r="I288" s="7" t="n">
        <v>1</v>
      </c>
      <c r="J288" s="7" t="n">
        <v>615</v>
      </c>
      <c r="K288" s="11" t="n">
        <v>54682.27</v>
      </c>
      <c r="L288" s="10" t="s">
        <v>467</v>
      </c>
      <c r="M288" s="35" t="n">
        <v>1.86</v>
      </c>
      <c r="N288" s="12" t="s">
        <v>664</v>
      </c>
      <c r="O288" s="12" t="s">
        <v>102</v>
      </c>
      <c r="P288" s="10" t="s">
        <v>665</v>
      </c>
      <c r="Q288" s="30" t="s">
        <v>666</v>
      </c>
      <c r="R288" s="34" t="n">
        <v>0.998949579831933</v>
      </c>
      <c r="S288" s="11" t="n">
        <v>54624.8</v>
      </c>
      <c r="T288" s="10" t="s">
        <v>144</v>
      </c>
      <c r="U288" s="7" t="n">
        <v>1</v>
      </c>
      <c r="V288" s="12" t="s">
        <v>144</v>
      </c>
      <c r="W288" s="12" t="s">
        <v>97</v>
      </c>
      <c r="X288" s="12" t="s">
        <v>97</v>
      </c>
      <c r="Y288" s="10"/>
      <c r="Z288" s="7" t="s">
        <v>676</v>
      </c>
      <c r="AA288" s="7"/>
      <c r="AB288" s="9" t="n">
        <v>0.930722891566265</v>
      </c>
    </row>
    <row r="289" customFormat="false" ht="46.25" hidden="false" customHeight="false" outlineLevel="0" collapsed="false">
      <c r="A289" s="7" t="n">
        <v>285</v>
      </c>
      <c r="B289" s="12" t="s">
        <v>265</v>
      </c>
      <c r="C289" s="10" t="s">
        <v>1114</v>
      </c>
      <c r="D289" s="12" t="s">
        <v>1350</v>
      </c>
      <c r="E289" s="12" t="s">
        <v>1115</v>
      </c>
      <c r="F289" s="10" t="s">
        <v>1356</v>
      </c>
      <c r="G289" s="12" t="s">
        <v>656</v>
      </c>
      <c r="H289" s="26"/>
      <c r="I289" s="7" t="n">
        <v>1</v>
      </c>
      <c r="J289" s="7" t="n">
        <v>286</v>
      </c>
      <c r="K289" s="11" t="n">
        <v>3067.39</v>
      </c>
      <c r="L289" s="10" t="s">
        <v>266</v>
      </c>
      <c r="M289" s="35" t="n">
        <v>5.56</v>
      </c>
      <c r="N289" s="12" t="s">
        <v>664</v>
      </c>
      <c r="O289" s="12" t="s">
        <v>102</v>
      </c>
      <c r="P289" s="10" t="s">
        <v>1049</v>
      </c>
      <c r="Q289" s="30" t="s">
        <v>1050</v>
      </c>
      <c r="R289" s="34" t="n">
        <v>1</v>
      </c>
      <c r="S289" s="11" t="n">
        <v>3067.4</v>
      </c>
      <c r="T289" s="10" t="s">
        <v>144</v>
      </c>
      <c r="U289" s="7" t="n">
        <v>1</v>
      </c>
      <c r="V289" s="12" t="s">
        <v>144</v>
      </c>
      <c r="W289" s="12" t="s">
        <v>79</v>
      </c>
      <c r="X289" s="12" t="s">
        <v>86</v>
      </c>
      <c r="Y289" s="10"/>
      <c r="Z289" s="7" t="s">
        <v>688</v>
      </c>
      <c r="AA289" s="7" t="n">
        <v>18</v>
      </c>
      <c r="AB289" s="9" t="n">
        <v>0.233146873207114</v>
      </c>
    </row>
    <row r="290" customFormat="false" ht="23.85" hidden="false" customHeight="false" outlineLevel="0" collapsed="false">
      <c r="A290" s="7" t="n">
        <v>286</v>
      </c>
      <c r="B290" s="12" t="s">
        <v>261</v>
      </c>
      <c r="C290" s="10" t="s">
        <v>757</v>
      </c>
      <c r="D290" s="12" t="s">
        <v>1350</v>
      </c>
      <c r="E290" s="12" t="s">
        <v>758</v>
      </c>
      <c r="F290" s="10" t="s">
        <v>678</v>
      </c>
      <c r="G290" s="12" t="s">
        <v>678</v>
      </c>
      <c r="H290" s="26"/>
      <c r="I290" s="7" t="n">
        <v>1</v>
      </c>
      <c r="J290" s="7" t="n">
        <v>374</v>
      </c>
      <c r="K290" s="11" t="n">
        <v>13615.47</v>
      </c>
      <c r="L290" s="10" t="s">
        <v>262</v>
      </c>
      <c r="M290" s="35" t="n">
        <v>2.67</v>
      </c>
      <c r="N290" s="12" t="s">
        <v>664</v>
      </c>
      <c r="O290" s="12" t="s">
        <v>102</v>
      </c>
      <c r="P290" s="10" t="s">
        <v>1049</v>
      </c>
      <c r="Q290" s="30" t="s">
        <v>1050</v>
      </c>
      <c r="R290" s="34" t="n">
        <v>0.18191811645244</v>
      </c>
      <c r="S290" s="11" t="n">
        <v>2476.9</v>
      </c>
      <c r="T290" s="10" t="s">
        <v>144</v>
      </c>
      <c r="U290" s="7" t="n">
        <v>1</v>
      </c>
      <c r="V290" s="12" t="s">
        <v>144</v>
      </c>
      <c r="W290" s="12" t="s">
        <v>97</v>
      </c>
      <c r="X290" s="12" t="s">
        <v>97</v>
      </c>
      <c r="Y290" s="10"/>
      <c r="Z290" s="7" t="s">
        <v>676</v>
      </c>
      <c r="AA290" s="7"/>
      <c r="AB290" s="9" t="n">
        <v>0.295180722891566</v>
      </c>
    </row>
    <row r="291" customFormat="false" ht="35.05" hidden="false" customHeight="false" outlineLevel="0" collapsed="false">
      <c r="A291" s="7" t="n">
        <v>287</v>
      </c>
      <c r="B291" s="12" t="s">
        <v>89</v>
      </c>
      <c r="C291" s="10" t="s">
        <v>89</v>
      </c>
      <c r="D291" s="12" t="s">
        <v>1350</v>
      </c>
      <c r="E291" s="12" t="s">
        <v>775</v>
      </c>
      <c r="F291" s="10" t="s">
        <v>1357</v>
      </c>
      <c r="G291" s="12" t="s">
        <v>79</v>
      </c>
      <c r="H291" s="26" t="n">
        <v>22.25</v>
      </c>
      <c r="I291" s="7" t="n">
        <v>1</v>
      </c>
      <c r="J291" s="7" t="n">
        <v>905</v>
      </c>
      <c r="K291" s="11" t="n">
        <v>28093.38</v>
      </c>
      <c r="L291" s="10" t="s">
        <v>90</v>
      </c>
      <c r="M291" s="26" t="n">
        <v>22.25</v>
      </c>
      <c r="N291" s="12" t="s">
        <v>657</v>
      </c>
      <c r="O291" s="12" t="s">
        <v>102</v>
      </c>
      <c r="P291" s="10" t="s">
        <v>658</v>
      </c>
      <c r="Q291" s="30" t="s">
        <v>777</v>
      </c>
      <c r="R291" s="34" t="n">
        <v>1</v>
      </c>
      <c r="S291" s="11" t="n">
        <v>28093.4</v>
      </c>
      <c r="T291" s="10" t="s">
        <v>1358</v>
      </c>
      <c r="U291" s="7" t="n">
        <v>8</v>
      </c>
      <c r="V291" s="12" t="s">
        <v>177</v>
      </c>
      <c r="W291" s="12" t="s">
        <v>79</v>
      </c>
      <c r="X291" s="12" t="s">
        <v>80</v>
      </c>
      <c r="Y291" s="10" t="s">
        <v>81</v>
      </c>
      <c r="Z291" s="7" t="s">
        <v>74</v>
      </c>
      <c r="AA291" s="7" t="n">
        <v>3</v>
      </c>
      <c r="AB291" s="9" t="n">
        <v>0.842116083381144</v>
      </c>
    </row>
    <row r="292" customFormat="false" ht="23.85" hidden="false" customHeight="false" outlineLevel="0" collapsed="false">
      <c r="A292" s="7" t="n">
        <v>288</v>
      </c>
      <c r="B292" s="12" t="s">
        <v>182</v>
      </c>
      <c r="C292" s="10" t="s">
        <v>182</v>
      </c>
      <c r="D292" s="12" t="s">
        <v>1350</v>
      </c>
      <c r="E292" s="12" t="s">
        <v>1359</v>
      </c>
      <c r="F292" s="10" t="s">
        <v>1360</v>
      </c>
      <c r="G292" s="12" t="s">
        <v>79</v>
      </c>
      <c r="H292" s="26" t="n">
        <v>9.12</v>
      </c>
      <c r="I292" s="7" t="n">
        <v>1</v>
      </c>
      <c r="J292" s="7" t="n">
        <v>160</v>
      </c>
      <c r="K292" s="11" t="n">
        <v>16781.35</v>
      </c>
      <c r="L292" s="10" t="s">
        <v>183</v>
      </c>
      <c r="M292" s="26" t="n">
        <v>9.12</v>
      </c>
      <c r="N292" s="12" t="s">
        <v>657</v>
      </c>
      <c r="O292" s="12" t="s">
        <v>102</v>
      </c>
      <c r="P292" s="10" t="s">
        <v>658</v>
      </c>
      <c r="Q292" s="30" t="s">
        <v>1361</v>
      </c>
      <c r="R292" s="34" t="n">
        <v>0.687931860654517</v>
      </c>
      <c r="S292" s="11" t="n">
        <v>11544.4</v>
      </c>
      <c r="T292" s="10" t="s">
        <v>144</v>
      </c>
      <c r="U292" s="7" t="n">
        <v>1</v>
      </c>
      <c r="V292" s="12" t="s">
        <v>144</v>
      </c>
      <c r="W292" s="12" t="s">
        <v>79</v>
      </c>
      <c r="X292" s="12" t="s">
        <v>671</v>
      </c>
      <c r="Y292" s="10"/>
      <c r="Z292" s="7" t="s">
        <v>106</v>
      </c>
      <c r="AA292" s="7" t="n">
        <v>10</v>
      </c>
      <c r="AB292" s="9" t="n">
        <v>0.456927710843374</v>
      </c>
    </row>
    <row r="293" customFormat="false" ht="23.85" hidden="false" customHeight="false" outlineLevel="0" collapsed="false">
      <c r="A293" s="7" t="n">
        <v>289</v>
      </c>
      <c r="B293" s="12" t="s">
        <v>489</v>
      </c>
      <c r="C293" s="10" t="s">
        <v>489</v>
      </c>
      <c r="D293" s="12" t="s">
        <v>1350</v>
      </c>
      <c r="E293" s="12" t="s">
        <v>1362</v>
      </c>
      <c r="F293" s="10" t="s">
        <v>1363</v>
      </c>
      <c r="G293" s="12" t="s">
        <v>79</v>
      </c>
      <c r="H293" s="26" t="n">
        <v>6.53</v>
      </c>
      <c r="I293" s="7" t="n">
        <v>1</v>
      </c>
      <c r="J293" s="7" t="n">
        <v>1011</v>
      </c>
      <c r="K293" s="11" t="n">
        <v>19666.38</v>
      </c>
      <c r="L293" s="10" t="s">
        <v>490</v>
      </c>
      <c r="M293" s="26" t="n">
        <v>6.53</v>
      </c>
      <c r="N293" s="12" t="s">
        <v>657</v>
      </c>
      <c r="O293" s="12" t="s">
        <v>102</v>
      </c>
      <c r="P293" s="10" t="s">
        <v>658</v>
      </c>
      <c r="Q293" s="30" t="s">
        <v>1364</v>
      </c>
      <c r="R293" s="34" t="n">
        <v>0.184745819777854</v>
      </c>
      <c r="S293" s="11" t="n">
        <v>3633.3</v>
      </c>
      <c r="T293" s="10" t="s">
        <v>144</v>
      </c>
      <c r="U293" s="7" t="n">
        <v>1</v>
      </c>
      <c r="V293" s="12" t="s">
        <v>144</v>
      </c>
      <c r="W293" s="12" t="s">
        <v>79</v>
      </c>
      <c r="X293" s="12" t="s">
        <v>86</v>
      </c>
      <c r="Y293" s="10"/>
      <c r="Z293" s="7" t="s">
        <v>688</v>
      </c>
      <c r="AA293" s="7" t="n">
        <v>16</v>
      </c>
      <c r="AB293" s="9" t="n">
        <v>0.285733409829795</v>
      </c>
    </row>
    <row r="294" customFormat="false" ht="23.85" hidden="false" customHeight="false" outlineLevel="0" collapsed="false">
      <c r="A294" s="7" t="n">
        <v>290</v>
      </c>
      <c r="B294" s="12" t="s">
        <v>117</v>
      </c>
      <c r="C294" s="10" t="s">
        <v>1149</v>
      </c>
      <c r="D294" s="12" t="s">
        <v>1350</v>
      </c>
      <c r="E294" s="12" t="s">
        <v>1150</v>
      </c>
      <c r="F294" s="10" t="s">
        <v>1365</v>
      </c>
      <c r="G294" s="12" t="s">
        <v>79</v>
      </c>
      <c r="H294" s="26" t="n">
        <v>21.78</v>
      </c>
      <c r="I294" s="7" t="n">
        <v>1</v>
      </c>
      <c r="J294" s="7" t="n">
        <v>346</v>
      </c>
      <c r="K294" s="11" t="n">
        <v>32830.17</v>
      </c>
      <c r="L294" s="10" t="s">
        <v>118</v>
      </c>
      <c r="M294" s="26" t="n">
        <v>21.78</v>
      </c>
      <c r="N294" s="12" t="s">
        <v>657</v>
      </c>
      <c r="O294" s="12" t="s">
        <v>102</v>
      </c>
      <c r="P294" s="10" t="s">
        <v>658</v>
      </c>
      <c r="Q294" s="30" t="s">
        <v>1152</v>
      </c>
      <c r="R294" s="34" t="n">
        <v>1</v>
      </c>
      <c r="S294" s="11" t="n">
        <v>32830.2</v>
      </c>
      <c r="T294" s="10" t="s">
        <v>1366</v>
      </c>
      <c r="U294" s="7" t="n">
        <v>7</v>
      </c>
      <c r="V294" s="12" t="s">
        <v>177</v>
      </c>
      <c r="W294" s="12" t="s">
        <v>79</v>
      </c>
      <c r="X294" s="12" t="s">
        <v>86</v>
      </c>
      <c r="Y294" s="10"/>
      <c r="Z294" s="7" t="s">
        <v>74</v>
      </c>
      <c r="AA294" s="7" t="n">
        <v>5</v>
      </c>
      <c r="AB294" s="9" t="n">
        <v>0.718999808758845</v>
      </c>
    </row>
    <row r="295" customFormat="false" ht="23.85" hidden="false" customHeight="false" outlineLevel="0" collapsed="false">
      <c r="A295" s="7" t="n">
        <v>291</v>
      </c>
      <c r="B295" s="12" t="s">
        <v>117</v>
      </c>
      <c r="C295" s="10" t="s">
        <v>1149</v>
      </c>
      <c r="D295" s="12" t="s">
        <v>1350</v>
      </c>
      <c r="E295" s="12" t="s">
        <v>1154</v>
      </c>
      <c r="F295" s="10" t="s">
        <v>1155</v>
      </c>
      <c r="G295" s="12" t="s">
        <v>79</v>
      </c>
      <c r="H295" s="26" t="n">
        <v>48.28</v>
      </c>
      <c r="I295" s="7" t="n">
        <v>1</v>
      </c>
      <c r="J295" s="7" t="n">
        <v>346</v>
      </c>
      <c r="K295" s="11" t="n">
        <v>32830.17</v>
      </c>
      <c r="L295" s="10" t="s">
        <v>118</v>
      </c>
      <c r="M295" s="26" t="n">
        <v>48.28</v>
      </c>
      <c r="N295" s="12" t="s">
        <v>657</v>
      </c>
      <c r="O295" s="12" t="s">
        <v>102</v>
      </c>
      <c r="P295" s="10" t="s">
        <v>658</v>
      </c>
      <c r="Q295" s="30" t="s">
        <v>1152</v>
      </c>
      <c r="R295" s="34" t="n">
        <v>1</v>
      </c>
      <c r="S295" s="11" t="n">
        <v>32830.2</v>
      </c>
      <c r="T295" s="10" t="s">
        <v>1366</v>
      </c>
      <c r="U295" s="7" t="n">
        <v>7</v>
      </c>
      <c r="V295" s="12" t="s">
        <v>177</v>
      </c>
      <c r="W295" s="12" t="s">
        <v>79</v>
      </c>
      <c r="X295" s="12" t="s">
        <v>86</v>
      </c>
      <c r="Y295" s="10"/>
      <c r="Z295" s="7" t="s">
        <v>74</v>
      </c>
      <c r="AA295" s="7" t="n">
        <v>5</v>
      </c>
      <c r="AB295" s="9" t="n">
        <v>0.718999808758845</v>
      </c>
    </row>
    <row r="296" customFormat="false" ht="23.85" hidden="false" customHeight="false" outlineLevel="0" collapsed="false">
      <c r="A296" s="7" t="n">
        <v>292</v>
      </c>
      <c r="B296" s="12" t="s">
        <v>112</v>
      </c>
      <c r="C296" s="10" t="s">
        <v>112</v>
      </c>
      <c r="D296" s="12" t="s">
        <v>1350</v>
      </c>
      <c r="E296" s="12" t="s">
        <v>823</v>
      </c>
      <c r="F296" s="10" t="s">
        <v>1367</v>
      </c>
      <c r="G296" s="12" t="s">
        <v>656</v>
      </c>
      <c r="H296" s="26" t="n">
        <v>343.8</v>
      </c>
      <c r="I296" s="7" t="n">
        <v>1</v>
      </c>
      <c r="J296" s="7" t="n">
        <v>47</v>
      </c>
      <c r="K296" s="11" t="n">
        <v>7904.67</v>
      </c>
      <c r="L296" s="10" t="s">
        <v>113</v>
      </c>
      <c r="M296" s="26" t="n">
        <v>343.8</v>
      </c>
      <c r="N296" s="12" t="s">
        <v>657</v>
      </c>
      <c r="O296" s="12" t="s">
        <v>102</v>
      </c>
      <c r="P296" s="10" t="s">
        <v>658</v>
      </c>
      <c r="Q296" s="30" t="s">
        <v>825</v>
      </c>
      <c r="R296" s="34" t="n">
        <v>1</v>
      </c>
      <c r="S296" s="11" t="n">
        <v>7904.7</v>
      </c>
      <c r="T296" s="10" t="s">
        <v>1366</v>
      </c>
      <c r="U296" s="7" t="n">
        <v>7</v>
      </c>
      <c r="V296" s="12" t="s">
        <v>177</v>
      </c>
      <c r="W296" s="12" t="s">
        <v>79</v>
      </c>
      <c r="X296" s="12" t="s">
        <v>86</v>
      </c>
      <c r="Y296" s="10"/>
      <c r="Z296" s="7" t="s">
        <v>74</v>
      </c>
      <c r="AA296" s="7" t="n">
        <v>4</v>
      </c>
      <c r="AB296" s="9" t="n">
        <v>0.817364696882769</v>
      </c>
    </row>
    <row r="297" customFormat="false" ht="23.85" hidden="false" customHeight="false" outlineLevel="0" collapsed="false">
      <c r="A297" s="7" t="n">
        <v>293</v>
      </c>
      <c r="B297" s="12" t="s">
        <v>117</v>
      </c>
      <c r="C297" s="10" t="s">
        <v>117</v>
      </c>
      <c r="D297" s="12" t="s">
        <v>1350</v>
      </c>
      <c r="E297" s="12" t="s">
        <v>934</v>
      </c>
      <c r="F297" s="10" t="s">
        <v>1080</v>
      </c>
      <c r="G297" s="12" t="s">
        <v>656</v>
      </c>
      <c r="H297" s="26" t="n">
        <v>67.02</v>
      </c>
      <c r="I297" s="7" t="n">
        <v>1</v>
      </c>
      <c r="J297" s="7" t="n">
        <v>346</v>
      </c>
      <c r="K297" s="11" t="n">
        <v>32830.17</v>
      </c>
      <c r="L297" s="10" t="s">
        <v>118</v>
      </c>
      <c r="M297" s="26" t="n">
        <v>67.02</v>
      </c>
      <c r="N297" s="12" t="s">
        <v>657</v>
      </c>
      <c r="O297" s="12" t="s">
        <v>102</v>
      </c>
      <c r="P297" s="10" t="s">
        <v>658</v>
      </c>
      <c r="Q297" s="30" t="s">
        <v>1329</v>
      </c>
      <c r="R297" s="34" t="n">
        <v>1</v>
      </c>
      <c r="S297" s="11" t="n">
        <v>32830.2</v>
      </c>
      <c r="T297" s="10" t="s">
        <v>1366</v>
      </c>
      <c r="U297" s="7" t="n">
        <v>7</v>
      </c>
      <c r="V297" s="12" t="s">
        <v>177</v>
      </c>
      <c r="W297" s="12" t="s">
        <v>79</v>
      </c>
      <c r="X297" s="12" t="s">
        <v>86</v>
      </c>
      <c r="Y297" s="10"/>
      <c r="Z297" s="7" t="s">
        <v>74</v>
      </c>
      <c r="AA297" s="7" t="n">
        <v>5</v>
      </c>
      <c r="AB297" s="9" t="n">
        <v>0.718999808758845</v>
      </c>
    </row>
    <row r="298" customFormat="false" ht="23.85" hidden="false" customHeight="false" outlineLevel="0" collapsed="false">
      <c r="A298" s="7" t="n">
        <v>294</v>
      </c>
      <c r="B298" s="12" t="s">
        <v>75</v>
      </c>
      <c r="C298" s="10" t="s">
        <v>75</v>
      </c>
      <c r="D298" s="12" t="s">
        <v>1350</v>
      </c>
      <c r="E298" s="12" t="s">
        <v>838</v>
      </c>
      <c r="F298" s="10" t="s">
        <v>839</v>
      </c>
      <c r="G298" s="12" t="s">
        <v>656</v>
      </c>
      <c r="H298" s="26" t="n">
        <v>360.71</v>
      </c>
      <c r="I298" s="7" t="n">
        <v>1</v>
      </c>
      <c r="J298" s="7" t="n">
        <v>762</v>
      </c>
      <c r="K298" s="11" t="n">
        <v>50865.56</v>
      </c>
      <c r="L298" s="10" t="s">
        <v>76</v>
      </c>
      <c r="M298" s="26" t="n">
        <v>360.71</v>
      </c>
      <c r="N298" s="12" t="s">
        <v>657</v>
      </c>
      <c r="O298" s="12" t="s">
        <v>102</v>
      </c>
      <c r="P298" s="10" t="s">
        <v>658</v>
      </c>
      <c r="Q298" s="30" t="s">
        <v>840</v>
      </c>
      <c r="R298" s="34" t="n">
        <v>0.829278792417718</v>
      </c>
      <c r="S298" s="11" t="n">
        <v>42181.7</v>
      </c>
      <c r="T298" s="10" t="s">
        <v>175</v>
      </c>
      <c r="U298" s="7" t="n">
        <v>2</v>
      </c>
      <c r="V298" s="12" t="s">
        <v>175</v>
      </c>
      <c r="W298" s="12" t="s">
        <v>79</v>
      </c>
      <c r="X298" s="12" t="s">
        <v>80</v>
      </c>
      <c r="Y298" s="10" t="s">
        <v>81</v>
      </c>
      <c r="Z298" s="7" t="s">
        <v>74</v>
      </c>
      <c r="AA298" s="7" t="n">
        <v>1</v>
      </c>
      <c r="AB298" s="9" t="n">
        <v>0.90752533945305</v>
      </c>
    </row>
    <row r="299" customFormat="false" ht="23.85" hidden="false" customHeight="false" outlineLevel="0" collapsed="false">
      <c r="A299" s="7" t="n">
        <v>295</v>
      </c>
      <c r="B299" s="12" t="s">
        <v>107</v>
      </c>
      <c r="C299" s="10" t="s">
        <v>107</v>
      </c>
      <c r="D299" s="12" t="s">
        <v>1350</v>
      </c>
      <c r="E299" s="12" t="s">
        <v>1019</v>
      </c>
      <c r="F299" s="10" t="s">
        <v>874</v>
      </c>
      <c r="G299" s="12" t="s">
        <v>656</v>
      </c>
      <c r="H299" s="26" t="n">
        <v>73.77</v>
      </c>
      <c r="I299" s="7" t="n">
        <v>1</v>
      </c>
      <c r="J299" s="7" t="n">
        <v>312</v>
      </c>
      <c r="K299" s="11" t="n">
        <v>59827.18</v>
      </c>
      <c r="L299" s="10" t="s">
        <v>108</v>
      </c>
      <c r="M299" s="26" t="n">
        <v>73.77</v>
      </c>
      <c r="N299" s="12" t="s">
        <v>657</v>
      </c>
      <c r="O299" s="12" t="s">
        <v>102</v>
      </c>
      <c r="P299" s="10" t="s">
        <v>658</v>
      </c>
      <c r="Q299" s="30" t="s">
        <v>1368</v>
      </c>
      <c r="R299" s="34" t="n">
        <v>1</v>
      </c>
      <c r="S299" s="11" t="n">
        <v>59827.2</v>
      </c>
      <c r="T299" s="10" t="s">
        <v>1369</v>
      </c>
      <c r="U299" s="7" t="n">
        <v>5</v>
      </c>
      <c r="V299" s="12" t="s">
        <v>176</v>
      </c>
      <c r="W299" s="12" t="s">
        <v>79</v>
      </c>
      <c r="X299" s="12" t="s">
        <v>80</v>
      </c>
      <c r="Y299" s="10" t="s">
        <v>111</v>
      </c>
      <c r="Z299" s="7" t="s">
        <v>74</v>
      </c>
      <c r="AA299" s="7" t="n">
        <v>2</v>
      </c>
      <c r="AB299" s="9" t="n">
        <v>0.847169630904571</v>
      </c>
    </row>
    <row r="300" customFormat="false" ht="23.85" hidden="false" customHeight="false" outlineLevel="0" collapsed="false">
      <c r="A300" s="7" t="n">
        <v>296</v>
      </c>
      <c r="B300" s="12" t="s">
        <v>112</v>
      </c>
      <c r="C300" s="10" t="s">
        <v>112</v>
      </c>
      <c r="D300" s="12" t="s">
        <v>1350</v>
      </c>
      <c r="E300" s="12" t="s">
        <v>835</v>
      </c>
      <c r="F300" s="10" t="s">
        <v>836</v>
      </c>
      <c r="G300" s="12" t="s">
        <v>656</v>
      </c>
      <c r="H300" s="26" t="n">
        <v>6345.6</v>
      </c>
      <c r="I300" s="7" t="n">
        <v>1</v>
      </c>
      <c r="J300" s="7" t="n">
        <v>47</v>
      </c>
      <c r="K300" s="11" t="n">
        <v>7904.67</v>
      </c>
      <c r="L300" s="10" t="s">
        <v>113</v>
      </c>
      <c r="M300" s="26" t="n">
        <v>6345.6</v>
      </c>
      <c r="N300" s="12" t="s">
        <v>657</v>
      </c>
      <c r="O300" s="12" t="s">
        <v>102</v>
      </c>
      <c r="P300" s="10" t="s">
        <v>658</v>
      </c>
      <c r="Q300" s="30" t="s">
        <v>837</v>
      </c>
      <c r="R300" s="34" t="n">
        <v>1</v>
      </c>
      <c r="S300" s="11" t="n">
        <v>7904.7</v>
      </c>
      <c r="T300" s="10" t="s">
        <v>1366</v>
      </c>
      <c r="U300" s="7" t="n">
        <v>7</v>
      </c>
      <c r="V300" s="12" t="s">
        <v>177</v>
      </c>
      <c r="W300" s="12" t="s">
        <v>79</v>
      </c>
      <c r="X300" s="12" t="s">
        <v>86</v>
      </c>
      <c r="Y300" s="10"/>
      <c r="Z300" s="7" t="s">
        <v>74</v>
      </c>
      <c r="AA300" s="7" t="n">
        <v>4</v>
      </c>
      <c r="AB300" s="9" t="n">
        <v>0.817364696882769</v>
      </c>
    </row>
    <row r="301" customFormat="false" ht="23.85" hidden="false" customHeight="false" outlineLevel="0" collapsed="false">
      <c r="A301" s="7" t="n">
        <v>297</v>
      </c>
      <c r="B301" s="12" t="s">
        <v>221</v>
      </c>
      <c r="C301" s="10" t="s">
        <v>221</v>
      </c>
      <c r="D301" s="12" t="s">
        <v>1350</v>
      </c>
      <c r="E301" s="12" t="s">
        <v>1305</v>
      </c>
      <c r="F301" s="10" t="s">
        <v>1370</v>
      </c>
      <c r="G301" s="12" t="s">
        <v>656</v>
      </c>
      <c r="H301" s="26" t="n">
        <v>29.45</v>
      </c>
      <c r="I301" s="7" t="n">
        <v>1</v>
      </c>
      <c r="J301" s="7" t="n">
        <v>45</v>
      </c>
      <c r="K301" s="11" t="n">
        <v>263.65</v>
      </c>
      <c r="L301" s="10" t="s">
        <v>222</v>
      </c>
      <c r="M301" s="26" t="n">
        <v>29.45</v>
      </c>
      <c r="N301" s="12" t="s">
        <v>657</v>
      </c>
      <c r="O301" s="12" t="s">
        <v>102</v>
      </c>
      <c r="P301" s="10" t="s">
        <v>658</v>
      </c>
      <c r="Q301" s="30" t="s">
        <v>1371</v>
      </c>
      <c r="R301" s="34" t="n">
        <v>0.0828659263441872</v>
      </c>
      <c r="S301" s="11" t="n">
        <v>21.8</v>
      </c>
      <c r="T301" s="10" t="s">
        <v>1372</v>
      </c>
      <c r="U301" s="7" t="n">
        <v>5</v>
      </c>
      <c r="V301" s="12" t="s">
        <v>184</v>
      </c>
      <c r="W301" s="12" t="s">
        <v>79</v>
      </c>
      <c r="X301" s="12" t="s">
        <v>86</v>
      </c>
      <c r="Y301" s="10"/>
      <c r="Z301" s="7" t="s">
        <v>688</v>
      </c>
      <c r="AA301" s="7" t="n">
        <v>15</v>
      </c>
      <c r="AB301" s="9" t="n">
        <v>0.299674890036336</v>
      </c>
    </row>
    <row r="302" customFormat="false" ht="23.85" hidden="false" customHeight="false" outlineLevel="0" collapsed="false">
      <c r="A302" s="7" t="n">
        <v>298</v>
      </c>
      <c r="B302" s="12" t="s">
        <v>89</v>
      </c>
      <c r="C302" s="10" t="s">
        <v>89</v>
      </c>
      <c r="D302" s="12" t="s">
        <v>1350</v>
      </c>
      <c r="E302" s="12" t="s">
        <v>1373</v>
      </c>
      <c r="F302" s="10" t="s">
        <v>1374</v>
      </c>
      <c r="G302" s="12" t="s">
        <v>656</v>
      </c>
      <c r="H302" s="26" t="n">
        <v>187.18</v>
      </c>
      <c r="I302" s="7" t="n">
        <v>1</v>
      </c>
      <c r="J302" s="7" t="n">
        <v>905</v>
      </c>
      <c r="K302" s="11" t="n">
        <v>28093.38</v>
      </c>
      <c r="L302" s="10" t="s">
        <v>90</v>
      </c>
      <c r="M302" s="26" t="n">
        <v>187.18</v>
      </c>
      <c r="N302" s="12" t="s">
        <v>657</v>
      </c>
      <c r="O302" s="12" t="s">
        <v>102</v>
      </c>
      <c r="P302" s="10" t="s">
        <v>658</v>
      </c>
      <c r="Q302" s="30" t="s">
        <v>1375</v>
      </c>
      <c r="R302" s="34" t="n">
        <v>1</v>
      </c>
      <c r="S302" s="11" t="n">
        <v>28093.4</v>
      </c>
      <c r="T302" s="10" t="s">
        <v>1358</v>
      </c>
      <c r="U302" s="7" t="n">
        <v>8</v>
      </c>
      <c r="V302" s="12" t="s">
        <v>177</v>
      </c>
      <c r="W302" s="12" t="s">
        <v>79</v>
      </c>
      <c r="X302" s="12" t="s">
        <v>86</v>
      </c>
      <c r="Y302" s="10" t="s">
        <v>81</v>
      </c>
      <c r="Z302" s="7" t="s">
        <v>74</v>
      </c>
      <c r="AA302" s="7" t="n">
        <v>3</v>
      </c>
      <c r="AB302" s="9" t="n">
        <v>0.842116083381144</v>
      </c>
    </row>
    <row r="303" customFormat="false" ht="23.85" hidden="false" customHeight="false" outlineLevel="0" collapsed="false">
      <c r="A303" s="7" t="n">
        <v>299</v>
      </c>
      <c r="B303" s="12" t="s">
        <v>178</v>
      </c>
      <c r="C303" s="10" t="s">
        <v>178</v>
      </c>
      <c r="D303" s="12" t="s">
        <v>1350</v>
      </c>
      <c r="E303" s="12" t="s">
        <v>1376</v>
      </c>
      <c r="F303" s="10" t="s">
        <v>1377</v>
      </c>
      <c r="G303" s="12" t="s">
        <v>656</v>
      </c>
      <c r="H303" s="26" t="n">
        <v>10.85</v>
      </c>
      <c r="I303" s="7" t="n">
        <v>1</v>
      </c>
      <c r="J303" s="7" t="n">
        <v>106</v>
      </c>
      <c r="K303" s="11" t="n">
        <v>7074.72</v>
      </c>
      <c r="L303" s="10" t="s">
        <v>179</v>
      </c>
      <c r="M303" s="26" t="n">
        <v>10.85</v>
      </c>
      <c r="N303" s="12" t="s">
        <v>657</v>
      </c>
      <c r="O303" s="12" t="s">
        <v>102</v>
      </c>
      <c r="P303" s="10" t="s">
        <v>658</v>
      </c>
      <c r="Q303" s="30" t="s">
        <v>833</v>
      </c>
      <c r="R303" s="34" t="n">
        <v>0.9375</v>
      </c>
      <c r="S303" s="11" t="n">
        <v>6632.6</v>
      </c>
      <c r="T303" s="10" t="s">
        <v>175</v>
      </c>
      <c r="U303" s="7" t="n">
        <v>2</v>
      </c>
      <c r="V303" s="12" t="s">
        <v>175</v>
      </c>
      <c r="W303" s="12" t="s">
        <v>79</v>
      </c>
      <c r="X303" s="12" t="s">
        <v>80</v>
      </c>
      <c r="Y303" s="10" t="s">
        <v>111</v>
      </c>
      <c r="Z303" s="7" t="s">
        <v>106</v>
      </c>
      <c r="AA303" s="7" t="n">
        <v>6</v>
      </c>
      <c r="AB303" s="9" t="n">
        <v>0.593024478867852</v>
      </c>
    </row>
    <row r="304" customFormat="false" ht="23.85" hidden="false" customHeight="false" outlineLevel="0" collapsed="false">
      <c r="A304" s="7" t="n">
        <v>300</v>
      </c>
      <c r="B304" s="12" t="s">
        <v>180</v>
      </c>
      <c r="C304" s="10" t="s">
        <v>180</v>
      </c>
      <c r="D304" s="12" t="s">
        <v>1350</v>
      </c>
      <c r="E304" s="12" t="s">
        <v>842</v>
      </c>
      <c r="F304" s="10" t="s">
        <v>843</v>
      </c>
      <c r="G304" s="12" t="s">
        <v>656</v>
      </c>
      <c r="H304" s="26" t="n">
        <v>6.61</v>
      </c>
      <c r="I304" s="7" t="n">
        <v>1</v>
      </c>
      <c r="J304" s="7" t="n">
        <v>3515</v>
      </c>
      <c r="K304" s="11" t="n">
        <v>140084.73</v>
      </c>
      <c r="L304" s="10" t="s">
        <v>181</v>
      </c>
      <c r="M304" s="26" t="n">
        <v>6.61</v>
      </c>
      <c r="N304" s="12" t="s">
        <v>657</v>
      </c>
      <c r="O304" s="12" t="s">
        <v>102</v>
      </c>
      <c r="P304" s="10" t="s">
        <v>658</v>
      </c>
      <c r="Q304" s="30" t="s">
        <v>844</v>
      </c>
      <c r="R304" s="34" t="n">
        <v>0.251824206147514</v>
      </c>
      <c r="S304" s="11" t="n">
        <v>35276.7</v>
      </c>
      <c r="T304" s="10" t="s">
        <v>1369</v>
      </c>
      <c r="U304" s="7" t="n">
        <v>5</v>
      </c>
      <c r="V304" s="12" t="s">
        <v>176</v>
      </c>
      <c r="W304" s="12" t="s">
        <v>79</v>
      </c>
      <c r="X304" s="12" t="s">
        <v>97</v>
      </c>
      <c r="Y304" s="10" t="s">
        <v>111</v>
      </c>
      <c r="Z304" s="7" t="s">
        <v>106</v>
      </c>
      <c r="AA304" s="7" t="n">
        <v>9</v>
      </c>
      <c r="AB304" s="9" t="n">
        <v>0.468574297188755</v>
      </c>
    </row>
    <row r="305" customFormat="false" ht="23.85" hidden="false" customHeight="false" outlineLevel="0" collapsed="false">
      <c r="A305" s="7" t="n">
        <v>301</v>
      </c>
      <c r="B305" s="12" t="s">
        <v>128</v>
      </c>
      <c r="C305" s="10" t="s">
        <v>128</v>
      </c>
      <c r="D305" s="12" t="s">
        <v>1350</v>
      </c>
      <c r="E305" s="12" t="s">
        <v>1245</v>
      </c>
      <c r="F305" s="10" t="s">
        <v>1246</v>
      </c>
      <c r="G305" s="12" t="s">
        <v>656</v>
      </c>
      <c r="H305" s="26" t="n">
        <v>35.22</v>
      </c>
      <c r="I305" s="7" t="n">
        <v>1</v>
      </c>
      <c r="J305" s="7" t="n">
        <v>257</v>
      </c>
      <c r="K305" s="11" t="n">
        <v>4183.29</v>
      </c>
      <c r="L305" s="10" t="s">
        <v>129</v>
      </c>
      <c r="M305" s="26" t="n">
        <v>35.22</v>
      </c>
      <c r="N305" s="12" t="s">
        <v>657</v>
      </c>
      <c r="O305" s="12" t="s">
        <v>102</v>
      </c>
      <c r="P305" s="10" t="s">
        <v>658</v>
      </c>
      <c r="Q305" s="30" t="s">
        <v>1378</v>
      </c>
      <c r="R305" s="34" t="n">
        <v>0.689888576486515</v>
      </c>
      <c r="S305" s="11" t="n">
        <v>2886</v>
      </c>
      <c r="T305" s="10" t="s">
        <v>1369</v>
      </c>
      <c r="U305" s="7" t="n">
        <v>5</v>
      </c>
      <c r="V305" s="12" t="s">
        <v>176</v>
      </c>
      <c r="W305" s="12" t="s">
        <v>79</v>
      </c>
      <c r="X305" s="12" t="s">
        <v>86</v>
      </c>
      <c r="Y305" s="10" t="s">
        <v>81</v>
      </c>
      <c r="Z305" s="7" t="s">
        <v>106</v>
      </c>
      <c r="AA305" s="7" t="n">
        <v>7</v>
      </c>
      <c r="AB305" s="9" t="n">
        <v>0.56928667049149</v>
      </c>
    </row>
    <row r="306" customFormat="false" ht="23.85" hidden="false" customHeight="false" outlineLevel="0" collapsed="false">
      <c r="A306" s="7" t="n">
        <v>302</v>
      </c>
      <c r="B306" s="12" t="s">
        <v>75</v>
      </c>
      <c r="C306" s="10" t="s">
        <v>1379</v>
      </c>
      <c r="D306" s="12" t="s">
        <v>1350</v>
      </c>
      <c r="E306" s="12"/>
      <c r="F306" s="10"/>
      <c r="G306" s="12"/>
      <c r="H306" s="26"/>
      <c r="I306" s="7" t="n">
        <v>30</v>
      </c>
      <c r="J306" s="7" t="n">
        <v>762</v>
      </c>
      <c r="K306" s="11" t="n">
        <v>50865.56</v>
      </c>
      <c r="L306" s="10" t="s">
        <v>76</v>
      </c>
      <c r="M306" s="26"/>
      <c r="N306" s="12" t="s">
        <v>701</v>
      </c>
      <c r="O306" s="12" t="s">
        <v>323</v>
      </c>
      <c r="P306" s="10" t="s">
        <v>323</v>
      </c>
      <c r="Q306" s="12"/>
      <c r="R306" s="34" t="n">
        <v>0.829278792417718</v>
      </c>
      <c r="S306" s="11" t="n">
        <v>42181.7</v>
      </c>
      <c r="T306" s="10" t="s">
        <v>175</v>
      </c>
      <c r="U306" s="7" t="n">
        <v>2</v>
      </c>
      <c r="V306" s="12" t="s">
        <v>175</v>
      </c>
      <c r="W306" s="12" t="s">
        <v>97</v>
      </c>
      <c r="X306" s="12" t="s">
        <v>97</v>
      </c>
      <c r="Y306" s="10" t="s">
        <v>81</v>
      </c>
      <c r="Z306" s="7" t="s">
        <v>74</v>
      </c>
      <c r="AA306" s="7" t="n">
        <v>1</v>
      </c>
      <c r="AB306" s="9" t="n">
        <v>0.90752533945305</v>
      </c>
    </row>
    <row r="307" customFormat="false" ht="23.85" hidden="false" customHeight="false" outlineLevel="0" collapsed="false">
      <c r="A307" s="7" t="n">
        <v>303</v>
      </c>
      <c r="B307" s="12" t="s">
        <v>89</v>
      </c>
      <c r="C307" s="10" t="s">
        <v>1380</v>
      </c>
      <c r="D307" s="12" t="s">
        <v>1350</v>
      </c>
      <c r="E307" s="12" t="s">
        <v>1381</v>
      </c>
      <c r="F307" s="10" t="s">
        <v>1382</v>
      </c>
      <c r="G307" s="12" t="s">
        <v>656</v>
      </c>
      <c r="H307" s="26" t="n">
        <v>1444.1174</v>
      </c>
      <c r="I307" s="7" t="n">
        <v>29</v>
      </c>
      <c r="J307" s="7" t="n">
        <v>905</v>
      </c>
      <c r="K307" s="11" t="n">
        <v>28093.38</v>
      </c>
      <c r="L307" s="10" t="s">
        <v>90</v>
      </c>
      <c r="M307" s="26" t="n">
        <v>1444.1174</v>
      </c>
      <c r="N307" s="12" t="s">
        <v>657</v>
      </c>
      <c r="O307" s="12" t="s">
        <v>153</v>
      </c>
      <c r="P307" s="10" t="s">
        <v>658</v>
      </c>
      <c r="Q307" s="30" t="s">
        <v>852</v>
      </c>
      <c r="R307" s="34" t="n">
        <v>1</v>
      </c>
      <c r="S307" s="11" t="n">
        <v>28093.4</v>
      </c>
      <c r="T307" s="10" t="s">
        <v>1358</v>
      </c>
      <c r="U307" s="7" t="n">
        <v>8</v>
      </c>
      <c r="V307" s="12" t="s">
        <v>177</v>
      </c>
      <c r="W307" s="12" t="s">
        <v>79</v>
      </c>
      <c r="X307" s="12" t="s">
        <v>86</v>
      </c>
      <c r="Y307" s="10" t="s">
        <v>81</v>
      </c>
      <c r="Z307" s="7" t="s">
        <v>74</v>
      </c>
      <c r="AA307" s="7" t="n">
        <v>3</v>
      </c>
      <c r="AB307" s="9" t="n">
        <v>0.842116083381144</v>
      </c>
    </row>
    <row r="308" customFormat="false" ht="23.85" hidden="false" customHeight="false" outlineLevel="0" collapsed="false">
      <c r="A308" s="7" t="n">
        <v>304</v>
      </c>
      <c r="B308" s="12" t="s">
        <v>221</v>
      </c>
      <c r="C308" s="10" t="s">
        <v>1383</v>
      </c>
      <c r="D308" s="12" t="s">
        <v>1350</v>
      </c>
      <c r="E308" s="12" t="s">
        <v>885</v>
      </c>
      <c r="F308" s="10" t="s">
        <v>1370</v>
      </c>
      <c r="G308" s="12" t="s">
        <v>656</v>
      </c>
      <c r="H308" s="26" t="n">
        <v>48.3866</v>
      </c>
      <c r="I308" s="7" t="n">
        <v>26</v>
      </c>
      <c r="J308" s="7" t="n">
        <v>45</v>
      </c>
      <c r="K308" s="11" t="n">
        <v>263.65</v>
      </c>
      <c r="L308" s="10" t="s">
        <v>222</v>
      </c>
      <c r="M308" s="26" t="n">
        <v>48.3866</v>
      </c>
      <c r="N308" s="12" t="s">
        <v>657</v>
      </c>
      <c r="O308" s="12" t="s">
        <v>153</v>
      </c>
      <c r="P308" s="10" t="s">
        <v>658</v>
      </c>
      <c r="Q308" s="30" t="s">
        <v>1384</v>
      </c>
      <c r="R308" s="34" t="n">
        <v>0.0828659263441872</v>
      </c>
      <c r="S308" s="11" t="n">
        <v>21.8</v>
      </c>
      <c r="T308" s="10" t="s">
        <v>1372</v>
      </c>
      <c r="U308" s="7" t="n">
        <v>5</v>
      </c>
      <c r="V308" s="12" t="s">
        <v>184</v>
      </c>
      <c r="W308" s="12" t="s">
        <v>79</v>
      </c>
      <c r="X308" s="12" t="s">
        <v>86</v>
      </c>
      <c r="Y308" s="10"/>
      <c r="Z308" s="7" t="s">
        <v>688</v>
      </c>
      <c r="AA308" s="7" t="n">
        <v>15</v>
      </c>
      <c r="AB308" s="9" t="n">
        <v>0.299674890036336</v>
      </c>
    </row>
    <row r="309" customFormat="false" ht="23.85" hidden="false" customHeight="false" outlineLevel="0" collapsed="false">
      <c r="A309" s="7" t="n">
        <v>305</v>
      </c>
      <c r="B309" s="12" t="s">
        <v>107</v>
      </c>
      <c r="C309" s="10" t="s">
        <v>1385</v>
      </c>
      <c r="D309" s="12" t="s">
        <v>1350</v>
      </c>
      <c r="E309" s="12" t="s">
        <v>873</v>
      </c>
      <c r="F309" s="10" t="s">
        <v>874</v>
      </c>
      <c r="G309" s="12" t="s">
        <v>656</v>
      </c>
      <c r="H309" s="26" t="n">
        <v>93.7335</v>
      </c>
      <c r="I309" s="7" t="n">
        <v>28</v>
      </c>
      <c r="J309" s="7" t="n">
        <v>312</v>
      </c>
      <c r="K309" s="11" t="n">
        <v>59827.18</v>
      </c>
      <c r="L309" s="10" t="s">
        <v>108</v>
      </c>
      <c r="M309" s="26" t="n">
        <v>93.7335</v>
      </c>
      <c r="N309" s="12" t="s">
        <v>657</v>
      </c>
      <c r="O309" s="12" t="s">
        <v>153</v>
      </c>
      <c r="P309" s="10" t="s">
        <v>658</v>
      </c>
      <c r="Q309" s="30" t="s">
        <v>852</v>
      </c>
      <c r="R309" s="34" t="n">
        <v>1</v>
      </c>
      <c r="S309" s="11" t="n">
        <v>59827.2</v>
      </c>
      <c r="T309" s="10" t="s">
        <v>1369</v>
      </c>
      <c r="U309" s="7" t="n">
        <v>5</v>
      </c>
      <c r="V309" s="12" t="s">
        <v>176</v>
      </c>
      <c r="W309" s="12" t="s">
        <v>79</v>
      </c>
      <c r="X309" s="12" t="s">
        <v>80</v>
      </c>
      <c r="Y309" s="10" t="s">
        <v>111</v>
      </c>
      <c r="Z309" s="7" t="s">
        <v>74</v>
      </c>
      <c r="AA309" s="7" t="n">
        <v>2</v>
      </c>
      <c r="AB309" s="9" t="n">
        <v>0.847169630904571</v>
      </c>
    </row>
    <row r="310" customFormat="false" ht="23.85" hidden="false" customHeight="false" outlineLevel="0" collapsed="false">
      <c r="A310" s="7" t="n">
        <v>306</v>
      </c>
      <c r="B310" s="12" t="s">
        <v>128</v>
      </c>
      <c r="C310" s="10" t="s">
        <v>1386</v>
      </c>
      <c r="D310" s="12" t="s">
        <v>1350</v>
      </c>
      <c r="E310" s="12" t="s">
        <v>893</v>
      </c>
      <c r="F310" s="10" t="s">
        <v>1387</v>
      </c>
      <c r="G310" s="12" t="s">
        <v>656</v>
      </c>
      <c r="H310" s="26" t="n">
        <v>147.804</v>
      </c>
      <c r="I310" s="7" t="n">
        <v>13</v>
      </c>
      <c r="J310" s="7" t="n">
        <v>257</v>
      </c>
      <c r="K310" s="11" t="n">
        <v>4183.29</v>
      </c>
      <c r="L310" s="10" t="s">
        <v>129</v>
      </c>
      <c r="M310" s="26" t="n">
        <v>147.804</v>
      </c>
      <c r="N310" s="12" t="s">
        <v>657</v>
      </c>
      <c r="O310" s="12" t="s">
        <v>77</v>
      </c>
      <c r="P310" s="10" t="s">
        <v>658</v>
      </c>
      <c r="Q310" s="30" t="s">
        <v>1388</v>
      </c>
      <c r="R310" s="34" t="n">
        <v>0.689888576486515</v>
      </c>
      <c r="S310" s="11" t="n">
        <v>2886</v>
      </c>
      <c r="T310" s="10" t="s">
        <v>1369</v>
      </c>
      <c r="U310" s="7" t="n">
        <v>5</v>
      </c>
      <c r="V310" s="12" t="s">
        <v>176</v>
      </c>
      <c r="W310" s="12" t="s">
        <v>79</v>
      </c>
      <c r="X310" s="12" t="s">
        <v>86</v>
      </c>
      <c r="Y310" s="10" t="s">
        <v>81</v>
      </c>
      <c r="Z310" s="7" t="s">
        <v>106</v>
      </c>
      <c r="AA310" s="7" t="n">
        <v>7</v>
      </c>
      <c r="AB310" s="9" t="n">
        <v>0.56928667049149</v>
      </c>
    </row>
    <row r="311" customFormat="false" ht="23.85" hidden="false" customHeight="false" outlineLevel="0" collapsed="false">
      <c r="A311" s="7" t="n">
        <v>307</v>
      </c>
      <c r="B311" s="12" t="s">
        <v>128</v>
      </c>
      <c r="C311" s="10" t="s">
        <v>1389</v>
      </c>
      <c r="D311" s="12" t="s">
        <v>1350</v>
      </c>
      <c r="E311" s="12" t="s">
        <v>893</v>
      </c>
      <c r="F311" s="10" t="s">
        <v>1246</v>
      </c>
      <c r="G311" s="12" t="s">
        <v>656</v>
      </c>
      <c r="H311" s="26" t="n">
        <v>95.2025</v>
      </c>
      <c r="I311" s="7" t="n">
        <v>28</v>
      </c>
      <c r="J311" s="7" t="n">
        <v>257</v>
      </c>
      <c r="K311" s="11" t="n">
        <v>4183.29</v>
      </c>
      <c r="L311" s="10" t="s">
        <v>129</v>
      </c>
      <c r="M311" s="26" t="n">
        <v>95.2025</v>
      </c>
      <c r="N311" s="12" t="s">
        <v>657</v>
      </c>
      <c r="O311" s="12" t="s">
        <v>153</v>
      </c>
      <c r="P311" s="10" t="s">
        <v>658</v>
      </c>
      <c r="Q311" s="30" t="s">
        <v>852</v>
      </c>
      <c r="R311" s="34" t="n">
        <v>0.689888576486515</v>
      </c>
      <c r="S311" s="11" t="n">
        <v>2886</v>
      </c>
      <c r="T311" s="10" t="s">
        <v>1369</v>
      </c>
      <c r="U311" s="7" t="n">
        <v>5</v>
      </c>
      <c r="V311" s="12" t="s">
        <v>176</v>
      </c>
      <c r="W311" s="12" t="s">
        <v>79</v>
      </c>
      <c r="X311" s="12" t="s">
        <v>86</v>
      </c>
      <c r="Y311" s="10" t="s">
        <v>81</v>
      </c>
      <c r="Z311" s="7" t="s">
        <v>106</v>
      </c>
      <c r="AA311" s="7" t="n">
        <v>7</v>
      </c>
      <c r="AB311" s="9" t="n">
        <v>0.56928667049149</v>
      </c>
    </row>
    <row r="312" customFormat="false" ht="23.85" hidden="false" customHeight="false" outlineLevel="0" collapsed="false">
      <c r="A312" s="7" t="n">
        <v>308</v>
      </c>
      <c r="B312" s="12" t="s">
        <v>180</v>
      </c>
      <c r="C312" s="10" t="s">
        <v>1390</v>
      </c>
      <c r="D312" s="12" t="s">
        <v>1350</v>
      </c>
      <c r="E312" s="12" t="s">
        <v>1273</v>
      </c>
      <c r="F312" s="10" t="s">
        <v>1239</v>
      </c>
      <c r="G312" s="12" t="s">
        <v>656</v>
      </c>
      <c r="H312" s="26" t="n">
        <v>5.5596</v>
      </c>
      <c r="I312" s="7" t="n">
        <v>31</v>
      </c>
      <c r="J312" s="7" t="n">
        <v>3515</v>
      </c>
      <c r="K312" s="11" t="n">
        <v>140084.73</v>
      </c>
      <c r="L312" s="10" t="s">
        <v>181</v>
      </c>
      <c r="M312" s="26" t="n">
        <v>5.5596</v>
      </c>
      <c r="N312" s="12" t="s">
        <v>657</v>
      </c>
      <c r="O312" s="12" t="s">
        <v>153</v>
      </c>
      <c r="P312" s="10" t="s">
        <v>658</v>
      </c>
      <c r="Q312" s="30" t="s">
        <v>852</v>
      </c>
      <c r="R312" s="34" t="n">
        <v>0.251824206147514</v>
      </c>
      <c r="S312" s="11" t="n">
        <v>35276.7</v>
      </c>
      <c r="T312" s="10" t="s">
        <v>1369</v>
      </c>
      <c r="U312" s="7" t="n">
        <v>5</v>
      </c>
      <c r="V312" s="12" t="s">
        <v>176</v>
      </c>
      <c r="W312" s="12" t="s">
        <v>79</v>
      </c>
      <c r="X312" s="12" t="s">
        <v>80</v>
      </c>
      <c r="Y312" s="10" t="s">
        <v>111</v>
      </c>
      <c r="Z312" s="7" t="s">
        <v>106</v>
      </c>
      <c r="AA312" s="7" t="n">
        <v>9</v>
      </c>
      <c r="AB312" s="9" t="n">
        <v>0.468574297188755</v>
      </c>
    </row>
    <row r="313" customFormat="false" ht="23.85" hidden="false" customHeight="false" outlineLevel="0" collapsed="false">
      <c r="A313" s="7" t="n">
        <v>309</v>
      </c>
      <c r="B313" s="12" t="s">
        <v>112</v>
      </c>
      <c r="C313" s="10" t="s">
        <v>1391</v>
      </c>
      <c r="D313" s="12" t="s">
        <v>1350</v>
      </c>
      <c r="E313" s="12" t="s">
        <v>910</v>
      </c>
      <c r="F313" s="10" t="s">
        <v>836</v>
      </c>
      <c r="G313" s="12" t="s">
        <v>656</v>
      </c>
      <c r="H313" s="26" t="n">
        <v>7322.4226</v>
      </c>
      <c r="I313" s="7" t="n">
        <v>25</v>
      </c>
      <c r="J313" s="7" t="n">
        <v>47</v>
      </c>
      <c r="K313" s="11" t="n">
        <v>7904.67</v>
      </c>
      <c r="L313" s="10" t="s">
        <v>113</v>
      </c>
      <c r="M313" s="26" t="n">
        <v>7322.4226</v>
      </c>
      <c r="N313" s="12" t="s">
        <v>657</v>
      </c>
      <c r="O313" s="12" t="s">
        <v>153</v>
      </c>
      <c r="P313" s="10" t="s">
        <v>658</v>
      </c>
      <c r="Q313" s="30" t="s">
        <v>852</v>
      </c>
      <c r="R313" s="34" t="n">
        <v>1</v>
      </c>
      <c r="S313" s="11" t="n">
        <v>7904.7</v>
      </c>
      <c r="T313" s="10" t="s">
        <v>1366</v>
      </c>
      <c r="U313" s="7" t="n">
        <v>7</v>
      </c>
      <c r="V313" s="12" t="s">
        <v>177</v>
      </c>
      <c r="W313" s="12" t="s">
        <v>79</v>
      </c>
      <c r="X313" s="12" t="s">
        <v>86</v>
      </c>
      <c r="Y313" s="10"/>
      <c r="Z313" s="7" t="s">
        <v>74</v>
      </c>
      <c r="AA313" s="7" t="n">
        <v>4</v>
      </c>
      <c r="AB313" s="9" t="n">
        <v>0.817364696882769</v>
      </c>
    </row>
    <row r="314" customFormat="false" ht="23.85" hidden="false" customHeight="false" outlineLevel="0" collapsed="false">
      <c r="A314" s="7" t="n">
        <v>310</v>
      </c>
      <c r="B314" s="12" t="s">
        <v>240</v>
      </c>
      <c r="C314" s="10" t="s">
        <v>1392</v>
      </c>
      <c r="D314" s="12" t="s">
        <v>1350</v>
      </c>
      <c r="E314" s="12" t="s">
        <v>1393</v>
      </c>
      <c r="F314" s="10" t="s">
        <v>1370</v>
      </c>
      <c r="G314" s="12" t="s">
        <v>656</v>
      </c>
      <c r="H314" s="26" t="n">
        <v>6.1698</v>
      </c>
      <c r="I314" s="7" t="n">
        <v>30</v>
      </c>
      <c r="J314" s="7" t="n">
        <v>264</v>
      </c>
      <c r="K314" s="11" t="n">
        <v>20408.58</v>
      </c>
      <c r="L314" s="10" t="s">
        <v>241</v>
      </c>
      <c r="M314" s="26" t="n">
        <v>6.1698</v>
      </c>
      <c r="N314" s="12" t="s">
        <v>657</v>
      </c>
      <c r="O314" s="12" t="s">
        <v>153</v>
      </c>
      <c r="P314" s="10" t="s">
        <v>658</v>
      </c>
      <c r="Q314" s="30" t="s">
        <v>852</v>
      </c>
      <c r="R314" s="34" t="n">
        <v>0.989010989010989</v>
      </c>
      <c r="S314" s="11" t="n">
        <v>20184.3</v>
      </c>
      <c r="T314" s="10" t="s">
        <v>96</v>
      </c>
      <c r="U314" s="7" t="n">
        <v>1</v>
      </c>
      <c r="V314" s="12" t="s">
        <v>96</v>
      </c>
      <c r="W314" s="12" t="s">
        <v>79</v>
      </c>
      <c r="X314" s="12" t="s">
        <v>86</v>
      </c>
      <c r="Y314" s="10"/>
      <c r="Z314" s="7" t="s">
        <v>688</v>
      </c>
      <c r="AA314" s="7" t="n">
        <v>12</v>
      </c>
      <c r="AB314" s="9" t="n">
        <v>0.425143430866322</v>
      </c>
    </row>
    <row r="315" customFormat="false" ht="23.85" hidden="false" customHeight="false" outlineLevel="0" collapsed="false">
      <c r="A315" s="7" t="n">
        <v>311</v>
      </c>
      <c r="B315" s="12" t="s">
        <v>117</v>
      </c>
      <c r="C315" s="10" t="s">
        <v>1394</v>
      </c>
      <c r="D315" s="12" t="s">
        <v>1350</v>
      </c>
      <c r="E315" s="12" t="s">
        <v>1183</v>
      </c>
      <c r="F315" s="10" t="s">
        <v>1395</v>
      </c>
      <c r="G315" s="12" t="s">
        <v>656</v>
      </c>
      <c r="H315" s="26" t="n">
        <v>65.0089</v>
      </c>
      <c r="I315" s="7" t="n">
        <v>31</v>
      </c>
      <c r="J315" s="7" t="n">
        <v>346</v>
      </c>
      <c r="K315" s="11" t="n">
        <v>32830.17</v>
      </c>
      <c r="L315" s="10" t="s">
        <v>118</v>
      </c>
      <c r="M315" s="26" t="n">
        <v>65.0089</v>
      </c>
      <c r="N315" s="12" t="s">
        <v>657</v>
      </c>
      <c r="O315" s="12" t="s">
        <v>77</v>
      </c>
      <c r="P315" s="10" t="s">
        <v>658</v>
      </c>
      <c r="Q315" s="30" t="s">
        <v>1029</v>
      </c>
      <c r="R315" s="34" t="n">
        <v>1</v>
      </c>
      <c r="S315" s="11" t="n">
        <v>32830.2</v>
      </c>
      <c r="T315" s="10" t="s">
        <v>1366</v>
      </c>
      <c r="U315" s="7" t="n">
        <v>7</v>
      </c>
      <c r="V315" s="12" t="s">
        <v>177</v>
      </c>
      <c r="W315" s="12" t="s">
        <v>97</v>
      </c>
      <c r="X315" s="12" t="s">
        <v>86</v>
      </c>
      <c r="Y315" s="10"/>
      <c r="Z315" s="7" t="s">
        <v>74</v>
      </c>
      <c r="AA315" s="7" t="n">
        <v>5</v>
      </c>
      <c r="AB315" s="9" t="n">
        <v>0.718999808758845</v>
      </c>
    </row>
    <row r="316" customFormat="false" ht="23.85" hidden="false" customHeight="false" outlineLevel="0" collapsed="false">
      <c r="A316" s="7" t="n">
        <v>312</v>
      </c>
      <c r="B316" s="12" t="s">
        <v>178</v>
      </c>
      <c r="C316" s="10" t="s">
        <v>1396</v>
      </c>
      <c r="D316" s="12" t="s">
        <v>1350</v>
      </c>
      <c r="E316" s="12" t="s">
        <v>1397</v>
      </c>
      <c r="F316" s="10" t="s">
        <v>1398</v>
      </c>
      <c r="G316" s="12" t="s">
        <v>656</v>
      </c>
      <c r="H316" s="26" t="n">
        <v>62.2065</v>
      </c>
      <c r="I316" s="7" t="n">
        <v>26</v>
      </c>
      <c r="J316" s="7" t="n">
        <v>106</v>
      </c>
      <c r="K316" s="11" t="n">
        <v>7074.72</v>
      </c>
      <c r="L316" s="10" t="s">
        <v>179</v>
      </c>
      <c r="M316" s="26" t="n">
        <v>62.2065</v>
      </c>
      <c r="N316" s="12" t="s">
        <v>657</v>
      </c>
      <c r="O316" s="12" t="s">
        <v>153</v>
      </c>
      <c r="P316" s="10" t="s">
        <v>658</v>
      </c>
      <c r="Q316" s="30" t="s">
        <v>852</v>
      </c>
      <c r="R316" s="34" t="n">
        <v>0.9375</v>
      </c>
      <c r="S316" s="11" t="n">
        <v>6632.6</v>
      </c>
      <c r="T316" s="10" t="s">
        <v>175</v>
      </c>
      <c r="U316" s="7" t="n">
        <v>2</v>
      </c>
      <c r="V316" s="12" t="s">
        <v>175</v>
      </c>
      <c r="W316" s="12" t="s">
        <v>79</v>
      </c>
      <c r="X316" s="12" t="s">
        <v>86</v>
      </c>
      <c r="Y316" s="10" t="s">
        <v>111</v>
      </c>
      <c r="Z316" s="7" t="s">
        <v>106</v>
      </c>
      <c r="AA316" s="7" t="n">
        <v>6</v>
      </c>
      <c r="AB316" s="9" t="n">
        <v>0.593024478867852</v>
      </c>
    </row>
    <row r="317" customFormat="false" ht="23.85" hidden="false" customHeight="false" outlineLevel="0" collapsed="false">
      <c r="A317" s="7" t="n">
        <v>313</v>
      </c>
      <c r="B317" s="12" t="s">
        <v>89</v>
      </c>
      <c r="C317" s="10" t="s">
        <v>1399</v>
      </c>
      <c r="D317" s="12" t="s">
        <v>1350</v>
      </c>
      <c r="E317" s="12" t="s">
        <v>981</v>
      </c>
      <c r="F317" s="10" t="s">
        <v>982</v>
      </c>
      <c r="G317" s="12" t="s">
        <v>656</v>
      </c>
      <c r="H317" s="26"/>
      <c r="I317" s="7" t="n">
        <v>1</v>
      </c>
      <c r="J317" s="7" t="n">
        <v>905</v>
      </c>
      <c r="K317" s="11" t="n">
        <v>28093.38</v>
      </c>
      <c r="L317" s="10" t="s">
        <v>90</v>
      </c>
      <c r="M317" s="26"/>
      <c r="N317" s="12" t="s">
        <v>701</v>
      </c>
      <c r="O317" s="12" t="s">
        <v>323</v>
      </c>
      <c r="P317" s="10" t="s">
        <v>323</v>
      </c>
      <c r="Q317" s="12"/>
      <c r="R317" s="34" t="n">
        <v>1</v>
      </c>
      <c r="S317" s="11" t="n">
        <v>28093.4</v>
      </c>
      <c r="T317" s="10" t="s">
        <v>1358</v>
      </c>
      <c r="U317" s="7" t="n">
        <v>8</v>
      </c>
      <c r="V317" s="12" t="s">
        <v>177</v>
      </c>
      <c r="W317" s="12" t="s">
        <v>79</v>
      </c>
      <c r="X317" s="12" t="s">
        <v>80</v>
      </c>
      <c r="Y317" s="10" t="s">
        <v>81</v>
      </c>
      <c r="Z317" s="7" t="s">
        <v>74</v>
      </c>
      <c r="AA317" s="7" t="n">
        <v>3</v>
      </c>
      <c r="AB317" s="9" t="n">
        <v>0.842116083381144</v>
      </c>
    </row>
    <row r="318" customFormat="false" ht="35.05" hidden="false" customHeight="false" outlineLevel="0" collapsed="false">
      <c r="A318" s="7" t="n">
        <v>314</v>
      </c>
      <c r="B318" s="12" t="s">
        <v>485</v>
      </c>
      <c r="C318" s="10" t="s">
        <v>1400</v>
      </c>
      <c r="D318" s="12" t="s">
        <v>1350</v>
      </c>
      <c r="E318" s="12" t="s">
        <v>1401</v>
      </c>
      <c r="F318" s="10" t="s">
        <v>1402</v>
      </c>
      <c r="G318" s="12" t="s">
        <v>656</v>
      </c>
      <c r="H318" s="26" t="n">
        <v>30.23</v>
      </c>
      <c r="I318" s="7" t="n">
        <v>1</v>
      </c>
      <c r="J318" s="7" t="n">
        <v>286</v>
      </c>
      <c r="K318" s="11" t="n">
        <v>3193.58</v>
      </c>
      <c r="L318" s="10" t="s">
        <v>486</v>
      </c>
      <c r="M318" s="26" t="n">
        <v>30.23</v>
      </c>
      <c r="N318" s="12" t="s">
        <v>657</v>
      </c>
      <c r="O318" s="12" t="s">
        <v>77</v>
      </c>
      <c r="P318" s="10" t="s">
        <v>1069</v>
      </c>
      <c r="Q318" s="12"/>
      <c r="R318" s="34" t="n">
        <v>0.417198306639301</v>
      </c>
      <c r="S318" s="11" t="n">
        <v>1332.4</v>
      </c>
      <c r="T318" s="10" t="s">
        <v>995</v>
      </c>
      <c r="U318" s="7" t="n">
        <v>1</v>
      </c>
      <c r="V318" s="12" t="s">
        <v>323</v>
      </c>
      <c r="W318" s="12" t="s">
        <v>79</v>
      </c>
      <c r="X318" s="12" t="s">
        <v>86</v>
      </c>
      <c r="Y318" s="10"/>
      <c r="Z318" s="7" t="s">
        <v>688</v>
      </c>
      <c r="AA318" s="7" t="n">
        <v>13</v>
      </c>
      <c r="AB318" s="9" t="n">
        <v>0.352184930196978</v>
      </c>
    </row>
    <row r="319" customFormat="false" ht="23.85" hidden="false" customHeight="false" outlineLevel="0" collapsed="false">
      <c r="A319" s="7" t="n">
        <v>315</v>
      </c>
      <c r="B319" s="12" t="s">
        <v>89</v>
      </c>
      <c r="C319" s="10" t="s">
        <v>1403</v>
      </c>
      <c r="D319" s="12" t="s">
        <v>1350</v>
      </c>
      <c r="E319" s="12" t="s">
        <v>1404</v>
      </c>
      <c r="F319" s="10" t="s">
        <v>918</v>
      </c>
      <c r="G319" s="12" t="s">
        <v>656</v>
      </c>
      <c r="H319" s="26" t="n">
        <v>118.13</v>
      </c>
      <c r="I319" s="7" t="n">
        <v>1</v>
      </c>
      <c r="J319" s="7" t="n">
        <v>905</v>
      </c>
      <c r="K319" s="11" t="n">
        <v>28093.38</v>
      </c>
      <c r="L319" s="10" t="s">
        <v>90</v>
      </c>
      <c r="M319" s="26" t="n">
        <v>118.13</v>
      </c>
      <c r="N319" s="12" t="s">
        <v>657</v>
      </c>
      <c r="O319" s="12" t="s">
        <v>77</v>
      </c>
      <c r="P319" s="10" t="s">
        <v>1069</v>
      </c>
      <c r="Q319" s="30" t="s">
        <v>1405</v>
      </c>
      <c r="R319" s="34" t="n">
        <v>1</v>
      </c>
      <c r="S319" s="11" t="n">
        <v>28093.4</v>
      </c>
      <c r="T319" s="10" t="s">
        <v>1358</v>
      </c>
      <c r="U319" s="7" t="n">
        <v>8</v>
      </c>
      <c r="V319" s="12" t="s">
        <v>177</v>
      </c>
      <c r="W319" s="12" t="s">
        <v>79</v>
      </c>
      <c r="X319" s="12" t="s">
        <v>86</v>
      </c>
      <c r="Y319" s="10" t="s">
        <v>81</v>
      </c>
      <c r="Z319" s="7" t="s">
        <v>74</v>
      </c>
      <c r="AA319" s="7" t="n">
        <v>3</v>
      </c>
      <c r="AB319" s="9" t="n">
        <v>0.842116083381144</v>
      </c>
    </row>
    <row r="320" customFormat="false" ht="23.85" hidden="false" customHeight="false" outlineLevel="0" collapsed="false">
      <c r="A320" s="7" t="n">
        <v>316</v>
      </c>
      <c r="B320" s="12" t="s">
        <v>89</v>
      </c>
      <c r="C320" s="10" t="s">
        <v>1403</v>
      </c>
      <c r="D320" s="12" t="s">
        <v>1350</v>
      </c>
      <c r="E320" s="12" t="s">
        <v>1406</v>
      </c>
      <c r="F320" s="10" t="s">
        <v>1084</v>
      </c>
      <c r="G320" s="12" t="s">
        <v>656</v>
      </c>
      <c r="H320" s="26" t="n">
        <v>102.88</v>
      </c>
      <c r="I320" s="7" t="n">
        <v>1</v>
      </c>
      <c r="J320" s="7" t="n">
        <v>905</v>
      </c>
      <c r="K320" s="11" t="n">
        <v>28093.38</v>
      </c>
      <c r="L320" s="10" t="s">
        <v>90</v>
      </c>
      <c r="M320" s="26" t="n">
        <v>102.88</v>
      </c>
      <c r="N320" s="12" t="s">
        <v>657</v>
      </c>
      <c r="O320" s="12" t="s">
        <v>77</v>
      </c>
      <c r="P320" s="10" t="s">
        <v>1069</v>
      </c>
      <c r="Q320" s="30" t="s">
        <v>1405</v>
      </c>
      <c r="R320" s="34" t="n">
        <v>1</v>
      </c>
      <c r="S320" s="11" t="n">
        <v>28093.4</v>
      </c>
      <c r="T320" s="10" t="s">
        <v>1358</v>
      </c>
      <c r="U320" s="7" t="n">
        <v>8</v>
      </c>
      <c r="V320" s="12" t="s">
        <v>177</v>
      </c>
      <c r="W320" s="12" t="s">
        <v>79</v>
      </c>
      <c r="X320" s="12" t="s">
        <v>86</v>
      </c>
      <c r="Y320" s="10" t="s">
        <v>81</v>
      </c>
      <c r="Z320" s="7" t="s">
        <v>74</v>
      </c>
      <c r="AA320" s="7" t="n">
        <v>3</v>
      </c>
      <c r="AB320" s="9" t="n">
        <v>0.842116083381144</v>
      </c>
    </row>
    <row r="321" customFormat="false" ht="23.85" hidden="false" customHeight="false" outlineLevel="0" collapsed="false">
      <c r="A321" s="7" t="n">
        <v>317</v>
      </c>
      <c r="B321" s="12" t="s">
        <v>89</v>
      </c>
      <c r="C321" s="10" t="s">
        <v>1403</v>
      </c>
      <c r="D321" s="12" t="s">
        <v>1350</v>
      </c>
      <c r="E321" s="12" t="s">
        <v>1407</v>
      </c>
      <c r="F321" s="10" t="s">
        <v>1408</v>
      </c>
      <c r="G321" s="12" t="s">
        <v>656</v>
      </c>
      <c r="H321" s="26" t="n">
        <v>92.78</v>
      </c>
      <c r="I321" s="7" t="n">
        <v>1</v>
      </c>
      <c r="J321" s="7" t="n">
        <v>905</v>
      </c>
      <c r="K321" s="11" t="n">
        <v>28093.38</v>
      </c>
      <c r="L321" s="10" t="s">
        <v>90</v>
      </c>
      <c r="M321" s="26" t="n">
        <v>92.78</v>
      </c>
      <c r="N321" s="12" t="s">
        <v>657</v>
      </c>
      <c r="O321" s="12" t="s">
        <v>77</v>
      </c>
      <c r="P321" s="10" t="s">
        <v>1069</v>
      </c>
      <c r="Q321" s="30" t="s">
        <v>1405</v>
      </c>
      <c r="R321" s="34" t="n">
        <v>1</v>
      </c>
      <c r="S321" s="11" t="n">
        <v>28093.4</v>
      </c>
      <c r="T321" s="10" t="s">
        <v>1358</v>
      </c>
      <c r="U321" s="7" t="n">
        <v>8</v>
      </c>
      <c r="V321" s="12" t="s">
        <v>177</v>
      </c>
      <c r="W321" s="12" t="s">
        <v>79</v>
      </c>
      <c r="X321" s="12" t="s">
        <v>86</v>
      </c>
      <c r="Y321" s="10" t="s">
        <v>81</v>
      </c>
      <c r="Z321" s="7" t="s">
        <v>74</v>
      </c>
      <c r="AA321" s="7" t="n">
        <v>3</v>
      </c>
      <c r="AB321" s="9" t="n">
        <v>0.842116083381144</v>
      </c>
    </row>
    <row r="322" customFormat="false" ht="23.85" hidden="false" customHeight="false" outlineLevel="0" collapsed="false">
      <c r="A322" s="7" t="n">
        <v>318</v>
      </c>
      <c r="B322" s="12" t="s">
        <v>400</v>
      </c>
      <c r="C322" s="10" t="s">
        <v>1409</v>
      </c>
      <c r="D322" s="12" t="s">
        <v>1350</v>
      </c>
      <c r="E322" s="12" t="s">
        <v>1410</v>
      </c>
      <c r="F322" s="10" t="s">
        <v>878</v>
      </c>
      <c r="G322" s="12" t="s">
        <v>656</v>
      </c>
      <c r="H322" s="26" t="n">
        <v>13.99</v>
      </c>
      <c r="I322" s="7" t="n">
        <v>1</v>
      </c>
      <c r="J322" s="7" t="n">
        <v>119</v>
      </c>
      <c r="K322" s="11" t="n">
        <v>3113.83</v>
      </c>
      <c r="L322" s="10" t="s">
        <v>401</v>
      </c>
      <c r="M322" s="26" t="n">
        <v>13.99</v>
      </c>
      <c r="N322" s="12" t="s">
        <v>657</v>
      </c>
      <c r="O322" s="12" t="s">
        <v>77</v>
      </c>
      <c r="P322" s="10" t="s">
        <v>658</v>
      </c>
      <c r="Q322" s="30" t="s">
        <v>991</v>
      </c>
      <c r="R322" s="34" t="n">
        <v>0.899884259259259</v>
      </c>
      <c r="S322" s="11" t="n">
        <v>2802.1</v>
      </c>
      <c r="T322" s="10" t="s">
        <v>995</v>
      </c>
      <c r="U322" s="7" t="n">
        <v>1</v>
      </c>
      <c r="V322" s="12" t="s">
        <v>323</v>
      </c>
      <c r="W322" s="12" t="s">
        <v>79</v>
      </c>
      <c r="X322" s="12" t="s">
        <v>86</v>
      </c>
      <c r="Y322" s="10"/>
      <c r="Z322" s="7" t="s">
        <v>688</v>
      </c>
      <c r="AA322" s="7" t="n">
        <v>14</v>
      </c>
      <c r="AB322" s="9" t="n">
        <v>0.33810958118187</v>
      </c>
    </row>
    <row r="323" customFormat="false" ht="23.85" hidden="false" customHeight="false" outlineLevel="0" collapsed="false">
      <c r="A323" s="7" t="n">
        <v>319</v>
      </c>
      <c r="B323" s="12" t="s">
        <v>117</v>
      </c>
      <c r="C323" s="10" t="s">
        <v>1411</v>
      </c>
      <c r="D323" s="12" t="s">
        <v>1350</v>
      </c>
      <c r="E323" s="12" t="s">
        <v>1412</v>
      </c>
      <c r="F323" s="10" t="s">
        <v>1413</v>
      </c>
      <c r="G323" s="12" t="s">
        <v>656</v>
      </c>
      <c r="H323" s="26" t="n">
        <v>8.68</v>
      </c>
      <c r="I323" s="7" t="n">
        <v>1</v>
      </c>
      <c r="J323" s="7" t="n">
        <v>346</v>
      </c>
      <c r="K323" s="11" t="n">
        <v>32830.17</v>
      </c>
      <c r="L323" s="10" t="s">
        <v>118</v>
      </c>
      <c r="M323" s="26" t="n">
        <v>8.68</v>
      </c>
      <c r="N323" s="12" t="s">
        <v>657</v>
      </c>
      <c r="O323" s="12" t="s">
        <v>77</v>
      </c>
      <c r="P323" s="10" t="s">
        <v>1069</v>
      </c>
      <c r="Q323" s="30" t="s">
        <v>1414</v>
      </c>
      <c r="R323" s="34" t="n">
        <v>1</v>
      </c>
      <c r="S323" s="11" t="n">
        <v>32830.2</v>
      </c>
      <c r="T323" s="10" t="s">
        <v>1366</v>
      </c>
      <c r="U323" s="7" t="n">
        <v>7</v>
      </c>
      <c r="V323" s="12" t="s">
        <v>177</v>
      </c>
      <c r="W323" s="12" t="s">
        <v>79</v>
      </c>
      <c r="X323" s="12" t="s">
        <v>86</v>
      </c>
      <c r="Y323" s="10"/>
      <c r="Z323" s="7" t="s">
        <v>74</v>
      </c>
      <c r="AA323" s="7" t="n">
        <v>5</v>
      </c>
      <c r="AB323" s="9" t="n">
        <v>0.718999808758845</v>
      </c>
    </row>
    <row r="324" customFormat="false" ht="23.85" hidden="false" customHeight="false" outlineLevel="0" collapsed="false">
      <c r="A324" s="7" t="n">
        <v>320</v>
      </c>
      <c r="B324" s="12" t="s">
        <v>112</v>
      </c>
      <c r="C324" s="10" t="s">
        <v>1415</v>
      </c>
      <c r="D324" s="12" t="s">
        <v>1350</v>
      </c>
      <c r="E324" s="12" t="s">
        <v>1416</v>
      </c>
      <c r="F324" s="10" t="s">
        <v>836</v>
      </c>
      <c r="G324" s="12" t="s">
        <v>656</v>
      </c>
      <c r="H324" s="26" t="n">
        <v>3147.91</v>
      </c>
      <c r="I324" s="7" t="n">
        <v>1</v>
      </c>
      <c r="J324" s="7" t="n">
        <v>47</v>
      </c>
      <c r="K324" s="11" t="n">
        <v>7904.67</v>
      </c>
      <c r="L324" s="10" t="s">
        <v>113</v>
      </c>
      <c r="M324" s="26" t="n">
        <v>3147.91</v>
      </c>
      <c r="N324" s="12" t="s">
        <v>657</v>
      </c>
      <c r="O324" s="12" t="s">
        <v>77</v>
      </c>
      <c r="P324" s="10" t="s">
        <v>1069</v>
      </c>
      <c r="Q324" s="30" t="s">
        <v>1417</v>
      </c>
      <c r="R324" s="34" t="n">
        <v>1</v>
      </c>
      <c r="S324" s="11" t="n">
        <v>7904.7</v>
      </c>
      <c r="T324" s="10" t="s">
        <v>1366</v>
      </c>
      <c r="U324" s="7" t="n">
        <v>7</v>
      </c>
      <c r="V324" s="12" t="s">
        <v>177</v>
      </c>
      <c r="W324" s="12" t="s">
        <v>79</v>
      </c>
      <c r="X324" s="12" t="s">
        <v>86</v>
      </c>
      <c r="Y324" s="10"/>
      <c r="Z324" s="7" t="s">
        <v>74</v>
      </c>
      <c r="AA324" s="7" t="n">
        <v>4</v>
      </c>
      <c r="AB324" s="9" t="n">
        <v>0.817364696882769</v>
      </c>
    </row>
    <row r="325" customFormat="false" ht="23.85" hidden="false" customHeight="false" outlineLevel="0" collapsed="false">
      <c r="A325" s="7" t="n">
        <v>321</v>
      </c>
      <c r="B325" s="12" t="s">
        <v>89</v>
      </c>
      <c r="C325" s="10" t="s">
        <v>1403</v>
      </c>
      <c r="D325" s="12" t="s">
        <v>1350</v>
      </c>
      <c r="E325" s="12" t="s">
        <v>1418</v>
      </c>
      <c r="F325" s="10" t="s">
        <v>1217</v>
      </c>
      <c r="G325" s="12" t="s">
        <v>656</v>
      </c>
      <c r="H325" s="26" t="n">
        <v>102.88</v>
      </c>
      <c r="I325" s="7" t="n">
        <v>1</v>
      </c>
      <c r="J325" s="7" t="n">
        <v>905</v>
      </c>
      <c r="K325" s="11" t="n">
        <v>28093.38</v>
      </c>
      <c r="L325" s="10" t="s">
        <v>90</v>
      </c>
      <c r="M325" s="26" t="n">
        <v>102.88</v>
      </c>
      <c r="N325" s="12" t="s">
        <v>657</v>
      </c>
      <c r="O325" s="12" t="s">
        <v>77</v>
      </c>
      <c r="P325" s="10" t="s">
        <v>658</v>
      </c>
      <c r="Q325" s="30" t="s">
        <v>991</v>
      </c>
      <c r="R325" s="34" t="n">
        <v>1</v>
      </c>
      <c r="S325" s="11" t="n">
        <v>28093.4</v>
      </c>
      <c r="T325" s="10" t="s">
        <v>1358</v>
      </c>
      <c r="U325" s="7" t="n">
        <v>8</v>
      </c>
      <c r="V325" s="12" t="s">
        <v>177</v>
      </c>
      <c r="W325" s="12" t="s">
        <v>79</v>
      </c>
      <c r="X325" s="12" t="s">
        <v>86</v>
      </c>
      <c r="Y325" s="10" t="s">
        <v>81</v>
      </c>
      <c r="Z325" s="7" t="s">
        <v>74</v>
      </c>
      <c r="AA325" s="7" t="n">
        <v>3</v>
      </c>
      <c r="AB325" s="9" t="n">
        <v>0.842116083381144</v>
      </c>
    </row>
    <row r="326" customFormat="false" ht="35.05" hidden="false" customHeight="false" outlineLevel="0" collapsed="false">
      <c r="A326" s="7" t="n">
        <v>322</v>
      </c>
      <c r="B326" s="12" t="s">
        <v>374</v>
      </c>
      <c r="C326" s="10" t="s">
        <v>731</v>
      </c>
      <c r="D326" s="12" t="s">
        <v>1419</v>
      </c>
      <c r="E326" s="12" t="s">
        <v>735</v>
      </c>
      <c r="F326" s="10"/>
      <c r="G326" s="12"/>
      <c r="H326" s="26"/>
      <c r="I326" s="7" t="n">
        <v>1</v>
      </c>
      <c r="J326" s="7" t="n">
        <v>365</v>
      </c>
      <c r="K326" s="11" t="n">
        <v>5976.94</v>
      </c>
      <c r="L326" s="10" t="s">
        <v>375</v>
      </c>
      <c r="M326" s="26"/>
      <c r="N326" s="12" t="s">
        <v>701</v>
      </c>
      <c r="O326" s="12" t="s">
        <v>323</v>
      </c>
      <c r="P326" s="10" t="s">
        <v>323</v>
      </c>
      <c r="Q326" s="12"/>
      <c r="R326" s="34" t="n">
        <v>0.240571827983426</v>
      </c>
      <c r="S326" s="11" t="n">
        <v>1437.9</v>
      </c>
      <c r="T326" s="10" t="s">
        <v>1420</v>
      </c>
      <c r="U326" s="7" t="n">
        <v>15</v>
      </c>
      <c r="V326" s="12" t="s">
        <v>160</v>
      </c>
      <c r="W326" s="12" t="s">
        <v>97</v>
      </c>
      <c r="X326" s="12" t="s">
        <v>97</v>
      </c>
      <c r="Y326" s="10" t="s">
        <v>87</v>
      </c>
      <c r="Z326" s="7" t="s">
        <v>688</v>
      </c>
      <c r="AA326" s="7" t="n">
        <v>57</v>
      </c>
      <c r="AB326" s="9" t="n">
        <v>0.124550583285523</v>
      </c>
    </row>
    <row r="327" customFormat="false" ht="35.05" hidden="false" customHeight="false" outlineLevel="0" collapsed="false">
      <c r="A327" s="7" t="n">
        <v>323</v>
      </c>
      <c r="B327" s="12" t="s">
        <v>374</v>
      </c>
      <c r="C327" s="10" t="s">
        <v>731</v>
      </c>
      <c r="D327" s="12" t="s">
        <v>1419</v>
      </c>
      <c r="E327" s="12" t="s">
        <v>732</v>
      </c>
      <c r="F327" s="10"/>
      <c r="G327" s="12"/>
      <c r="H327" s="26"/>
      <c r="I327" s="7" t="n">
        <v>1</v>
      </c>
      <c r="J327" s="7" t="n">
        <v>365</v>
      </c>
      <c r="K327" s="11" t="n">
        <v>5976.94</v>
      </c>
      <c r="L327" s="10" t="s">
        <v>375</v>
      </c>
      <c r="M327" s="26"/>
      <c r="N327" s="12" t="s">
        <v>701</v>
      </c>
      <c r="O327" s="12" t="s">
        <v>323</v>
      </c>
      <c r="P327" s="10" t="s">
        <v>323</v>
      </c>
      <c r="Q327" s="12"/>
      <c r="R327" s="34" t="n">
        <v>0.240571827983426</v>
      </c>
      <c r="S327" s="11" t="n">
        <v>1437.9</v>
      </c>
      <c r="T327" s="10" t="s">
        <v>1420</v>
      </c>
      <c r="U327" s="7" t="n">
        <v>15</v>
      </c>
      <c r="V327" s="12" t="s">
        <v>160</v>
      </c>
      <c r="W327" s="12" t="s">
        <v>97</v>
      </c>
      <c r="X327" s="12" t="s">
        <v>97</v>
      </c>
      <c r="Y327" s="10" t="s">
        <v>87</v>
      </c>
      <c r="Z327" s="7" t="s">
        <v>688</v>
      </c>
      <c r="AA327" s="7" t="n">
        <v>57</v>
      </c>
      <c r="AB327" s="9" t="n">
        <v>0.124550583285523</v>
      </c>
    </row>
    <row r="328" customFormat="false" ht="57.45" hidden="false" customHeight="false" outlineLevel="0" collapsed="false">
      <c r="A328" s="7" t="n">
        <v>324</v>
      </c>
      <c r="B328" s="12" t="s">
        <v>210</v>
      </c>
      <c r="C328" s="10" t="s">
        <v>1421</v>
      </c>
      <c r="D328" s="12" t="s">
        <v>1419</v>
      </c>
      <c r="E328" s="12" t="s">
        <v>1422</v>
      </c>
      <c r="F328" s="10" t="s">
        <v>1423</v>
      </c>
      <c r="G328" s="12" t="s">
        <v>656</v>
      </c>
      <c r="H328" s="26" t="n">
        <v>6.32</v>
      </c>
      <c r="I328" s="7" t="n">
        <v>1</v>
      </c>
      <c r="J328" s="7" t="n">
        <v>2546</v>
      </c>
      <c r="K328" s="11" t="n">
        <v>46507.62</v>
      </c>
      <c r="L328" s="10" t="s">
        <v>211</v>
      </c>
      <c r="M328" s="26" t="n">
        <v>6.32</v>
      </c>
      <c r="N328" s="12" t="s">
        <v>657</v>
      </c>
      <c r="O328" s="12" t="s">
        <v>102</v>
      </c>
      <c r="P328" s="10" t="s">
        <v>658</v>
      </c>
      <c r="Q328" s="30" t="s">
        <v>1424</v>
      </c>
      <c r="R328" s="34" t="n">
        <v>0.378228374732698</v>
      </c>
      <c r="S328" s="11" t="n">
        <v>17590.5</v>
      </c>
      <c r="T328" s="10" t="s">
        <v>1425</v>
      </c>
      <c r="U328" s="7" t="n">
        <v>27</v>
      </c>
      <c r="V328" s="12" t="s">
        <v>116</v>
      </c>
      <c r="W328" s="12" t="s">
        <v>79</v>
      </c>
      <c r="X328" s="12" t="s">
        <v>671</v>
      </c>
      <c r="Y328" s="10"/>
      <c r="Z328" s="7" t="s">
        <v>688</v>
      </c>
      <c r="AA328" s="7" t="n">
        <v>19</v>
      </c>
      <c r="AB328" s="9" t="n">
        <v>0.602065404475043</v>
      </c>
    </row>
    <row r="329" customFormat="false" ht="35.05" hidden="false" customHeight="false" outlineLevel="0" collapsed="false">
      <c r="A329" s="7" t="n">
        <v>325</v>
      </c>
      <c r="B329" s="12" t="s">
        <v>388</v>
      </c>
      <c r="C329" s="10" t="s">
        <v>388</v>
      </c>
      <c r="D329" s="12" t="s">
        <v>1419</v>
      </c>
      <c r="E329" s="12" t="s">
        <v>741</v>
      </c>
      <c r="F329" s="10"/>
      <c r="G329" s="12"/>
      <c r="H329" s="26"/>
      <c r="I329" s="7" t="n">
        <v>1</v>
      </c>
      <c r="J329" s="7" t="n">
        <v>736</v>
      </c>
      <c r="K329" s="11" t="n">
        <v>22018.81</v>
      </c>
      <c r="L329" s="10" t="s">
        <v>389</v>
      </c>
      <c r="M329" s="35" t="n">
        <v>6.23</v>
      </c>
      <c r="N329" s="12" t="s">
        <v>664</v>
      </c>
      <c r="O329" s="12" t="s">
        <v>102</v>
      </c>
      <c r="P329" s="10" t="s">
        <v>665</v>
      </c>
      <c r="Q329" s="30" t="s">
        <v>666</v>
      </c>
      <c r="R329" s="34" t="n">
        <v>0.110870072040338</v>
      </c>
      <c r="S329" s="11" t="n">
        <v>2441.2</v>
      </c>
      <c r="T329" s="10" t="s">
        <v>144</v>
      </c>
      <c r="U329" s="7" t="n">
        <v>1</v>
      </c>
      <c r="V329" s="12" t="s">
        <v>144</v>
      </c>
      <c r="W329" s="12" t="s">
        <v>97</v>
      </c>
      <c r="X329" s="12" t="s">
        <v>97</v>
      </c>
      <c r="Y329" s="10"/>
      <c r="Z329" s="7" t="s">
        <v>688</v>
      </c>
      <c r="AA329" s="7" t="n">
        <v>55</v>
      </c>
      <c r="AB329" s="9" t="n">
        <v>0.184260852935552</v>
      </c>
    </row>
    <row r="330" customFormat="false" ht="35.05" hidden="false" customHeight="false" outlineLevel="0" collapsed="false">
      <c r="A330" s="7" t="n">
        <v>326</v>
      </c>
      <c r="B330" s="12" t="s">
        <v>455</v>
      </c>
      <c r="C330" s="10" t="s">
        <v>455</v>
      </c>
      <c r="D330" s="12" t="s">
        <v>1419</v>
      </c>
      <c r="E330" s="12" t="s">
        <v>1426</v>
      </c>
      <c r="F330" s="10" t="s">
        <v>1427</v>
      </c>
      <c r="G330" s="12" t="s">
        <v>656</v>
      </c>
      <c r="H330" s="26" t="n">
        <v>31.16</v>
      </c>
      <c r="I330" s="7" t="n">
        <v>1</v>
      </c>
      <c r="J330" s="7" t="n">
        <v>5</v>
      </c>
      <c r="K330" s="11" t="n">
        <v>806.34</v>
      </c>
      <c r="L330" s="10" t="s">
        <v>456</v>
      </c>
      <c r="M330" s="26" t="n">
        <v>31.16</v>
      </c>
      <c r="N330" s="12" t="s">
        <v>657</v>
      </c>
      <c r="O330" s="12" t="s">
        <v>102</v>
      </c>
      <c r="P330" s="10" t="s">
        <v>658</v>
      </c>
      <c r="Q330" s="30" t="s">
        <v>1122</v>
      </c>
      <c r="R330" s="34" t="n">
        <v>1</v>
      </c>
      <c r="S330" s="11" t="n">
        <v>806.3</v>
      </c>
      <c r="T330" s="10" t="s">
        <v>1428</v>
      </c>
      <c r="U330" s="7" t="n">
        <v>12</v>
      </c>
      <c r="V330" s="12" t="s">
        <v>116</v>
      </c>
      <c r="W330" s="12" t="s">
        <v>79</v>
      </c>
      <c r="X330" s="12" t="s">
        <v>80</v>
      </c>
      <c r="Y330" s="10" t="s">
        <v>111</v>
      </c>
      <c r="Z330" s="7" t="s">
        <v>688</v>
      </c>
      <c r="AA330" s="7" t="n">
        <v>31</v>
      </c>
      <c r="AB330" s="9" t="n">
        <v>0.507372346528973</v>
      </c>
    </row>
    <row r="331" customFormat="false" ht="79.85" hidden="false" customHeight="false" outlineLevel="0" collapsed="false">
      <c r="A331" s="7" t="n">
        <v>327</v>
      </c>
      <c r="B331" s="12" t="s">
        <v>368</v>
      </c>
      <c r="C331" s="10" t="s">
        <v>765</v>
      </c>
      <c r="D331" s="12" t="s">
        <v>1419</v>
      </c>
      <c r="E331" s="12" t="s">
        <v>766</v>
      </c>
      <c r="F331" s="10" t="s">
        <v>1429</v>
      </c>
      <c r="G331" s="12" t="s">
        <v>663</v>
      </c>
      <c r="H331" s="26" t="n">
        <v>125</v>
      </c>
      <c r="I331" s="7" t="n">
        <v>1</v>
      </c>
      <c r="J331" s="7" t="n">
        <v>116</v>
      </c>
      <c r="K331" s="11" t="n">
        <v>1162.12</v>
      </c>
      <c r="L331" s="10" t="s">
        <v>369</v>
      </c>
      <c r="M331" s="26" t="n">
        <v>125</v>
      </c>
      <c r="N331" s="12" t="s">
        <v>657</v>
      </c>
      <c r="O331" s="12" t="s">
        <v>102</v>
      </c>
      <c r="P331" s="10" t="s">
        <v>658</v>
      </c>
      <c r="Q331" s="30" t="s">
        <v>768</v>
      </c>
      <c r="R331" s="34" t="n">
        <v>0.444974105461394</v>
      </c>
      <c r="S331" s="11" t="n">
        <v>517.1</v>
      </c>
      <c r="T331" s="10" t="s">
        <v>1430</v>
      </c>
      <c r="U331" s="7" t="n">
        <v>32</v>
      </c>
      <c r="V331" s="12" t="s">
        <v>538</v>
      </c>
      <c r="W331" s="12" t="s">
        <v>85</v>
      </c>
      <c r="X331" s="12" t="s">
        <v>86</v>
      </c>
      <c r="Y331" s="10" t="s">
        <v>87</v>
      </c>
      <c r="Z331" s="7" t="s">
        <v>688</v>
      </c>
      <c r="AA331" s="7" t="n">
        <v>39</v>
      </c>
      <c r="AB331" s="9" t="n">
        <v>0.44469305794607</v>
      </c>
    </row>
    <row r="332" customFormat="false" ht="68.65" hidden="false" customHeight="false" outlineLevel="0" collapsed="false">
      <c r="A332" s="7" t="n">
        <v>328</v>
      </c>
      <c r="B332" s="12" t="s">
        <v>114</v>
      </c>
      <c r="C332" s="10" t="s">
        <v>114</v>
      </c>
      <c r="D332" s="12" t="s">
        <v>1419</v>
      </c>
      <c r="E332" s="12" t="s">
        <v>679</v>
      </c>
      <c r="F332" s="10" t="s">
        <v>1431</v>
      </c>
      <c r="G332" s="12" t="s">
        <v>681</v>
      </c>
      <c r="H332" s="26" t="n">
        <v>29.97</v>
      </c>
      <c r="I332" s="7" t="n">
        <v>1</v>
      </c>
      <c r="J332" s="7" t="n">
        <v>146</v>
      </c>
      <c r="K332" s="11" t="n">
        <v>11366.06</v>
      </c>
      <c r="L332" s="10" t="s">
        <v>115</v>
      </c>
      <c r="M332" s="26" t="n">
        <v>29.97</v>
      </c>
      <c r="N332" s="12" t="s">
        <v>657</v>
      </c>
      <c r="O332" s="12" t="s">
        <v>102</v>
      </c>
      <c r="P332" s="10" t="s">
        <v>658</v>
      </c>
      <c r="Q332" s="30" t="s">
        <v>682</v>
      </c>
      <c r="R332" s="34" t="n">
        <v>1</v>
      </c>
      <c r="S332" s="11" t="n">
        <v>11366.1</v>
      </c>
      <c r="T332" s="10" t="s">
        <v>1432</v>
      </c>
      <c r="U332" s="7" t="n">
        <v>30</v>
      </c>
      <c r="V332" s="12" t="s">
        <v>116</v>
      </c>
      <c r="W332" s="12" t="s">
        <v>85</v>
      </c>
      <c r="X332" s="12" t="s">
        <v>86</v>
      </c>
      <c r="Y332" s="10" t="s">
        <v>87</v>
      </c>
      <c r="Z332" s="7" t="s">
        <v>106</v>
      </c>
      <c r="AA332" s="7" t="n">
        <v>8</v>
      </c>
      <c r="AB332" s="9" t="n">
        <v>0.778294128896539</v>
      </c>
    </row>
    <row r="333" customFormat="false" ht="23.85" hidden="false" customHeight="false" outlineLevel="0" collapsed="false">
      <c r="A333" s="7" t="n">
        <v>329</v>
      </c>
      <c r="B333" s="12" t="s">
        <v>357</v>
      </c>
      <c r="C333" s="10" t="s">
        <v>793</v>
      </c>
      <c r="D333" s="12" t="s">
        <v>1419</v>
      </c>
      <c r="E333" s="12" t="s">
        <v>794</v>
      </c>
      <c r="F333" s="10" t="s">
        <v>1433</v>
      </c>
      <c r="G333" s="12" t="s">
        <v>79</v>
      </c>
      <c r="H333" s="26" t="n">
        <v>90.4</v>
      </c>
      <c r="I333" s="7" t="n">
        <v>1</v>
      </c>
      <c r="J333" s="7" t="n">
        <v>22</v>
      </c>
      <c r="K333" s="11" t="n">
        <v>2127.31</v>
      </c>
      <c r="L333" s="10" t="s">
        <v>358</v>
      </c>
      <c r="M333" s="26" t="n">
        <v>90.4</v>
      </c>
      <c r="N333" s="12" t="s">
        <v>657</v>
      </c>
      <c r="O333" s="12" t="s">
        <v>102</v>
      </c>
      <c r="P333" s="10" t="s">
        <v>658</v>
      </c>
      <c r="Q333" s="30" t="s">
        <v>796</v>
      </c>
      <c r="R333" s="34" t="n">
        <v>1</v>
      </c>
      <c r="S333" s="11" t="n">
        <v>2127.3</v>
      </c>
      <c r="T333" s="10" t="s">
        <v>1434</v>
      </c>
      <c r="U333" s="7" t="n">
        <v>5</v>
      </c>
      <c r="V333" s="12" t="s">
        <v>522</v>
      </c>
      <c r="W333" s="12" t="s">
        <v>79</v>
      </c>
      <c r="X333" s="12" t="s">
        <v>671</v>
      </c>
      <c r="Y333" s="10"/>
      <c r="Z333" s="7" t="s">
        <v>688</v>
      </c>
      <c r="AA333" s="7" t="n">
        <v>30</v>
      </c>
      <c r="AB333" s="9" t="n">
        <v>0.513238668961561</v>
      </c>
    </row>
    <row r="334" customFormat="false" ht="46.25" hidden="false" customHeight="false" outlineLevel="0" collapsed="false">
      <c r="A334" s="7" t="n">
        <v>330</v>
      </c>
      <c r="B334" s="12" t="s">
        <v>526</v>
      </c>
      <c r="C334" s="10" t="s">
        <v>1435</v>
      </c>
      <c r="D334" s="12" t="s">
        <v>1419</v>
      </c>
      <c r="E334" s="12" t="s">
        <v>1436</v>
      </c>
      <c r="F334" s="10" t="s">
        <v>1437</v>
      </c>
      <c r="G334" s="12" t="s">
        <v>85</v>
      </c>
      <c r="H334" s="26" t="n">
        <v>31.1</v>
      </c>
      <c r="I334" s="7" t="n">
        <v>1</v>
      </c>
      <c r="J334" s="7" t="n">
        <v>976</v>
      </c>
      <c r="K334" s="11" t="n">
        <v>9295.14</v>
      </c>
      <c r="L334" s="10" t="s">
        <v>527</v>
      </c>
      <c r="M334" s="26" t="n">
        <v>31.1</v>
      </c>
      <c r="N334" s="12" t="s">
        <v>657</v>
      </c>
      <c r="O334" s="12" t="s">
        <v>102</v>
      </c>
      <c r="P334" s="10" t="s">
        <v>658</v>
      </c>
      <c r="Q334" s="30" t="s">
        <v>1438</v>
      </c>
      <c r="R334" s="34" t="n">
        <v>0.702152361952863</v>
      </c>
      <c r="S334" s="11" t="n">
        <v>6526.6</v>
      </c>
      <c r="T334" s="10" t="s">
        <v>1439</v>
      </c>
      <c r="U334" s="7" t="n">
        <v>16</v>
      </c>
      <c r="V334" s="12" t="s">
        <v>160</v>
      </c>
      <c r="W334" s="12" t="s">
        <v>85</v>
      </c>
      <c r="X334" s="12" t="s">
        <v>86</v>
      </c>
      <c r="Y334" s="10"/>
      <c r="Z334" s="7" t="s">
        <v>688</v>
      </c>
      <c r="AA334" s="7" t="n">
        <v>34</v>
      </c>
      <c r="AB334" s="9" t="n">
        <v>0.480488621151272</v>
      </c>
    </row>
    <row r="335" customFormat="false" ht="46.25" hidden="false" customHeight="false" outlineLevel="0" collapsed="false">
      <c r="A335" s="7" t="n">
        <v>331</v>
      </c>
      <c r="B335" s="12" t="s">
        <v>526</v>
      </c>
      <c r="C335" s="10" t="s">
        <v>1435</v>
      </c>
      <c r="D335" s="12" t="s">
        <v>1419</v>
      </c>
      <c r="E335" s="12" t="s">
        <v>1440</v>
      </c>
      <c r="F335" s="10" t="s">
        <v>1441</v>
      </c>
      <c r="G335" s="12" t="s">
        <v>79</v>
      </c>
      <c r="H335" s="26" t="n">
        <v>9.25</v>
      </c>
      <c r="I335" s="7" t="n">
        <v>1</v>
      </c>
      <c r="J335" s="7" t="n">
        <v>976</v>
      </c>
      <c r="K335" s="11" t="n">
        <v>9295.14</v>
      </c>
      <c r="L335" s="10" t="s">
        <v>527</v>
      </c>
      <c r="M335" s="26" t="n">
        <v>9.25</v>
      </c>
      <c r="N335" s="12" t="s">
        <v>657</v>
      </c>
      <c r="O335" s="12" t="s">
        <v>102</v>
      </c>
      <c r="P335" s="10" t="s">
        <v>658</v>
      </c>
      <c r="Q335" s="30" t="s">
        <v>1438</v>
      </c>
      <c r="R335" s="34" t="n">
        <v>0.702152361952863</v>
      </c>
      <c r="S335" s="11" t="n">
        <v>6526.6</v>
      </c>
      <c r="T335" s="10" t="s">
        <v>1439</v>
      </c>
      <c r="U335" s="7" t="n">
        <v>16</v>
      </c>
      <c r="V335" s="12" t="s">
        <v>160</v>
      </c>
      <c r="W335" s="12" t="s">
        <v>79</v>
      </c>
      <c r="X335" s="12" t="s">
        <v>86</v>
      </c>
      <c r="Y335" s="10"/>
      <c r="Z335" s="7" t="s">
        <v>688</v>
      </c>
      <c r="AA335" s="7" t="n">
        <v>34</v>
      </c>
      <c r="AB335" s="9" t="n">
        <v>0.480488621151272</v>
      </c>
    </row>
    <row r="336" customFormat="false" ht="46.25" hidden="false" customHeight="false" outlineLevel="0" collapsed="false">
      <c r="A336" s="7" t="n">
        <v>332</v>
      </c>
      <c r="B336" s="12" t="s">
        <v>526</v>
      </c>
      <c r="C336" s="10" t="s">
        <v>1435</v>
      </c>
      <c r="D336" s="12" t="s">
        <v>1419</v>
      </c>
      <c r="E336" s="12" t="s">
        <v>1442</v>
      </c>
      <c r="F336" s="10" t="s">
        <v>1443</v>
      </c>
      <c r="G336" s="12" t="s">
        <v>85</v>
      </c>
      <c r="H336" s="26" t="n">
        <v>8.8</v>
      </c>
      <c r="I336" s="7" t="n">
        <v>1</v>
      </c>
      <c r="J336" s="7" t="n">
        <v>976</v>
      </c>
      <c r="K336" s="11" t="n">
        <v>9295.14</v>
      </c>
      <c r="L336" s="10" t="s">
        <v>527</v>
      </c>
      <c r="M336" s="26" t="n">
        <v>8.8</v>
      </c>
      <c r="N336" s="12" t="s">
        <v>657</v>
      </c>
      <c r="O336" s="12" t="s">
        <v>102</v>
      </c>
      <c r="P336" s="10" t="s">
        <v>658</v>
      </c>
      <c r="Q336" s="30" t="s">
        <v>1438</v>
      </c>
      <c r="R336" s="34" t="n">
        <v>0.702152361952863</v>
      </c>
      <c r="S336" s="11" t="n">
        <v>6526.6</v>
      </c>
      <c r="T336" s="10" t="s">
        <v>1439</v>
      </c>
      <c r="U336" s="7" t="n">
        <v>16</v>
      </c>
      <c r="V336" s="12" t="s">
        <v>160</v>
      </c>
      <c r="W336" s="12" t="s">
        <v>85</v>
      </c>
      <c r="X336" s="12" t="s">
        <v>86</v>
      </c>
      <c r="Y336" s="10"/>
      <c r="Z336" s="7" t="s">
        <v>688</v>
      </c>
      <c r="AA336" s="7" t="n">
        <v>34</v>
      </c>
      <c r="AB336" s="9" t="n">
        <v>0.480488621151272</v>
      </c>
    </row>
    <row r="337" customFormat="false" ht="46.25" hidden="false" customHeight="false" outlineLevel="0" collapsed="false">
      <c r="A337" s="7" t="n">
        <v>333</v>
      </c>
      <c r="B337" s="12" t="s">
        <v>526</v>
      </c>
      <c r="C337" s="10" t="s">
        <v>1435</v>
      </c>
      <c r="D337" s="12" t="s">
        <v>1419</v>
      </c>
      <c r="E337" s="12" t="s">
        <v>1444</v>
      </c>
      <c r="F337" s="10" t="s">
        <v>1445</v>
      </c>
      <c r="G337" s="12" t="s">
        <v>85</v>
      </c>
      <c r="H337" s="26" t="n">
        <v>9.18</v>
      </c>
      <c r="I337" s="7" t="n">
        <v>1</v>
      </c>
      <c r="J337" s="7" t="n">
        <v>976</v>
      </c>
      <c r="K337" s="11" t="n">
        <v>9295.14</v>
      </c>
      <c r="L337" s="10" t="s">
        <v>527</v>
      </c>
      <c r="M337" s="26" t="n">
        <v>9.18</v>
      </c>
      <c r="N337" s="12" t="s">
        <v>657</v>
      </c>
      <c r="O337" s="12" t="s">
        <v>102</v>
      </c>
      <c r="P337" s="10" t="s">
        <v>658</v>
      </c>
      <c r="Q337" s="30" t="s">
        <v>1438</v>
      </c>
      <c r="R337" s="34" t="n">
        <v>0.702152361952863</v>
      </c>
      <c r="S337" s="11" t="n">
        <v>6526.6</v>
      </c>
      <c r="T337" s="10" t="s">
        <v>1439</v>
      </c>
      <c r="U337" s="7" t="n">
        <v>16</v>
      </c>
      <c r="V337" s="12" t="s">
        <v>160</v>
      </c>
      <c r="W337" s="12" t="s">
        <v>85</v>
      </c>
      <c r="X337" s="12" t="s">
        <v>86</v>
      </c>
      <c r="Y337" s="10"/>
      <c r="Z337" s="7" t="s">
        <v>688</v>
      </c>
      <c r="AA337" s="7" t="n">
        <v>34</v>
      </c>
      <c r="AB337" s="9" t="n">
        <v>0.480488621151272</v>
      </c>
    </row>
    <row r="338" customFormat="false" ht="46.25" hidden="false" customHeight="false" outlineLevel="0" collapsed="false">
      <c r="A338" s="7" t="n">
        <v>334</v>
      </c>
      <c r="B338" s="12" t="s">
        <v>526</v>
      </c>
      <c r="C338" s="10" t="s">
        <v>1435</v>
      </c>
      <c r="D338" s="12" t="s">
        <v>1419</v>
      </c>
      <c r="E338" s="12" t="s">
        <v>1446</v>
      </c>
      <c r="F338" s="10" t="s">
        <v>1447</v>
      </c>
      <c r="G338" s="12" t="s">
        <v>79</v>
      </c>
      <c r="H338" s="26" t="n">
        <v>12.74</v>
      </c>
      <c r="I338" s="7" t="n">
        <v>1</v>
      </c>
      <c r="J338" s="7" t="n">
        <v>976</v>
      </c>
      <c r="K338" s="11" t="n">
        <v>9295.14</v>
      </c>
      <c r="L338" s="10" t="s">
        <v>527</v>
      </c>
      <c r="M338" s="26" t="n">
        <v>12.74</v>
      </c>
      <c r="N338" s="12" t="s">
        <v>657</v>
      </c>
      <c r="O338" s="12" t="s">
        <v>102</v>
      </c>
      <c r="P338" s="10" t="s">
        <v>658</v>
      </c>
      <c r="Q338" s="30" t="s">
        <v>1438</v>
      </c>
      <c r="R338" s="34" t="n">
        <v>0.702152361952863</v>
      </c>
      <c r="S338" s="11" t="n">
        <v>6526.6</v>
      </c>
      <c r="T338" s="10" t="s">
        <v>1439</v>
      </c>
      <c r="U338" s="7" t="n">
        <v>16</v>
      </c>
      <c r="V338" s="12" t="s">
        <v>160</v>
      </c>
      <c r="W338" s="12" t="s">
        <v>79</v>
      </c>
      <c r="X338" s="12" t="s">
        <v>86</v>
      </c>
      <c r="Y338" s="10"/>
      <c r="Z338" s="7" t="s">
        <v>688</v>
      </c>
      <c r="AA338" s="7" t="n">
        <v>34</v>
      </c>
      <c r="AB338" s="9" t="n">
        <v>0.480488621151272</v>
      </c>
    </row>
    <row r="339" customFormat="false" ht="23.85" hidden="false" customHeight="false" outlineLevel="0" collapsed="false">
      <c r="A339" s="7" t="n">
        <v>335</v>
      </c>
      <c r="B339" s="12" t="s">
        <v>549</v>
      </c>
      <c r="C339" s="10" t="s">
        <v>549</v>
      </c>
      <c r="D339" s="12" t="s">
        <v>1419</v>
      </c>
      <c r="E339" s="12" t="s">
        <v>1448</v>
      </c>
      <c r="F339" s="10" t="s">
        <v>1449</v>
      </c>
      <c r="G339" s="12" t="s">
        <v>79</v>
      </c>
      <c r="H339" s="26" t="n">
        <v>9.13</v>
      </c>
      <c r="I339" s="7" t="n">
        <v>1</v>
      </c>
      <c r="J339" s="7" t="n">
        <v>55</v>
      </c>
      <c r="K339" s="11" t="n">
        <v>6450.54</v>
      </c>
      <c r="L339" s="10" t="s">
        <v>550</v>
      </c>
      <c r="M339" s="26" t="n">
        <v>9.13</v>
      </c>
      <c r="N339" s="12" t="s">
        <v>657</v>
      </c>
      <c r="O339" s="12" t="s">
        <v>102</v>
      </c>
      <c r="P339" s="10" t="s">
        <v>658</v>
      </c>
      <c r="Q339" s="30" t="s">
        <v>1450</v>
      </c>
      <c r="R339" s="34" t="n">
        <v>0.449896846448571</v>
      </c>
      <c r="S339" s="11" t="n">
        <v>2902.1</v>
      </c>
      <c r="T339" s="10" t="s">
        <v>1451</v>
      </c>
      <c r="U339" s="7" t="n">
        <v>6</v>
      </c>
      <c r="V339" s="12" t="s">
        <v>551</v>
      </c>
      <c r="W339" s="12" t="s">
        <v>79</v>
      </c>
      <c r="X339" s="12" t="s">
        <v>86</v>
      </c>
      <c r="Y339" s="10"/>
      <c r="Z339" s="7" t="s">
        <v>688</v>
      </c>
      <c r="AA339" s="7" t="n">
        <v>48</v>
      </c>
      <c r="AB339" s="9" t="n">
        <v>0.346658060814687</v>
      </c>
    </row>
    <row r="340" customFormat="false" ht="23.85" hidden="false" customHeight="false" outlineLevel="0" collapsed="false">
      <c r="A340" s="7" t="n">
        <v>336</v>
      </c>
      <c r="B340" s="12" t="s">
        <v>549</v>
      </c>
      <c r="C340" s="10" t="s">
        <v>549</v>
      </c>
      <c r="D340" s="12" t="s">
        <v>1419</v>
      </c>
      <c r="E340" s="12" t="s">
        <v>1452</v>
      </c>
      <c r="F340" s="10" t="s">
        <v>1453</v>
      </c>
      <c r="G340" s="12" t="s">
        <v>79</v>
      </c>
      <c r="H340" s="26" t="n">
        <v>17.95</v>
      </c>
      <c r="I340" s="7" t="n">
        <v>1</v>
      </c>
      <c r="J340" s="7" t="n">
        <v>55</v>
      </c>
      <c r="K340" s="11" t="n">
        <v>6450.54</v>
      </c>
      <c r="L340" s="10" t="s">
        <v>550</v>
      </c>
      <c r="M340" s="26" t="n">
        <v>17.95</v>
      </c>
      <c r="N340" s="12" t="s">
        <v>657</v>
      </c>
      <c r="O340" s="12" t="s">
        <v>102</v>
      </c>
      <c r="P340" s="10" t="s">
        <v>658</v>
      </c>
      <c r="Q340" s="30" t="s">
        <v>1450</v>
      </c>
      <c r="R340" s="34" t="n">
        <v>0.449896846448571</v>
      </c>
      <c r="S340" s="11" t="n">
        <v>2902.1</v>
      </c>
      <c r="T340" s="10" t="s">
        <v>1451</v>
      </c>
      <c r="U340" s="7" t="n">
        <v>6</v>
      </c>
      <c r="V340" s="12" t="s">
        <v>551</v>
      </c>
      <c r="W340" s="12" t="s">
        <v>79</v>
      </c>
      <c r="X340" s="12" t="s">
        <v>86</v>
      </c>
      <c r="Y340" s="10"/>
      <c r="Z340" s="7" t="s">
        <v>688</v>
      </c>
      <c r="AA340" s="7" t="n">
        <v>48</v>
      </c>
      <c r="AB340" s="9" t="n">
        <v>0.346658060814687</v>
      </c>
    </row>
    <row r="341" customFormat="false" ht="35.05" hidden="false" customHeight="false" outlineLevel="0" collapsed="false">
      <c r="A341" s="7" t="n">
        <v>337</v>
      </c>
      <c r="B341" s="12" t="s">
        <v>415</v>
      </c>
      <c r="C341" s="10" t="s">
        <v>415</v>
      </c>
      <c r="D341" s="12" t="s">
        <v>1419</v>
      </c>
      <c r="E341" s="12" t="s">
        <v>809</v>
      </c>
      <c r="F341" s="10" t="s">
        <v>1454</v>
      </c>
      <c r="G341" s="12" t="s">
        <v>811</v>
      </c>
      <c r="H341" s="26"/>
      <c r="I341" s="7" t="n">
        <v>1</v>
      </c>
      <c r="J341" s="7" t="n">
        <v>9</v>
      </c>
      <c r="K341" s="11" t="n">
        <v>1127.64</v>
      </c>
      <c r="L341" s="10" t="s">
        <v>416</v>
      </c>
      <c r="M341" s="35" t="n">
        <v>10.03</v>
      </c>
      <c r="N341" s="12" t="s">
        <v>664</v>
      </c>
      <c r="O341" s="12" t="s">
        <v>102</v>
      </c>
      <c r="P341" s="10" t="s">
        <v>665</v>
      </c>
      <c r="Q341" s="30" t="s">
        <v>666</v>
      </c>
      <c r="R341" s="34" t="n">
        <v>1</v>
      </c>
      <c r="S341" s="11" t="n">
        <v>1127.6</v>
      </c>
      <c r="T341" s="10" t="s">
        <v>144</v>
      </c>
      <c r="U341" s="7" t="n">
        <v>1</v>
      </c>
      <c r="V341" s="12" t="s">
        <v>144</v>
      </c>
      <c r="W341" s="12" t="s">
        <v>85</v>
      </c>
      <c r="X341" s="12" t="s">
        <v>86</v>
      </c>
      <c r="Y341" s="10" t="s">
        <v>87</v>
      </c>
      <c r="Z341" s="7" t="s">
        <v>688</v>
      </c>
      <c r="AA341" s="7" t="n">
        <v>54</v>
      </c>
      <c r="AB341" s="9" t="n">
        <v>0.197198317077835</v>
      </c>
    </row>
    <row r="342" customFormat="false" ht="57.45" hidden="false" customHeight="false" outlineLevel="0" collapsed="false">
      <c r="A342" s="7" t="n">
        <v>338</v>
      </c>
      <c r="B342" s="12" t="s">
        <v>107</v>
      </c>
      <c r="C342" s="10" t="s">
        <v>107</v>
      </c>
      <c r="D342" s="12" t="s">
        <v>1419</v>
      </c>
      <c r="E342" s="12" t="s">
        <v>1019</v>
      </c>
      <c r="F342" s="10" t="s">
        <v>874</v>
      </c>
      <c r="G342" s="12" t="s">
        <v>656</v>
      </c>
      <c r="H342" s="26" t="n">
        <v>79.32</v>
      </c>
      <c r="I342" s="7" t="n">
        <v>1</v>
      </c>
      <c r="J342" s="7" t="n">
        <v>312</v>
      </c>
      <c r="K342" s="11" t="n">
        <v>59827.18</v>
      </c>
      <c r="L342" s="10" t="s">
        <v>108</v>
      </c>
      <c r="M342" s="26" t="n">
        <v>79.32</v>
      </c>
      <c r="N342" s="12" t="s">
        <v>657</v>
      </c>
      <c r="O342" s="12" t="s">
        <v>77</v>
      </c>
      <c r="P342" s="10" t="s">
        <v>658</v>
      </c>
      <c r="Q342" s="30" t="s">
        <v>1455</v>
      </c>
      <c r="R342" s="34" t="n">
        <v>1</v>
      </c>
      <c r="S342" s="11" t="n">
        <v>59827.2</v>
      </c>
      <c r="T342" s="10" t="s">
        <v>1456</v>
      </c>
      <c r="U342" s="7" t="n">
        <v>21</v>
      </c>
      <c r="V342" s="12" t="s">
        <v>109</v>
      </c>
      <c r="W342" s="12" t="s">
        <v>79</v>
      </c>
      <c r="X342" s="12" t="s">
        <v>80</v>
      </c>
      <c r="Y342" s="10" t="s">
        <v>111</v>
      </c>
      <c r="Z342" s="7" t="s">
        <v>106</v>
      </c>
      <c r="AA342" s="7" t="n">
        <v>6</v>
      </c>
      <c r="AB342" s="9" t="n">
        <v>0.829709313444253</v>
      </c>
    </row>
    <row r="343" customFormat="false" ht="35.05" hidden="false" customHeight="false" outlineLevel="0" collapsed="false">
      <c r="A343" s="7" t="n">
        <v>339</v>
      </c>
      <c r="B343" s="12" t="s">
        <v>455</v>
      </c>
      <c r="C343" s="10" t="s">
        <v>455</v>
      </c>
      <c r="D343" s="12" t="s">
        <v>1419</v>
      </c>
      <c r="E343" s="12" t="s">
        <v>831</v>
      </c>
      <c r="F343" s="10" t="s">
        <v>1457</v>
      </c>
      <c r="G343" s="12" t="s">
        <v>656</v>
      </c>
      <c r="H343" s="26" t="n">
        <v>231.35</v>
      </c>
      <c r="I343" s="7" t="n">
        <v>1</v>
      </c>
      <c r="J343" s="7" t="n">
        <v>5</v>
      </c>
      <c r="K343" s="11" t="n">
        <v>806.34</v>
      </c>
      <c r="L343" s="10" t="s">
        <v>456</v>
      </c>
      <c r="M343" s="26" t="n">
        <v>231.35</v>
      </c>
      <c r="N343" s="12" t="s">
        <v>657</v>
      </c>
      <c r="O343" s="12" t="s">
        <v>77</v>
      </c>
      <c r="P343" s="10" t="s">
        <v>658</v>
      </c>
      <c r="Q343" s="30" t="s">
        <v>1458</v>
      </c>
      <c r="R343" s="34" t="n">
        <v>1</v>
      </c>
      <c r="S343" s="11" t="n">
        <v>806.3</v>
      </c>
      <c r="T343" s="10" t="s">
        <v>1428</v>
      </c>
      <c r="U343" s="7" t="n">
        <v>12</v>
      </c>
      <c r="V343" s="12" t="s">
        <v>116</v>
      </c>
      <c r="W343" s="12" t="s">
        <v>79</v>
      </c>
      <c r="X343" s="12" t="s">
        <v>80</v>
      </c>
      <c r="Y343" s="10" t="s">
        <v>111</v>
      </c>
      <c r="Z343" s="7" t="s">
        <v>688</v>
      </c>
      <c r="AA343" s="7" t="n">
        <v>31</v>
      </c>
      <c r="AB343" s="9" t="n">
        <v>0.507372346528973</v>
      </c>
    </row>
    <row r="344" customFormat="false" ht="68.65" hidden="false" customHeight="false" outlineLevel="0" collapsed="false">
      <c r="A344" s="7" t="n">
        <v>340</v>
      </c>
      <c r="B344" s="12" t="s">
        <v>114</v>
      </c>
      <c r="C344" s="10" t="s">
        <v>114</v>
      </c>
      <c r="D344" s="12" t="s">
        <v>1419</v>
      </c>
      <c r="E344" s="12" t="s">
        <v>831</v>
      </c>
      <c r="F344" s="10" t="s">
        <v>832</v>
      </c>
      <c r="G344" s="12" t="s">
        <v>663</v>
      </c>
      <c r="H344" s="26" t="n">
        <v>345.31</v>
      </c>
      <c r="I344" s="7" t="n">
        <v>1</v>
      </c>
      <c r="J344" s="7" t="n">
        <v>146</v>
      </c>
      <c r="K344" s="11" t="n">
        <v>11366.06</v>
      </c>
      <c r="L344" s="10" t="s">
        <v>115</v>
      </c>
      <c r="M344" s="26" t="n">
        <v>345.31</v>
      </c>
      <c r="N344" s="12" t="s">
        <v>657</v>
      </c>
      <c r="O344" s="12" t="s">
        <v>102</v>
      </c>
      <c r="P344" s="10" t="s">
        <v>658</v>
      </c>
      <c r="Q344" s="30" t="s">
        <v>833</v>
      </c>
      <c r="R344" s="34" t="n">
        <v>1</v>
      </c>
      <c r="S344" s="11" t="n">
        <v>11366.1</v>
      </c>
      <c r="T344" s="10" t="s">
        <v>1432</v>
      </c>
      <c r="U344" s="7" t="n">
        <v>30</v>
      </c>
      <c r="V344" s="12" t="s">
        <v>116</v>
      </c>
      <c r="W344" s="12" t="s">
        <v>85</v>
      </c>
      <c r="X344" s="12" t="s">
        <v>86</v>
      </c>
      <c r="Y344" s="10" t="s">
        <v>87</v>
      </c>
      <c r="Z344" s="7" t="s">
        <v>106</v>
      </c>
      <c r="AA344" s="7" t="n">
        <v>8</v>
      </c>
      <c r="AB344" s="9" t="n">
        <v>0.778294128896539</v>
      </c>
    </row>
    <row r="345" customFormat="false" ht="79.85" hidden="false" customHeight="false" outlineLevel="0" collapsed="false">
      <c r="A345" s="7" t="n">
        <v>341</v>
      </c>
      <c r="B345" s="12" t="s">
        <v>89</v>
      </c>
      <c r="C345" s="10" t="s">
        <v>89</v>
      </c>
      <c r="D345" s="12" t="s">
        <v>1419</v>
      </c>
      <c r="E345" s="12" t="s">
        <v>1459</v>
      </c>
      <c r="F345" s="10" t="s">
        <v>1460</v>
      </c>
      <c r="G345" s="12" t="s">
        <v>663</v>
      </c>
      <c r="H345" s="26"/>
      <c r="I345" s="7" t="n">
        <v>1</v>
      </c>
      <c r="J345" s="7" t="n">
        <v>905</v>
      </c>
      <c r="K345" s="11" t="n">
        <v>28093.38</v>
      </c>
      <c r="L345" s="10" t="s">
        <v>90</v>
      </c>
      <c r="M345" s="26"/>
      <c r="N345" s="12" t="s">
        <v>701</v>
      </c>
      <c r="O345" s="12" t="s">
        <v>323</v>
      </c>
      <c r="P345" s="10" t="s">
        <v>323</v>
      </c>
      <c r="Q345" s="12"/>
      <c r="R345" s="34" t="n">
        <v>1</v>
      </c>
      <c r="S345" s="11" t="n">
        <v>28093.4</v>
      </c>
      <c r="T345" s="10" t="s">
        <v>1461</v>
      </c>
      <c r="U345" s="7" t="n">
        <v>34</v>
      </c>
      <c r="V345" s="12" t="s">
        <v>91</v>
      </c>
      <c r="W345" s="12" t="s">
        <v>85</v>
      </c>
      <c r="X345" s="12" t="s">
        <v>97</v>
      </c>
      <c r="Y345" s="10" t="s">
        <v>81</v>
      </c>
      <c r="Z345" s="7" t="s">
        <v>74</v>
      </c>
      <c r="AA345" s="7" t="n">
        <v>3</v>
      </c>
      <c r="AB345" s="9" t="n">
        <v>0.872274813539874</v>
      </c>
    </row>
    <row r="346" customFormat="false" ht="46.25" hidden="false" customHeight="false" outlineLevel="0" collapsed="false">
      <c r="A346" s="7" t="n">
        <v>342</v>
      </c>
      <c r="B346" s="12" t="s">
        <v>117</v>
      </c>
      <c r="C346" s="10" t="s">
        <v>117</v>
      </c>
      <c r="D346" s="12" t="s">
        <v>1419</v>
      </c>
      <c r="E346" s="12" t="s">
        <v>934</v>
      </c>
      <c r="F346" s="10" t="s">
        <v>1328</v>
      </c>
      <c r="G346" s="12" t="s">
        <v>656</v>
      </c>
      <c r="H346" s="26" t="n">
        <v>67.02</v>
      </c>
      <c r="I346" s="7" t="n">
        <v>1</v>
      </c>
      <c r="J346" s="7" t="n">
        <v>346</v>
      </c>
      <c r="K346" s="11" t="n">
        <v>32830.17</v>
      </c>
      <c r="L346" s="10" t="s">
        <v>118</v>
      </c>
      <c r="M346" s="26" t="n">
        <v>67.02</v>
      </c>
      <c r="N346" s="12" t="s">
        <v>657</v>
      </c>
      <c r="O346" s="12" t="s">
        <v>102</v>
      </c>
      <c r="P346" s="10" t="s">
        <v>658</v>
      </c>
      <c r="Q346" s="30" t="s">
        <v>1329</v>
      </c>
      <c r="R346" s="34" t="n">
        <v>1</v>
      </c>
      <c r="S346" s="11" t="n">
        <v>32830.2</v>
      </c>
      <c r="T346" s="10" t="s">
        <v>1462</v>
      </c>
      <c r="U346" s="7" t="n">
        <v>21</v>
      </c>
      <c r="V346" s="12" t="s">
        <v>119</v>
      </c>
      <c r="W346" s="12" t="s">
        <v>79</v>
      </c>
      <c r="X346" s="12" t="s">
        <v>97</v>
      </c>
      <c r="Y346" s="10"/>
      <c r="Z346" s="7" t="s">
        <v>106</v>
      </c>
      <c r="AA346" s="7" t="n">
        <v>9</v>
      </c>
      <c r="AB346" s="9" t="n">
        <v>0.772968062727099</v>
      </c>
    </row>
    <row r="347" customFormat="false" ht="79.85" hidden="false" customHeight="false" outlineLevel="0" collapsed="false">
      <c r="A347" s="7" t="n">
        <v>343</v>
      </c>
      <c r="B347" s="12" t="s">
        <v>505</v>
      </c>
      <c r="C347" s="10" t="s">
        <v>1463</v>
      </c>
      <c r="D347" s="12" t="s">
        <v>1419</v>
      </c>
      <c r="E347" s="12" t="s">
        <v>1464</v>
      </c>
      <c r="F347" s="10" t="s">
        <v>1465</v>
      </c>
      <c r="G347" s="12" t="s">
        <v>656</v>
      </c>
      <c r="H347" s="26" t="n">
        <v>145.71</v>
      </c>
      <c r="I347" s="7" t="n">
        <v>1</v>
      </c>
      <c r="J347" s="7" t="n">
        <v>314</v>
      </c>
      <c r="K347" s="11" t="n">
        <v>3429.51</v>
      </c>
      <c r="L347" s="10" t="s">
        <v>506</v>
      </c>
      <c r="M347" s="26" t="n">
        <v>145.71</v>
      </c>
      <c r="N347" s="12" t="s">
        <v>657</v>
      </c>
      <c r="O347" s="12" t="s">
        <v>77</v>
      </c>
      <c r="P347" s="10" t="s">
        <v>1466</v>
      </c>
      <c r="Q347" s="12"/>
      <c r="R347" s="34" t="n">
        <v>1</v>
      </c>
      <c r="S347" s="11" t="n">
        <v>3429.5</v>
      </c>
      <c r="T347" s="10" t="s">
        <v>1467</v>
      </c>
      <c r="U347" s="7" t="n">
        <v>32</v>
      </c>
      <c r="V347" s="12" t="s">
        <v>78</v>
      </c>
      <c r="W347" s="12" t="s">
        <v>79</v>
      </c>
      <c r="X347" s="12" t="s">
        <v>86</v>
      </c>
      <c r="Y347" s="10"/>
      <c r="Z347" s="7" t="s">
        <v>688</v>
      </c>
      <c r="AA347" s="7" t="n">
        <v>15</v>
      </c>
      <c r="AB347" s="9" t="n">
        <v>0.637258558041691</v>
      </c>
    </row>
    <row r="348" customFormat="false" ht="23.85" hidden="false" customHeight="false" outlineLevel="0" collapsed="false">
      <c r="A348" s="7" t="n">
        <v>344</v>
      </c>
      <c r="B348" s="12" t="s">
        <v>512</v>
      </c>
      <c r="C348" s="10" t="s">
        <v>1468</v>
      </c>
      <c r="D348" s="12" t="s">
        <v>1419</v>
      </c>
      <c r="E348" s="12" t="s">
        <v>1305</v>
      </c>
      <c r="F348" s="10" t="s">
        <v>1469</v>
      </c>
      <c r="G348" s="12" t="s">
        <v>656</v>
      </c>
      <c r="H348" s="26" t="n">
        <v>655.58</v>
      </c>
      <c r="I348" s="7" t="n">
        <v>1</v>
      </c>
      <c r="J348" s="7" t="n">
        <v>64</v>
      </c>
      <c r="K348" s="11" t="n">
        <v>843.51</v>
      </c>
      <c r="L348" s="10" t="s">
        <v>513</v>
      </c>
      <c r="M348" s="26" t="n">
        <v>655.58</v>
      </c>
      <c r="N348" s="12" t="s">
        <v>657</v>
      </c>
      <c r="O348" s="12" t="s">
        <v>471</v>
      </c>
      <c r="P348" s="10" t="s">
        <v>658</v>
      </c>
      <c r="Q348" s="12"/>
      <c r="R348" s="34" t="n">
        <v>1</v>
      </c>
      <c r="S348" s="11" t="n">
        <v>843.5</v>
      </c>
      <c r="T348" s="10" t="s">
        <v>194</v>
      </c>
      <c r="U348" s="7" t="n">
        <v>1</v>
      </c>
      <c r="V348" s="12" t="s">
        <v>194</v>
      </c>
      <c r="W348" s="12" t="s">
        <v>79</v>
      </c>
      <c r="X348" s="12" t="s">
        <v>86</v>
      </c>
      <c r="Y348" s="10"/>
      <c r="Z348" s="7" t="s">
        <v>688</v>
      </c>
      <c r="AA348" s="7" t="n">
        <v>25</v>
      </c>
      <c r="AB348" s="9" t="n">
        <v>0.553241537578887</v>
      </c>
    </row>
    <row r="349" customFormat="false" ht="79.85" hidden="false" customHeight="false" outlineLevel="0" collapsed="false">
      <c r="A349" s="7" t="n">
        <v>345</v>
      </c>
      <c r="B349" s="12" t="s">
        <v>368</v>
      </c>
      <c r="C349" s="10" t="s">
        <v>1470</v>
      </c>
      <c r="D349" s="12" t="s">
        <v>1419</v>
      </c>
      <c r="E349" s="12" t="s">
        <v>1471</v>
      </c>
      <c r="F349" s="10" t="s">
        <v>1472</v>
      </c>
      <c r="G349" s="12" t="s">
        <v>663</v>
      </c>
      <c r="H349" s="26" t="n">
        <v>86.46</v>
      </c>
      <c r="I349" s="7" t="n">
        <v>1</v>
      </c>
      <c r="J349" s="7" t="n">
        <v>116</v>
      </c>
      <c r="K349" s="11" t="n">
        <v>1162.12</v>
      </c>
      <c r="L349" s="10" t="s">
        <v>369</v>
      </c>
      <c r="M349" s="26" t="n">
        <v>86.46</v>
      </c>
      <c r="N349" s="12" t="s">
        <v>657</v>
      </c>
      <c r="O349" s="12" t="s">
        <v>77</v>
      </c>
      <c r="P349" s="10" t="s">
        <v>658</v>
      </c>
      <c r="Q349" s="30" t="s">
        <v>1473</v>
      </c>
      <c r="R349" s="34" t="n">
        <v>0.444974105461394</v>
      </c>
      <c r="S349" s="11" t="n">
        <v>517.1</v>
      </c>
      <c r="T349" s="10" t="s">
        <v>1430</v>
      </c>
      <c r="U349" s="7" t="n">
        <v>32</v>
      </c>
      <c r="V349" s="12" t="s">
        <v>538</v>
      </c>
      <c r="W349" s="12" t="s">
        <v>85</v>
      </c>
      <c r="X349" s="12" t="s">
        <v>86</v>
      </c>
      <c r="Y349" s="10" t="s">
        <v>87</v>
      </c>
      <c r="Z349" s="7" t="s">
        <v>688</v>
      </c>
      <c r="AA349" s="7" t="n">
        <v>39</v>
      </c>
      <c r="AB349" s="9" t="n">
        <v>0.44469305794607</v>
      </c>
    </row>
    <row r="350" customFormat="false" ht="79.85" hidden="false" customHeight="false" outlineLevel="0" collapsed="false">
      <c r="A350" s="7" t="n">
        <v>346</v>
      </c>
      <c r="B350" s="12" t="s">
        <v>400</v>
      </c>
      <c r="C350" s="10" t="s">
        <v>1474</v>
      </c>
      <c r="D350" s="12" t="s">
        <v>1419</v>
      </c>
      <c r="E350" s="12" t="s">
        <v>1475</v>
      </c>
      <c r="F350" s="10" t="s">
        <v>1476</v>
      </c>
      <c r="G350" s="12" t="s">
        <v>656</v>
      </c>
      <c r="H350" s="26" t="n">
        <v>70.2</v>
      </c>
      <c r="I350" s="7" t="n">
        <v>1</v>
      </c>
      <c r="J350" s="7" t="n">
        <v>119</v>
      </c>
      <c r="K350" s="11" t="n">
        <v>3113.83</v>
      </c>
      <c r="L350" s="10" t="s">
        <v>401</v>
      </c>
      <c r="M350" s="26" t="n">
        <v>70.2</v>
      </c>
      <c r="N350" s="12" t="s">
        <v>657</v>
      </c>
      <c r="O350" s="12" t="s">
        <v>77</v>
      </c>
      <c r="P350" s="10" t="s">
        <v>658</v>
      </c>
      <c r="Q350" s="30" t="s">
        <v>1477</v>
      </c>
      <c r="R350" s="34" t="n">
        <v>0.899884259259259</v>
      </c>
      <c r="S350" s="11" t="n">
        <v>2802.1</v>
      </c>
      <c r="T350" s="10" t="s">
        <v>1478</v>
      </c>
      <c r="U350" s="7" t="n">
        <v>32</v>
      </c>
      <c r="V350" s="12" t="s">
        <v>78</v>
      </c>
      <c r="W350" s="12" t="s">
        <v>79</v>
      </c>
      <c r="X350" s="12" t="s">
        <v>86</v>
      </c>
      <c r="Y350" s="10"/>
      <c r="Z350" s="7" t="s">
        <v>688</v>
      </c>
      <c r="AA350" s="7" t="n">
        <v>29</v>
      </c>
      <c r="AB350" s="9" t="n">
        <v>0.51747466054695</v>
      </c>
    </row>
    <row r="351" customFormat="false" ht="79.85" hidden="false" customHeight="false" outlineLevel="0" collapsed="false">
      <c r="A351" s="7" t="n">
        <v>347</v>
      </c>
      <c r="B351" s="12" t="s">
        <v>83</v>
      </c>
      <c r="C351" s="10" t="s">
        <v>1479</v>
      </c>
      <c r="D351" s="12" t="s">
        <v>1419</v>
      </c>
      <c r="E351" s="12" t="s">
        <v>1480</v>
      </c>
      <c r="F351" s="10" t="s">
        <v>1481</v>
      </c>
      <c r="G351" s="12" t="s">
        <v>663</v>
      </c>
      <c r="H351" s="26" t="n">
        <v>907.38</v>
      </c>
      <c r="I351" s="7" t="n">
        <v>1</v>
      </c>
      <c r="J351" s="7" t="n">
        <v>157</v>
      </c>
      <c r="K351" s="11" t="n">
        <v>22355.46</v>
      </c>
      <c r="L351" s="10" t="s">
        <v>84</v>
      </c>
      <c r="M351" s="26" t="n">
        <v>907.38</v>
      </c>
      <c r="N351" s="12" t="s">
        <v>657</v>
      </c>
      <c r="O351" s="12" t="s">
        <v>77</v>
      </c>
      <c r="P351" s="10" t="s">
        <v>1466</v>
      </c>
      <c r="Q351" s="12"/>
      <c r="R351" s="34" t="n">
        <v>0.985714285714286</v>
      </c>
      <c r="S351" s="11" t="n">
        <v>22036.1</v>
      </c>
      <c r="T351" s="10" t="s">
        <v>1482</v>
      </c>
      <c r="U351" s="7" t="n">
        <v>31</v>
      </c>
      <c r="V351" s="12" t="s">
        <v>78</v>
      </c>
      <c r="W351" s="12" t="s">
        <v>85</v>
      </c>
      <c r="X351" s="12" t="s">
        <v>86</v>
      </c>
      <c r="Y351" s="10" t="s">
        <v>87</v>
      </c>
      <c r="Z351" s="7" t="s">
        <v>74</v>
      </c>
      <c r="AA351" s="7" t="n">
        <v>2</v>
      </c>
      <c r="AB351" s="9" t="n">
        <v>0.877280550774527</v>
      </c>
    </row>
    <row r="352" customFormat="false" ht="79.85" hidden="false" customHeight="false" outlineLevel="0" collapsed="false">
      <c r="A352" s="7" t="n">
        <v>348</v>
      </c>
      <c r="B352" s="12" t="s">
        <v>75</v>
      </c>
      <c r="C352" s="10" t="s">
        <v>1483</v>
      </c>
      <c r="D352" s="12" t="s">
        <v>1419</v>
      </c>
      <c r="E352" s="12" t="s">
        <v>838</v>
      </c>
      <c r="F352" s="10" t="s">
        <v>1484</v>
      </c>
      <c r="G352" s="12" t="s">
        <v>656</v>
      </c>
      <c r="H352" s="26" t="n">
        <v>360.71</v>
      </c>
      <c r="I352" s="7" t="n">
        <v>1</v>
      </c>
      <c r="J352" s="7" t="n">
        <v>762</v>
      </c>
      <c r="K352" s="11" t="n">
        <v>50865.56</v>
      </c>
      <c r="L352" s="10" t="s">
        <v>76</v>
      </c>
      <c r="M352" s="26" t="n">
        <v>360.71</v>
      </c>
      <c r="N352" s="12" t="s">
        <v>657</v>
      </c>
      <c r="O352" s="12" t="s">
        <v>102</v>
      </c>
      <c r="P352" s="10" t="s">
        <v>658</v>
      </c>
      <c r="Q352" s="30" t="s">
        <v>840</v>
      </c>
      <c r="R352" s="34" t="n">
        <v>0.829278792417718</v>
      </c>
      <c r="S352" s="11" t="n">
        <v>42181.7</v>
      </c>
      <c r="T352" s="10" t="s">
        <v>1467</v>
      </c>
      <c r="U352" s="7" t="n">
        <v>32</v>
      </c>
      <c r="V352" s="12" t="s">
        <v>78</v>
      </c>
      <c r="W352" s="12" t="s">
        <v>79</v>
      </c>
      <c r="X352" s="12" t="s">
        <v>97</v>
      </c>
      <c r="Y352" s="10" t="s">
        <v>81</v>
      </c>
      <c r="Z352" s="7" t="s">
        <v>74</v>
      </c>
      <c r="AA352" s="7" t="n">
        <v>1</v>
      </c>
      <c r="AB352" s="9" t="n">
        <v>0.888477720405431</v>
      </c>
    </row>
    <row r="353" customFormat="false" ht="79.85" hidden="false" customHeight="false" outlineLevel="0" collapsed="false">
      <c r="A353" s="7" t="n">
        <v>349</v>
      </c>
      <c r="B353" s="12" t="s">
        <v>112</v>
      </c>
      <c r="C353" s="10" t="s">
        <v>112</v>
      </c>
      <c r="D353" s="12" t="s">
        <v>1419</v>
      </c>
      <c r="E353" s="12" t="s">
        <v>835</v>
      </c>
      <c r="F353" s="10" t="s">
        <v>836</v>
      </c>
      <c r="G353" s="12" t="s">
        <v>656</v>
      </c>
      <c r="H353" s="26" t="n">
        <v>6455.02</v>
      </c>
      <c r="I353" s="7" t="n">
        <v>1</v>
      </c>
      <c r="J353" s="7" t="n">
        <v>47</v>
      </c>
      <c r="K353" s="11" t="n">
        <v>7904.67</v>
      </c>
      <c r="L353" s="10" t="s">
        <v>113</v>
      </c>
      <c r="M353" s="26" t="n">
        <v>6455.02</v>
      </c>
      <c r="N353" s="12" t="s">
        <v>657</v>
      </c>
      <c r="O353" s="12" t="s">
        <v>77</v>
      </c>
      <c r="P353" s="10" t="s">
        <v>658</v>
      </c>
      <c r="Q353" s="30" t="s">
        <v>1485</v>
      </c>
      <c r="R353" s="34" t="n">
        <v>1</v>
      </c>
      <c r="S353" s="11" t="n">
        <v>7904.7</v>
      </c>
      <c r="T353" s="10" t="s">
        <v>1467</v>
      </c>
      <c r="U353" s="7" t="n">
        <v>32</v>
      </c>
      <c r="V353" s="12" t="s">
        <v>78</v>
      </c>
      <c r="W353" s="12" t="s">
        <v>79</v>
      </c>
      <c r="X353" s="12" t="s">
        <v>86</v>
      </c>
      <c r="Y353" s="10"/>
      <c r="Z353" s="7" t="s">
        <v>106</v>
      </c>
      <c r="AA353" s="7" t="n">
        <v>7</v>
      </c>
      <c r="AB353" s="9" t="n">
        <v>0.818951998470071</v>
      </c>
    </row>
    <row r="354" customFormat="false" ht="79.85" hidden="false" customHeight="false" outlineLevel="0" collapsed="false">
      <c r="A354" s="7" t="n">
        <v>350</v>
      </c>
      <c r="B354" s="12" t="s">
        <v>540</v>
      </c>
      <c r="C354" s="10" t="s">
        <v>540</v>
      </c>
      <c r="D354" s="12" t="s">
        <v>1419</v>
      </c>
      <c r="E354" s="12" t="s">
        <v>1486</v>
      </c>
      <c r="F354" s="10" t="s">
        <v>1487</v>
      </c>
      <c r="G354" s="12" t="s">
        <v>656</v>
      </c>
      <c r="H354" s="26" t="n">
        <v>132.2</v>
      </c>
      <c r="I354" s="7" t="n">
        <v>1</v>
      </c>
      <c r="J354" s="7" t="n">
        <v>26</v>
      </c>
      <c r="K354" s="11" t="n">
        <v>140.86</v>
      </c>
      <c r="L354" s="10" t="s">
        <v>509</v>
      </c>
      <c r="M354" s="26" t="n">
        <v>132.2</v>
      </c>
      <c r="N354" s="12" t="s">
        <v>657</v>
      </c>
      <c r="O354" s="12" t="s">
        <v>77</v>
      </c>
      <c r="P354" s="10" t="s">
        <v>658</v>
      </c>
      <c r="Q354" s="30" t="s">
        <v>1488</v>
      </c>
      <c r="R354" s="34" t="n">
        <v>1</v>
      </c>
      <c r="S354" s="11" t="n">
        <v>140.9</v>
      </c>
      <c r="T354" s="10" t="s">
        <v>1482</v>
      </c>
      <c r="U354" s="7" t="n">
        <v>31</v>
      </c>
      <c r="V354" s="12" t="s">
        <v>78</v>
      </c>
      <c r="W354" s="12" t="s">
        <v>79</v>
      </c>
      <c r="X354" s="12" t="s">
        <v>97</v>
      </c>
      <c r="Y354" s="10" t="s">
        <v>111</v>
      </c>
      <c r="Z354" s="7" t="s">
        <v>688</v>
      </c>
      <c r="AA354" s="7" t="n">
        <v>43</v>
      </c>
      <c r="AB354" s="9" t="n">
        <v>0.402036718301779</v>
      </c>
    </row>
    <row r="355" customFormat="false" ht="79.85" hidden="false" customHeight="false" outlineLevel="0" collapsed="false">
      <c r="A355" s="7" t="n">
        <v>351</v>
      </c>
      <c r="B355" s="12" t="s">
        <v>502</v>
      </c>
      <c r="C355" s="10" t="s">
        <v>1489</v>
      </c>
      <c r="D355" s="12" t="s">
        <v>1419</v>
      </c>
      <c r="E355" s="12" t="s">
        <v>1490</v>
      </c>
      <c r="F355" s="10" t="s">
        <v>1491</v>
      </c>
      <c r="G355" s="12" t="s">
        <v>663</v>
      </c>
      <c r="H355" s="26" t="n">
        <v>2838.33</v>
      </c>
      <c r="I355" s="7" t="n">
        <v>1</v>
      </c>
      <c r="J355" s="7" t="n">
        <v>125</v>
      </c>
      <c r="K355" s="11" t="n">
        <v>2485.93</v>
      </c>
      <c r="L355" s="10" t="s">
        <v>503</v>
      </c>
      <c r="M355" s="26" t="n">
        <v>2838.33</v>
      </c>
      <c r="N355" s="12" t="s">
        <v>657</v>
      </c>
      <c r="O355" s="12" t="s">
        <v>77</v>
      </c>
      <c r="P355" s="10" t="s">
        <v>1466</v>
      </c>
      <c r="Q355" s="12"/>
      <c r="R355" s="34" t="n">
        <v>1</v>
      </c>
      <c r="S355" s="11" t="n">
        <v>2485.9</v>
      </c>
      <c r="T355" s="10" t="s">
        <v>1492</v>
      </c>
      <c r="U355" s="7" t="n">
        <v>32</v>
      </c>
      <c r="V355" s="12" t="s">
        <v>91</v>
      </c>
      <c r="W355" s="12" t="s">
        <v>85</v>
      </c>
      <c r="X355" s="12" t="s">
        <v>86</v>
      </c>
      <c r="Y355" s="10" t="s">
        <v>87</v>
      </c>
      <c r="Z355" s="7" t="s">
        <v>688</v>
      </c>
      <c r="AA355" s="7" t="n">
        <v>14</v>
      </c>
      <c r="AB355" s="9" t="n">
        <v>0.642503346720214</v>
      </c>
    </row>
    <row r="356" customFormat="false" ht="35.05" hidden="false" customHeight="false" outlineLevel="0" collapsed="false">
      <c r="A356" s="7" t="n">
        <v>352</v>
      </c>
      <c r="B356" s="12" t="s">
        <v>180</v>
      </c>
      <c r="C356" s="10" t="s">
        <v>180</v>
      </c>
      <c r="D356" s="12" t="s">
        <v>1419</v>
      </c>
      <c r="E356" s="12" t="s">
        <v>842</v>
      </c>
      <c r="F356" s="10" t="s">
        <v>843</v>
      </c>
      <c r="G356" s="12" t="s">
        <v>656</v>
      </c>
      <c r="H356" s="26" t="n">
        <v>6.61</v>
      </c>
      <c r="I356" s="7" t="n">
        <v>1</v>
      </c>
      <c r="J356" s="7" t="n">
        <v>3515</v>
      </c>
      <c r="K356" s="11" t="n">
        <v>140084.73</v>
      </c>
      <c r="L356" s="10" t="s">
        <v>181</v>
      </c>
      <c r="M356" s="26" t="n">
        <v>6.61</v>
      </c>
      <c r="N356" s="12" t="s">
        <v>657</v>
      </c>
      <c r="O356" s="12" t="s">
        <v>102</v>
      </c>
      <c r="P356" s="10" t="s">
        <v>658</v>
      </c>
      <c r="Q356" s="30" t="s">
        <v>844</v>
      </c>
      <c r="R356" s="34" t="n">
        <v>0.251824206147514</v>
      </c>
      <c r="S356" s="11" t="n">
        <v>35276.7</v>
      </c>
      <c r="T356" s="10" t="s">
        <v>1493</v>
      </c>
      <c r="U356" s="7" t="n">
        <v>14</v>
      </c>
      <c r="V356" s="12" t="s">
        <v>529</v>
      </c>
      <c r="W356" s="12" t="s">
        <v>79</v>
      </c>
      <c r="X356" s="12" t="s">
        <v>97</v>
      </c>
      <c r="Y356" s="10" t="s">
        <v>111</v>
      </c>
      <c r="Z356" s="7" t="s">
        <v>688</v>
      </c>
      <c r="AA356" s="7" t="n">
        <v>35</v>
      </c>
      <c r="AB356" s="9" t="n">
        <v>0.468574297188755</v>
      </c>
    </row>
    <row r="357" customFormat="false" ht="57.45" hidden="false" customHeight="false" outlineLevel="0" collapsed="false">
      <c r="A357" s="7" t="n">
        <v>353</v>
      </c>
      <c r="B357" s="12" t="s">
        <v>210</v>
      </c>
      <c r="C357" s="10" t="s">
        <v>210</v>
      </c>
      <c r="D357" s="12" t="s">
        <v>1419</v>
      </c>
      <c r="E357" s="12" t="s">
        <v>1494</v>
      </c>
      <c r="F357" s="10" t="s">
        <v>1495</v>
      </c>
      <c r="G357" s="12" t="s">
        <v>663</v>
      </c>
      <c r="H357" s="26" t="n">
        <v>79.25</v>
      </c>
      <c r="I357" s="7" t="n">
        <v>1</v>
      </c>
      <c r="J357" s="7" t="n">
        <v>2546</v>
      </c>
      <c r="K357" s="11" t="n">
        <v>46507.62</v>
      </c>
      <c r="L357" s="10" t="s">
        <v>211</v>
      </c>
      <c r="M357" s="26" t="n">
        <v>79.25</v>
      </c>
      <c r="N357" s="12" t="s">
        <v>657</v>
      </c>
      <c r="O357" s="12" t="s">
        <v>77</v>
      </c>
      <c r="P357" s="10" t="s">
        <v>658</v>
      </c>
      <c r="Q357" s="30" t="s">
        <v>1496</v>
      </c>
      <c r="R357" s="34" t="n">
        <v>0.378228374732698</v>
      </c>
      <c r="S357" s="11" t="n">
        <v>17590.5</v>
      </c>
      <c r="T357" s="10" t="s">
        <v>1425</v>
      </c>
      <c r="U357" s="7" t="n">
        <v>27</v>
      </c>
      <c r="V357" s="12" t="s">
        <v>116</v>
      </c>
      <c r="W357" s="12" t="s">
        <v>85</v>
      </c>
      <c r="X357" s="12" t="s">
        <v>86</v>
      </c>
      <c r="Y357" s="10"/>
      <c r="Z357" s="7" t="s">
        <v>688</v>
      </c>
      <c r="AA357" s="7" t="n">
        <v>19</v>
      </c>
      <c r="AB357" s="9" t="n">
        <v>0.602065404475043</v>
      </c>
    </row>
    <row r="358" customFormat="false" ht="35.05" hidden="false" customHeight="false" outlineLevel="0" collapsed="false">
      <c r="A358" s="7" t="n">
        <v>354</v>
      </c>
      <c r="B358" s="12" t="s">
        <v>374</v>
      </c>
      <c r="C358" s="10" t="s">
        <v>374</v>
      </c>
      <c r="D358" s="12" t="s">
        <v>1419</v>
      </c>
      <c r="E358" s="12" t="s">
        <v>1497</v>
      </c>
      <c r="F358" s="10" t="s">
        <v>1498</v>
      </c>
      <c r="G358" s="12" t="s">
        <v>663</v>
      </c>
      <c r="H358" s="26" t="n">
        <v>5.42</v>
      </c>
      <c r="I358" s="7" t="n">
        <v>1</v>
      </c>
      <c r="J358" s="7" t="n">
        <v>365</v>
      </c>
      <c r="K358" s="11" t="n">
        <v>5976.94</v>
      </c>
      <c r="L358" s="10" t="s">
        <v>375</v>
      </c>
      <c r="M358" s="26" t="n">
        <v>5.42</v>
      </c>
      <c r="N358" s="12" t="s">
        <v>657</v>
      </c>
      <c r="O358" s="12" t="s">
        <v>102</v>
      </c>
      <c r="P358" s="10" t="s">
        <v>658</v>
      </c>
      <c r="Q358" s="30" t="s">
        <v>1499</v>
      </c>
      <c r="R358" s="34" t="n">
        <v>0.240571827983426</v>
      </c>
      <c r="S358" s="11" t="n">
        <v>1437.9</v>
      </c>
      <c r="T358" s="10" t="s">
        <v>1420</v>
      </c>
      <c r="U358" s="7" t="n">
        <v>15</v>
      </c>
      <c r="V358" s="12" t="s">
        <v>160</v>
      </c>
      <c r="W358" s="12" t="s">
        <v>85</v>
      </c>
      <c r="X358" s="12" t="s">
        <v>97</v>
      </c>
      <c r="Y358" s="10" t="s">
        <v>87</v>
      </c>
      <c r="Z358" s="7" t="s">
        <v>688</v>
      </c>
      <c r="AA358" s="7" t="n">
        <v>57</v>
      </c>
      <c r="AB358" s="9" t="n">
        <v>0.124550583285523</v>
      </c>
    </row>
    <row r="359" customFormat="false" ht="46.25" hidden="false" customHeight="false" outlineLevel="0" collapsed="false">
      <c r="A359" s="7" t="n">
        <v>355</v>
      </c>
      <c r="B359" s="12" t="s">
        <v>151</v>
      </c>
      <c r="C359" s="10" t="s">
        <v>151</v>
      </c>
      <c r="D359" s="12" t="s">
        <v>1419</v>
      </c>
      <c r="E359" s="12" t="s">
        <v>842</v>
      </c>
      <c r="F359" s="10" t="s">
        <v>1239</v>
      </c>
      <c r="G359" s="12" t="s">
        <v>656</v>
      </c>
      <c r="H359" s="26" t="n">
        <v>100.33</v>
      </c>
      <c r="I359" s="7" t="n">
        <v>1</v>
      </c>
      <c r="J359" s="7" t="n">
        <v>544</v>
      </c>
      <c r="K359" s="11" t="n">
        <v>7654.85</v>
      </c>
      <c r="L359" s="10" t="s">
        <v>152</v>
      </c>
      <c r="M359" s="26" t="n">
        <v>100.33</v>
      </c>
      <c r="N359" s="12" t="s">
        <v>657</v>
      </c>
      <c r="O359" s="12" t="s">
        <v>77</v>
      </c>
      <c r="P359" s="10" t="s">
        <v>658</v>
      </c>
      <c r="Q359" s="30" t="s">
        <v>1500</v>
      </c>
      <c r="R359" s="34" t="n">
        <v>0.882348668280872</v>
      </c>
      <c r="S359" s="11" t="n">
        <v>6754.2</v>
      </c>
      <c r="T359" s="10" t="s">
        <v>1501</v>
      </c>
      <c r="U359" s="7" t="n">
        <v>19</v>
      </c>
      <c r="V359" s="12" t="s">
        <v>130</v>
      </c>
      <c r="W359" s="12" t="s">
        <v>79</v>
      </c>
      <c r="X359" s="12" t="s">
        <v>80</v>
      </c>
      <c r="Y359" s="10" t="s">
        <v>81</v>
      </c>
      <c r="Z359" s="7" t="s">
        <v>688</v>
      </c>
      <c r="AA359" s="7" t="n">
        <v>11</v>
      </c>
      <c r="AB359" s="9" t="n">
        <v>0.716427615222796</v>
      </c>
    </row>
    <row r="360" customFormat="false" ht="68.65" hidden="false" customHeight="false" outlineLevel="0" collapsed="false">
      <c r="A360" s="7" t="n">
        <v>356</v>
      </c>
      <c r="B360" s="12" t="s">
        <v>289</v>
      </c>
      <c r="C360" s="10" t="s">
        <v>289</v>
      </c>
      <c r="D360" s="12" t="s">
        <v>1419</v>
      </c>
      <c r="E360" s="12" t="s">
        <v>838</v>
      </c>
      <c r="F360" s="10" t="s">
        <v>1210</v>
      </c>
      <c r="G360" s="12" t="s">
        <v>656</v>
      </c>
      <c r="H360" s="26" t="n">
        <v>96.02</v>
      </c>
      <c r="I360" s="7" t="n">
        <v>1</v>
      </c>
      <c r="J360" s="7" t="n">
        <v>1282</v>
      </c>
      <c r="K360" s="11" t="n">
        <v>16792.84</v>
      </c>
      <c r="L360" s="10" t="s">
        <v>290</v>
      </c>
      <c r="M360" s="26" t="n">
        <v>96.02</v>
      </c>
      <c r="N360" s="12" t="s">
        <v>657</v>
      </c>
      <c r="O360" s="12" t="s">
        <v>77</v>
      </c>
      <c r="P360" s="10" t="s">
        <v>658</v>
      </c>
      <c r="Q360" s="30" t="s">
        <v>1502</v>
      </c>
      <c r="R360" s="34" t="n">
        <v>0.776857437207773</v>
      </c>
      <c r="S360" s="11" t="n">
        <v>13045.6</v>
      </c>
      <c r="T360" s="10" t="s">
        <v>1503</v>
      </c>
      <c r="U360" s="7" t="n">
        <v>29</v>
      </c>
      <c r="V360" s="12" t="s">
        <v>130</v>
      </c>
      <c r="W360" s="12" t="s">
        <v>79</v>
      </c>
      <c r="X360" s="12" t="s">
        <v>86</v>
      </c>
      <c r="Y360" s="10" t="s">
        <v>104</v>
      </c>
      <c r="Z360" s="7" t="s">
        <v>688</v>
      </c>
      <c r="AA360" s="7" t="n">
        <v>13</v>
      </c>
      <c r="AB360" s="9" t="n">
        <v>0.672638171734557</v>
      </c>
    </row>
    <row r="361" customFormat="false" ht="23.85" hidden="false" customHeight="false" outlineLevel="0" collapsed="false">
      <c r="A361" s="7" t="n">
        <v>357</v>
      </c>
      <c r="B361" s="12" t="s">
        <v>128</v>
      </c>
      <c r="C361" s="10" t="s">
        <v>128</v>
      </c>
      <c r="D361" s="12" t="s">
        <v>1419</v>
      </c>
      <c r="E361" s="12" t="s">
        <v>1245</v>
      </c>
      <c r="F361" s="10" t="s">
        <v>1504</v>
      </c>
      <c r="G361" s="12" t="s">
        <v>656</v>
      </c>
      <c r="H361" s="26"/>
      <c r="I361" s="7" t="n">
        <v>1</v>
      </c>
      <c r="J361" s="7" t="n">
        <v>257</v>
      </c>
      <c r="K361" s="11" t="n">
        <v>4183.29</v>
      </c>
      <c r="L361" s="10" t="s">
        <v>129</v>
      </c>
      <c r="M361" s="26"/>
      <c r="N361" s="12" t="s">
        <v>701</v>
      </c>
      <c r="O361" s="12" t="s">
        <v>323</v>
      </c>
      <c r="P361" s="10" t="s">
        <v>323</v>
      </c>
      <c r="Q361" s="12"/>
      <c r="R361" s="34" t="n">
        <v>0.689888576486515</v>
      </c>
      <c r="S361" s="11" t="n">
        <v>2886</v>
      </c>
      <c r="T361" s="10" t="s">
        <v>175</v>
      </c>
      <c r="U361" s="7" t="n">
        <v>2</v>
      </c>
      <c r="V361" s="12" t="s">
        <v>175</v>
      </c>
      <c r="W361" s="12" t="s">
        <v>79</v>
      </c>
      <c r="X361" s="12" t="s">
        <v>86</v>
      </c>
      <c r="Y361" s="10" t="s">
        <v>81</v>
      </c>
      <c r="Z361" s="7" t="s">
        <v>688</v>
      </c>
      <c r="AA361" s="7" t="n">
        <v>20</v>
      </c>
      <c r="AB361" s="9" t="n">
        <v>0.596270797475617</v>
      </c>
    </row>
    <row r="362" customFormat="false" ht="68.65" hidden="false" customHeight="false" outlineLevel="0" collapsed="false">
      <c r="A362" s="7" t="n">
        <v>358</v>
      </c>
      <c r="B362" s="12" t="s">
        <v>394</v>
      </c>
      <c r="C362" s="10" t="s">
        <v>394</v>
      </c>
      <c r="D362" s="12" t="s">
        <v>1419</v>
      </c>
      <c r="E362" s="12" t="s">
        <v>1505</v>
      </c>
      <c r="F362" s="10" t="s">
        <v>1506</v>
      </c>
      <c r="G362" s="12" t="s">
        <v>656</v>
      </c>
      <c r="H362" s="26" t="n">
        <v>8.46</v>
      </c>
      <c r="I362" s="7" t="n">
        <v>1</v>
      </c>
      <c r="J362" s="7" t="n">
        <v>727</v>
      </c>
      <c r="K362" s="11" t="n">
        <v>7496</v>
      </c>
      <c r="L362" s="10" t="s">
        <v>395</v>
      </c>
      <c r="M362" s="26" t="n">
        <v>8.46</v>
      </c>
      <c r="N362" s="12" t="s">
        <v>657</v>
      </c>
      <c r="O362" s="12" t="s">
        <v>77</v>
      </c>
      <c r="P362" s="10" t="s">
        <v>658</v>
      </c>
      <c r="Q362" s="30" t="s">
        <v>1507</v>
      </c>
      <c r="R362" s="34" t="n">
        <v>0.650751867180439</v>
      </c>
      <c r="S362" s="11" t="n">
        <v>4878</v>
      </c>
      <c r="T362" s="10" t="s">
        <v>1508</v>
      </c>
      <c r="U362" s="7" t="n">
        <v>30</v>
      </c>
      <c r="V362" s="12" t="s">
        <v>130</v>
      </c>
      <c r="W362" s="12" t="s">
        <v>79</v>
      </c>
      <c r="X362" s="12" t="s">
        <v>86</v>
      </c>
      <c r="Y362" s="10" t="s">
        <v>104</v>
      </c>
      <c r="Z362" s="7" t="s">
        <v>688</v>
      </c>
      <c r="AA362" s="7" t="n">
        <v>18</v>
      </c>
      <c r="AB362" s="9" t="n">
        <v>0.610766877031937</v>
      </c>
    </row>
    <row r="363" customFormat="false" ht="57.45" hidden="false" customHeight="false" outlineLevel="0" collapsed="false">
      <c r="A363" s="7" t="n">
        <v>359</v>
      </c>
      <c r="B363" s="12" t="s">
        <v>499</v>
      </c>
      <c r="C363" s="10" t="s">
        <v>499</v>
      </c>
      <c r="D363" s="12" t="s">
        <v>1419</v>
      </c>
      <c r="E363" s="12" t="s">
        <v>838</v>
      </c>
      <c r="F363" s="10" t="s">
        <v>1210</v>
      </c>
      <c r="G363" s="12" t="s">
        <v>656</v>
      </c>
      <c r="H363" s="26" t="n">
        <v>204.91</v>
      </c>
      <c r="I363" s="7" t="n">
        <v>1</v>
      </c>
      <c r="J363" s="7" t="n">
        <v>120</v>
      </c>
      <c r="K363" s="11" t="n">
        <v>5234.47</v>
      </c>
      <c r="L363" s="10" t="s">
        <v>500</v>
      </c>
      <c r="M363" s="26" t="n">
        <v>204.91</v>
      </c>
      <c r="N363" s="12" t="s">
        <v>657</v>
      </c>
      <c r="O363" s="12" t="s">
        <v>77</v>
      </c>
      <c r="P363" s="10" t="s">
        <v>658</v>
      </c>
      <c r="Q363" s="30" t="s">
        <v>1509</v>
      </c>
      <c r="R363" s="34" t="n">
        <v>0.833333333333333</v>
      </c>
      <c r="S363" s="11" t="n">
        <v>4362.1</v>
      </c>
      <c r="T363" s="10" t="s">
        <v>1510</v>
      </c>
      <c r="U363" s="7" t="n">
        <v>23</v>
      </c>
      <c r="V363" s="12" t="s">
        <v>91</v>
      </c>
      <c r="W363" s="12" t="s">
        <v>79</v>
      </c>
      <c r="X363" s="12" t="s">
        <v>86</v>
      </c>
      <c r="Y363" s="10" t="s">
        <v>104</v>
      </c>
      <c r="Z363" s="7" t="s">
        <v>688</v>
      </c>
      <c r="AA363" s="7" t="n">
        <v>12</v>
      </c>
      <c r="AB363" s="9" t="n">
        <v>0.681177089309619</v>
      </c>
    </row>
    <row r="364" customFormat="false" ht="23.85" hidden="false" customHeight="false" outlineLevel="0" collapsed="false">
      <c r="A364" s="7" t="n">
        <v>360</v>
      </c>
      <c r="B364" s="12" t="s">
        <v>473</v>
      </c>
      <c r="C364" s="10" t="s">
        <v>473</v>
      </c>
      <c r="D364" s="12" t="s">
        <v>1419</v>
      </c>
      <c r="E364" s="12" t="s">
        <v>842</v>
      </c>
      <c r="F364" s="10" t="s">
        <v>843</v>
      </c>
      <c r="G364" s="12" t="s">
        <v>656</v>
      </c>
      <c r="H364" s="26" t="n">
        <v>5.62</v>
      </c>
      <c r="I364" s="7" t="n">
        <v>1</v>
      </c>
      <c r="J364" s="7" t="n">
        <v>3168</v>
      </c>
      <c r="K364" s="11" t="n">
        <v>130453.11</v>
      </c>
      <c r="L364" s="10" t="s">
        <v>474</v>
      </c>
      <c r="M364" s="26" t="n">
        <v>5.62</v>
      </c>
      <c r="N364" s="12" t="s">
        <v>657</v>
      </c>
      <c r="O364" s="12" t="s">
        <v>102</v>
      </c>
      <c r="P364" s="10" t="s">
        <v>658</v>
      </c>
      <c r="Q364" s="30" t="s">
        <v>1511</v>
      </c>
      <c r="R364" s="34" t="n">
        <v>0.103608949323645</v>
      </c>
      <c r="S364" s="11" t="n">
        <v>13516.1</v>
      </c>
      <c r="T364" s="10" t="s">
        <v>1512</v>
      </c>
      <c r="U364" s="7" t="n">
        <v>6</v>
      </c>
      <c r="V364" s="12" t="s">
        <v>187</v>
      </c>
      <c r="W364" s="12" t="s">
        <v>79</v>
      </c>
      <c r="X364" s="12" t="s">
        <v>97</v>
      </c>
      <c r="Y364" s="10" t="s">
        <v>111</v>
      </c>
      <c r="Z364" s="7" t="s">
        <v>688</v>
      </c>
      <c r="AA364" s="7" t="n">
        <v>42</v>
      </c>
      <c r="AB364" s="9" t="n">
        <v>0.411995601453433</v>
      </c>
    </row>
    <row r="365" customFormat="false" ht="57.45" hidden="false" customHeight="false" outlineLevel="0" collapsed="false">
      <c r="A365" s="7" t="n">
        <v>361</v>
      </c>
      <c r="B365" s="12" t="s">
        <v>342</v>
      </c>
      <c r="C365" s="10" t="s">
        <v>1513</v>
      </c>
      <c r="D365" s="12" t="s">
        <v>1419</v>
      </c>
      <c r="E365" s="12" t="s">
        <v>846</v>
      </c>
      <c r="F365" s="10" t="s">
        <v>878</v>
      </c>
      <c r="G365" s="12" t="s">
        <v>656</v>
      </c>
      <c r="H365" s="26" t="n">
        <v>26.68</v>
      </c>
      <c r="I365" s="7" t="n">
        <v>1</v>
      </c>
      <c r="J365" s="7" t="n">
        <v>345</v>
      </c>
      <c r="K365" s="11" t="n">
        <v>2783.28</v>
      </c>
      <c r="L365" s="10" t="s">
        <v>343</v>
      </c>
      <c r="M365" s="26" t="n">
        <v>26.68</v>
      </c>
      <c r="N365" s="12" t="s">
        <v>657</v>
      </c>
      <c r="O365" s="12" t="s">
        <v>77</v>
      </c>
      <c r="P365" s="10" t="s">
        <v>658</v>
      </c>
      <c r="Q365" s="30" t="s">
        <v>1514</v>
      </c>
      <c r="R365" s="34" t="n">
        <v>0.995283018867925</v>
      </c>
      <c r="S365" s="11" t="n">
        <v>2770.2</v>
      </c>
      <c r="T365" s="10" t="s">
        <v>1515</v>
      </c>
      <c r="U365" s="7" t="n">
        <v>24</v>
      </c>
      <c r="V365" s="12" t="s">
        <v>539</v>
      </c>
      <c r="W365" s="12" t="s">
        <v>79</v>
      </c>
      <c r="X365" s="12" t="s">
        <v>86</v>
      </c>
      <c r="Y365" s="10" t="s">
        <v>104</v>
      </c>
      <c r="Z365" s="7" t="s">
        <v>688</v>
      </c>
      <c r="AA365" s="7" t="n">
        <v>41</v>
      </c>
      <c r="AB365" s="9" t="n">
        <v>0.412875310766877</v>
      </c>
    </row>
    <row r="366" customFormat="false" ht="68.65" hidden="false" customHeight="false" outlineLevel="0" collapsed="false">
      <c r="A366" s="7" t="n">
        <v>362</v>
      </c>
      <c r="B366" s="12" t="s">
        <v>546</v>
      </c>
      <c r="C366" s="10" t="s">
        <v>546</v>
      </c>
      <c r="D366" s="12" t="s">
        <v>1419</v>
      </c>
      <c r="E366" s="12" t="s">
        <v>835</v>
      </c>
      <c r="F366" s="10" t="s">
        <v>1516</v>
      </c>
      <c r="G366" s="12" t="s">
        <v>656</v>
      </c>
      <c r="H366" s="26" t="n">
        <v>5.41</v>
      </c>
      <c r="I366" s="7" t="n">
        <v>1</v>
      </c>
      <c r="J366" s="7" t="n">
        <v>799</v>
      </c>
      <c r="K366" s="11" t="n">
        <v>7738.99</v>
      </c>
      <c r="L366" s="10" t="s">
        <v>547</v>
      </c>
      <c r="M366" s="26" t="n">
        <v>5.41</v>
      </c>
      <c r="N366" s="12" t="s">
        <v>657</v>
      </c>
      <c r="O366" s="12" t="s">
        <v>77</v>
      </c>
      <c r="P366" s="10" t="s">
        <v>658</v>
      </c>
      <c r="Q366" s="30" t="s">
        <v>1517</v>
      </c>
      <c r="R366" s="34" t="n">
        <v>1</v>
      </c>
      <c r="S366" s="11" t="n">
        <v>7739</v>
      </c>
      <c r="T366" s="10" t="s">
        <v>1518</v>
      </c>
      <c r="U366" s="7" t="n">
        <v>28</v>
      </c>
      <c r="V366" s="12" t="s">
        <v>91</v>
      </c>
      <c r="W366" s="12" t="s">
        <v>79</v>
      </c>
      <c r="X366" s="12" t="s">
        <v>86</v>
      </c>
      <c r="Y366" s="10" t="s">
        <v>104</v>
      </c>
      <c r="Z366" s="7" t="s">
        <v>688</v>
      </c>
      <c r="AA366" s="7" t="n">
        <v>47</v>
      </c>
      <c r="AB366" s="9" t="n">
        <v>0.377763434691146</v>
      </c>
    </row>
    <row r="367" customFormat="false" ht="57.45" hidden="false" customHeight="false" outlineLevel="0" collapsed="false">
      <c r="A367" s="7" t="n">
        <v>363</v>
      </c>
      <c r="B367" s="12" t="s">
        <v>124</v>
      </c>
      <c r="C367" s="10" t="s">
        <v>1519</v>
      </c>
      <c r="D367" s="12" t="s">
        <v>1419</v>
      </c>
      <c r="E367" s="12" t="s">
        <v>1520</v>
      </c>
      <c r="F367" s="10" t="s">
        <v>1521</v>
      </c>
      <c r="G367" s="12" t="s">
        <v>656</v>
      </c>
      <c r="H367" s="26" t="n">
        <v>56.21</v>
      </c>
      <c r="I367" s="7" t="n">
        <v>1</v>
      </c>
      <c r="J367" s="7" t="n">
        <v>843</v>
      </c>
      <c r="K367" s="11" t="n">
        <v>4508</v>
      </c>
      <c r="L367" s="10" t="s">
        <v>125</v>
      </c>
      <c r="M367" s="26" t="n">
        <v>56.21</v>
      </c>
      <c r="N367" s="12" t="s">
        <v>657</v>
      </c>
      <c r="O367" s="12" t="s">
        <v>102</v>
      </c>
      <c r="P367" s="10" t="s">
        <v>658</v>
      </c>
      <c r="Q367" s="30" t="s">
        <v>1522</v>
      </c>
      <c r="R367" s="34" t="n">
        <v>0.858739397335643</v>
      </c>
      <c r="S367" s="11" t="n">
        <v>3871.2</v>
      </c>
      <c r="T367" s="10" t="s">
        <v>1523</v>
      </c>
      <c r="U367" s="7" t="n">
        <v>23</v>
      </c>
      <c r="V367" s="12" t="s">
        <v>91</v>
      </c>
      <c r="W367" s="12" t="s">
        <v>79</v>
      </c>
      <c r="X367" s="12" t="s">
        <v>80</v>
      </c>
      <c r="Y367" s="10" t="s">
        <v>81</v>
      </c>
      <c r="Z367" s="7" t="s">
        <v>688</v>
      </c>
      <c r="AA367" s="7" t="n">
        <v>23</v>
      </c>
      <c r="AB367" s="9" t="n">
        <v>0.569697838974947</v>
      </c>
    </row>
    <row r="368" customFormat="false" ht="57.45" hidden="false" customHeight="false" outlineLevel="0" collapsed="false">
      <c r="A368" s="7" t="n">
        <v>364</v>
      </c>
      <c r="B368" s="12" t="s">
        <v>477</v>
      </c>
      <c r="C368" s="10" t="s">
        <v>477</v>
      </c>
      <c r="D368" s="12" t="s">
        <v>1419</v>
      </c>
      <c r="E368" s="12" t="s">
        <v>1524</v>
      </c>
      <c r="F368" s="10" t="s">
        <v>1525</v>
      </c>
      <c r="G368" s="12" t="s">
        <v>656</v>
      </c>
      <c r="H368" s="26" t="n">
        <v>7.27</v>
      </c>
      <c r="I368" s="7" t="n">
        <v>1</v>
      </c>
      <c r="J368" s="7" t="n">
        <v>123</v>
      </c>
      <c r="K368" s="11" t="n">
        <v>3010.2</v>
      </c>
      <c r="L368" s="10" t="s">
        <v>478</v>
      </c>
      <c r="M368" s="26" t="n">
        <v>7.27</v>
      </c>
      <c r="N368" s="12" t="s">
        <v>657</v>
      </c>
      <c r="O368" s="12" t="s">
        <v>102</v>
      </c>
      <c r="P368" s="10" t="s">
        <v>658</v>
      </c>
      <c r="Q368" s="30" t="s">
        <v>833</v>
      </c>
      <c r="R368" s="34" t="n">
        <v>0.675601982054373</v>
      </c>
      <c r="S368" s="11" t="n">
        <v>2033.7</v>
      </c>
      <c r="T368" s="10" t="s">
        <v>1526</v>
      </c>
      <c r="U368" s="7" t="n">
        <v>22</v>
      </c>
      <c r="V368" s="12" t="s">
        <v>539</v>
      </c>
      <c r="W368" s="12" t="s">
        <v>79</v>
      </c>
      <c r="X368" s="12" t="s">
        <v>80</v>
      </c>
      <c r="Y368" s="10" t="s">
        <v>111</v>
      </c>
      <c r="Z368" s="7" t="s">
        <v>688</v>
      </c>
      <c r="AA368" s="7" t="n">
        <v>51</v>
      </c>
      <c r="AB368" s="9" t="n">
        <v>0.238798049340218</v>
      </c>
    </row>
    <row r="369" customFormat="false" ht="35.05" hidden="false" customHeight="false" outlineLevel="0" collapsed="false">
      <c r="A369" s="7" t="n">
        <v>365</v>
      </c>
      <c r="B369" s="12" t="s">
        <v>245</v>
      </c>
      <c r="C369" s="10" t="s">
        <v>245</v>
      </c>
      <c r="D369" s="12" t="s">
        <v>1419</v>
      </c>
      <c r="E369" s="12" t="s">
        <v>1527</v>
      </c>
      <c r="F369" s="10" t="s">
        <v>1528</v>
      </c>
      <c r="G369" s="12" t="s">
        <v>656</v>
      </c>
      <c r="H369" s="26" t="n">
        <v>39.05</v>
      </c>
      <c r="I369" s="7" t="n">
        <v>1</v>
      </c>
      <c r="J369" s="7" t="n">
        <v>117</v>
      </c>
      <c r="K369" s="11" t="n">
        <v>2508.09</v>
      </c>
      <c r="L369" s="10" t="s">
        <v>246</v>
      </c>
      <c r="M369" s="26" t="n">
        <v>39.05</v>
      </c>
      <c r="N369" s="12" t="s">
        <v>657</v>
      </c>
      <c r="O369" s="12" t="s">
        <v>77</v>
      </c>
      <c r="P369" s="10" t="s">
        <v>658</v>
      </c>
      <c r="Q369" s="30" t="s">
        <v>1529</v>
      </c>
      <c r="R369" s="34" t="n">
        <v>1</v>
      </c>
      <c r="S369" s="11" t="n">
        <v>2508.1</v>
      </c>
      <c r="T369" s="10" t="s">
        <v>1530</v>
      </c>
      <c r="U369" s="7" t="n">
        <v>15</v>
      </c>
      <c r="V369" s="12" t="s">
        <v>119</v>
      </c>
      <c r="W369" s="12" t="s">
        <v>79</v>
      </c>
      <c r="X369" s="12" t="s">
        <v>671</v>
      </c>
      <c r="Y369" s="10"/>
      <c r="Z369" s="7" t="s">
        <v>688</v>
      </c>
      <c r="AA369" s="7" t="n">
        <v>37</v>
      </c>
      <c r="AB369" s="9" t="n">
        <v>0.451864601262192</v>
      </c>
    </row>
    <row r="370" customFormat="false" ht="46.25" hidden="false" customHeight="false" outlineLevel="0" collapsed="false">
      <c r="A370" s="7" t="n">
        <v>366</v>
      </c>
      <c r="B370" s="12" t="s">
        <v>173</v>
      </c>
      <c r="C370" s="10" t="s">
        <v>173</v>
      </c>
      <c r="D370" s="12" t="s">
        <v>1419</v>
      </c>
      <c r="E370" s="12" t="s">
        <v>1531</v>
      </c>
      <c r="F370" s="10" t="s">
        <v>1532</v>
      </c>
      <c r="G370" s="12" t="s">
        <v>656</v>
      </c>
      <c r="H370" s="26" t="n">
        <v>25.2</v>
      </c>
      <c r="I370" s="7" t="n">
        <v>1</v>
      </c>
      <c r="J370" s="7" t="n">
        <v>441</v>
      </c>
      <c r="K370" s="11" t="n">
        <v>3973.65</v>
      </c>
      <c r="L370" s="10" t="s">
        <v>174</v>
      </c>
      <c r="M370" s="26" t="n">
        <v>25.2</v>
      </c>
      <c r="N370" s="12" t="s">
        <v>657</v>
      </c>
      <c r="O370" s="12" t="s">
        <v>77</v>
      </c>
      <c r="P370" s="10" t="s">
        <v>658</v>
      </c>
      <c r="Q370" s="30" t="s">
        <v>1533</v>
      </c>
      <c r="R370" s="34" t="n">
        <v>1</v>
      </c>
      <c r="S370" s="11" t="n">
        <v>3973.7</v>
      </c>
      <c r="T370" s="10" t="s">
        <v>1534</v>
      </c>
      <c r="U370" s="7" t="n">
        <v>17</v>
      </c>
      <c r="V370" s="12" t="s">
        <v>91</v>
      </c>
      <c r="W370" s="12" t="s">
        <v>79</v>
      </c>
      <c r="X370" s="12" t="s">
        <v>80</v>
      </c>
      <c r="Y370" s="10" t="s">
        <v>81</v>
      </c>
      <c r="Z370" s="7" t="s">
        <v>688</v>
      </c>
      <c r="AA370" s="7" t="n">
        <v>24</v>
      </c>
      <c r="AB370" s="9" t="n">
        <v>0.55809906291834</v>
      </c>
    </row>
    <row r="371" customFormat="false" ht="46.25" hidden="false" customHeight="false" outlineLevel="0" collapsed="false">
      <c r="A371" s="7" t="n">
        <v>367</v>
      </c>
      <c r="B371" s="12" t="s">
        <v>526</v>
      </c>
      <c r="C371" s="10" t="s">
        <v>1435</v>
      </c>
      <c r="D371" s="12" t="s">
        <v>1419</v>
      </c>
      <c r="E371" s="12" t="s">
        <v>1535</v>
      </c>
      <c r="F371" s="10" t="s">
        <v>1536</v>
      </c>
      <c r="G371" s="12" t="s">
        <v>1537</v>
      </c>
      <c r="H371" s="26" t="n">
        <v>16.33</v>
      </c>
      <c r="I371" s="7" t="n">
        <v>1</v>
      </c>
      <c r="J371" s="7" t="n">
        <v>976</v>
      </c>
      <c r="K371" s="11" t="n">
        <v>9295.14</v>
      </c>
      <c r="L371" s="10" t="s">
        <v>527</v>
      </c>
      <c r="M371" s="26" t="n">
        <v>16.33</v>
      </c>
      <c r="N371" s="12" t="s">
        <v>657</v>
      </c>
      <c r="O371" s="12" t="s">
        <v>77</v>
      </c>
      <c r="P371" s="10" t="s">
        <v>658</v>
      </c>
      <c r="Q371" s="30" t="s">
        <v>1538</v>
      </c>
      <c r="R371" s="34" t="n">
        <v>0.702152361952863</v>
      </c>
      <c r="S371" s="11" t="n">
        <v>6526.6</v>
      </c>
      <c r="T371" s="10" t="s">
        <v>1439</v>
      </c>
      <c r="U371" s="7" t="n">
        <v>16</v>
      </c>
      <c r="V371" s="12" t="s">
        <v>160</v>
      </c>
      <c r="W371" s="12" t="s">
        <v>85</v>
      </c>
      <c r="X371" s="12" t="s">
        <v>97</v>
      </c>
      <c r="Y371" s="10"/>
      <c r="Z371" s="7" t="s">
        <v>688</v>
      </c>
      <c r="AA371" s="7" t="n">
        <v>34</v>
      </c>
      <c r="AB371" s="9" t="n">
        <v>0.480488621151272</v>
      </c>
    </row>
    <row r="372" customFormat="false" ht="79.85" hidden="false" customHeight="false" outlineLevel="0" collapsed="false">
      <c r="A372" s="7" t="n">
        <v>368</v>
      </c>
      <c r="B372" s="12" t="s">
        <v>508</v>
      </c>
      <c r="C372" s="10" t="s">
        <v>1539</v>
      </c>
      <c r="D372" s="12" t="s">
        <v>1419</v>
      </c>
      <c r="E372" s="12" t="s">
        <v>1540</v>
      </c>
      <c r="F372" s="10" t="s">
        <v>1541</v>
      </c>
      <c r="G372" s="12" t="s">
        <v>1537</v>
      </c>
      <c r="H372" s="26"/>
      <c r="I372" s="7" t="n">
        <v>1</v>
      </c>
      <c r="J372" s="7" t="n">
        <v>121</v>
      </c>
      <c r="K372" s="11" t="n">
        <v>2714.83</v>
      </c>
      <c r="L372" s="10" t="s">
        <v>509</v>
      </c>
      <c r="M372" s="26"/>
      <c r="N372" s="12" t="s">
        <v>701</v>
      </c>
      <c r="O372" s="12" t="s">
        <v>323</v>
      </c>
      <c r="P372" s="10" t="s">
        <v>323</v>
      </c>
      <c r="Q372" s="12"/>
      <c r="R372" s="34" t="n">
        <v>0.916950682168073</v>
      </c>
      <c r="S372" s="11" t="n">
        <v>2489.4</v>
      </c>
      <c r="T372" s="10" t="s">
        <v>1482</v>
      </c>
      <c r="U372" s="7" t="n">
        <v>31</v>
      </c>
      <c r="V372" s="12" t="s">
        <v>78</v>
      </c>
      <c r="W372" s="12" t="s">
        <v>85</v>
      </c>
      <c r="X372" s="12" t="s">
        <v>97</v>
      </c>
      <c r="Y372" s="10" t="s">
        <v>87</v>
      </c>
      <c r="Z372" s="7" t="s">
        <v>688</v>
      </c>
      <c r="AA372" s="7" t="n">
        <v>16</v>
      </c>
      <c r="AB372" s="9" t="n">
        <v>0.623374450181679</v>
      </c>
    </row>
    <row r="373" customFormat="false" ht="23.85" hidden="false" customHeight="false" outlineLevel="0" collapsed="false">
      <c r="A373" s="7" t="n">
        <v>369</v>
      </c>
      <c r="B373" s="12" t="s">
        <v>523</v>
      </c>
      <c r="C373" s="10" t="s">
        <v>1542</v>
      </c>
      <c r="D373" s="12" t="s">
        <v>1419</v>
      </c>
      <c r="E373" s="12" t="s">
        <v>1543</v>
      </c>
      <c r="F373" s="10" t="s">
        <v>1544</v>
      </c>
      <c r="G373" s="12" t="s">
        <v>663</v>
      </c>
      <c r="H373" s="26" t="n">
        <v>28.6681</v>
      </c>
      <c r="I373" s="7" t="n">
        <v>31</v>
      </c>
      <c r="J373" s="7" t="n">
        <v>912</v>
      </c>
      <c r="K373" s="11" t="n">
        <v>4620.39</v>
      </c>
      <c r="L373" s="10" t="s">
        <v>524</v>
      </c>
      <c r="M373" s="26" t="n">
        <v>28.6681</v>
      </c>
      <c r="N373" s="12" t="s">
        <v>657</v>
      </c>
      <c r="O373" s="12" t="s">
        <v>153</v>
      </c>
      <c r="P373" s="10" t="s">
        <v>658</v>
      </c>
      <c r="Q373" s="30" t="s">
        <v>1545</v>
      </c>
      <c r="R373" s="34" t="n">
        <v>0.805616176558289</v>
      </c>
      <c r="S373" s="11" t="n">
        <v>3722.3</v>
      </c>
      <c r="T373" s="10" t="s">
        <v>1546</v>
      </c>
      <c r="U373" s="7" t="n">
        <v>3</v>
      </c>
      <c r="V373" s="12" t="s">
        <v>133</v>
      </c>
      <c r="W373" s="12" t="s">
        <v>85</v>
      </c>
      <c r="X373" s="12" t="s">
        <v>86</v>
      </c>
      <c r="Y373" s="10" t="s">
        <v>87</v>
      </c>
      <c r="Z373" s="7" t="s">
        <v>688</v>
      </c>
      <c r="AA373" s="7" t="n">
        <v>33</v>
      </c>
      <c r="AB373" s="9" t="n">
        <v>0.484064830751578</v>
      </c>
    </row>
    <row r="374" customFormat="false" ht="23.85" hidden="false" customHeight="false" outlineLevel="0" collapsed="false">
      <c r="A374" s="7" t="n">
        <v>370</v>
      </c>
      <c r="B374" s="12" t="s">
        <v>535</v>
      </c>
      <c r="C374" s="10" t="s">
        <v>1547</v>
      </c>
      <c r="D374" s="12" t="s">
        <v>1419</v>
      </c>
      <c r="E374" s="12" t="s">
        <v>1548</v>
      </c>
      <c r="F374" s="10" t="s">
        <v>1544</v>
      </c>
      <c r="G374" s="12" t="s">
        <v>663</v>
      </c>
      <c r="H374" s="26"/>
      <c r="I374" s="7" t="n">
        <v>30</v>
      </c>
      <c r="J374" s="7" t="n">
        <v>646</v>
      </c>
      <c r="K374" s="11" t="n">
        <v>19089.13</v>
      </c>
      <c r="L374" s="10" t="s">
        <v>536</v>
      </c>
      <c r="M374" s="26"/>
      <c r="N374" s="12" t="s">
        <v>701</v>
      </c>
      <c r="O374" s="12" t="s">
        <v>323</v>
      </c>
      <c r="P374" s="10" t="s">
        <v>323</v>
      </c>
      <c r="Q374" s="12"/>
      <c r="R374" s="34" t="n">
        <v>0.295137394358018</v>
      </c>
      <c r="S374" s="11" t="n">
        <v>5633.9</v>
      </c>
      <c r="T374" s="10" t="s">
        <v>1549</v>
      </c>
      <c r="U374" s="7" t="n">
        <v>2</v>
      </c>
      <c r="V374" s="12" t="s">
        <v>96</v>
      </c>
      <c r="W374" s="12" t="s">
        <v>85</v>
      </c>
      <c r="X374" s="12" t="s">
        <v>86</v>
      </c>
      <c r="Y374" s="10" t="s">
        <v>87</v>
      </c>
      <c r="Z374" s="7" t="s">
        <v>688</v>
      </c>
      <c r="AA374" s="7" t="n">
        <v>38</v>
      </c>
      <c r="AB374" s="9" t="n">
        <v>0.445199847007076</v>
      </c>
    </row>
    <row r="375" customFormat="false" ht="23.85" hidden="false" customHeight="false" outlineLevel="0" collapsed="false">
      <c r="A375" s="7" t="n">
        <v>371</v>
      </c>
      <c r="B375" s="12" t="s">
        <v>93</v>
      </c>
      <c r="C375" s="10" t="s">
        <v>1550</v>
      </c>
      <c r="D375" s="12" t="s">
        <v>1419</v>
      </c>
      <c r="E375" s="12" t="s">
        <v>897</v>
      </c>
      <c r="F375" s="10"/>
      <c r="G375" s="12"/>
      <c r="H375" s="26"/>
      <c r="I375" s="7" t="n">
        <v>29</v>
      </c>
      <c r="J375" s="7" t="n">
        <v>9172</v>
      </c>
      <c r="K375" s="11" t="n">
        <v>433588.09</v>
      </c>
      <c r="L375" s="10" t="s">
        <v>94</v>
      </c>
      <c r="M375" s="26"/>
      <c r="N375" s="12" t="s">
        <v>701</v>
      </c>
      <c r="O375" s="12" t="s">
        <v>323</v>
      </c>
      <c r="P375" s="10" t="s">
        <v>323</v>
      </c>
      <c r="Q375" s="12"/>
      <c r="R375" s="34" t="n">
        <v>0.0779425190719572</v>
      </c>
      <c r="S375" s="11" t="n">
        <v>33794.9</v>
      </c>
      <c r="T375" s="10" t="s">
        <v>1551</v>
      </c>
      <c r="U375" s="7" t="n">
        <v>2</v>
      </c>
      <c r="V375" s="12" t="s">
        <v>96</v>
      </c>
      <c r="W375" s="12" t="s">
        <v>97</v>
      </c>
      <c r="X375" s="12" t="s">
        <v>97</v>
      </c>
      <c r="Y375" s="10" t="s">
        <v>98</v>
      </c>
      <c r="Z375" s="7" t="s">
        <v>74</v>
      </c>
      <c r="AA375" s="7" t="n">
        <v>4</v>
      </c>
      <c r="AB375" s="9" t="n">
        <v>0.86144578313253</v>
      </c>
    </row>
    <row r="376" customFormat="false" ht="23.85" hidden="false" customHeight="false" outlineLevel="0" collapsed="false">
      <c r="A376" s="7" t="n">
        <v>372</v>
      </c>
      <c r="B376" s="12" t="s">
        <v>553</v>
      </c>
      <c r="C376" s="10" t="s">
        <v>1552</v>
      </c>
      <c r="D376" s="12" t="s">
        <v>1419</v>
      </c>
      <c r="E376" s="12" t="s">
        <v>885</v>
      </c>
      <c r="F376" s="10"/>
      <c r="G376" s="12"/>
      <c r="H376" s="26" t="n">
        <v>5.4805</v>
      </c>
      <c r="I376" s="7" t="n">
        <v>21</v>
      </c>
      <c r="J376" s="7" t="n">
        <v>252</v>
      </c>
      <c r="K376" s="11" t="n">
        <v>3257.58</v>
      </c>
      <c r="L376" s="10" t="s">
        <v>241</v>
      </c>
      <c r="M376" s="26" t="n">
        <v>5.4805</v>
      </c>
      <c r="N376" s="12" t="s">
        <v>657</v>
      </c>
      <c r="O376" s="12" t="s">
        <v>153</v>
      </c>
      <c r="P376" s="10" t="s">
        <v>658</v>
      </c>
      <c r="Q376" s="30" t="s">
        <v>1553</v>
      </c>
      <c r="R376" s="34" t="n">
        <v>1</v>
      </c>
      <c r="S376" s="11" t="n">
        <v>3257.6</v>
      </c>
      <c r="T376" s="10" t="s">
        <v>96</v>
      </c>
      <c r="U376" s="7" t="n">
        <v>1</v>
      </c>
      <c r="V376" s="12" t="s">
        <v>96</v>
      </c>
      <c r="W376" s="12" t="s">
        <v>97</v>
      </c>
      <c r="X376" s="12" t="s">
        <v>97</v>
      </c>
      <c r="Y376" s="10"/>
      <c r="Z376" s="7" t="s">
        <v>688</v>
      </c>
      <c r="AA376" s="7" t="n">
        <v>50</v>
      </c>
      <c r="AB376" s="9" t="n">
        <v>0.23908969210174</v>
      </c>
    </row>
    <row r="377" customFormat="false" ht="46.25" hidden="false" customHeight="false" outlineLevel="0" collapsed="false">
      <c r="A377" s="7" t="n">
        <v>373</v>
      </c>
      <c r="B377" s="12" t="s">
        <v>526</v>
      </c>
      <c r="C377" s="10" t="s">
        <v>1554</v>
      </c>
      <c r="D377" s="12" t="s">
        <v>1419</v>
      </c>
      <c r="E377" s="12" t="s">
        <v>1555</v>
      </c>
      <c r="F377" s="10" t="s">
        <v>1556</v>
      </c>
      <c r="G377" s="12" t="s">
        <v>663</v>
      </c>
      <c r="H377" s="26" t="n">
        <v>22.2384</v>
      </c>
      <c r="I377" s="7" t="n">
        <v>2</v>
      </c>
      <c r="J377" s="7" t="n">
        <v>976</v>
      </c>
      <c r="K377" s="11" t="n">
        <v>9295.14</v>
      </c>
      <c r="L377" s="10" t="s">
        <v>527</v>
      </c>
      <c r="M377" s="26" t="n">
        <v>22.2384</v>
      </c>
      <c r="N377" s="12" t="s">
        <v>657</v>
      </c>
      <c r="O377" s="12" t="s">
        <v>77</v>
      </c>
      <c r="P377" s="10" t="s">
        <v>658</v>
      </c>
      <c r="Q377" s="30" t="s">
        <v>1557</v>
      </c>
      <c r="R377" s="34" t="n">
        <v>0.702152361952863</v>
      </c>
      <c r="S377" s="11" t="n">
        <v>6526.6</v>
      </c>
      <c r="T377" s="10" t="s">
        <v>1439</v>
      </c>
      <c r="U377" s="7" t="n">
        <v>16</v>
      </c>
      <c r="V377" s="12" t="s">
        <v>160</v>
      </c>
      <c r="W377" s="12" t="s">
        <v>85</v>
      </c>
      <c r="X377" s="12" t="s">
        <v>86</v>
      </c>
      <c r="Y377" s="10"/>
      <c r="Z377" s="7" t="s">
        <v>688</v>
      </c>
      <c r="AA377" s="7" t="n">
        <v>34</v>
      </c>
      <c r="AB377" s="9" t="n">
        <v>0.480488621151272</v>
      </c>
    </row>
    <row r="378" customFormat="false" ht="46.25" hidden="false" customHeight="false" outlineLevel="0" collapsed="false">
      <c r="A378" s="7" t="n">
        <v>374</v>
      </c>
      <c r="B378" s="12" t="s">
        <v>526</v>
      </c>
      <c r="C378" s="10" t="s">
        <v>1558</v>
      </c>
      <c r="D378" s="12" t="s">
        <v>1419</v>
      </c>
      <c r="E378" s="12" t="s">
        <v>1559</v>
      </c>
      <c r="F378" s="10" t="s">
        <v>1556</v>
      </c>
      <c r="G378" s="12" t="s">
        <v>663</v>
      </c>
      <c r="H378" s="26" t="n">
        <v>22.2384</v>
      </c>
      <c r="I378" s="7" t="n">
        <v>19</v>
      </c>
      <c r="J378" s="7" t="n">
        <v>976</v>
      </c>
      <c r="K378" s="11" t="n">
        <v>9295.14</v>
      </c>
      <c r="L378" s="10" t="s">
        <v>527</v>
      </c>
      <c r="M378" s="26" t="n">
        <v>22.2384</v>
      </c>
      <c r="N378" s="12" t="s">
        <v>657</v>
      </c>
      <c r="O378" s="12" t="s">
        <v>77</v>
      </c>
      <c r="P378" s="10" t="s">
        <v>658</v>
      </c>
      <c r="Q378" s="30" t="s">
        <v>1557</v>
      </c>
      <c r="R378" s="34" t="n">
        <v>0.702152361952863</v>
      </c>
      <c r="S378" s="11" t="n">
        <v>6526.6</v>
      </c>
      <c r="T378" s="10" t="s">
        <v>1439</v>
      </c>
      <c r="U378" s="7" t="n">
        <v>16</v>
      </c>
      <c r="V378" s="12" t="s">
        <v>160</v>
      </c>
      <c r="W378" s="12" t="s">
        <v>85</v>
      </c>
      <c r="X378" s="12" t="s">
        <v>86</v>
      </c>
      <c r="Y378" s="10"/>
      <c r="Z378" s="7" t="s">
        <v>688</v>
      </c>
      <c r="AA378" s="7" t="n">
        <v>34</v>
      </c>
      <c r="AB378" s="9" t="n">
        <v>0.480488621151272</v>
      </c>
    </row>
    <row r="379" customFormat="false" ht="79.85" hidden="false" customHeight="false" outlineLevel="0" collapsed="false">
      <c r="A379" s="7" t="n">
        <v>375</v>
      </c>
      <c r="B379" s="12" t="s">
        <v>75</v>
      </c>
      <c r="C379" s="10" t="s">
        <v>1483</v>
      </c>
      <c r="D379" s="12" t="s">
        <v>1419</v>
      </c>
      <c r="E379" s="12" t="s">
        <v>851</v>
      </c>
      <c r="F379" s="10" t="s">
        <v>839</v>
      </c>
      <c r="G379" s="12" t="s">
        <v>656</v>
      </c>
      <c r="H379" s="26" t="n">
        <v>397.421</v>
      </c>
      <c r="I379" s="7" t="n">
        <v>30</v>
      </c>
      <c r="J379" s="7" t="n">
        <v>762</v>
      </c>
      <c r="K379" s="11" t="n">
        <v>50865.56</v>
      </c>
      <c r="L379" s="10" t="s">
        <v>76</v>
      </c>
      <c r="M379" s="26" t="n">
        <v>397.421</v>
      </c>
      <c r="N379" s="12" t="s">
        <v>657</v>
      </c>
      <c r="O379" s="12" t="s">
        <v>77</v>
      </c>
      <c r="P379" s="10" t="s">
        <v>658</v>
      </c>
      <c r="Q379" s="30" t="s">
        <v>852</v>
      </c>
      <c r="R379" s="34" t="n">
        <v>0.829278792417718</v>
      </c>
      <c r="S379" s="11" t="n">
        <v>42181.7</v>
      </c>
      <c r="T379" s="10" t="s">
        <v>1467</v>
      </c>
      <c r="U379" s="7" t="n">
        <v>32</v>
      </c>
      <c r="V379" s="12" t="s">
        <v>78</v>
      </c>
      <c r="W379" s="12" t="s">
        <v>79</v>
      </c>
      <c r="X379" s="12" t="s">
        <v>80</v>
      </c>
      <c r="Y379" s="10" t="s">
        <v>81</v>
      </c>
      <c r="Z379" s="7" t="s">
        <v>74</v>
      </c>
      <c r="AA379" s="7" t="n">
        <v>1</v>
      </c>
      <c r="AB379" s="9" t="n">
        <v>0.888477720405431</v>
      </c>
    </row>
    <row r="380" customFormat="false" ht="35.05" hidden="false" customHeight="false" outlineLevel="0" collapsed="false">
      <c r="A380" s="7" t="n">
        <v>376</v>
      </c>
      <c r="B380" s="12" t="s">
        <v>455</v>
      </c>
      <c r="C380" s="10" t="s">
        <v>1560</v>
      </c>
      <c r="D380" s="12" t="s">
        <v>1419</v>
      </c>
      <c r="E380" s="12" t="s">
        <v>1339</v>
      </c>
      <c r="F380" s="10" t="s">
        <v>1561</v>
      </c>
      <c r="G380" s="12" t="s">
        <v>656</v>
      </c>
      <c r="H380" s="26" t="n">
        <v>503.5393</v>
      </c>
      <c r="I380" s="7" t="n">
        <v>14</v>
      </c>
      <c r="J380" s="7" t="n">
        <v>5</v>
      </c>
      <c r="K380" s="11" t="n">
        <v>806.34</v>
      </c>
      <c r="L380" s="10" t="s">
        <v>456</v>
      </c>
      <c r="M380" s="26" t="n">
        <v>503.5393</v>
      </c>
      <c r="N380" s="12" t="s">
        <v>657</v>
      </c>
      <c r="O380" s="12" t="s">
        <v>77</v>
      </c>
      <c r="P380" s="10" t="s">
        <v>658</v>
      </c>
      <c r="Q380" s="30" t="s">
        <v>852</v>
      </c>
      <c r="R380" s="34" t="n">
        <v>1</v>
      </c>
      <c r="S380" s="11" t="n">
        <v>806.3</v>
      </c>
      <c r="T380" s="10" t="s">
        <v>1428</v>
      </c>
      <c r="U380" s="7" t="n">
        <v>12</v>
      </c>
      <c r="V380" s="12" t="s">
        <v>116</v>
      </c>
      <c r="W380" s="12" t="s">
        <v>79</v>
      </c>
      <c r="X380" s="12" t="s">
        <v>97</v>
      </c>
      <c r="Y380" s="10" t="s">
        <v>111</v>
      </c>
      <c r="Z380" s="7" t="s">
        <v>688</v>
      </c>
      <c r="AA380" s="7" t="n">
        <v>31</v>
      </c>
      <c r="AB380" s="9" t="n">
        <v>0.507372346528973</v>
      </c>
    </row>
    <row r="381" customFormat="false" ht="46.25" hidden="false" customHeight="false" outlineLevel="0" collapsed="false">
      <c r="A381" s="7" t="n">
        <v>377</v>
      </c>
      <c r="B381" s="12" t="s">
        <v>173</v>
      </c>
      <c r="C381" s="10" t="s">
        <v>1562</v>
      </c>
      <c r="D381" s="12" t="s">
        <v>1419</v>
      </c>
      <c r="E381" s="12" t="s">
        <v>1531</v>
      </c>
      <c r="F381" s="10" t="s">
        <v>1563</v>
      </c>
      <c r="G381" s="12" t="s">
        <v>656</v>
      </c>
      <c r="H381" s="26" t="n">
        <v>95.0217</v>
      </c>
      <c r="I381" s="7" t="n">
        <v>16</v>
      </c>
      <c r="J381" s="7" t="n">
        <v>441</v>
      </c>
      <c r="K381" s="11" t="n">
        <v>3973.65</v>
      </c>
      <c r="L381" s="10" t="s">
        <v>174</v>
      </c>
      <c r="M381" s="26" t="n">
        <v>95.0217</v>
      </c>
      <c r="N381" s="12" t="s">
        <v>657</v>
      </c>
      <c r="O381" s="12" t="s">
        <v>77</v>
      </c>
      <c r="P381" s="10" t="s">
        <v>658</v>
      </c>
      <c r="Q381" s="30" t="s">
        <v>1564</v>
      </c>
      <c r="R381" s="34" t="n">
        <v>1</v>
      </c>
      <c r="S381" s="11" t="n">
        <v>3973.7</v>
      </c>
      <c r="T381" s="10" t="s">
        <v>1534</v>
      </c>
      <c r="U381" s="7" t="n">
        <v>17</v>
      </c>
      <c r="V381" s="12" t="s">
        <v>91</v>
      </c>
      <c r="W381" s="12" t="s">
        <v>79</v>
      </c>
      <c r="X381" s="12" t="s">
        <v>80</v>
      </c>
      <c r="Y381" s="10" t="s">
        <v>81</v>
      </c>
      <c r="Z381" s="7" t="s">
        <v>688</v>
      </c>
      <c r="AA381" s="7" t="n">
        <v>24</v>
      </c>
      <c r="AB381" s="9" t="n">
        <v>0.55809906291834</v>
      </c>
    </row>
    <row r="382" customFormat="false" ht="79.85" hidden="false" customHeight="false" outlineLevel="0" collapsed="false">
      <c r="A382" s="7" t="n">
        <v>378</v>
      </c>
      <c r="B382" s="12" t="s">
        <v>89</v>
      </c>
      <c r="C382" s="10" t="s">
        <v>1565</v>
      </c>
      <c r="D382" s="12" t="s">
        <v>1419</v>
      </c>
      <c r="E382" s="12" t="s">
        <v>1381</v>
      </c>
      <c r="F382" s="10" t="s">
        <v>1382</v>
      </c>
      <c r="G382" s="12" t="s">
        <v>656</v>
      </c>
      <c r="H382" s="26" t="n">
        <v>1444.1174</v>
      </c>
      <c r="I382" s="7" t="n">
        <v>29</v>
      </c>
      <c r="J382" s="7" t="n">
        <v>905</v>
      </c>
      <c r="K382" s="11" t="n">
        <v>28093.38</v>
      </c>
      <c r="L382" s="10" t="s">
        <v>90</v>
      </c>
      <c r="M382" s="26" t="n">
        <v>1444.1174</v>
      </c>
      <c r="N382" s="12" t="s">
        <v>657</v>
      </c>
      <c r="O382" s="12" t="s">
        <v>77</v>
      </c>
      <c r="P382" s="10" t="s">
        <v>658</v>
      </c>
      <c r="Q382" s="30" t="s">
        <v>852</v>
      </c>
      <c r="R382" s="34" t="n">
        <v>1</v>
      </c>
      <c r="S382" s="11" t="n">
        <v>28093.4</v>
      </c>
      <c r="T382" s="10" t="s">
        <v>1461</v>
      </c>
      <c r="U382" s="7" t="n">
        <v>34</v>
      </c>
      <c r="V382" s="12" t="s">
        <v>91</v>
      </c>
      <c r="W382" s="12" t="s">
        <v>79</v>
      </c>
      <c r="X382" s="12" t="s">
        <v>86</v>
      </c>
      <c r="Y382" s="10" t="s">
        <v>81</v>
      </c>
      <c r="Z382" s="7" t="s">
        <v>74</v>
      </c>
      <c r="AA382" s="7" t="n">
        <v>3</v>
      </c>
      <c r="AB382" s="9" t="n">
        <v>0.872274813539874</v>
      </c>
    </row>
    <row r="383" customFormat="false" ht="79.85" hidden="false" customHeight="false" outlineLevel="0" collapsed="false">
      <c r="A383" s="7" t="n">
        <v>379</v>
      </c>
      <c r="B383" s="12" t="s">
        <v>508</v>
      </c>
      <c r="C383" s="10" t="s">
        <v>1539</v>
      </c>
      <c r="D383" s="12" t="s">
        <v>1419</v>
      </c>
      <c r="E383" s="12" t="s">
        <v>1566</v>
      </c>
      <c r="F383" s="10" t="s">
        <v>1567</v>
      </c>
      <c r="G383" s="12" t="s">
        <v>663</v>
      </c>
      <c r="H383" s="26" t="n">
        <v>433.9426</v>
      </c>
      <c r="I383" s="7" t="n">
        <v>23</v>
      </c>
      <c r="J383" s="7" t="n">
        <v>121</v>
      </c>
      <c r="K383" s="11" t="n">
        <v>2714.83</v>
      </c>
      <c r="L383" s="10" t="s">
        <v>509</v>
      </c>
      <c r="M383" s="26" t="n">
        <v>433.9426</v>
      </c>
      <c r="N383" s="12" t="s">
        <v>657</v>
      </c>
      <c r="O383" s="12" t="s">
        <v>77</v>
      </c>
      <c r="P383" s="10" t="s">
        <v>658</v>
      </c>
      <c r="Q383" s="30" t="s">
        <v>1568</v>
      </c>
      <c r="R383" s="34" t="n">
        <v>0.916950682168073</v>
      </c>
      <c r="S383" s="11" t="n">
        <v>2489.4</v>
      </c>
      <c r="T383" s="10" t="s">
        <v>1482</v>
      </c>
      <c r="U383" s="7" t="n">
        <v>31</v>
      </c>
      <c r="V383" s="12" t="s">
        <v>78</v>
      </c>
      <c r="W383" s="12" t="s">
        <v>85</v>
      </c>
      <c r="X383" s="12" t="s">
        <v>86</v>
      </c>
      <c r="Y383" s="10" t="s">
        <v>87</v>
      </c>
      <c r="Z383" s="7" t="s">
        <v>688</v>
      </c>
      <c r="AA383" s="7" t="n">
        <v>16</v>
      </c>
      <c r="AB383" s="9" t="n">
        <v>0.623374450181679</v>
      </c>
    </row>
    <row r="384" customFormat="false" ht="35.05" hidden="false" customHeight="false" outlineLevel="0" collapsed="false">
      <c r="A384" s="7" t="n">
        <v>380</v>
      </c>
      <c r="B384" s="12" t="s">
        <v>269</v>
      </c>
      <c r="C384" s="10" t="s">
        <v>1569</v>
      </c>
      <c r="D384" s="12" t="s">
        <v>1419</v>
      </c>
      <c r="E384" s="12" t="s">
        <v>861</v>
      </c>
      <c r="F384" s="10" t="s">
        <v>1570</v>
      </c>
      <c r="G384" s="12" t="s">
        <v>656</v>
      </c>
      <c r="H384" s="26" t="n">
        <v>9.6502</v>
      </c>
      <c r="I384" s="7" t="n">
        <v>20</v>
      </c>
      <c r="J384" s="7" t="n">
        <v>290</v>
      </c>
      <c r="K384" s="11" t="n">
        <v>6348.25</v>
      </c>
      <c r="L384" s="10" t="s">
        <v>270</v>
      </c>
      <c r="M384" s="26" t="n">
        <v>9.6502</v>
      </c>
      <c r="N384" s="12" t="s">
        <v>657</v>
      </c>
      <c r="O384" s="12" t="s">
        <v>153</v>
      </c>
      <c r="P384" s="10" t="s">
        <v>658</v>
      </c>
      <c r="Q384" s="30" t="s">
        <v>852</v>
      </c>
      <c r="R384" s="34" t="n">
        <v>0.991596638655462</v>
      </c>
      <c r="S384" s="11" t="n">
        <v>6294.9</v>
      </c>
      <c r="T384" s="10" t="s">
        <v>1571</v>
      </c>
      <c r="U384" s="7" t="n">
        <v>4</v>
      </c>
      <c r="V384" s="12" t="s">
        <v>140</v>
      </c>
      <c r="W384" s="12" t="s">
        <v>79</v>
      </c>
      <c r="X384" s="12" t="s">
        <v>80</v>
      </c>
      <c r="Y384" s="10" t="s">
        <v>111</v>
      </c>
      <c r="Z384" s="7" t="s">
        <v>688</v>
      </c>
      <c r="AA384" s="7" t="n">
        <v>45</v>
      </c>
      <c r="AB384" s="9" t="n">
        <v>0.398274048575253</v>
      </c>
    </row>
    <row r="385" customFormat="false" ht="35.05" hidden="false" customHeight="false" outlineLevel="0" collapsed="false">
      <c r="A385" s="7" t="n">
        <v>381</v>
      </c>
      <c r="B385" s="12" t="s">
        <v>269</v>
      </c>
      <c r="C385" s="10" t="s">
        <v>1572</v>
      </c>
      <c r="D385" s="12" t="s">
        <v>1419</v>
      </c>
      <c r="E385" s="12" t="s">
        <v>861</v>
      </c>
      <c r="F385" s="10" t="s">
        <v>1570</v>
      </c>
      <c r="G385" s="12" t="s">
        <v>656</v>
      </c>
      <c r="H385" s="26" t="n">
        <v>9.6502</v>
      </c>
      <c r="I385" s="7" t="n">
        <v>23</v>
      </c>
      <c r="J385" s="7" t="n">
        <v>290</v>
      </c>
      <c r="K385" s="11" t="n">
        <v>6348.25</v>
      </c>
      <c r="L385" s="10" t="s">
        <v>270</v>
      </c>
      <c r="M385" s="26" t="n">
        <v>9.6502</v>
      </c>
      <c r="N385" s="12" t="s">
        <v>657</v>
      </c>
      <c r="O385" s="12" t="s">
        <v>153</v>
      </c>
      <c r="P385" s="10" t="s">
        <v>658</v>
      </c>
      <c r="Q385" s="30" t="s">
        <v>852</v>
      </c>
      <c r="R385" s="34" t="n">
        <v>0.991596638655462</v>
      </c>
      <c r="S385" s="11" t="n">
        <v>6294.9</v>
      </c>
      <c r="T385" s="10" t="s">
        <v>1571</v>
      </c>
      <c r="U385" s="7" t="n">
        <v>4</v>
      </c>
      <c r="V385" s="12" t="s">
        <v>140</v>
      </c>
      <c r="W385" s="12" t="s">
        <v>79</v>
      </c>
      <c r="X385" s="12" t="s">
        <v>80</v>
      </c>
      <c r="Y385" s="10" t="s">
        <v>111</v>
      </c>
      <c r="Z385" s="7" t="s">
        <v>688</v>
      </c>
      <c r="AA385" s="7" t="n">
        <v>45</v>
      </c>
      <c r="AB385" s="9" t="n">
        <v>0.398274048575253</v>
      </c>
    </row>
    <row r="386" customFormat="false" ht="35.05" hidden="false" customHeight="false" outlineLevel="0" collapsed="false">
      <c r="A386" s="7" t="n">
        <v>382</v>
      </c>
      <c r="B386" s="12" t="s">
        <v>201</v>
      </c>
      <c r="C386" s="10" t="s">
        <v>1573</v>
      </c>
      <c r="D386" s="12" t="s">
        <v>1419</v>
      </c>
      <c r="E386" s="12" t="s">
        <v>1574</v>
      </c>
      <c r="F386" s="10"/>
      <c r="G386" s="12"/>
      <c r="H386" s="26"/>
      <c r="I386" s="7" t="n">
        <v>28</v>
      </c>
      <c r="J386" s="7" t="n">
        <v>3110</v>
      </c>
      <c r="K386" s="11" t="n">
        <v>93119.22</v>
      </c>
      <c r="L386" s="10" t="s">
        <v>202</v>
      </c>
      <c r="M386" s="35" t="n">
        <v>1.56</v>
      </c>
      <c r="N386" s="12" t="s">
        <v>664</v>
      </c>
      <c r="O386" s="12" t="s">
        <v>153</v>
      </c>
      <c r="P386" s="10" t="s">
        <v>665</v>
      </c>
      <c r="Q386" s="30" t="s">
        <v>666</v>
      </c>
      <c r="R386" s="34" t="n">
        <v>1</v>
      </c>
      <c r="S386" s="11" t="n">
        <v>93119.2</v>
      </c>
      <c r="T386" s="10" t="s">
        <v>1263</v>
      </c>
      <c r="U386" s="7" t="n">
        <v>1</v>
      </c>
      <c r="V386" s="12" t="s">
        <v>323</v>
      </c>
      <c r="W386" s="12" t="s">
        <v>97</v>
      </c>
      <c r="X386" s="12" t="s">
        <v>97</v>
      </c>
      <c r="Y386" s="10" t="s">
        <v>442</v>
      </c>
      <c r="Z386" s="7" t="s">
        <v>688</v>
      </c>
      <c r="AA386" s="7" t="n">
        <v>32</v>
      </c>
      <c r="AB386" s="9" t="n">
        <v>0.492551157008988</v>
      </c>
    </row>
    <row r="387" customFormat="false" ht="57.45" hidden="false" customHeight="false" outlineLevel="0" collapsed="false">
      <c r="A387" s="7" t="n">
        <v>383</v>
      </c>
      <c r="B387" s="12" t="s">
        <v>477</v>
      </c>
      <c r="C387" s="10" t="s">
        <v>1575</v>
      </c>
      <c r="D387" s="12" t="s">
        <v>1419</v>
      </c>
      <c r="E387" s="12" t="s">
        <v>1576</v>
      </c>
      <c r="F387" s="10" t="s">
        <v>1577</v>
      </c>
      <c r="G387" s="12" t="s">
        <v>656</v>
      </c>
      <c r="H387" s="26" t="n">
        <v>12.2266</v>
      </c>
      <c r="I387" s="7" t="n">
        <v>30</v>
      </c>
      <c r="J387" s="7" t="n">
        <v>123</v>
      </c>
      <c r="K387" s="11" t="n">
        <v>3010.2</v>
      </c>
      <c r="L387" s="10" t="s">
        <v>478</v>
      </c>
      <c r="M387" s="26" t="n">
        <v>12.2266</v>
      </c>
      <c r="N387" s="12" t="s">
        <v>657</v>
      </c>
      <c r="O387" s="12" t="s">
        <v>77</v>
      </c>
      <c r="P387" s="10" t="s">
        <v>658</v>
      </c>
      <c r="Q387" s="30" t="s">
        <v>1578</v>
      </c>
      <c r="R387" s="34" t="n">
        <v>0.675601982054373</v>
      </c>
      <c r="S387" s="11" t="n">
        <v>2033.7</v>
      </c>
      <c r="T387" s="10" t="s">
        <v>1526</v>
      </c>
      <c r="U387" s="7" t="n">
        <v>22</v>
      </c>
      <c r="V387" s="12" t="s">
        <v>539</v>
      </c>
      <c r="W387" s="12" t="s">
        <v>79</v>
      </c>
      <c r="X387" s="12" t="s">
        <v>80</v>
      </c>
      <c r="Y387" s="10" t="s">
        <v>111</v>
      </c>
      <c r="Z387" s="7" t="s">
        <v>688</v>
      </c>
      <c r="AA387" s="7" t="n">
        <v>51</v>
      </c>
      <c r="AB387" s="9" t="n">
        <v>0.238798049340218</v>
      </c>
    </row>
    <row r="388" customFormat="false" ht="57.45" hidden="false" customHeight="false" outlineLevel="0" collapsed="false">
      <c r="A388" s="7" t="n">
        <v>384</v>
      </c>
      <c r="B388" s="12" t="s">
        <v>107</v>
      </c>
      <c r="C388" s="10" t="s">
        <v>1579</v>
      </c>
      <c r="D388" s="12" t="s">
        <v>1419</v>
      </c>
      <c r="E388" s="12" t="s">
        <v>873</v>
      </c>
      <c r="F388" s="10" t="s">
        <v>874</v>
      </c>
      <c r="G388" s="12" t="s">
        <v>656</v>
      </c>
      <c r="H388" s="26" t="n">
        <v>93.7335</v>
      </c>
      <c r="I388" s="7" t="n">
        <v>28</v>
      </c>
      <c r="J388" s="7" t="n">
        <v>312</v>
      </c>
      <c r="K388" s="11" t="n">
        <v>59827.18</v>
      </c>
      <c r="L388" s="10" t="s">
        <v>108</v>
      </c>
      <c r="M388" s="26" t="n">
        <v>93.7335</v>
      </c>
      <c r="N388" s="12" t="s">
        <v>657</v>
      </c>
      <c r="O388" s="12" t="s">
        <v>77</v>
      </c>
      <c r="P388" s="10" t="s">
        <v>658</v>
      </c>
      <c r="Q388" s="30" t="s">
        <v>852</v>
      </c>
      <c r="R388" s="34" t="n">
        <v>1</v>
      </c>
      <c r="S388" s="11" t="n">
        <v>59827.2</v>
      </c>
      <c r="T388" s="10" t="s">
        <v>1456</v>
      </c>
      <c r="U388" s="7" t="n">
        <v>21</v>
      </c>
      <c r="V388" s="12" t="s">
        <v>109</v>
      </c>
      <c r="W388" s="12" t="s">
        <v>79</v>
      </c>
      <c r="X388" s="12" t="s">
        <v>80</v>
      </c>
      <c r="Y388" s="10" t="s">
        <v>111</v>
      </c>
      <c r="Z388" s="7" t="s">
        <v>106</v>
      </c>
      <c r="AA388" s="7" t="n">
        <v>6</v>
      </c>
      <c r="AB388" s="9" t="n">
        <v>0.829709313444253</v>
      </c>
    </row>
    <row r="389" customFormat="false" ht="79.85" hidden="false" customHeight="false" outlineLevel="0" collapsed="false">
      <c r="A389" s="7" t="n">
        <v>385</v>
      </c>
      <c r="B389" s="12" t="s">
        <v>540</v>
      </c>
      <c r="C389" s="10" t="s">
        <v>1580</v>
      </c>
      <c r="D389" s="12" t="s">
        <v>1419</v>
      </c>
      <c r="E389" s="12" t="s">
        <v>1581</v>
      </c>
      <c r="F389" s="10" t="s">
        <v>1582</v>
      </c>
      <c r="G389" s="12" t="s">
        <v>656</v>
      </c>
      <c r="H389" s="26" t="n">
        <v>53.0422</v>
      </c>
      <c r="I389" s="7" t="n">
        <v>3</v>
      </c>
      <c r="J389" s="7" t="n">
        <v>26</v>
      </c>
      <c r="K389" s="11" t="n">
        <v>140.86</v>
      </c>
      <c r="L389" s="10" t="s">
        <v>509</v>
      </c>
      <c r="M389" s="26" t="n">
        <v>53.0422</v>
      </c>
      <c r="N389" s="12" t="s">
        <v>657</v>
      </c>
      <c r="O389" s="12" t="s">
        <v>77</v>
      </c>
      <c r="P389" s="10" t="s">
        <v>658</v>
      </c>
      <c r="Q389" s="30" t="s">
        <v>1583</v>
      </c>
      <c r="R389" s="34" t="n">
        <v>1</v>
      </c>
      <c r="S389" s="11" t="n">
        <v>140.9</v>
      </c>
      <c r="T389" s="10" t="s">
        <v>1482</v>
      </c>
      <c r="U389" s="7" t="n">
        <v>31</v>
      </c>
      <c r="V389" s="12" t="s">
        <v>78</v>
      </c>
      <c r="W389" s="12" t="s">
        <v>79</v>
      </c>
      <c r="X389" s="12" t="s">
        <v>86</v>
      </c>
      <c r="Y389" s="10" t="s">
        <v>111</v>
      </c>
      <c r="Z389" s="7" t="s">
        <v>688</v>
      </c>
      <c r="AA389" s="7" t="n">
        <v>43</v>
      </c>
      <c r="AB389" s="9" t="n">
        <v>0.402036718301779</v>
      </c>
    </row>
    <row r="390" customFormat="false" ht="79.85" hidden="false" customHeight="false" outlineLevel="0" collapsed="false">
      <c r="A390" s="7" t="n">
        <v>386</v>
      </c>
      <c r="B390" s="12" t="s">
        <v>120</v>
      </c>
      <c r="C390" s="10" t="s">
        <v>1584</v>
      </c>
      <c r="D390" s="12" t="s">
        <v>1419</v>
      </c>
      <c r="E390" s="12" t="s">
        <v>877</v>
      </c>
      <c r="F390" s="10" t="s">
        <v>878</v>
      </c>
      <c r="G390" s="12" t="s">
        <v>656</v>
      </c>
      <c r="H390" s="26" t="n">
        <v>16.837</v>
      </c>
      <c r="I390" s="7" t="n">
        <v>31</v>
      </c>
      <c r="J390" s="7" t="n">
        <v>1644</v>
      </c>
      <c r="K390" s="11" t="n">
        <v>41889.23</v>
      </c>
      <c r="L390" s="10" t="s">
        <v>121</v>
      </c>
      <c r="M390" s="26" t="n">
        <v>16.837</v>
      </c>
      <c r="N390" s="12" t="s">
        <v>657</v>
      </c>
      <c r="O390" s="12" t="s">
        <v>77</v>
      </c>
      <c r="P390" s="10" t="s">
        <v>658</v>
      </c>
      <c r="Q390" s="30" t="s">
        <v>852</v>
      </c>
      <c r="R390" s="34" t="n">
        <v>0.990783410138249</v>
      </c>
      <c r="S390" s="11" t="n">
        <v>41503.2</v>
      </c>
      <c r="T390" s="10" t="s">
        <v>1585</v>
      </c>
      <c r="U390" s="7" t="n">
        <v>34</v>
      </c>
      <c r="V390" s="12" t="s">
        <v>103</v>
      </c>
      <c r="W390" s="12" t="s">
        <v>79</v>
      </c>
      <c r="X390" s="12" t="s">
        <v>86</v>
      </c>
      <c r="Y390" s="10" t="s">
        <v>104</v>
      </c>
      <c r="Z390" s="7" t="s">
        <v>106</v>
      </c>
      <c r="AA390" s="7" t="n">
        <v>10</v>
      </c>
      <c r="AB390" s="9" t="n">
        <v>0.745945687511953</v>
      </c>
    </row>
    <row r="391" customFormat="false" ht="57.45" hidden="false" customHeight="false" outlineLevel="0" collapsed="false">
      <c r="A391" s="7" t="n">
        <v>387</v>
      </c>
      <c r="B391" s="12" t="s">
        <v>342</v>
      </c>
      <c r="C391" s="10" t="s">
        <v>1586</v>
      </c>
      <c r="D391" s="12" t="s">
        <v>1419</v>
      </c>
      <c r="E391" s="12" t="s">
        <v>877</v>
      </c>
      <c r="F391" s="10" t="s">
        <v>878</v>
      </c>
      <c r="G391" s="12" t="s">
        <v>656</v>
      </c>
      <c r="H391" s="26" t="n">
        <v>22.2158</v>
      </c>
      <c r="I391" s="7" t="n">
        <v>29</v>
      </c>
      <c r="J391" s="7" t="n">
        <v>345</v>
      </c>
      <c r="K391" s="11" t="n">
        <v>2783.28</v>
      </c>
      <c r="L391" s="10" t="s">
        <v>343</v>
      </c>
      <c r="M391" s="26" t="n">
        <v>22.2158</v>
      </c>
      <c r="N391" s="12" t="s">
        <v>657</v>
      </c>
      <c r="O391" s="12" t="s">
        <v>102</v>
      </c>
      <c r="P391" s="10" t="s">
        <v>658</v>
      </c>
      <c r="Q391" s="30" t="s">
        <v>852</v>
      </c>
      <c r="R391" s="34" t="n">
        <v>0.995283018867925</v>
      </c>
      <c r="S391" s="11" t="n">
        <v>2770.2</v>
      </c>
      <c r="T391" s="10" t="s">
        <v>1515</v>
      </c>
      <c r="U391" s="7" t="n">
        <v>24</v>
      </c>
      <c r="V391" s="12" t="s">
        <v>539</v>
      </c>
      <c r="W391" s="12" t="s">
        <v>79</v>
      </c>
      <c r="X391" s="12" t="s">
        <v>86</v>
      </c>
      <c r="Y391" s="10" t="s">
        <v>104</v>
      </c>
      <c r="Z391" s="7" t="s">
        <v>688</v>
      </c>
      <c r="AA391" s="7" t="n">
        <v>41</v>
      </c>
      <c r="AB391" s="9" t="n">
        <v>0.412875310766877</v>
      </c>
    </row>
    <row r="392" customFormat="false" ht="79.85" hidden="false" customHeight="false" outlineLevel="0" collapsed="false">
      <c r="A392" s="7" t="n">
        <v>388</v>
      </c>
      <c r="B392" s="12" t="s">
        <v>142</v>
      </c>
      <c r="C392" s="10" t="s">
        <v>1587</v>
      </c>
      <c r="D392" s="12" t="s">
        <v>1419</v>
      </c>
      <c r="E392" s="12" t="s">
        <v>1588</v>
      </c>
      <c r="F392" s="10" t="s">
        <v>1506</v>
      </c>
      <c r="G392" s="12" t="s">
        <v>656</v>
      </c>
      <c r="H392" s="26" t="n">
        <v>62.0257</v>
      </c>
      <c r="I392" s="7" t="n">
        <v>14</v>
      </c>
      <c r="J392" s="7" t="n">
        <v>149</v>
      </c>
      <c r="K392" s="11" t="n">
        <v>5255.61</v>
      </c>
      <c r="L392" s="10" t="s">
        <v>143</v>
      </c>
      <c r="M392" s="26" t="n">
        <v>62.0257</v>
      </c>
      <c r="N392" s="12" t="s">
        <v>657</v>
      </c>
      <c r="O392" s="12" t="s">
        <v>77</v>
      </c>
      <c r="P392" s="10" t="s">
        <v>658</v>
      </c>
      <c r="Q392" s="30" t="s">
        <v>1589</v>
      </c>
      <c r="R392" s="34" t="n">
        <v>0.985294117647059</v>
      </c>
      <c r="S392" s="11" t="n">
        <v>5178.3</v>
      </c>
      <c r="T392" s="10" t="s">
        <v>1590</v>
      </c>
      <c r="U392" s="7" t="n">
        <v>30</v>
      </c>
      <c r="V392" s="12" t="s">
        <v>282</v>
      </c>
      <c r="W392" s="12" t="s">
        <v>79</v>
      </c>
      <c r="X392" s="12" t="s">
        <v>86</v>
      </c>
      <c r="Y392" s="10"/>
      <c r="Z392" s="7" t="s">
        <v>688</v>
      </c>
      <c r="AA392" s="7" t="n">
        <v>17</v>
      </c>
      <c r="AB392" s="9" t="n">
        <v>0.621552878179384</v>
      </c>
    </row>
    <row r="393" customFormat="false" ht="35.05" hidden="false" customHeight="false" outlineLevel="0" collapsed="false">
      <c r="A393" s="7" t="n">
        <v>389</v>
      </c>
      <c r="B393" s="12" t="s">
        <v>131</v>
      </c>
      <c r="C393" s="10" t="s">
        <v>1591</v>
      </c>
      <c r="D393" s="12" t="s">
        <v>1419</v>
      </c>
      <c r="E393" s="12" t="s">
        <v>1174</v>
      </c>
      <c r="F393" s="10" t="s">
        <v>1592</v>
      </c>
      <c r="G393" s="12" t="s">
        <v>656</v>
      </c>
      <c r="H393" s="26" t="n">
        <v>471.2665</v>
      </c>
      <c r="I393" s="7" t="n">
        <v>25</v>
      </c>
      <c r="J393" s="7" t="n">
        <v>42</v>
      </c>
      <c r="K393" s="11" t="n">
        <v>1874.63</v>
      </c>
      <c r="L393" s="10" t="s">
        <v>132</v>
      </c>
      <c r="M393" s="26" t="n">
        <v>471.2665</v>
      </c>
      <c r="N393" s="12" t="s">
        <v>657</v>
      </c>
      <c r="O393" s="12" t="s">
        <v>153</v>
      </c>
      <c r="P393" s="10" t="s">
        <v>658</v>
      </c>
      <c r="Q393" s="30" t="s">
        <v>852</v>
      </c>
      <c r="R393" s="34" t="n">
        <v>1</v>
      </c>
      <c r="S393" s="11" t="n">
        <v>1874.6</v>
      </c>
      <c r="T393" s="10" t="s">
        <v>1593</v>
      </c>
      <c r="U393" s="7" t="n">
        <v>9</v>
      </c>
      <c r="V393" s="12" t="s">
        <v>226</v>
      </c>
      <c r="W393" s="12" t="s">
        <v>79</v>
      </c>
      <c r="X393" s="12" t="s">
        <v>86</v>
      </c>
      <c r="Y393" s="10" t="s">
        <v>104</v>
      </c>
      <c r="Z393" s="7" t="s">
        <v>688</v>
      </c>
      <c r="AA393" s="7" t="n">
        <v>21</v>
      </c>
      <c r="AB393" s="9" t="n">
        <v>0.5934165232358</v>
      </c>
    </row>
    <row r="394" customFormat="false" ht="23.85" hidden="false" customHeight="false" outlineLevel="0" collapsed="false">
      <c r="A394" s="7" t="n">
        <v>390</v>
      </c>
      <c r="B394" s="12" t="s">
        <v>473</v>
      </c>
      <c r="C394" s="10" t="s">
        <v>1594</v>
      </c>
      <c r="D394" s="12" t="s">
        <v>1419</v>
      </c>
      <c r="E394" s="12" t="s">
        <v>1273</v>
      </c>
      <c r="F394" s="10" t="s">
        <v>1239</v>
      </c>
      <c r="G394" s="12" t="s">
        <v>656</v>
      </c>
      <c r="H394" s="26" t="n">
        <v>7.2659</v>
      </c>
      <c r="I394" s="7" t="n">
        <v>31</v>
      </c>
      <c r="J394" s="7" t="n">
        <v>3168</v>
      </c>
      <c r="K394" s="11" t="n">
        <v>130453.11</v>
      </c>
      <c r="L394" s="10" t="s">
        <v>474</v>
      </c>
      <c r="M394" s="26" t="n">
        <v>7.2659</v>
      </c>
      <c r="N394" s="12" t="s">
        <v>657</v>
      </c>
      <c r="O394" s="12" t="s">
        <v>102</v>
      </c>
      <c r="P394" s="10" t="s">
        <v>658</v>
      </c>
      <c r="Q394" s="30" t="s">
        <v>852</v>
      </c>
      <c r="R394" s="34" t="n">
        <v>0.103608949323645</v>
      </c>
      <c r="S394" s="11" t="n">
        <v>13516.1</v>
      </c>
      <c r="T394" s="10" t="s">
        <v>1512</v>
      </c>
      <c r="U394" s="7" t="n">
        <v>6</v>
      </c>
      <c r="V394" s="12" t="s">
        <v>187</v>
      </c>
      <c r="W394" s="12" t="s">
        <v>79</v>
      </c>
      <c r="X394" s="12" t="s">
        <v>80</v>
      </c>
      <c r="Y394" s="10" t="s">
        <v>111</v>
      </c>
      <c r="Z394" s="7" t="s">
        <v>688</v>
      </c>
      <c r="AA394" s="7" t="n">
        <v>42</v>
      </c>
      <c r="AB394" s="9" t="n">
        <v>0.411995601453433</v>
      </c>
    </row>
    <row r="395" customFormat="false" ht="23.85" hidden="false" customHeight="false" outlineLevel="0" collapsed="false">
      <c r="A395" s="7" t="n">
        <v>391</v>
      </c>
      <c r="B395" s="12" t="s">
        <v>423</v>
      </c>
      <c r="C395" s="10" t="s">
        <v>1595</v>
      </c>
      <c r="D395" s="12" t="s">
        <v>1419</v>
      </c>
      <c r="E395" s="12" t="s">
        <v>897</v>
      </c>
      <c r="F395" s="10" t="s">
        <v>1596</v>
      </c>
      <c r="G395" s="12" t="s">
        <v>656</v>
      </c>
      <c r="H395" s="26" t="n">
        <v>6.0681</v>
      </c>
      <c r="I395" s="7" t="n">
        <v>20</v>
      </c>
      <c r="J395" s="7" t="n">
        <v>347</v>
      </c>
      <c r="K395" s="11" t="n">
        <v>18803.98</v>
      </c>
      <c r="L395" s="10" t="s">
        <v>424</v>
      </c>
      <c r="M395" s="26" t="n">
        <v>6.0681</v>
      </c>
      <c r="N395" s="12" t="s">
        <v>657</v>
      </c>
      <c r="O395" s="12" t="s">
        <v>153</v>
      </c>
      <c r="P395" s="10" t="s">
        <v>658</v>
      </c>
      <c r="Q395" s="30" t="s">
        <v>1597</v>
      </c>
      <c r="R395" s="34" t="n">
        <v>0.334376150165624</v>
      </c>
      <c r="S395" s="11" t="n">
        <v>6287.6</v>
      </c>
      <c r="T395" s="10" t="s">
        <v>96</v>
      </c>
      <c r="U395" s="7" t="n">
        <v>1</v>
      </c>
      <c r="V395" s="12" t="s">
        <v>96</v>
      </c>
      <c r="W395" s="12" t="s">
        <v>79</v>
      </c>
      <c r="X395" s="12" t="s">
        <v>80</v>
      </c>
      <c r="Y395" s="10" t="s">
        <v>111</v>
      </c>
      <c r="Z395" s="7" t="s">
        <v>688</v>
      </c>
      <c r="AA395" s="7" t="n">
        <v>49</v>
      </c>
      <c r="AB395" s="9" t="n">
        <v>0.325420730541213</v>
      </c>
    </row>
    <row r="396" customFormat="false" ht="57.45" hidden="false" customHeight="false" outlineLevel="0" collapsed="false">
      <c r="A396" s="7" t="n">
        <v>392</v>
      </c>
      <c r="B396" s="12" t="s">
        <v>499</v>
      </c>
      <c r="C396" s="10" t="s">
        <v>1598</v>
      </c>
      <c r="D396" s="12" t="s">
        <v>1419</v>
      </c>
      <c r="E396" s="12" t="s">
        <v>1599</v>
      </c>
      <c r="F396" s="10" t="s">
        <v>1210</v>
      </c>
      <c r="G396" s="12" t="s">
        <v>656</v>
      </c>
      <c r="H396" s="26" t="n">
        <v>129.159</v>
      </c>
      <c r="I396" s="7" t="n">
        <v>30</v>
      </c>
      <c r="J396" s="7" t="n">
        <v>120</v>
      </c>
      <c r="K396" s="11" t="n">
        <v>5234.47</v>
      </c>
      <c r="L396" s="10" t="s">
        <v>500</v>
      </c>
      <c r="M396" s="26" t="n">
        <v>129.159</v>
      </c>
      <c r="N396" s="12" t="s">
        <v>657</v>
      </c>
      <c r="O396" s="12" t="s">
        <v>77</v>
      </c>
      <c r="P396" s="10" t="s">
        <v>658</v>
      </c>
      <c r="Q396" s="30" t="s">
        <v>852</v>
      </c>
      <c r="R396" s="34" t="n">
        <v>0.833333333333333</v>
      </c>
      <c r="S396" s="11" t="n">
        <v>4362.1</v>
      </c>
      <c r="T396" s="10" t="s">
        <v>1510</v>
      </c>
      <c r="U396" s="7" t="n">
        <v>23</v>
      </c>
      <c r="V396" s="12" t="s">
        <v>91</v>
      </c>
      <c r="W396" s="12" t="s">
        <v>79</v>
      </c>
      <c r="X396" s="12" t="s">
        <v>86</v>
      </c>
      <c r="Y396" s="10" t="s">
        <v>104</v>
      </c>
      <c r="Z396" s="7" t="s">
        <v>688</v>
      </c>
      <c r="AA396" s="7" t="n">
        <v>12</v>
      </c>
      <c r="AB396" s="9" t="n">
        <v>0.681177089309619</v>
      </c>
    </row>
    <row r="397" customFormat="false" ht="68.65" hidden="false" customHeight="false" outlineLevel="0" collapsed="false">
      <c r="A397" s="7" t="n">
        <v>393</v>
      </c>
      <c r="B397" s="12" t="s">
        <v>114</v>
      </c>
      <c r="C397" s="10" t="s">
        <v>1600</v>
      </c>
      <c r="D397" s="12" t="s">
        <v>1419</v>
      </c>
      <c r="E397" s="12" t="s">
        <v>890</v>
      </c>
      <c r="F397" s="10" t="s">
        <v>891</v>
      </c>
      <c r="G397" s="12" t="s">
        <v>663</v>
      </c>
      <c r="H397" s="26" t="n">
        <v>531.8684</v>
      </c>
      <c r="I397" s="7" t="n">
        <v>31</v>
      </c>
      <c r="J397" s="7" t="n">
        <v>146</v>
      </c>
      <c r="K397" s="11" t="n">
        <v>11366.06</v>
      </c>
      <c r="L397" s="10" t="s">
        <v>115</v>
      </c>
      <c r="M397" s="26" t="n">
        <v>531.8684</v>
      </c>
      <c r="N397" s="12" t="s">
        <v>657</v>
      </c>
      <c r="O397" s="12" t="s">
        <v>77</v>
      </c>
      <c r="P397" s="10" t="s">
        <v>658</v>
      </c>
      <c r="Q397" s="30" t="s">
        <v>852</v>
      </c>
      <c r="R397" s="34" t="n">
        <v>1</v>
      </c>
      <c r="S397" s="11" t="n">
        <v>11366.1</v>
      </c>
      <c r="T397" s="10" t="s">
        <v>1432</v>
      </c>
      <c r="U397" s="7" t="n">
        <v>30</v>
      </c>
      <c r="V397" s="12" t="s">
        <v>116</v>
      </c>
      <c r="W397" s="12" t="s">
        <v>85</v>
      </c>
      <c r="X397" s="12" t="s">
        <v>86</v>
      </c>
      <c r="Y397" s="10" t="s">
        <v>87</v>
      </c>
      <c r="Z397" s="7" t="s">
        <v>106</v>
      </c>
      <c r="AA397" s="7" t="n">
        <v>8</v>
      </c>
      <c r="AB397" s="9" t="n">
        <v>0.778294128896539</v>
      </c>
    </row>
    <row r="398" customFormat="false" ht="23.85" hidden="false" customHeight="false" outlineLevel="0" collapsed="false">
      <c r="A398" s="7" t="n">
        <v>394</v>
      </c>
      <c r="B398" s="12" t="s">
        <v>558</v>
      </c>
      <c r="C398" s="10" t="s">
        <v>1601</v>
      </c>
      <c r="D398" s="12" t="s">
        <v>1419</v>
      </c>
      <c r="E398" s="12" t="s">
        <v>1602</v>
      </c>
      <c r="F398" s="10" t="s">
        <v>1603</v>
      </c>
      <c r="G398" s="12" t="s">
        <v>656</v>
      </c>
      <c r="H398" s="26" t="n">
        <v>9.831</v>
      </c>
      <c r="I398" s="7" t="n">
        <v>17</v>
      </c>
      <c r="J398" s="7" t="n">
        <v>32</v>
      </c>
      <c r="K398" s="11" t="n">
        <v>457.96</v>
      </c>
      <c r="L398" s="10" t="s">
        <v>559</v>
      </c>
      <c r="M398" s="26" t="n">
        <v>9.831</v>
      </c>
      <c r="N398" s="12" t="s">
        <v>657</v>
      </c>
      <c r="O398" s="12" t="s">
        <v>153</v>
      </c>
      <c r="P398" s="10" t="s">
        <v>658</v>
      </c>
      <c r="Q398" s="30" t="s">
        <v>1604</v>
      </c>
      <c r="R398" s="34" t="n">
        <v>0.689259259259259</v>
      </c>
      <c r="S398" s="11" t="n">
        <v>315.7</v>
      </c>
      <c r="T398" s="10" t="s">
        <v>96</v>
      </c>
      <c r="U398" s="7" t="n">
        <v>1</v>
      </c>
      <c r="V398" s="12" t="s">
        <v>96</v>
      </c>
      <c r="W398" s="12" t="s">
        <v>97</v>
      </c>
      <c r="X398" s="12" t="s">
        <v>86</v>
      </c>
      <c r="Y398" s="10"/>
      <c r="Z398" s="7" t="s">
        <v>688</v>
      </c>
      <c r="AA398" s="7" t="n">
        <v>56</v>
      </c>
      <c r="AB398" s="9" t="n">
        <v>0.156291834002677</v>
      </c>
    </row>
    <row r="399" customFormat="false" ht="79.85" hidden="false" customHeight="false" outlineLevel="0" collapsed="false">
      <c r="A399" s="7" t="n">
        <v>395</v>
      </c>
      <c r="B399" s="12" t="s">
        <v>368</v>
      </c>
      <c r="C399" s="10" t="s">
        <v>1470</v>
      </c>
      <c r="D399" s="12" t="s">
        <v>1419</v>
      </c>
      <c r="E399" s="12" t="s">
        <v>1605</v>
      </c>
      <c r="F399" s="10" t="s">
        <v>1606</v>
      </c>
      <c r="G399" s="12" t="s">
        <v>663</v>
      </c>
      <c r="H399" s="26" t="n">
        <v>93.8126</v>
      </c>
      <c r="I399" s="7" t="n">
        <v>29</v>
      </c>
      <c r="J399" s="7" t="n">
        <v>116</v>
      </c>
      <c r="K399" s="11" t="n">
        <v>1162.12</v>
      </c>
      <c r="L399" s="10" t="s">
        <v>369</v>
      </c>
      <c r="M399" s="26" t="n">
        <v>93.8126</v>
      </c>
      <c r="N399" s="12" t="s">
        <v>657</v>
      </c>
      <c r="O399" s="12" t="s">
        <v>77</v>
      </c>
      <c r="P399" s="10" t="s">
        <v>658</v>
      </c>
      <c r="Q399" s="30" t="s">
        <v>852</v>
      </c>
      <c r="R399" s="34" t="n">
        <v>0.444974105461394</v>
      </c>
      <c r="S399" s="11" t="n">
        <v>517.1</v>
      </c>
      <c r="T399" s="10" t="s">
        <v>1430</v>
      </c>
      <c r="U399" s="7" t="n">
        <v>32</v>
      </c>
      <c r="V399" s="12" t="s">
        <v>538</v>
      </c>
      <c r="W399" s="12" t="s">
        <v>85</v>
      </c>
      <c r="X399" s="12" t="s">
        <v>86</v>
      </c>
      <c r="Y399" s="10" t="s">
        <v>87</v>
      </c>
      <c r="Z399" s="7" t="s">
        <v>688</v>
      </c>
      <c r="AA399" s="7" t="n">
        <v>39</v>
      </c>
      <c r="AB399" s="9" t="n">
        <v>0.44469305794607</v>
      </c>
    </row>
    <row r="400" customFormat="false" ht="23.85" hidden="false" customHeight="false" outlineLevel="0" collapsed="false">
      <c r="A400" s="7" t="n">
        <v>396</v>
      </c>
      <c r="B400" s="12" t="s">
        <v>515</v>
      </c>
      <c r="C400" s="10" t="s">
        <v>1607</v>
      </c>
      <c r="D400" s="12" t="s">
        <v>1419</v>
      </c>
      <c r="E400" s="12" t="s">
        <v>1608</v>
      </c>
      <c r="F400" s="10" t="s">
        <v>878</v>
      </c>
      <c r="G400" s="12" t="s">
        <v>656</v>
      </c>
      <c r="H400" s="26" t="n">
        <v>149.0357</v>
      </c>
      <c r="I400" s="7" t="n">
        <v>27</v>
      </c>
      <c r="J400" s="7" t="n">
        <v>40</v>
      </c>
      <c r="K400" s="11" t="n">
        <v>2015.78</v>
      </c>
      <c r="L400" s="10" t="s">
        <v>516</v>
      </c>
      <c r="M400" s="26" t="n">
        <v>149.0357</v>
      </c>
      <c r="N400" s="12" t="s">
        <v>657</v>
      </c>
      <c r="O400" s="12" t="s">
        <v>153</v>
      </c>
      <c r="P400" s="10" t="s">
        <v>658</v>
      </c>
      <c r="Q400" s="30" t="s">
        <v>852</v>
      </c>
      <c r="R400" s="34" t="n">
        <v>0.922757475083057</v>
      </c>
      <c r="S400" s="11" t="n">
        <v>1860.1</v>
      </c>
      <c r="T400" s="10" t="s">
        <v>1609</v>
      </c>
      <c r="U400" s="7" t="n">
        <v>5</v>
      </c>
      <c r="V400" s="12" t="s">
        <v>517</v>
      </c>
      <c r="W400" s="12" t="s">
        <v>79</v>
      </c>
      <c r="X400" s="12" t="s">
        <v>86</v>
      </c>
      <c r="Y400" s="10" t="s">
        <v>104</v>
      </c>
      <c r="Z400" s="7" t="s">
        <v>688</v>
      </c>
      <c r="AA400" s="7" t="n">
        <v>27</v>
      </c>
      <c r="AB400" s="9" t="n">
        <v>0.531593038821955</v>
      </c>
    </row>
    <row r="401" customFormat="false" ht="23.85" hidden="false" customHeight="false" outlineLevel="0" collapsed="false">
      <c r="A401" s="7" t="n">
        <v>397</v>
      </c>
      <c r="B401" s="12" t="s">
        <v>128</v>
      </c>
      <c r="C401" s="10" t="s">
        <v>1610</v>
      </c>
      <c r="D401" s="12" t="s">
        <v>1419</v>
      </c>
      <c r="E401" s="12" t="s">
        <v>893</v>
      </c>
      <c r="F401" s="10" t="s">
        <v>1246</v>
      </c>
      <c r="G401" s="12" t="s">
        <v>656</v>
      </c>
      <c r="H401" s="26" t="n">
        <v>147.804</v>
      </c>
      <c r="I401" s="7" t="n">
        <v>28</v>
      </c>
      <c r="J401" s="7" t="n">
        <v>257</v>
      </c>
      <c r="K401" s="11" t="n">
        <v>4183.29</v>
      </c>
      <c r="L401" s="10" t="s">
        <v>129</v>
      </c>
      <c r="M401" s="26" t="n">
        <v>147.804</v>
      </c>
      <c r="N401" s="12" t="s">
        <v>657</v>
      </c>
      <c r="O401" s="12" t="s">
        <v>153</v>
      </c>
      <c r="P401" s="10" t="s">
        <v>658</v>
      </c>
      <c r="Q401" s="30" t="s">
        <v>1388</v>
      </c>
      <c r="R401" s="34" t="n">
        <v>0.689888576486515</v>
      </c>
      <c r="S401" s="11" t="n">
        <v>2886</v>
      </c>
      <c r="T401" s="10" t="s">
        <v>175</v>
      </c>
      <c r="U401" s="7" t="n">
        <v>2</v>
      </c>
      <c r="V401" s="12" t="s">
        <v>175</v>
      </c>
      <c r="W401" s="12" t="s">
        <v>79</v>
      </c>
      <c r="X401" s="12" t="s">
        <v>86</v>
      </c>
      <c r="Y401" s="10" t="s">
        <v>81</v>
      </c>
      <c r="Z401" s="7" t="s">
        <v>688</v>
      </c>
      <c r="AA401" s="7" t="n">
        <v>20</v>
      </c>
      <c r="AB401" s="9" t="n">
        <v>0.596270797475617</v>
      </c>
    </row>
    <row r="402" customFormat="false" ht="46.25" hidden="false" customHeight="false" outlineLevel="0" collapsed="false">
      <c r="A402" s="7" t="n">
        <v>398</v>
      </c>
      <c r="B402" s="12" t="s">
        <v>151</v>
      </c>
      <c r="C402" s="10" t="s">
        <v>1611</v>
      </c>
      <c r="D402" s="12" t="s">
        <v>1419</v>
      </c>
      <c r="E402" s="12" t="s">
        <v>1612</v>
      </c>
      <c r="F402" s="10" t="s">
        <v>1613</v>
      </c>
      <c r="G402" s="12" t="s">
        <v>656</v>
      </c>
      <c r="H402" s="26" t="n">
        <v>27.9449</v>
      </c>
      <c r="I402" s="7" t="n">
        <v>26</v>
      </c>
      <c r="J402" s="7" t="n">
        <v>544</v>
      </c>
      <c r="K402" s="11" t="n">
        <v>7654.85</v>
      </c>
      <c r="L402" s="10" t="s">
        <v>152</v>
      </c>
      <c r="M402" s="26" t="n">
        <v>27.9449</v>
      </c>
      <c r="N402" s="12" t="s">
        <v>657</v>
      </c>
      <c r="O402" s="12" t="s">
        <v>102</v>
      </c>
      <c r="P402" s="10" t="s">
        <v>658</v>
      </c>
      <c r="Q402" s="30" t="s">
        <v>852</v>
      </c>
      <c r="R402" s="34" t="n">
        <v>0.882348668280872</v>
      </c>
      <c r="S402" s="11" t="n">
        <v>6754.2</v>
      </c>
      <c r="T402" s="10" t="s">
        <v>1501</v>
      </c>
      <c r="U402" s="7" t="n">
        <v>19</v>
      </c>
      <c r="V402" s="12" t="s">
        <v>130</v>
      </c>
      <c r="W402" s="12" t="s">
        <v>79</v>
      </c>
      <c r="X402" s="12" t="s">
        <v>80</v>
      </c>
      <c r="Y402" s="10" t="s">
        <v>81</v>
      </c>
      <c r="Z402" s="7" t="s">
        <v>688</v>
      </c>
      <c r="AA402" s="7" t="n">
        <v>11</v>
      </c>
      <c r="AB402" s="9" t="n">
        <v>0.716427615222796</v>
      </c>
    </row>
    <row r="403" customFormat="false" ht="23.85" hidden="false" customHeight="false" outlineLevel="0" collapsed="false">
      <c r="A403" s="7" t="n">
        <v>399</v>
      </c>
      <c r="B403" s="12" t="s">
        <v>530</v>
      </c>
      <c r="C403" s="10" t="s">
        <v>1614</v>
      </c>
      <c r="D403" s="12" t="s">
        <v>1419</v>
      </c>
      <c r="E403" s="12" t="s">
        <v>877</v>
      </c>
      <c r="F403" s="10" t="s">
        <v>878</v>
      </c>
      <c r="G403" s="12" t="s">
        <v>656</v>
      </c>
      <c r="H403" s="26" t="n">
        <v>122.2095</v>
      </c>
      <c r="I403" s="7" t="n">
        <v>16</v>
      </c>
      <c r="J403" s="7" t="n">
        <v>43</v>
      </c>
      <c r="K403" s="11" t="n">
        <v>693.76</v>
      </c>
      <c r="L403" s="10" t="s">
        <v>531</v>
      </c>
      <c r="M403" s="26" t="n">
        <v>122.2095</v>
      </c>
      <c r="N403" s="12" t="s">
        <v>657</v>
      </c>
      <c r="O403" s="12" t="s">
        <v>153</v>
      </c>
      <c r="P403" s="10" t="s">
        <v>658</v>
      </c>
      <c r="Q403" s="30" t="s">
        <v>852</v>
      </c>
      <c r="R403" s="34" t="n">
        <v>0.833333333333333</v>
      </c>
      <c r="S403" s="11" t="n">
        <v>578.1</v>
      </c>
      <c r="T403" s="10" t="s">
        <v>1615</v>
      </c>
      <c r="U403" s="7" t="n">
        <v>4</v>
      </c>
      <c r="V403" s="12" t="s">
        <v>532</v>
      </c>
      <c r="W403" s="12" t="s">
        <v>79</v>
      </c>
      <c r="X403" s="12" t="s">
        <v>86</v>
      </c>
      <c r="Y403" s="10" t="s">
        <v>104</v>
      </c>
      <c r="Z403" s="7" t="s">
        <v>688</v>
      </c>
      <c r="AA403" s="7" t="n">
        <v>36</v>
      </c>
      <c r="AB403" s="9" t="n">
        <v>0.461584432969975</v>
      </c>
    </row>
    <row r="404" customFormat="false" ht="57.45" hidden="false" customHeight="false" outlineLevel="0" collapsed="false">
      <c r="A404" s="7" t="n">
        <v>400</v>
      </c>
      <c r="B404" s="12" t="s">
        <v>210</v>
      </c>
      <c r="C404" s="10" t="s">
        <v>1616</v>
      </c>
      <c r="D404" s="12" t="s">
        <v>1419</v>
      </c>
      <c r="E404" s="12" t="s">
        <v>907</v>
      </c>
      <c r="F404" s="10" t="s">
        <v>908</v>
      </c>
      <c r="G404" s="12" t="s">
        <v>656</v>
      </c>
      <c r="H404" s="26" t="n">
        <v>5.3223</v>
      </c>
      <c r="I404" s="7" t="n">
        <v>30</v>
      </c>
      <c r="J404" s="7" t="n">
        <v>2546</v>
      </c>
      <c r="K404" s="11" t="n">
        <v>46507.62</v>
      </c>
      <c r="L404" s="10" t="s">
        <v>211</v>
      </c>
      <c r="M404" s="26" t="n">
        <v>5.3223</v>
      </c>
      <c r="N404" s="12" t="s">
        <v>657</v>
      </c>
      <c r="O404" s="12" t="s">
        <v>77</v>
      </c>
      <c r="P404" s="10" t="s">
        <v>658</v>
      </c>
      <c r="Q404" s="30" t="s">
        <v>852</v>
      </c>
      <c r="R404" s="34" t="n">
        <v>0.378228374732698</v>
      </c>
      <c r="S404" s="11" t="n">
        <v>17590.5</v>
      </c>
      <c r="T404" s="10" t="s">
        <v>1425</v>
      </c>
      <c r="U404" s="7" t="n">
        <v>27</v>
      </c>
      <c r="V404" s="12" t="s">
        <v>116</v>
      </c>
      <c r="W404" s="12" t="s">
        <v>172</v>
      </c>
      <c r="X404" s="12" t="s">
        <v>86</v>
      </c>
      <c r="Y404" s="10"/>
      <c r="Z404" s="7" t="s">
        <v>688</v>
      </c>
      <c r="AA404" s="7" t="n">
        <v>19</v>
      </c>
      <c r="AB404" s="9" t="n">
        <v>0.602065404475043</v>
      </c>
    </row>
    <row r="405" customFormat="false" ht="57.45" hidden="false" customHeight="false" outlineLevel="0" collapsed="false">
      <c r="A405" s="7" t="n">
        <v>401</v>
      </c>
      <c r="B405" s="12" t="s">
        <v>210</v>
      </c>
      <c r="C405" s="10" t="s">
        <v>1616</v>
      </c>
      <c r="D405" s="12" t="s">
        <v>1419</v>
      </c>
      <c r="E405" s="12" t="s">
        <v>907</v>
      </c>
      <c r="F405" s="10" t="s">
        <v>908</v>
      </c>
      <c r="G405" s="12" t="s">
        <v>656</v>
      </c>
      <c r="H405" s="26" t="n">
        <v>5.3223</v>
      </c>
      <c r="I405" s="7" t="n">
        <v>28</v>
      </c>
      <c r="J405" s="7" t="n">
        <v>2546</v>
      </c>
      <c r="K405" s="11" t="n">
        <v>46507.62</v>
      </c>
      <c r="L405" s="10" t="s">
        <v>211</v>
      </c>
      <c r="M405" s="26" t="n">
        <v>5.3223</v>
      </c>
      <c r="N405" s="12" t="s">
        <v>657</v>
      </c>
      <c r="O405" s="12" t="s">
        <v>77</v>
      </c>
      <c r="P405" s="10" t="s">
        <v>658</v>
      </c>
      <c r="Q405" s="30" t="s">
        <v>852</v>
      </c>
      <c r="R405" s="34" t="n">
        <v>0.378228374732698</v>
      </c>
      <c r="S405" s="11" t="n">
        <v>17590.5</v>
      </c>
      <c r="T405" s="10" t="s">
        <v>1425</v>
      </c>
      <c r="U405" s="7" t="n">
        <v>27</v>
      </c>
      <c r="V405" s="12" t="s">
        <v>116</v>
      </c>
      <c r="W405" s="12" t="s">
        <v>172</v>
      </c>
      <c r="X405" s="12" t="s">
        <v>86</v>
      </c>
      <c r="Y405" s="10"/>
      <c r="Z405" s="7" t="s">
        <v>688</v>
      </c>
      <c r="AA405" s="7" t="n">
        <v>19</v>
      </c>
      <c r="AB405" s="9" t="n">
        <v>0.602065404475043</v>
      </c>
    </row>
    <row r="406" customFormat="false" ht="79.85" hidden="false" customHeight="false" outlineLevel="0" collapsed="false">
      <c r="A406" s="7" t="n">
        <v>402</v>
      </c>
      <c r="B406" s="12" t="s">
        <v>400</v>
      </c>
      <c r="C406" s="10" t="s">
        <v>1474</v>
      </c>
      <c r="D406" s="12" t="s">
        <v>1419</v>
      </c>
      <c r="E406" s="12" t="s">
        <v>1182</v>
      </c>
      <c r="F406" s="10" t="s">
        <v>878</v>
      </c>
      <c r="G406" s="12" t="s">
        <v>656</v>
      </c>
      <c r="H406" s="26" t="n">
        <v>96.9427</v>
      </c>
      <c r="I406" s="7" t="n">
        <v>27</v>
      </c>
      <c r="J406" s="7" t="n">
        <v>119</v>
      </c>
      <c r="K406" s="11" t="n">
        <v>3113.83</v>
      </c>
      <c r="L406" s="10" t="s">
        <v>401</v>
      </c>
      <c r="M406" s="26" t="n">
        <v>96.9427</v>
      </c>
      <c r="N406" s="12" t="s">
        <v>657</v>
      </c>
      <c r="O406" s="12" t="s">
        <v>77</v>
      </c>
      <c r="P406" s="10" t="s">
        <v>658</v>
      </c>
      <c r="Q406" s="30" t="s">
        <v>852</v>
      </c>
      <c r="R406" s="34" t="n">
        <v>0.899884259259259</v>
      </c>
      <c r="S406" s="11" t="n">
        <v>2802.1</v>
      </c>
      <c r="T406" s="10" t="s">
        <v>1478</v>
      </c>
      <c r="U406" s="7" t="n">
        <v>32</v>
      </c>
      <c r="V406" s="12" t="s">
        <v>78</v>
      </c>
      <c r="W406" s="12" t="s">
        <v>79</v>
      </c>
      <c r="X406" s="12" t="s">
        <v>86</v>
      </c>
      <c r="Y406" s="10"/>
      <c r="Z406" s="7" t="s">
        <v>688</v>
      </c>
      <c r="AA406" s="7" t="n">
        <v>29</v>
      </c>
      <c r="AB406" s="9" t="n">
        <v>0.51747466054695</v>
      </c>
    </row>
    <row r="407" customFormat="false" ht="35.05" hidden="false" customHeight="false" outlineLevel="0" collapsed="false">
      <c r="A407" s="7" t="n">
        <v>403</v>
      </c>
      <c r="B407" s="12" t="s">
        <v>180</v>
      </c>
      <c r="C407" s="10" t="s">
        <v>1617</v>
      </c>
      <c r="D407" s="12" t="s">
        <v>1419</v>
      </c>
      <c r="E407" s="12" t="s">
        <v>1273</v>
      </c>
      <c r="F407" s="10" t="s">
        <v>1239</v>
      </c>
      <c r="G407" s="12" t="s">
        <v>656</v>
      </c>
      <c r="H407" s="26" t="n">
        <v>5.5596</v>
      </c>
      <c r="I407" s="7" t="n">
        <v>31</v>
      </c>
      <c r="J407" s="7" t="n">
        <v>3515</v>
      </c>
      <c r="K407" s="11" t="n">
        <v>140084.73</v>
      </c>
      <c r="L407" s="10" t="s">
        <v>181</v>
      </c>
      <c r="M407" s="26" t="n">
        <v>5.5596</v>
      </c>
      <c r="N407" s="12" t="s">
        <v>657</v>
      </c>
      <c r="O407" s="12" t="s">
        <v>153</v>
      </c>
      <c r="P407" s="10" t="s">
        <v>658</v>
      </c>
      <c r="Q407" s="30" t="s">
        <v>852</v>
      </c>
      <c r="R407" s="34" t="n">
        <v>0.251824206147514</v>
      </c>
      <c r="S407" s="11" t="n">
        <v>35276.7</v>
      </c>
      <c r="T407" s="10" t="s">
        <v>1493</v>
      </c>
      <c r="U407" s="7" t="n">
        <v>14</v>
      </c>
      <c r="V407" s="12" t="s">
        <v>529</v>
      </c>
      <c r="W407" s="12" t="s">
        <v>79</v>
      </c>
      <c r="X407" s="12" t="s">
        <v>80</v>
      </c>
      <c r="Y407" s="10" t="s">
        <v>111</v>
      </c>
      <c r="Z407" s="7" t="s">
        <v>688</v>
      </c>
      <c r="AA407" s="7" t="n">
        <v>35</v>
      </c>
      <c r="AB407" s="9" t="n">
        <v>0.468574297188755</v>
      </c>
    </row>
    <row r="408" customFormat="false" ht="23.85" hidden="false" customHeight="false" outlineLevel="0" collapsed="false">
      <c r="A408" s="7" t="n">
        <v>404</v>
      </c>
      <c r="B408" s="12" t="s">
        <v>561</v>
      </c>
      <c r="C408" s="10" t="s">
        <v>1618</v>
      </c>
      <c r="D408" s="12" t="s">
        <v>1419</v>
      </c>
      <c r="E408" s="12" t="s">
        <v>1619</v>
      </c>
      <c r="F408" s="10"/>
      <c r="G408" s="12"/>
      <c r="H408" s="26"/>
      <c r="I408" s="7" t="n">
        <v>20</v>
      </c>
      <c r="J408" s="7" t="n">
        <v>627</v>
      </c>
      <c r="K408" s="11" t="n">
        <v>6050.02</v>
      </c>
      <c r="L408" s="10" t="s">
        <v>562</v>
      </c>
      <c r="M408" s="35" t="n">
        <v>4.49</v>
      </c>
      <c r="N408" s="12" t="s">
        <v>664</v>
      </c>
      <c r="O408" s="12" t="s">
        <v>102</v>
      </c>
      <c r="P408" s="10" t="s">
        <v>1620</v>
      </c>
      <c r="Q408" s="30" t="s">
        <v>1621</v>
      </c>
      <c r="R408" s="34" t="n">
        <v>0.332148543177955</v>
      </c>
      <c r="S408" s="11" t="n">
        <v>2009.5</v>
      </c>
      <c r="T408" s="10" t="s">
        <v>1551</v>
      </c>
      <c r="U408" s="7" t="n">
        <v>2</v>
      </c>
      <c r="V408" s="12" t="s">
        <v>96</v>
      </c>
      <c r="W408" s="12" t="s">
        <v>97</v>
      </c>
      <c r="X408" s="12" t="s">
        <v>86</v>
      </c>
      <c r="Y408" s="10"/>
      <c r="Z408" s="7" t="s">
        <v>676</v>
      </c>
      <c r="AA408" s="7"/>
      <c r="AB408" s="9" t="n">
        <v>0.265060240963855</v>
      </c>
    </row>
    <row r="409" customFormat="false" ht="79.85" hidden="false" customHeight="false" outlineLevel="0" collapsed="false">
      <c r="A409" s="7" t="n">
        <v>405</v>
      </c>
      <c r="B409" s="12" t="s">
        <v>112</v>
      </c>
      <c r="C409" s="10" t="s">
        <v>1622</v>
      </c>
      <c r="D409" s="12" t="s">
        <v>1419</v>
      </c>
      <c r="E409" s="12" t="s">
        <v>910</v>
      </c>
      <c r="F409" s="10" t="s">
        <v>836</v>
      </c>
      <c r="G409" s="12" t="s">
        <v>656</v>
      </c>
      <c r="H409" s="26" t="n">
        <v>7322.4226</v>
      </c>
      <c r="I409" s="7" t="n">
        <v>25</v>
      </c>
      <c r="J409" s="7" t="n">
        <v>47</v>
      </c>
      <c r="K409" s="11" t="n">
        <v>7904.67</v>
      </c>
      <c r="L409" s="10" t="s">
        <v>113</v>
      </c>
      <c r="M409" s="26" t="n">
        <v>7322.4226</v>
      </c>
      <c r="N409" s="12" t="s">
        <v>657</v>
      </c>
      <c r="O409" s="12" t="s">
        <v>77</v>
      </c>
      <c r="P409" s="10" t="s">
        <v>658</v>
      </c>
      <c r="Q409" s="30" t="s">
        <v>852</v>
      </c>
      <c r="R409" s="34" t="n">
        <v>1</v>
      </c>
      <c r="S409" s="11" t="n">
        <v>7904.7</v>
      </c>
      <c r="T409" s="10" t="s">
        <v>1467</v>
      </c>
      <c r="U409" s="7" t="n">
        <v>32</v>
      </c>
      <c r="V409" s="12" t="s">
        <v>78</v>
      </c>
      <c r="W409" s="12" t="s">
        <v>79</v>
      </c>
      <c r="X409" s="12" t="s">
        <v>86</v>
      </c>
      <c r="Y409" s="10"/>
      <c r="Z409" s="7" t="s">
        <v>106</v>
      </c>
      <c r="AA409" s="7" t="n">
        <v>7</v>
      </c>
      <c r="AB409" s="9" t="n">
        <v>0.818951998470071</v>
      </c>
    </row>
    <row r="410" customFormat="false" ht="35.05" hidden="false" customHeight="false" outlineLevel="0" collapsed="false">
      <c r="A410" s="7" t="n">
        <v>406</v>
      </c>
      <c r="B410" s="12" t="s">
        <v>240</v>
      </c>
      <c r="C410" s="10" t="s">
        <v>1623</v>
      </c>
      <c r="D410" s="12" t="s">
        <v>1419</v>
      </c>
      <c r="E410" s="12" t="s">
        <v>1393</v>
      </c>
      <c r="F410" s="10" t="s">
        <v>1624</v>
      </c>
      <c r="G410" s="12" t="s">
        <v>656</v>
      </c>
      <c r="H410" s="26" t="n">
        <v>5.0963</v>
      </c>
      <c r="I410" s="7" t="n">
        <v>30</v>
      </c>
      <c r="J410" s="7" t="n">
        <v>264</v>
      </c>
      <c r="K410" s="11" t="n">
        <v>20408.58</v>
      </c>
      <c r="L410" s="10" t="s">
        <v>241</v>
      </c>
      <c r="M410" s="26" t="n">
        <v>5.0963</v>
      </c>
      <c r="N410" s="12" t="s">
        <v>657</v>
      </c>
      <c r="O410" s="12" t="s">
        <v>102</v>
      </c>
      <c r="P410" s="10" t="s">
        <v>658</v>
      </c>
      <c r="Q410" s="30" t="s">
        <v>852</v>
      </c>
      <c r="R410" s="34" t="n">
        <v>0.989010989010989</v>
      </c>
      <c r="S410" s="11" t="n">
        <v>20184.3</v>
      </c>
      <c r="T410" s="10" t="s">
        <v>1625</v>
      </c>
      <c r="U410" s="7" t="n">
        <v>12</v>
      </c>
      <c r="V410" s="12" t="s">
        <v>379</v>
      </c>
      <c r="W410" s="12" t="s">
        <v>172</v>
      </c>
      <c r="X410" s="12" t="s">
        <v>86</v>
      </c>
      <c r="Y410" s="10"/>
      <c r="Z410" s="7" t="s">
        <v>688</v>
      </c>
      <c r="AA410" s="7" t="n">
        <v>46</v>
      </c>
      <c r="AB410" s="9" t="n">
        <v>0.394984700707592</v>
      </c>
    </row>
    <row r="411" customFormat="false" ht="46.25" hidden="false" customHeight="false" outlineLevel="0" collapsed="false">
      <c r="A411" s="7" t="n">
        <v>407</v>
      </c>
      <c r="B411" s="12" t="s">
        <v>117</v>
      </c>
      <c r="C411" s="10" t="s">
        <v>1626</v>
      </c>
      <c r="D411" s="12" t="s">
        <v>1419</v>
      </c>
      <c r="E411" s="12" t="s">
        <v>1183</v>
      </c>
      <c r="F411" s="10" t="s">
        <v>1080</v>
      </c>
      <c r="G411" s="12" t="s">
        <v>656</v>
      </c>
      <c r="H411" s="26" t="n">
        <v>92.0498</v>
      </c>
      <c r="I411" s="7" t="n">
        <v>31</v>
      </c>
      <c r="J411" s="7" t="n">
        <v>346</v>
      </c>
      <c r="K411" s="11" t="n">
        <v>32830.17</v>
      </c>
      <c r="L411" s="10" t="s">
        <v>118</v>
      </c>
      <c r="M411" s="26" t="n">
        <v>92.0498</v>
      </c>
      <c r="N411" s="12" t="s">
        <v>657</v>
      </c>
      <c r="O411" s="12" t="s">
        <v>77</v>
      </c>
      <c r="P411" s="10" t="s">
        <v>658</v>
      </c>
      <c r="Q411" s="30" t="s">
        <v>852</v>
      </c>
      <c r="R411" s="34" t="n">
        <v>1</v>
      </c>
      <c r="S411" s="11" t="n">
        <v>32830.2</v>
      </c>
      <c r="T411" s="10" t="s">
        <v>1462</v>
      </c>
      <c r="U411" s="7" t="n">
        <v>21</v>
      </c>
      <c r="V411" s="12" t="s">
        <v>119</v>
      </c>
      <c r="W411" s="12" t="s">
        <v>79</v>
      </c>
      <c r="X411" s="12" t="s">
        <v>86</v>
      </c>
      <c r="Y411" s="10"/>
      <c r="Z411" s="7" t="s">
        <v>106</v>
      </c>
      <c r="AA411" s="7" t="n">
        <v>9</v>
      </c>
      <c r="AB411" s="9" t="n">
        <v>0.772968062727099</v>
      </c>
    </row>
    <row r="412" customFormat="false" ht="23.85" hidden="false" customHeight="false" outlineLevel="0" collapsed="false">
      <c r="A412" s="7" t="n">
        <v>408</v>
      </c>
      <c r="B412" s="12" t="s">
        <v>178</v>
      </c>
      <c r="C412" s="10" t="s">
        <v>1627</v>
      </c>
      <c r="D412" s="12" t="s">
        <v>1419</v>
      </c>
      <c r="E412" s="12" t="s">
        <v>1628</v>
      </c>
      <c r="F412" s="10" t="s">
        <v>1629</v>
      </c>
      <c r="G412" s="12" t="s">
        <v>656</v>
      </c>
      <c r="H412" s="26" t="n">
        <v>35.2673</v>
      </c>
      <c r="I412" s="7" t="n">
        <v>26</v>
      </c>
      <c r="J412" s="7" t="n">
        <v>106</v>
      </c>
      <c r="K412" s="11" t="n">
        <v>7074.72</v>
      </c>
      <c r="L412" s="10" t="s">
        <v>179</v>
      </c>
      <c r="M412" s="26" t="n">
        <v>35.2673</v>
      </c>
      <c r="N412" s="12" t="s">
        <v>657</v>
      </c>
      <c r="O412" s="12" t="s">
        <v>153</v>
      </c>
      <c r="P412" s="10" t="s">
        <v>658</v>
      </c>
      <c r="Q412" s="30" t="s">
        <v>871</v>
      </c>
      <c r="R412" s="34" t="n">
        <v>0.9375</v>
      </c>
      <c r="S412" s="11" t="n">
        <v>6632.6</v>
      </c>
      <c r="T412" s="10" t="s">
        <v>1630</v>
      </c>
      <c r="U412" s="7" t="n">
        <v>3</v>
      </c>
      <c r="V412" s="12" t="s">
        <v>323</v>
      </c>
      <c r="W412" s="12" t="s">
        <v>79</v>
      </c>
      <c r="X412" s="12" t="s">
        <v>80</v>
      </c>
      <c r="Y412" s="10" t="s">
        <v>111</v>
      </c>
      <c r="Z412" s="7" t="s">
        <v>688</v>
      </c>
      <c r="AA412" s="7" t="n">
        <v>22</v>
      </c>
      <c r="AB412" s="9" t="n">
        <v>0.589849875693249</v>
      </c>
    </row>
    <row r="413" customFormat="false" ht="57.45" hidden="false" customHeight="false" outlineLevel="0" collapsed="false">
      <c r="A413" s="7" t="n">
        <v>409</v>
      </c>
      <c r="B413" s="12" t="s">
        <v>403</v>
      </c>
      <c r="C413" s="10" t="s">
        <v>1631</v>
      </c>
      <c r="D413" s="12" t="s">
        <v>1419</v>
      </c>
      <c r="E413" s="12" t="s">
        <v>1393</v>
      </c>
      <c r="F413" s="10" t="s">
        <v>878</v>
      </c>
      <c r="G413" s="12" t="s">
        <v>656</v>
      </c>
      <c r="H413" s="26" t="n">
        <v>113.7345</v>
      </c>
      <c r="I413" s="7" t="n">
        <v>29</v>
      </c>
      <c r="J413" s="7" t="n">
        <v>93</v>
      </c>
      <c r="K413" s="11" t="n">
        <v>528.18</v>
      </c>
      <c r="L413" s="10" t="s">
        <v>404</v>
      </c>
      <c r="M413" s="26" t="n">
        <v>113.7345</v>
      </c>
      <c r="N413" s="12" t="s">
        <v>657</v>
      </c>
      <c r="O413" s="12" t="s">
        <v>77</v>
      </c>
      <c r="P413" s="10" t="s">
        <v>658</v>
      </c>
      <c r="Q413" s="30" t="s">
        <v>852</v>
      </c>
      <c r="R413" s="34" t="n">
        <v>0.571145833333333</v>
      </c>
      <c r="S413" s="11" t="n">
        <v>301.7</v>
      </c>
      <c r="T413" s="10" t="s">
        <v>1632</v>
      </c>
      <c r="U413" s="7" t="n">
        <v>22</v>
      </c>
      <c r="V413" s="12" t="s">
        <v>279</v>
      </c>
      <c r="W413" s="12" t="s">
        <v>79</v>
      </c>
      <c r="X413" s="12" t="s">
        <v>86</v>
      </c>
      <c r="Y413" s="10" t="s">
        <v>104</v>
      </c>
      <c r="Z413" s="7" t="s">
        <v>688</v>
      </c>
      <c r="AA413" s="7" t="n">
        <v>40</v>
      </c>
      <c r="AB413" s="9" t="n">
        <v>0.432726142665902</v>
      </c>
    </row>
    <row r="414" customFormat="false" ht="57.45" hidden="false" customHeight="false" outlineLevel="0" collapsed="false">
      <c r="A414" s="7" t="n">
        <v>410</v>
      </c>
      <c r="B414" s="12" t="s">
        <v>403</v>
      </c>
      <c r="C414" s="10" t="s">
        <v>1633</v>
      </c>
      <c r="D414" s="12" t="s">
        <v>1419</v>
      </c>
      <c r="E414" s="12" t="s">
        <v>1393</v>
      </c>
      <c r="F414" s="10" t="s">
        <v>878</v>
      </c>
      <c r="G414" s="12" t="s">
        <v>656</v>
      </c>
      <c r="H414" s="26" t="n">
        <v>113.7345</v>
      </c>
      <c r="I414" s="7" t="n">
        <v>21</v>
      </c>
      <c r="J414" s="7" t="n">
        <v>93</v>
      </c>
      <c r="K414" s="11" t="n">
        <v>528.18</v>
      </c>
      <c r="L414" s="10" t="s">
        <v>404</v>
      </c>
      <c r="M414" s="26" t="n">
        <v>113.7345</v>
      </c>
      <c r="N414" s="12" t="s">
        <v>657</v>
      </c>
      <c r="O414" s="12" t="s">
        <v>77</v>
      </c>
      <c r="P414" s="10" t="s">
        <v>658</v>
      </c>
      <c r="Q414" s="30" t="s">
        <v>852</v>
      </c>
      <c r="R414" s="34" t="n">
        <v>0.571145833333333</v>
      </c>
      <c r="S414" s="11" t="n">
        <v>301.7</v>
      </c>
      <c r="T414" s="10" t="s">
        <v>1632</v>
      </c>
      <c r="U414" s="7" t="n">
        <v>22</v>
      </c>
      <c r="V414" s="12" t="s">
        <v>279</v>
      </c>
      <c r="W414" s="12" t="s">
        <v>79</v>
      </c>
      <c r="X414" s="12" t="s">
        <v>86</v>
      </c>
      <c r="Y414" s="10" t="s">
        <v>104</v>
      </c>
      <c r="Z414" s="7" t="s">
        <v>688</v>
      </c>
      <c r="AA414" s="7" t="n">
        <v>40</v>
      </c>
      <c r="AB414" s="9" t="n">
        <v>0.432726142665902</v>
      </c>
    </row>
    <row r="415" customFormat="false" ht="68.65" hidden="false" customHeight="false" outlineLevel="0" collapsed="false">
      <c r="A415" s="7" t="n">
        <v>411</v>
      </c>
      <c r="B415" s="12" t="s">
        <v>289</v>
      </c>
      <c r="C415" s="10" t="s">
        <v>289</v>
      </c>
      <c r="D415" s="12" t="s">
        <v>1419</v>
      </c>
      <c r="E415" s="12" t="s">
        <v>838</v>
      </c>
      <c r="F415" s="10" t="s">
        <v>1634</v>
      </c>
      <c r="G415" s="12" t="s">
        <v>656</v>
      </c>
      <c r="H415" s="26" t="n">
        <v>11.2</v>
      </c>
      <c r="I415" s="7" t="n">
        <v>1</v>
      </c>
      <c r="J415" s="7" t="n">
        <v>1282</v>
      </c>
      <c r="K415" s="11" t="n">
        <v>16792.84</v>
      </c>
      <c r="L415" s="10" t="s">
        <v>290</v>
      </c>
      <c r="M415" s="26" t="n">
        <v>11.2</v>
      </c>
      <c r="N415" s="12" t="s">
        <v>657</v>
      </c>
      <c r="O415" s="12" t="s">
        <v>77</v>
      </c>
      <c r="P415" s="10" t="s">
        <v>658</v>
      </c>
      <c r="Q415" s="30" t="s">
        <v>927</v>
      </c>
      <c r="R415" s="34" t="n">
        <v>0.776857437207773</v>
      </c>
      <c r="S415" s="11" t="n">
        <v>13045.6</v>
      </c>
      <c r="T415" s="10" t="s">
        <v>1503</v>
      </c>
      <c r="U415" s="7" t="n">
        <v>29</v>
      </c>
      <c r="V415" s="12" t="s">
        <v>130</v>
      </c>
      <c r="W415" s="12" t="s">
        <v>79</v>
      </c>
      <c r="X415" s="12" t="s">
        <v>86</v>
      </c>
      <c r="Y415" s="10" t="s">
        <v>104</v>
      </c>
      <c r="Z415" s="7" t="s">
        <v>688</v>
      </c>
      <c r="AA415" s="7" t="n">
        <v>13</v>
      </c>
      <c r="AB415" s="9" t="n">
        <v>0.672638171734557</v>
      </c>
    </row>
    <row r="416" customFormat="false" ht="79.85" hidden="false" customHeight="false" outlineLevel="0" collapsed="false">
      <c r="A416" s="7" t="n">
        <v>412</v>
      </c>
      <c r="B416" s="12" t="s">
        <v>120</v>
      </c>
      <c r="C416" s="10" t="s">
        <v>120</v>
      </c>
      <c r="D416" s="12" t="s">
        <v>1419</v>
      </c>
      <c r="E416" s="12" t="s">
        <v>846</v>
      </c>
      <c r="F416" s="10" t="s">
        <v>1635</v>
      </c>
      <c r="G416" s="12" t="s">
        <v>656</v>
      </c>
      <c r="H416" s="26" t="n">
        <v>35</v>
      </c>
      <c r="I416" s="7" t="n">
        <v>1</v>
      </c>
      <c r="J416" s="7" t="n">
        <v>1644</v>
      </c>
      <c r="K416" s="11" t="n">
        <v>41889.23</v>
      </c>
      <c r="L416" s="10" t="s">
        <v>121</v>
      </c>
      <c r="M416" s="26" t="n">
        <v>35</v>
      </c>
      <c r="N416" s="12" t="s">
        <v>657</v>
      </c>
      <c r="O416" s="12" t="s">
        <v>102</v>
      </c>
      <c r="P416" s="10" t="s">
        <v>658</v>
      </c>
      <c r="Q416" s="30" t="s">
        <v>1636</v>
      </c>
      <c r="R416" s="34" t="n">
        <v>0.990783410138249</v>
      </c>
      <c r="S416" s="11" t="n">
        <v>41503.2</v>
      </c>
      <c r="T416" s="10" t="s">
        <v>1585</v>
      </c>
      <c r="U416" s="7" t="n">
        <v>34</v>
      </c>
      <c r="V416" s="12" t="s">
        <v>103</v>
      </c>
      <c r="W416" s="12" t="s">
        <v>79</v>
      </c>
      <c r="X416" s="12" t="s">
        <v>86</v>
      </c>
      <c r="Y416" s="10" t="s">
        <v>104</v>
      </c>
      <c r="Z416" s="7" t="s">
        <v>106</v>
      </c>
      <c r="AA416" s="7" t="n">
        <v>10</v>
      </c>
      <c r="AB416" s="9" t="n">
        <v>0.745945687511953</v>
      </c>
    </row>
    <row r="417" customFormat="false" ht="79.85" hidden="false" customHeight="false" outlineLevel="0" collapsed="false">
      <c r="A417" s="7" t="n">
        <v>413</v>
      </c>
      <c r="B417" s="12" t="s">
        <v>100</v>
      </c>
      <c r="C417" s="10" t="s">
        <v>100</v>
      </c>
      <c r="D417" s="12" t="s">
        <v>1419</v>
      </c>
      <c r="E417" s="12" t="s">
        <v>1637</v>
      </c>
      <c r="F417" s="10" t="s">
        <v>1638</v>
      </c>
      <c r="G417" s="12" t="s">
        <v>656</v>
      </c>
      <c r="H417" s="26" t="n">
        <v>261.8</v>
      </c>
      <c r="I417" s="7" t="n">
        <v>1</v>
      </c>
      <c r="J417" s="7" t="n">
        <v>1289</v>
      </c>
      <c r="K417" s="11" t="n">
        <v>29883.81</v>
      </c>
      <c r="L417" s="10" t="s">
        <v>101</v>
      </c>
      <c r="M417" s="26" t="n">
        <v>261.8</v>
      </c>
      <c r="N417" s="12" t="s">
        <v>657</v>
      </c>
      <c r="O417" s="12" t="s">
        <v>102</v>
      </c>
      <c r="P417" s="10" t="s">
        <v>658</v>
      </c>
      <c r="Q417" s="30" t="s">
        <v>936</v>
      </c>
      <c r="R417" s="34" t="n">
        <v>0.901785714285714</v>
      </c>
      <c r="S417" s="11" t="n">
        <v>26948.8</v>
      </c>
      <c r="T417" s="10" t="s">
        <v>1639</v>
      </c>
      <c r="U417" s="7" t="n">
        <v>32</v>
      </c>
      <c r="V417" s="12" t="s">
        <v>103</v>
      </c>
      <c r="W417" s="12" t="s">
        <v>79</v>
      </c>
      <c r="X417" s="12" t="s">
        <v>86</v>
      </c>
      <c r="Y417" s="10" t="s">
        <v>104</v>
      </c>
      <c r="Z417" s="7" t="s">
        <v>74</v>
      </c>
      <c r="AA417" s="7" t="n">
        <v>5</v>
      </c>
      <c r="AB417" s="9" t="n">
        <v>0.839022757697457</v>
      </c>
    </row>
    <row r="418" customFormat="false" ht="68.65" hidden="false" customHeight="false" outlineLevel="0" collapsed="false">
      <c r="A418" s="7" t="n">
        <v>414</v>
      </c>
      <c r="B418" s="12" t="s">
        <v>394</v>
      </c>
      <c r="C418" s="10" t="s">
        <v>394</v>
      </c>
      <c r="D418" s="12" t="s">
        <v>1419</v>
      </c>
      <c r="E418" s="12" t="s">
        <v>1505</v>
      </c>
      <c r="F418" s="10" t="s">
        <v>1640</v>
      </c>
      <c r="G418" s="12" t="s">
        <v>656</v>
      </c>
      <c r="H418" s="26" t="n">
        <v>112.63</v>
      </c>
      <c r="I418" s="7" t="n">
        <v>1</v>
      </c>
      <c r="J418" s="7" t="n">
        <v>727</v>
      </c>
      <c r="K418" s="11" t="n">
        <v>7496</v>
      </c>
      <c r="L418" s="10" t="s">
        <v>395</v>
      </c>
      <c r="M418" s="26" t="n">
        <v>112.63</v>
      </c>
      <c r="N418" s="12" t="s">
        <v>657</v>
      </c>
      <c r="O418" s="12" t="s">
        <v>102</v>
      </c>
      <c r="P418" s="10" t="s">
        <v>658</v>
      </c>
      <c r="Q418" s="30" t="s">
        <v>1641</v>
      </c>
      <c r="R418" s="34" t="n">
        <v>0.650751867180439</v>
      </c>
      <c r="S418" s="11" t="n">
        <v>4878</v>
      </c>
      <c r="T418" s="10" t="s">
        <v>1508</v>
      </c>
      <c r="U418" s="7" t="n">
        <v>30</v>
      </c>
      <c r="V418" s="12" t="s">
        <v>130</v>
      </c>
      <c r="W418" s="12" t="s">
        <v>79</v>
      </c>
      <c r="X418" s="12" t="s">
        <v>671</v>
      </c>
      <c r="Y418" s="10" t="s">
        <v>104</v>
      </c>
      <c r="Z418" s="7" t="s">
        <v>688</v>
      </c>
      <c r="AA418" s="7" t="n">
        <v>18</v>
      </c>
      <c r="AB418" s="9" t="n">
        <v>0.610766877031937</v>
      </c>
    </row>
    <row r="419" customFormat="false" ht="68.65" hidden="false" customHeight="false" outlineLevel="0" collapsed="false">
      <c r="A419" s="7" t="n">
        <v>415</v>
      </c>
      <c r="B419" s="12" t="s">
        <v>289</v>
      </c>
      <c r="C419" s="10" t="s">
        <v>289</v>
      </c>
      <c r="D419" s="12" t="s">
        <v>1419</v>
      </c>
      <c r="E419" s="12" t="s">
        <v>838</v>
      </c>
      <c r="F419" s="10" t="s">
        <v>1642</v>
      </c>
      <c r="G419" s="12" t="s">
        <v>656</v>
      </c>
      <c r="H419" s="26" t="n">
        <v>6.244</v>
      </c>
      <c r="I419" s="7" t="n">
        <v>1</v>
      </c>
      <c r="J419" s="7" t="n">
        <v>1282</v>
      </c>
      <c r="K419" s="11" t="n">
        <v>16792.84</v>
      </c>
      <c r="L419" s="10" t="s">
        <v>290</v>
      </c>
      <c r="M419" s="26" t="n">
        <v>6.244</v>
      </c>
      <c r="N419" s="12" t="s">
        <v>657</v>
      </c>
      <c r="O419" s="12" t="s">
        <v>77</v>
      </c>
      <c r="P419" s="10" t="s">
        <v>658</v>
      </c>
      <c r="Q419" s="30" t="s">
        <v>1643</v>
      </c>
      <c r="R419" s="34" t="n">
        <v>0.776857437207773</v>
      </c>
      <c r="S419" s="11" t="n">
        <v>13045.6</v>
      </c>
      <c r="T419" s="10" t="s">
        <v>1503</v>
      </c>
      <c r="U419" s="7" t="n">
        <v>29</v>
      </c>
      <c r="V419" s="12" t="s">
        <v>130</v>
      </c>
      <c r="W419" s="12" t="s">
        <v>79</v>
      </c>
      <c r="X419" s="12" t="s">
        <v>86</v>
      </c>
      <c r="Y419" s="10" t="s">
        <v>104</v>
      </c>
      <c r="Z419" s="7" t="s">
        <v>688</v>
      </c>
      <c r="AA419" s="7" t="n">
        <v>13</v>
      </c>
      <c r="AB419" s="9" t="n">
        <v>0.672638171734557</v>
      </c>
    </row>
    <row r="420" customFormat="false" ht="46.25" hidden="false" customHeight="false" outlineLevel="0" collapsed="false">
      <c r="A420" s="7" t="n">
        <v>416</v>
      </c>
      <c r="B420" s="12" t="s">
        <v>151</v>
      </c>
      <c r="C420" s="10" t="s">
        <v>151</v>
      </c>
      <c r="D420" s="12" t="s">
        <v>1419</v>
      </c>
      <c r="E420" s="12" t="s">
        <v>1644</v>
      </c>
      <c r="F420" s="10" t="s">
        <v>1645</v>
      </c>
      <c r="G420" s="12" t="s">
        <v>656</v>
      </c>
      <c r="H420" s="26" t="n">
        <v>264.04</v>
      </c>
      <c r="I420" s="7" t="n">
        <v>1</v>
      </c>
      <c r="J420" s="7" t="n">
        <v>544</v>
      </c>
      <c r="K420" s="11" t="n">
        <v>7654.85</v>
      </c>
      <c r="L420" s="10" t="s">
        <v>152</v>
      </c>
      <c r="M420" s="26" t="n">
        <v>264.04</v>
      </c>
      <c r="N420" s="12" t="s">
        <v>657</v>
      </c>
      <c r="O420" s="12" t="s">
        <v>102</v>
      </c>
      <c r="P420" s="10" t="s">
        <v>658</v>
      </c>
      <c r="Q420" s="30" t="s">
        <v>936</v>
      </c>
      <c r="R420" s="34" t="n">
        <v>0.882348668280872</v>
      </c>
      <c r="S420" s="11" t="n">
        <v>6754.2</v>
      </c>
      <c r="T420" s="10" t="s">
        <v>1501</v>
      </c>
      <c r="U420" s="7" t="n">
        <v>19</v>
      </c>
      <c r="V420" s="12" t="s">
        <v>130</v>
      </c>
      <c r="W420" s="12" t="s">
        <v>79</v>
      </c>
      <c r="X420" s="12" t="s">
        <v>97</v>
      </c>
      <c r="Y420" s="10" t="s">
        <v>81</v>
      </c>
      <c r="Z420" s="7" t="s">
        <v>688</v>
      </c>
      <c r="AA420" s="7" t="n">
        <v>11</v>
      </c>
      <c r="AB420" s="9" t="n">
        <v>0.716427615222796</v>
      </c>
    </row>
    <row r="421" customFormat="false" ht="68.65" hidden="false" customHeight="false" outlineLevel="0" collapsed="false">
      <c r="A421" s="7" t="n">
        <v>417</v>
      </c>
      <c r="B421" s="12" t="s">
        <v>289</v>
      </c>
      <c r="C421" s="10" t="s">
        <v>289</v>
      </c>
      <c r="D421" s="12" t="s">
        <v>1419</v>
      </c>
      <c r="E421" s="12" t="s">
        <v>838</v>
      </c>
      <c r="F421" s="10" t="s">
        <v>1646</v>
      </c>
      <c r="G421" s="12" t="s">
        <v>656</v>
      </c>
      <c r="H421" s="26" t="n">
        <v>87.5</v>
      </c>
      <c r="I421" s="7" t="n">
        <v>1</v>
      </c>
      <c r="J421" s="7" t="n">
        <v>1282</v>
      </c>
      <c r="K421" s="11" t="n">
        <v>16792.84</v>
      </c>
      <c r="L421" s="10" t="s">
        <v>290</v>
      </c>
      <c r="M421" s="26" t="n">
        <v>87.5</v>
      </c>
      <c r="N421" s="12" t="s">
        <v>657</v>
      </c>
      <c r="O421" s="12" t="s">
        <v>77</v>
      </c>
      <c r="P421" s="10" t="s">
        <v>658</v>
      </c>
      <c r="Q421" s="30" t="s">
        <v>944</v>
      </c>
      <c r="R421" s="34" t="n">
        <v>0.776857437207773</v>
      </c>
      <c r="S421" s="11" t="n">
        <v>13045.6</v>
      </c>
      <c r="T421" s="10" t="s">
        <v>1503</v>
      </c>
      <c r="U421" s="7" t="n">
        <v>29</v>
      </c>
      <c r="V421" s="12" t="s">
        <v>130</v>
      </c>
      <c r="W421" s="12" t="s">
        <v>79</v>
      </c>
      <c r="X421" s="12" t="s">
        <v>671</v>
      </c>
      <c r="Y421" s="10" t="s">
        <v>104</v>
      </c>
      <c r="Z421" s="7" t="s">
        <v>688</v>
      </c>
      <c r="AA421" s="7" t="n">
        <v>13</v>
      </c>
      <c r="AB421" s="9" t="n">
        <v>0.672638171734557</v>
      </c>
    </row>
    <row r="422" customFormat="false" ht="68.65" hidden="false" customHeight="false" outlineLevel="0" collapsed="false">
      <c r="A422" s="7" t="n">
        <v>418</v>
      </c>
      <c r="B422" s="12" t="s">
        <v>289</v>
      </c>
      <c r="C422" s="10" t="s">
        <v>289</v>
      </c>
      <c r="D422" s="12" t="s">
        <v>1419</v>
      </c>
      <c r="E422" s="12" t="s">
        <v>838</v>
      </c>
      <c r="F422" s="10" t="s">
        <v>1647</v>
      </c>
      <c r="G422" s="12" t="s">
        <v>656</v>
      </c>
      <c r="H422" s="26" t="n">
        <v>157.5</v>
      </c>
      <c r="I422" s="7" t="n">
        <v>1</v>
      </c>
      <c r="J422" s="7" t="n">
        <v>1282</v>
      </c>
      <c r="K422" s="11" t="n">
        <v>16792.84</v>
      </c>
      <c r="L422" s="10" t="s">
        <v>290</v>
      </c>
      <c r="M422" s="26" t="n">
        <v>157.5</v>
      </c>
      <c r="N422" s="12" t="s">
        <v>657</v>
      </c>
      <c r="O422" s="12" t="s">
        <v>77</v>
      </c>
      <c r="P422" s="10" t="s">
        <v>658</v>
      </c>
      <c r="Q422" s="30" t="s">
        <v>944</v>
      </c>
      <c r="R422" s="34" t="n">
        <v>0.776857437207773</v>
      </c>
      <c r="S422" s="11" t="n">
        <v>13045.6</v>
      </c>
      <c r="T422" s="10" t="s">
        <v>1503</v>
      </c>
      <c r="U422" s="7" t="n">
        <v>29</v>
      </c>
      <c r="V422" s="12" t="s">
        <v>130</v>
      </c>
      <c r="W422" s="12" t="s">
        <v>79</v>
      </c>
      <c r="X422" s="12" t="s">
        <v>671</v>
      </c>
      <c r="Y422" s="10" t="s">
        <v>104</v>
      </c>
      <c r="Z422" s="7" t="s">
        <v>688</v>
      </c>
      <c r="AA422" s="7" t="n">
        <v>13</v>
      </c>
      <c r="AB422" s="9" t="n">
        <v>0.672638171734557</v>
      </c>
    </row>
    <row r="423" customFormat="false" ht="68.65" hidden="false" customHeight="false" outlineLevel="0" collapsed="false">
      <c r="A423" s="7" t="n">
        <v>419</v>
      </c>
      <c r="B423" s="12" t="s">
        <v>289</v>
      </c>
      <c r="C423" s="10" t="s">
        <v>1648</v>
      </c>
      <c r="D423" s="12" t="s">
        <v>1419</v>
      </c>
      <c r="E423" s="12" t="s">
        <v>1649</v>
      </c>
      <c r="F423" s="10" t="s">
        <v>1650</v>
      </c>
      <c r="G423" s="12" t="s">
        <v>86</v>
      </c>
      <c r="H423" s="26" t="n">
        <v>10.374</v>
      </c>
      <c r="I423" s="7" t="n">
        <v>1</v>
      </c>
      <c r="J423" s="7" t="n">
        <v>1282</v>
      </c>
      <c r="K423" s="11" t="n">
        <v>16792.84</v>
      </c>
      <c r="L423" s="10" t="s">
        <v>290</v>
      </c>
      <c r="M423" s="26" t="n">
        <v>10.374</v>
      </c>
      <c r="N423" s="12" t="s">
        <v>657</v>
      </c>
      <c r="O423" s="12" t="s">
        <v>77</v>
      </c>
      <c r="P423" s="10" t="s">
        <v>658</v>
      </c>
      <c r="Q423" s="30" t="s">
        <v>1651</v>
      </c>
      <c r="R423" s="34" t="n">
        <v>0.776857437207773</v>
      </c>
      <c r="S423" s="11" t="n">
        <v>13045.6</v>
      </c>
      <c r="T423" s="10" t="s">
        <v>1503</v>
      </c>
      <c r="U423" s="7" t="n">
        <v>29</v>
      </c>
      <c r="V423" s="12" t="s">
        <v>130</v>
      </c>
      <c r="W423" s="12" t="s">
        <v>85</v>
      </c>
      <c r="X423" s="12" t="s">
        <v>86</v>
      </c>
      <c r="Y423" s="10" t="s">
        <v>104</v>
      </c>
      <c r="Z423" s="7" t="s">
        <v>688</v>
      </c>
      <c r="AA423" s="7" t="n">
        <v>13</v>
      </c>
      <c r="AB423" s="9" t="n">
        <v>0.672638171734557</v>
      </c>
    </row>
    <row r="424" customFormat="false" ht="68.65" hidden="false" customHeight="false" outlineLevel="0" collapsed="false">
      <c r="A424" s="7" t="n">
        <v>420</v>
      </c>
      <c r="B424" s="12" t="s">
        <v>289</v>
      </c>
      <c r="C424" s="10" t="s">
        <v>1648</v>
      </c>
      <c r="D424" s="12" t="s">
        <v>1419</v>
      </c>
      <c r="E424" s="12" t="s">
        <v>1652</v>
      </c>
      <c r="F424" s="10" t="s">
        <v>1653</v>
      </c>
      <c r="G424" s="12" t="s">
        <v>86</v>
      </c>
      <c r="H424" s="26" t="n">
        <v>10.92</v>
      </c>
      <c r="I424" s="7" t="n">
        <v>1</v>
      </c>
      <c r="J424" s="7" t="n">
        <v>1282</v>
      </c>
      <c r="K424" s="11" t="n">
        <v>16792.84</v>
      </c>
      <c r="L424" s="10" t="s">
        <v>290</v>
      </c>
      <c r="M424" s="26" t="n">
        <v>10.92</v>
      </c>
      <c r="N424" s="12" t="s">
        <v>657</v>
      </c>
      <c r="O424" s="12" t="s">
        <v>77</v>
      </c>
      <c r="P424" s="10" t="s">
        <v>658</v>
      </c>
      <c r="Q424" s="30" t="s">
        <v>1654</v>
      </c>
      <c r="R424" s="34" t="n">
        <v>0.776857437207773</v>
      </c>
      <c r="S424" s="11" t="n">
        <v>13045.6</v>
      </c>
      <c r="T424" s="10" t="s">
        <v>1503</v>
      </c>
      <c r="U424" s="7" t="n">
        <v>29</v>
      </c>
      <c r="V424" s="12" t="s">
        <v>130</v>
      </c>
      <c r="W424" s="12" t="s">
        <v>85</v>
      </c>
      <c r="X424" s="12" t="s">
        <v>86</v>
      </c>
      <c r="Y424" s="10" t="s">
        <v>104</v>
      </c>
      <c r="Z424" s="7" t="s">
        <v>688</v>
      </c>
      <c r="AA424" s="7" t="n">
        <v>13</v>
      </c>
      <c r="AB424" s="9" t="n">
        <v>0.672638171734557</v>
      </c>
    </row>
    <row r="425" customFormat="false" ht="79.85" hidden="false" customHeight="false" outlineLevel="0" collapsed="false">
      <c r="A425" s="7" t="n">
        <v>421</v>
      </c>
      <c r="B425" s="12" t="s">
        <v>112</v>
      </c>
      <c r="C425" s="10" t="s">
        <v>1622</v>
      </c>
      <c r="D425" s="12" t="s">
        <v>1419</v>
      </c>
      <c r="E425" s="12" t="s">
        <v>985</v>
      </c>
      <c r="F425" s="10" t="s">
        <v>986</v>
      </c>
      <c r="G425" s="12" t="s">
        <v>656</v>
      </c>
      <c r="H425" s="26" t="n">
        <v>559.566</v>
      </c>
      <c r="I425" s="7" t="n">
        <v>1</v>
      </c>
      <c r="J425" s="7" t="n">
        <v>47</v>
      </c>
      <c r="K425" s="11" t="n">
        <v>7904.67</v>
      </c>
      <c r="L425" s="10" t="s">
        <v>113</v>
      </c>
      <c r="M425" s="26" t="n">
        <v>559.566</v>
      </c>
      <c r="N425" s="12" t="s">
        <v>657</v>
      </c>
      <c r="O425" s="12" t="s">
        <v>102</v>
      </c>
      <c r="P425" s="10" t="s">
        <v>658</v>
      </c>
      <c r="Q425" s="30" t="s">
        <v>987</v>
      </c>
      <c r="R425" s="34" t="n">
        <v>1</v>
      </c>
      <c r="S425" s="11" t="n">
        <v>7904.7</v>
      </c>
      <c r="T425" s="10" t="s">
        <v>1467</v>
      </c>
      <c r="U425" s="7" t="n">
        <v>32</v>
      </c>
      <c r="V425" s="12" t="s">
        <v>78</v>
      </c>
      <c r="W425" s="12" t="s">
        <v>79</v>
      </c>
      <c r="X425" s="12" t="s">
        <v>86</v>
      </c>
      <c r="Y425" s="10"/>
      <c r="Z425" s="7" t="s">
        <v>106</v>
      </c>
      <c r="AA425" s="7" t="n">
        <v>7</v>
      </c>
      <c r="AB425" s="9" t="n">
        <v>0.818951998470071</v>
      </c>
    </row>
    <row r="426" customFormat="false" ht="79.85" hidden="false" customHeight="false" outlineLevel="0" collapsed="false">
      <c r="A426" s="7" t="n">
        <v>422</v>
      </c>
      <c r="B426" s="12" t="s">
        <v>505</v>
      </c>
      <c r="C426" s="10" t="s">
        <v>1655</v>
      </c>
      <c r="D426" s="12" t="s">
        <v>1419</v>
      </c>
      <c r="E426" s="12" t="s">
        <v>1656</v>
      </c>
      <c r="F426" s="10" t="s">
        <v>1657</v>
      </c>
      <c r="G426" s="12" t="s">
        <v>656</v>
      </c>
      <c r="H426" s="26" t="n">
        <v>179.823</v>
      </c>
      <c r="I426" s="7" t="n">
        <v>1</v>
      </c>
      <c r="J426" s="7" t="n">
        <v>314</v>
      </c>
      <c r="K426" s="11" t="n">
        <v>3429.51</v>
      </c>
      <c r="L426" s="10" t="s">
        <v>506</v>
      </c>
      <c r="M426" s="26" t="n">
        <v>179.823</v>
      </c>
      <c r="N426" s="12" t="s">
        <v>657</v>
      </c>
      <c r="O426" s="12" t="s">
        <v>102</v>
      </c>
      <c r="P426" s="10" t="s">
        <v>658</v>
      </c>
      <c r="Q426" s="30" t="s">
        <v>987</v>
      </c>
      <c r="R426" s="34" t="n">
        <v>1</v>
      </c>
      <c r="S426" s="11" t="n">
        <v>3429.5</v>
      </c>
      <c r="T426" s="10" t="s">
        <v>1467</v>
      </c>
      <c r="U426" s="7" t="n">
        <v>32</v>
      </c>
      <c r="V426" s="12" t="s">
        <v>78</v>
      </c>
      <c r="W426" s="12" t="s">
        <v>79</v>
      </c>
      <c r="X426" s="12" t="s">
        <v>86</v>
      </c>
      <c r="Y426" s="10"/>
      <c r="Z426" s="7" t="s">
        <v>688</v>
      </c>
      <c r="AA426" s="7" t="n">
        <v>15</v>
      </c>
      <c r="AB426" s="9" t="n">
        <v>0.637258558041691</v>
      </c>
    </row>
    <row r="427" customFormat="false" ht="46.25" hidden="false" customHeight="false" outlineLevel="0" collapsed="false">
      <c r="A427" s="7" t="n">
        <v>423</v>
      </c>
      <c r="B427" s="12" t="s">
        <v>173</v>
      </c>
      <c r="C427" s="10" t="s">
        <v>1658</v>
      </c>
      <c r="D427" s="12" t="s">
        <v>1419</v>
      </c>
      <c r="E427" s="12" t="s">
        <v>1659</v>
      </c>
      <c r="F427" s="10" t="s">
        <v>1660</v>
      </c>
      <c r="G427" s="12" t="s">
        <v>656</v>
      </c>
      <c r="H427" s="26" t="n">
        <v>30.583</v>
      </c>
      <c r="I427" s="7" t="n">
        <v>1</v>
      </c>
      <c r="J427" s="7" t="n">
        <v>441</v>
      </c>
      <c r="K427" s="11" t="n">
        <v>3973.65</v>
      </c>
      <c r="L427" s="10" t="s">
        <v>174</v>
      </c>
      <c r="M427" s="26" t="n">
        <v>30.583</v>
      </c>
      <c r="N427" s="12" t="s">
        <v>657</v>
      </c>
      <c r="O427" s="12" t="s">
        <v>102</v>
      </c>
      <c r="P427" s="10" t="s">
        <v>658</v>
      </c>
      <c r="Q427" s="30" t="s">
        <v>983</v>
      </c>
      <c r="R427" s="34" t="n">
        <v>1</v>
      </c>
      <c r="S427" s="11" t="n">
        <v>3973.7</v>
      </c>
      <c r="T427" s="10" t="s">
        <v>1534</v>
      </c>
      <c r="U427" s="7" t="n">
        <v>17</v>
      </c>
      <c r="V427" s="12" t="s">
        <v>91</v>
      </c>
      <c r="W427" s="12" t="s">
        <v>79</v>
      </c>
      <c r="X427" s="12" t="s">
        <v>80</v>
      </c>
      <c r="Y427" s="10" t="s">
        <v>81</v>
      </c>
      <c r="Z427" s="7" t="s">
        <v>688</v>
      </c>
      <c r="AA427" s="7" t="n">
        <v>24</v>
      </c>
      <c r="AB427" s="9" t="n">
        <v>0.55809906291834</v>
      </c>
    </row>
    <row r="428" customFormat="false" ht="46.25" hidden="false" customHeight="false" outlineLevel="0" collapsed="false">
      <c r="A428" s="7" t="n">
        <v>424</v>
      </c>
      <c r="B428" s="12" t="s">
        <v>117</v>
      </c>
      <c r="C428" s="10" t="s">
        <v>1626</v>
      </c>
      <c r="D428" s="12" t="s">
        <v>1419</v>
      </c>
      <c r="E428" s="12" t="s">
        <v>1032</v>
      </c>
      <c r="F428" s="10" t="s">
        <v>1033</v>
      </c>
      <c r="G428" s="12" t="s">
        <v>656</v>
      </c>
      <c r="H428" s="26"/>
      <c r="I428" s="7" t="n">
        <v>1</v>
      </c>
      <c r="J428" s="7" t="n">
        <v>346</v>
      </c>
      <c r="K428" s="11" t="n">
        <v>32830.17</v>
      </c>
      <c r="L428" s="10" t="s">
        <v>118</v>
      </c>
      <c r="M428" s="26"/>
      <c r="N428" s="12" t="s">
        <v>701</v>
      </c>
      <c r="O428" s="12" t="s">
        <v>323</v>
      </c>
      <c r="P428" s="10" t="s">
        <v>323</v>
      </c>
      <c r="Q428" s="12"/>
      <c r="R428" s="34" t="n">
        <v>1</v>
      </c>
      <c r="S428" s="11" t="n">
        <v>32830.2</v>
      </c>
      <c r="T428" s="10" t="s">
        <v>1462</v>
      </c>
      <c r="U428" s="7" t="n">
        <v>21</v>
      </c>
      <c r="V428" s="12" t="s">
        <v>119</v>
      </c>
      <c r="W428" s="12" t="s">
        <v>79</v>
      </c>
      <c r="X428" s="12" t="s">
        <v>86</v>
      </c>
      <c r="Y428" s="10"/>
      <c r="Z428" s="7" t="s">
        <v>106</v>
      </c>
      <c r="AA428" s="7" t="n">
        <v>9</v>
      </c>
      <c r="AB428" s="9" t="n">
        <v>0.772968062727099</v>
      </c>
    </row>
    <row r="429" customFormat="false" ht="46.25" hidden="false" customHeight="false" outlineLevel="0" collapsed="false">
      <c r="A429" s="7" t="n">
        <v>425</v>
      </c>
      <c r="B429" s="12" t="s">
        <v>117</v>
      </c>
      <c r="C429" s="10" t="s">
        <v>1626</v>
      </c>
      <c r="D429" s="12" t="s">
        <v>1419</v>
      </c>
      <c r="E429" s="12" t="s">
        <v>1034</v>
      </c>
      <c r="F429" s="10" t="s">
        <v>1035</v>
      </c>
      <c r="G429" s="12" t="s">
        <v>656</v>
      </c>
      <c r="H429" s="26"/>
      <c r="I429" s="7" t="n">
        <v>1</v>
      </c>
      <c r="J429" s="7" t="n">
        <v>346</v>
      </c>
      <c r="K429" s="11" t="n">
        <v>32830.17</v>
      </c>
      <c r="L429" s="10" t="s">
        <v>118</v>
      </c>
      <c r="M429" s="26"/>
      <c r="N429" s="12" t="s">
        <v>701</v>
      </c>
      <c r="O429" s="12" t="s">
        <v>323</v>
      </c>
      <c r="P429" s="10" t="s">
        <v>323</v>
      </c>
      <c r="Q429" s="12"/>
      <c r="R429" s="34" t="n">
        <v>1</v>
      </c>
      <c r="S429" s="11" t="n">
        <v>32830.2</v>
      </c>
      <c r="T429" s="10" t="s">
        <v>1462</v>
      </c>
      <c r="U429" s="7" t="n">
        <v>21</v>
      </c>
      <c r="V429" s="12" t="s">
        <v>119</v>
      </c>
      <c r="W429" s="12" t="s">
        <v>79</v>
      </c>
      <c r="X429" s="12" t="s">
        <v>86</v>
      </c>
      <c r="Y429" s="10"/>
      <c r="Z429" s="7" t="s">
        <v>106</v>
      </c>
      <c r="AA429" s="7" t="n">
        <v>9</v>
      </c>
      <c r="AB429" s="9" t="n">
        <v>0.772968062727099</v>
      </c>
    </row>
    <row r="430" customFormat="false" ht="79.85" hidden="false" customHeight="false" outlineLevel="0" collapsed="false">
      <c r="A430" s="7" t="n">
        <v>426</v>
      </c>
      <c r="B430" s="12" t="s">
        <v>89</v>
      </c>
      <c r="C430" s="10" t="s">
        <v>1565</v>
      </c>
      <c r="D430" s="12" t="s">
        <v>1419</v>
      </c>
      <c r="E430" s="12" t="s">
        <v>1347</v>
      </c>
      <c r="F430" s="10" t="s">
        <v>1056</v>
      </c>
      <c r="G430" s="12" t="s">
        <v>656</v>
      </c>
      <c r="H430" s="26"/>
      <c r="I430" s="7" t="n">
        <v>1</v>
      </c>
      <c r="J430" s="7" t="n">
        <v>905</v>
      </c>
      <c r="K430" s="11" t="n">
        <v>28093.38</v>
      </c>
      <c r="L430" s="10" t="s">
        <v>90</v>
      </c>
      <c r="M430" s="26"/>
      <c r="N430" s="12" t="s">
        <v>701</v>
      </c>
      <c r="O430" s="12" t="s">
        <v>323</v>
      </c>
      <c r="P430" s="10" t="s">
        <v>323</v>
      </c>
      <c r="Q430" s="12"/>
      <c r="R430" s="34" t="n">
        <v>1</v>
      </c>
      <c r="S430" s="11" t="n">
        <v>28093.4</v>
      </c>
      <c r="T430" s="10" t="s">
        <v>1461</v>
      </c>
      <c r="U430" s="7" t="n">
        <v>34</v>
      </c>
      <c r="V430" s="12" t="s">
        <v>91</v>
      </c>
      <c r="W430" s="12" t="s">
        <v>79</v>
      </c>
      <c r="X430" s="12" t="s">
        <v>86</v>
      </c>
      <c r="Y430" s="10" t="s">
        <v>81</v>
      </c>
      <c r="Z430" s="7" t="s">
        <v>74</v>
      </c>
      <c r="AA430" s="7" t="n">
        <v>3</v>
      </c>
      <c r="AB430" s="9" t="n">
        <v>0.872274813539874</v>
      </c>
    </row>
    <row r="431" customFormat="false" ht="79.85" hidden="false" customHeight="false" outlineLevel="0" collapsed="false">
      <c r="A431" s="7" t="n">
        <v>427</v>
      </c>
      <c r="B431" s="12" t="s">
        <v>89</v>
      </c>
      <c r="C431" s="10" t="s">
        <v>1661</v>
      </c>
      <c r="D431" s="12" t="s">
        <v>1419</v>
      </c>
      <c r="E431" s="12" t="s">
        <v>1348</v>
      </c>
      <c r="F431" s="10" t="s">
        <v>1349</v>
      </c>
      <c r="G431" s="12" t="s">
        <v>656</v>
      </c>
      <c r="H431" s="26"/>
      <c r="I431" s="7" t="n">
        <v>1</v>
      </c>
      <c r="J431" s="7" t="n">
        <v>905</v>
      </c>
      <c r="K431" s="11" t="n">
        <v>28093.38</v>
      </c>
      <c r="L431" s="10" t="s">
        <v>90</v>
      </c>
      <c r="M431" s="26"/>
      <c r="N431" s="12" t="s">
        <v>701</v>
      </c>
      <c r="O431" s="12" t="s">
        <v>323</v>
      </c>
      <c r="P431" s="10" t="s">
        <v>323</v>
      </c>
      <c r="Q431" s="12"/>
      <c r="R431" s="34" t="n">
        <v>1</v>
      </c>
      <c r="S431" s="11" t="n">
        <v>28093.4</v>
      </c>
      <c r="T431" s="10" t="s">
        <v>1461</v>
      </c>
      <c r="U431" s="7" t="n">
        <v>34</v>
      </c>
      <c r="V431" s="12" t="s">
        <v>91</v>
      </c>
      <c r="W431" s="12" t="s">
        <v>79</v>
      </c>
      <c r="X431" s="12" t="s">
        <v>86</v>
      </c>
      <c r="Y431" s="10" t="s">
        <v>81</v>
      </c>
      <c r="Z431" s="7" t="s">
        <v>74</v>
      </c>
      <c r="AA431" s="7" t="n">
        <v>3</v>
      </c>
      <c r="AB431" s="9" t="n">
        <v>0.872274813539874</v>
      </c>
    </row>
    <row r="432" customFormat="false" ht="57.45" hidden="false" customHeight="false" outlineLevel="0" collapsed="false">
      <c r="A432" s="7" t="n">
        <v>428</v>
      </c>
      <c r="B432" s="12" t="s">
        <v>124</v>
      </c>
      <c r="C432" s="10" t="s">
        <v>1662</v>
      </c>
      <c r="D432" s="12" t="s">
        <v>1419</v>
      </c>
      <c r="E432" s="12" t="s">
        <v>963</v>
      </c>
      <c r="F432" s="10" t="s">
        <v>964</v>
      </c>
      <c r="G432" s="12" t="s">
        <v>656</v>
      </c>
      <c r="H432" s="26"/>
      <c r="I432" s="7" t="n">
        <v>1</v>
      </c>
      <c r="J432" s="7" t="n">
        <v>843</v>
      </c>
      <c r="K432" s="11" t="n">
        <v>4508</v>
      </c>
      <c r="L432" s="10" t="s">
        <v>125</v>
      </c>
      <c r="M432" s="26"/>
      <c r="N432" s="12" t="s">
        <v>701</v>
      </c>
      <c r="O432" s="12" t="s">
        <v>323</v>
      </c>
      <c r="P432" s="10" t="s">
        <v>323</v>
      </c>
      <c r="Q432" s="12"/>
      <c r="R432" s="34" t="n">
        <v>0.858739397335643</v>
      </c>
      <c r="S432" s="11" t="n">
        <v>3871.2</v>
      </c>
      <c r="T432" s="10" t="s">
        <v>1523</v>
      </c>
      <c r="U432" s="7" t="n">
        <v>23</v>
      </c>
      <c r="V432" s="12" t="s">
        <v>91</v>
      </c>
      <c r="W432" s="12" t="s">
        <v>79</v>
      </c>
      <c r="X432" s="12" t="s">
        <v>80</v>
      </c>
      <c r="Y432" s="10" t="s">
        <v>81</v>
      </c>
      <c r="Z432" s="7" t="s">
        <v>688</v>
      </c>
      <c r="AA432" s="7" t="n">
        <v>23</v>
      </c>
      <c r="AB432" s="9" t="n">
        <v>0.569697838974947</v>
      </c>
    </row>
    <row r="433" customFormat="false" ht="57.45" hidden="false" customHeight="false" outlineLevel="0" collapsed="false">
      <c r="A433" s="7" t="n">
        <v>429</v>
      </c>
      <c r="B433" s="12" t="s">
        <v>124</v>
      </c>
      <c r="C433" s="10" t="s">
        <v>1662</v>
      </c>
      <c r="D433" s="12" t="s">
        <v>1419</v>
      </c>
      <c r="E433" s="12" t="s">
        <v>968</v>
      </c>
      <c r="F433" s="10" t="s">
        <v>969</v>
      </c>
      <c r="G433" s="12" t="s">
        <v>656</v>
      </c>
      <c r="H433" s="26"/>
      <c r="I433" s="7" t="n">
        <v>1</v>
      </c>
      <c r="J433" s="7" t="n">
        <v>843</v>
      </c>
      <c r="K433" s="11" t="n">
        <v>4508</v>
      </c>
      <c r="L433" s="10" t="s">
        <v>125</v>
      </c>
      <c r="M433" s="26"/>
      <c r="N433" s="12" t="s">
        <v>701</v>
      </c>
      <c r="O433" s="12" t="s">
        <v>323</v>
      </c>
      <c r="P433" s="10" t="s">
        <v>323</v>
      </c>
      <c r="Q433" s="12"/>
      <c r="R433" s="34" t="n">
        <v>0.858739397335643</v>
      </c>
      <c r="S433" s="11" t="n">
        <v>3871.2</v>
      </c>
      <c r="T433" s="10" t="s">
        <v>1523</v>
      </c>
      <c r="U433" s="7" t="n">
        <v>23</v>
      </c>
      <c r="V433" s="12" t="s">
        <v>91</v>
      </c>
      <c r="W433" s="12" t="s">
        <v>79</v>
      </c>
      <c r="X433" s="12" t="s">
        <v>80</v>
      </c>
      <c r="Y433" s="10" t="s">
        <v>81</v>
      </c>
      <c r="Z433" s="7" t="s">
        <v>688</v>
      </c>
      <c r="AA433" s="7" t="n">
        <v>23</v>
      </c>
      <c r="AB433" s="9" t="n">
        <v>0.569697838974947</v>
      </c>
    </row>
    <row r="434" customFormat="false" ht="57.45" hidden="false" customHeight="false" outlineLevel="0" collapsed="false">
      <c r="A434" s="7" t="n">
        <v>430</v>
      </c>
      <c r="B434" s="12" t="s">
        <v>124</v>
      </c>
      <c r="C434" s="10" t="s">
        <v>1519</v>
      </c>
      <c r="D434" s="12" t="s">
        <v>1419</v>
      </c>
      <c r="E434" s="12" t="s">
        <v>971</v>
      </c>
      <c r="F434" s="10" t="s">
        <v>972</v>
      </c>
      <c r="G434" s="12" t="s">
        <v>656</v>
      </c>
      <c r="H434" s="26"/>
      <c r="I434" s="7" t="n">
        <v>1</v>
      </c>
      <c r="J434" s="7" t="n">
        <v>843</v>
      </c>
      <c r="K434" s="11" t="n">
        <v>4508</v>
      </c>
      <c r="L434" s="10" t="s">
        <v>125</v>
      </c>
      <c r="M434" s="26"/>
      <c r="N434" s="12" t="s">
        <v>701</v>
      </c>
      <c r="O434" s="12" t="s">
        <v>323</v>
      </c>
      <c r="P434" s="10" t="s">
        <v>323</v>
      </c>
      <c r="Q434" s="12"/>
      <c r="R434" s="34" t="n">
        <v>0.858739397335643</v>
      </c>
      <c r="S434" s="11" t="n">
        <v>3871.2</v>
      </c>
      <c r="T434" s="10" t="s">
        <v>1523</v>
      </c>
      <c r="U434" s="7" t="n">
        <v>23</v>
      </c>
      <c r="V434" s="12" t="s">
        <v>91</v>
      </c>
      <c r="W434" s="12" t="s">
        <v>79</v>
      </c>
      <c r="X434" s="12" t="s">
        <v>80</v>
      </c>
      <c r="Y434" s="10" t="s">
        <v>81</v>
      </c>
      <c r="Z434" s="7" t="s">
        <v>688</v>
      </c>
      <c r="AA434" s="7" t="n">
        <v>23</v>
      </c>
      <c r="AB434" s="9" t="n">
        <v>0.569697838974947</v>
      </c>
    </row>
    <row r="435" customFormat="false" ht="23.85" hidden="false" customHeight="false" outlineLevel="0" collapsed="false">
      <c r="A435" s="7" t="n">
        <v>431</v>
      </c>
      <c r="B435" s="12" t="s">
        <v>265</v>
      </c>
      <c r="C435" s="10" t="s">
        <v>1663</v>
      </c>
      <c r="D435" s="12" t="s">
        <v>1419</v>
      </c>
      <c r="E435" s="12" t="s">
        <v>1197</v>
      </c>
      <c r="F435" s="10" t="s">
        <v>1664</v>
      </c>
      <c r="G435" s="12" t="s">
        <v>663</v>
      </c>
      <c r="H435" s="26"/>
      <c r="I435" s="7" t="n">
        <v>1</v>
      </c>
      <c r="J435" s="7" t="n">
        <v>286</v>
      </c>
      <c r="K435" s="11" t="n">
        <v>3067.39</v>
      </c>
      <c r="L435" s="10" t="s">
        <v>266</v>
      </c>
      <c r="M435" s="35" t="n">
        <v>5.12</v>
      </c>
      <c r="N435" s="12" t="s">
        <v>664</v>
      </c>
      <c r="O435" s="12" t="s">
        <v>153</v>
      </c>
      <c r="P435" s="10" t="s">
        <v>1049</v>
      </c>
      <c r="Q435" s="30" t="s">
        <v>1050</v>
      </c>
      <c r="R435" s="34" t="n">
        <v>1</v>
      </c>
      <c r="S435" s="11" t="n">
        <v>3067.4</v>
      </c>
      <c r="T435" s="10" t="s">
        <v>1044</v>
      </c>
      <c r="U435" s="7" t="n">
        <v>1</v>
      </c>
      <c r="V435" s="12" t="s">
        <v>323</v>
      </c>
      <c r="W435" s="12" t="s">
        <v>85</v>
      </c>
      <c r="X435" s="12" t="s">
        <v>86</v>
      </c>
      <c r="Y435" s="10" t="s">
        <v>87</v>
      </c>
      <c r="Z435" s="7" t="s">
        <v>688</v>
      </c>
      <c r="AA435" s="7" t="n">
        <v>52</v>
      </c>
      <c r="AB435" s="9" t="n">
        <v>0.2188611589214</v>
      </c>
    </row>
    <row r="436" customFormat="false" ht="79.85" hidden="false" customHeight="false" outlineLevel="0" collapsed="false">
      <c r="A436" s="7" t="n">
        <v>432</v>
      </c>
      <c r="B436" s="12" t="s">
        <v>519</v>
      </c>
      <c r="C436" s="10" t="s">
        <v>1665</v>
      </c>
      <c r="D436" s="12" t="s">
        <v>1419</v>
      </c>
      <c r="E436" s="12" t="s">
        <v>1320</v>
      </c>
      <c r="F436" s="10" t="s">
        <v>1666</v>
      </c>
      <c r="G436" s="12" t="s">
        <v>656</v>
      </c>
      <c r="H436" s="26"/>
      <c r="I436" s="7" t="n">
        <v>1</v>
      </c>
      <c r="J436" s="7" t="n">
        <v>136</v>
      </c>
      <c r="K436" s="11" t="n">
        <v>6629.25</v>
      </c>
      <c r="L436" s="10" t="s">
        <v>520</v>
      </c>
      <c r="M436" s="35" t="n">
        <v>23.95</v>
      </c>
      <c r="N436" s="12" t="s">
        <v>664</v>
      </c>
      <c r="O436" s="12" t="s">
        <v>153</v>
      </c>
      <c r="P436" s="10" t="s">
        <v>665</v>
      </c>
      <c r="Q436" s="30" t="s">
        <v>666</v>
      </c>
      <c r="R436" s="34" t="n">
        <v>0.998427672955975</v>
      </c>
      <c r="S436" s="11" t="n">
        <v>6618.8</v>
      </c>
      <c r="T436" s="10" t="s">
        <v>1667</v>
      </c>
      <c r="U436" s="7" t="n">
        <v>31</v>
      </c>
      <c r="V436" s="12" t="s">
        <v>282</v>
      </c>
      <c r="W436" s="12" t="s">
        <v>79</v>
      </c>
      <c r="X436" s="12" t="s">
        <v>80</v>
      </c>
      <c r="Y436" s="10" t="s">
        <v>111</v>
      </c>
      <c r="Z436" s="7" t="s">
        <v>688</v>
      </c>
      <c r="AA436" s="7" t="n">
        <v>28</v>
      </c>
      <c r="AB436" s="9" t="n">
        <v>0.529613692866705</v>
      </c>
    </row>
    <row r="437" customFormat="false" ht="79.85" hidden="false" customHeight="false" outlineLevel="0" collapsed="false">
      <c r="A437" s="7" t="n">
        <v>433</v>
      </c>
      <c r="B437" s="12" t="s">
        <v>89</v>
      </c>
      <c r="C437" s="10" t="s">
        <v>1661</v>
      </c>
      <c r="D437" s="12" t="s">
        <v>1419</v>
      </c>
      <c r="E437" s="12" t="s">
        <v>1668</v>
      </c>
      <c r="F437" s="10" t="s">
        <v>1669</v>
      </c>
      <c r="G437" s="12" t="s">
        <v>656</v>
      </c>
      <c r="H437" s="26"/>
      <c r="I437" s="7" t="n">
        <v>1</v>
      </c>
      <c r="J437" s="7" t="n">
        <v>905</v>
      </c>
      <c r="K437" s="11" t="n">
        <v>28093.38</v>
      </c>
      <c r="L437" s="10" t="s">
        <v>90</v>
      </c>
      <c r="M437" s="26"/>
      <c r="N437" s="12" t="s">
        <v>701</v>
      </c>
      <c r="O437" s="12" t="s">
        <v>323</v>
      </c>
      <c r="P437" s="10" t="s">
        <v>323</v>
      </c>
      <c r="Q437" s="12"/>
      <c r="R437" s="34" t="n">
        <v>1</v>
      </c>
      <c r="S437" s="11" t="n">
        <v>28093.4</v>
      </c>
      <c r="T437" s="10" t="s">
        <v>1461</v>
      </c>
      <c r="U437" s="7" t="n">
        <v>34</v>
      </c>
      <c r="V437" s="12" t="s">
        <v>91</v>
      </c>
      <c r="W437" s="12" t="s">
        <v>79</v>
      </c>
      <c r="X437" s="12" t="s">
        <v>80</v>
      </c>
      <c r="Y437" s="10" t="s">
        <v>81</v>
      </c>
      <c r="Z437" s="7" t="s">
        <v>74</v>
      </c>
      <c r="AA437" s="7" t="n">
        <v>3</v>
      </c>
      <c r="AB437" s="9" t="n">
        <v>0.872274813539874</v>
      </c>
    </row>
    <row r="438" customFormat="false" ht="68.65" hidden="false" customHeight="false" outlineLevel="0" collapsed="false">
      <c r="A438" s="7" t="n">
        <v>434</v>
      </c>
      <c r="B438" s="12" t="s">
        <v>114</v>
      </c>
      <c r="C438" s="10" t="s">
        <v>1670</v>
      </c>
      <c r="D438" s="12" t="s">
        <v>1419</v>
      </c>
      <c r="E438" s="12" t="s">
        <v>974</v>
      </c>
      <c r="F438" s="10" t="s">
        <v>975</v>
      </c>
      <c r="G438" s="12" t="s">
        <v>663</v>
      </c>
      <c r="H438" s="26"/>
      <c r="I438" s="7" t="n">
        <v>1</v>
      </c>
      <c r="J438" s="7" t="n">
        <v>146</v>
      </c>
      <c r="K438" s="11" t="n">
        <v>11366.06</v>
      </c>
      <c r="L438" s="10" t="s">
        <v>115</v>
      </c>
      <c r="M438" s="26"/>
      <c r="N438" s="12" t="s">
        <v>701</v>
      </c>
      <c r="O438" s="12" t="s">
        <v>323</v>
      </c>
      <c r="P438" s="10" t="s">
        <v>323</v>
      </c>
      <c r="Q438" s="12"/>
      <c r="R438" s="34" t="n">
        <v>1</v>
      </c>
      <c r="S438" s="11" t="n">
        <v>11366.1</v>
      </c>
      <c r="T438" s="10" t="s">
        <v>1432</v>
      </c>
      <c r="U438" s="7" t="n">
        <v>30</v>
      </c>
      <c r="V438" s="12" t="s">
        <v>116</v>
      </c>
      <c r="W438" s="12" t="s">
        <v>85</v>
      </c>
      <c r="X438" s="12" t="s">
        <v>86</v>
      </c>
      <c r="Y438" s="10" t="s">
        <v>87</v>
      </c>
      <c r="Z438" s="7" t="s">
        <v>106</v>
      </c>
      <c r="AA438" s="7" t="n">
        <v>8</v>
      </c>
      <c r="AB438" s="9" t="n">
        <v>0.778294128896539</v>
      </c>
    </row>
    <row r="439" customFormat="false" ht="23.85" hidden="false" customHeight="false" outlineLevel="0" collapsed="false">
      <c r="A439" s="7" t="n">
        <v>435</v>
      </c>
      <c r="B439" s="12" t="s">
        <v>440</v>
      </c>
      <c r="C439" s="10" t="s">
        <v>1671</v>
      </c>
      <c r="D439" s="12" t="s">
        <v>1419</v>
      </c>
      <c r="E439" s="12" t="s">
        <v>917</v>
      </c>
      <c r="F439" s="10" t="s">
        <v>1056</v>
      </c>
      <c r="G439" s="12" t="s">
        <v>656</v>
      </c>
      <c r="H439" s="26"/>
      <c r="I439" s="7" t="n">
        <v>1</v>
      </c>
      <c r="J439" s="7" t="n">
        <v>1963</v>
      </c>
      <c r="K439" s="11" t="n">
        <v>49365.77</v>
      </c>
      <c r="L439" s="10" t="s">
        <v>441</v>
      </c>
      <c r="M439" s="26"/>
      <c r="N439" s="12" t="s">
        <v>701</v>
      </c>
      <c r="O439" s="12" t="s">
        <v>323</v>
      </c>
      <c r="P439" s="10" t="s">
        <v>323</v>
      </c>
      <c r="Q439" s="12"/>
      <c r="R439" s="34" t="n">
        <v>0.115367076010264</v>
      </c>
      <c r="S439" s="11" t="n">
        <v>5695.2</v>
      </c>
      <c r="T439" s="10" t="s">
        <v>1065</v>
      </c>
      <c r="U439" s="7" t="n">
        <v>2</v>
      </c>
      <c r="V439" s="12" t="s">
        <v>323</v>
      </c>
      <c r="W439" s="12" t="s">
        <v>79</v>
      </c>
      <c r="X439" s="12" t="s">
        <v>86</v>
      </c>
      <c r="Y439" s="10"/>
      <c r="Z439" s="7" t="s">
        <v>688</v>
      </c>
      <c r="AA439" s="7" t="n">
        <v>26</v>
      </c>
      <c r="AB439" s="9" t="n">
        <v>0.553055077452668</v>
      </c>
    </row>
    <row r="440" customFormat="false" ht="57.45" hidden="false" customHeight="false" outlineLevel="0" collapsed="false">
      <c r="A440" s="7" t="n">
        <v>436</v>
      </c>
      <c r="B440" s="12" t="s">
        <v>210</v>
      </c>
      <c r="C440" s="10" t="s">
        <v>1616</v>
      </c>
      <c r="D440" s="12" t="s">
        <v>1419</v>
      </c>
      <c r="E440" s="12" t="s">
        <v>1672</v>
      </c>
      <c r="F440" s="10" t="s">
        <v>1664</v>
      </c>
      <c r="G440" s="12" t="s">
        <v>663</v>
      </c>
      <c r="H440" s="26"/>
      <c r="I440" s="7" t="n">
        <v>1</v>
      </c>
      <c r="J440" s="7" t="n">
        <v>2546</v>
      </c>
      <c r="K440" s="11" t="n">
        <v>46507.62</v>
      </c>
      <c r="L440" s="10" t="s">
        <v>211</v>
      </c>
      <c r="M440" s="26"/>
      <c r="N440" s="12" t="s">
        <v>701</v>
      </c>
      <c r="O440" s="12" t="s">
        <v>323</v>
      </c>
      <c r="P440" s="10" t="s">
        <v>323</v>
      </c>
      <c r="Q440" s="12"/>
      <c r="R440" s="34" t="n">
        <v>0.378228374732698</v>
      </c>
      <c r="S440" s="11" t="n">
        <v>17590.5</v>
      </c>
      <c r="T440" s="10" t="s">
        <v>1425</v>
      </c>
      <c r="U440" s="7" t="n">
        <v>27</v>
      </c>
      <c r="V440" s="12" t="s">
        <v>116</v>
      </c>
      <c r="W440" s="12" t="s">
        <v>85</v>
      </c>
      <c r="X440" s="12" t="s">
        <v>86</v>
      </c>
      <c r="Y440" s="10"/>
      <c r="Z440" s="7" t="s">
        <v>688</v>
      </c>
      <c r="AA440" s="7" t="n">
        <v>19</v>
      </c>
      <c r="AB440" s="9" t="n">
        <v>0.602065404475043</v>
      </c>
    </row>
    <row r="441" customFormat="false" ht="57.45" hidden="false" customHeight="false" outlineLevel="0" collapsed="false">
      <c r="A441" s="7" t="n">
        <v>437</v>
      </c>
      <c r="B441" s="12" t="s">
        <v>210</v>
      </c>
      <c r="C441" s="10" t="s">
        <v>1616</v>
      </c>
      <c r="D441" s="12" t="s">
        <v>1419</v>
      </c>
      <c r="E441" s="12" t="s">
        <v>1673</v>
      </c>
      <c r="F441" s="10" t="s">
        <v>1674</v>
      </c>
      <c r="G441" s="12" t="s">
        <v>663</v>
      </c>
      <c r="H441" s="26"/>
      <c r="I441" s="7" t="n">
        <v>1</v>
      </c>
      <c r="J441" s="7" t="n">
        <v>2546</v>
      </c>
      <c r="K441" s="11" t="n">
        <v>46507.62</v>
      </c>
      <c r="L441" s="10" t="s">
        <v>211</v>
      </c>
      <c r="M441" s="26"/>
      <c r="N441" s="12" t="s">
        <v>701</v>
      </c>
      <c r="O441" s="12" t="s">
        <v>323</v>
      </c>
      <c r="P441" s="10" t="s">
        <v>323</v>
      </c>
      <c r="Q441" s="12"/>
      <c r="R441" s="34" t="n">
        <v>0.378228374732698</v>
      </c>
      <c r="S441" s="11" t="n">
        <v>17590.5</v>
      </c>
      <c r="T441" s="10" t="s">
        <v>1425</v>
      </c>
      <c r="U441" s="7" t="n">
        <v>27</v>
      </c>
      <c r="V441" s="12" t="s">
        <v>116</v>
      </c>
      <c r="W441" s="12" t="s">
        <v>85</v>
      </c>
      <c r="X441" s="12" t="s">
        <v>86</v>
      </c>
      <c r="Y441" s="10"/>
      <c r="Z441" s="7" t="s">
        <v>688</v>
      </c>
      <c r="AA441" s="7" t="n">
        <v>19</v>
      </c>
      <c r="AB441" s="9" t="n">
        <v>0.602065404475043</v>
      </c>
    </row>
    <row r="442" customFormat="false" ht="57.45" hidden="false" customHeight="false" outlineLevel="0" collapsed="false">
      <c r="A442" s="7" t="n">
        <v>438</v>
      </c>
      <c r="B442" s="12" t="s">
        <v>542</v>
      </c>
      <c r="C442" s="10" t="s">
        <v>1675</v>
      </c>
      <c r="D442" s="12" t="s">
        <v>1419</v>
      </c>
      <c r="E442" s="12" t="s">
        <v>1676</v>
      </c>
      <c r="F442" s="10" t="s">
        <v>1677</v>
      </c>
      <c r="G442" s="12" t="s">
        <v>663</v>
      </c>
      <c r="H442" s="26" t="n">
        <v>17.5</v>
      </c>
      <c r="I442" s="7" t="n">
        <v>1</v>
      </c>
      <c r="J442" s="7" t="n">
        <v>221</v>
      </c>
      <c r="K442" s="11" t="n">
        <v>5838.25</v>
      </c>
      <c r="L442" s="10" t="s">
        <v>543</v>
      </c>
      <c r="M442" s="26" t="n">
        <v>17.5</v>
      </c>
      <c r="N442" s="12" t="s">
        <v>657</v>
      </c>
      <c r="O442" s="12" t="s">
        <v>102</v>
      </c>
      <c r="P442" s="10" t="s">
        <v>658</v>
      </c>
      <c r="Q442" s="30" t="s">
        <v>1678</v>
      </c>
      <c r="R442" s="34" t="n">
        <v>0.800763686706633</v>
      </c>
      <c r="S442" s="11" t="n">
        <v>4675.1</v>
      </c>
      <c r="T442" s="10" t="s">
        <v>1679</v>
      </c>
      <c r="U442" s="7" t="n">
        <v>24</v>
      </c>
      <c r="V442" s="12" t="s">
        <v>279</v>
      </c>
      <c r="W442" s="12" t="s">
        <v>85</v>
      </c>
      <c r="X442" s="12" t="s">
        <v>86</v>
      </c>
      <c r="Y442" s="10"/>
      <c r="Z442" s="7" t="s">
        <v>688</v>
      </c>
      <c r="AA442" s="7" t="n">
        <v>44</v>
      </c>
      <c r="AB442" s="9" t="n">
        <v>0.400062153375406</v>
      </c>
    </row>
    <row r="443" customFormat="false" ht="57.45" hidden="false" customHeight="false" outlineLevel="0" collapsed="false">
      <c r="A443" s="7" t="n">
        <v>439</v>
      </c>
      <c r="B443" s="12" t="s">
        <v>542</v>
      </c>
      <c r="C443" s="10" t="s">
        <v>1675</v>
      </c>
      <c r="D443" s="12" t="s">
        <v>1419</v>
      </c>
      <c r="E443" s="12" t="s">
        <v>1680</v>
      </c>
      <c r="F443" s="10" t="s">
        <v>1681</v>
      </c>
      <c r="G443" s="12" t="s">
        <v>663</v>
      </c>
      <c r="H443" s="26"/>
      <c r="I443" s="7" t="n">
        <v>1</v>
      </c>
      <c r="J443" s="7" t="n">
        <v>221</v>
      </c>
      <c r="K443" s="11" t="n">
        <v>5838.25</v>
      </c>
      <c r="L443" s="10" t="s">
        <v>543</v>
      </c>
      <c r="M443" s="26"/>
      <c r="N443" s="12" t="s">
        <v>701</v>
      </c>
      <c r="O443" s="12" t="s">
        <v>323</v>
      </c>
      <c r="P443" s="10" t="s">
        <v>323</v>
      </c>
      <c r="Q443" s="12"/>
      <c r="R443" s="34" t="n">
        <v>0.800763686706633</v>
      </c>
      <c r="S443" s="11" t="n">
        <v>4675.1</v>
      </c>
      <c r="T443" s="10" t="s">
        <v>1679</v>
      </c>
      <c r="U443" s="7" t="n">
        <v>24</v>
      </c>
      <c r="V443" s="12" t="s">
        <v>279</v>
      </c>
      <c r="W443" s="12" t="s">
        <v>85</v>
      </c>
      <c r="X443" s="12" t="s">
        <v>86</v>
      </c>
      <c r="Y443" s="10"/>
      <c r="Z443" s="7" t="s">
        <v>688</v>
      </c>
      <c r="AA443" s="7" t="n">
        <v>44</v>
      </c>
      <c r="AB443" s="9" t="n">
        <v>0.400062153375406</v>
      </c>
    </row>
    <row r="444" customFormat="false" ht="57.45" hidden="false" customHeight="false" outlineLevel="0" collapsed="false">
      <c r="A444" s="7" t="n">
        <v>440</v>
      </c>
      <c r="B444" s="12" t="s">
        <v>107</v>
      </c>
      <c r="C444" s="10" t="s">
        <v>1682</v>
      </c>
      <c r="D444" s="12" t="s">
        <v>1419</v>
      </c>
      <c r="E444" s="12" t="s">
        <v>1037</v>
      </c>
      <c r="F444" s="10" t="s">
        <v>1038</v>
      </c>
      <c r="G444" s="12" t="s">
        <v>656</v>
      </c>
      <c r="H444" s="26"/>
      <c r="I444" s="7" t="n">
        <v>1</v>
      </c>
      <c r="J444" s="7" t="n">
        <v>312</v>
      </c>
      <c r="K444" s="11" t="n">
        <v>59827.18</v>
      </c>
      <c r="L444" s="10" t="s">
        <v>108</v>
      </c>
      <c r="M444" s="26"/>
      <c r="N444" s="12" t="s">
        <v>701</v>
      </c>
      <c r="O444" s="12" t="s">
        <v>323</v>
      </c>
      <c r="P444" s="10" t="s">
        <v>323</v>
      </c>
      <c r="Q444" s="12"/>
      <c r="R444" s="34" t="n">
        <v>1</v>
      </c>
      <c r="S444" s="11" t="n">
        <v>59827.2</v>
      </c>
      <c r="T444" s="10" t="s">
        <v>1456</v>
      </c>
      <c r="U444" s="7" t="n">
        <v>21</v>
      </c>
      <c r="V444" s="12" t="s">
        <v>109</v>
      </c>
      <c r="W444" s="12" t="s">
        <v>79</v>
      </c>
      <c r="X444" s="12" t="s">
        <v>80</v>
      </c>
      <c r="Y444" s="10" t="s">
        <v>111</v>
      </c>
      <c r="Z444" s="7" t="s">
        <v>106</v>
      </c>
      <c r="AA444" s="7" t="n">
        <v>6</v>
      </c>
      <c r="AB444" s="9" t="n">
        <v>0.829709313444253</v>
      </c>
    </row>
    <row r="445" customFormat="false" ht="57.45" hidden="false" customHeight="false" outlineLevel="0" collapsed="false">
      <c r="A445" s="7" t="n">
        <v>441</v>
      </c>
      <c r="B445" s="12" t="s">
        <v>107</v>
      </c>
      <c r="C445" s="10" t="s">
        <v>1682</v>
      </c>
      <c r="D445" s="12" t="s">
        <v>1419</v>
      </c>
      <c r="E445" s="12" t="s">
        <v>963</v>
      </c>
      <c r="F445" s="10" t="s">
        <v>964</v>
      </c>
      <c r="G445" s="12" t="s">
        <v>656</v>
      </c>
      <c r="H445" s="26"/>
      <c r="I445" s="7" t="n">
        <v>1</v>
      </c>
      <c r="J445" s="7" t="n">
        <v>312</v>
      </c>
      <c r="K445" s="11" t="n">
        <v>59827.18</v>
      </c>
      <c r="L445" s="10" t="s">
        <v>108</v>
      </c>
      <c r="M445" s="26"/>
      <c r="N445" s="12" t="s">
        <v>701</v>
      </c>
      <c r="O445" s="12" t="s">
        <v>323</v>
      </c>
      <c r="P445" s="10" t="s">
        <v>323</v>
      </c>
      <c r="Q445" s="12"/>
      <c r="R445" s="34" t="n">
        <v>1</v>
      </c>
      <c r="S445" s="11" t="n">
        <v>59827.2</v>
      </c>
      <c r="T445" s="10" t="s">
        <v>1456</v>
      </c>
      <c r="U445" s="7" t="n">
        <v>21</v>
      </c>
      <c r="V445" s="12" t="s">
        <v>109</v>
      </c>
      <c r="W445" s="12" t="s">
        <v>79</v>
      </c>
      <c r="X445" s="12" t="s">
        <v>80</v>
      </c>
      <c r="Y445" s="10" t="s">
        <v>111</v>
      </c>
      <c r="Z445" s="7" t="s">
        <v>106</v>
      </c>
      <c r="AA445" s="7" t="n">
        <v>6</v>
      </c>
      <c r="AB445" s="9" t="n">
        <v>0.829709313444253</v>
      </c>
    </row>
    <row r="446" customFormat="false" ht="35.05" hidden="false" customHeight="false" outlineLevel="0" collapsed="false">
      <c r="A446" s="7" t="n">
        <v>442</v>
      </c>
      <c r="B446" s="12" t="s">
        <v>492</v>
      </c>
      <c r="C446" s="10" t="s">
        <v>1683</v>
      </c>
      <c r="D446" s="12" t="s">
        <v>1419</v>
      </c>
      <c r="E446" s="12" t="s">
        <v>1684</v>
      </c>
      <c r="F446" s="10" t="s">
        <v>1053</v>
      </c>
      <c r="G446" s="12" t="s">
        <v>656</v>
      </c>
      <c r="H446" s="26"/>
      <c r="I446" s="7" t="n">
        <v>1</v>
      </c>
      <c r="J446" s="7" t="n">
        <v>1683</v>
      </c>
      <c r="K446" s="11" t="n">
        <v>46739.27</v>
      </c>
      <c r="L446" s="10" t="s">
        <v>493</v>
      </c>
      <c r="M446" s="35" t="n">
        <v>1.08</v>
      </c>
      <c r="N446" s="12" t="s">
        <v>664</v>
      </c>
      <c r="O446" s="12" t="s">
        <v>102</v>
      </c>
      <c r="P446" s="10" t="s">
        <v>1685</v>
      </c>
      <c r="Q446" s="30" t="s">
        <v>1686</v>
      </c>
      <c r="R446" s="34" t="n">
        <v>0.397871292803773</v>
      </c>
      <c r="S446" s="11" t="n">
        <v>18596.2</v>
      </c>
      <c r="T446" s="10" t="s">
        <v>1687</v>
      </c>
      <c r="U446" s="7" t="n">
        <v>9</v>
      </c>
      <c r="V446" s="12" t="s">
        <v>96</v>
      </c>
      <c r="W446" s="12" t="s">
        <v>172</v>
      </c>
      <c r="X446" s="12" t="s">
        <v>86</v>
      </c>
      <c r="Y446" s="10"/>
      <c r="Z446" s="7" t="s">
        <v>676</v>
      </c>
      <c r="AA446" s="7"/>
      <c r="AB446" s="9" t="n">
        <v>0.768072289156627</v>
      </c>
    </row>
    <row r="447" customFormat="false" ht="35.05" hidden="false" customHeight="false" outlineLevel="0" collapsed="false">
      <c r="A447" s="7" t="n">
        <v>443</v>
      </c>
      <c r="B447" s="12" t="s">
        <v>492</v>
      </c>
      <c r="C447" s="10" t="s">
        <v>1683</v>
      </c>
      <c r="D447" s="12" t="s">
        <v>1419</v>
      </c>
      <c r="E447" s="12" t="s">
        <v>1688</v>
      </c>
      <c r="F447" s="10" t="s">
        <v>1196</v>
      </c>
      <c r="G447" s="12" t="s">
        <v>656</v>
      </c>
      <c r="H447" s="26"/>
      <c r="I447" s="7" t="n">
        <v>1</v>
      </c>
      <c r="J447" s="7" t="n">
        <v>1683</v>
      </c>
      <c r="K447" s="11" t="n">
        <v>46739.27</v>
      </c>
      <c r="L447" s="10" t="s">
        <v>493</v>
      </c>
      <c r="M447" s="35" t="n">
        <v>1.98</v>
      </c>
      <c r="N447" s="12" t="s">
        <v>664</v>
      </c>
      <c r="O447" s="12" t="s">
        <v>102</v>
      </c>
      <c r="P447" s="10" t="s">
        <v>1685</v>
      </c>
      <c r="Q447" s="30" t="s">
        <v>1686</v>
      </c>
      <c r="R447" s="34" t="n">
        <v>0.397871292803773</v>
      </c>
      <c r="S447" s="11" t="n">
        <v>18596.2</v>
      </c>
      <c r="T447" s="10" t="s">
        <v>1687</v>
      </c>
      <c r="U447" s="7" t="n">
        <v>9</v>
      </c>
      <c r="V447" s="12" t="s">
        <v>96</v>
      </c>
      <c r="W447" s="12" t="s">
        <v>79</v>
      </c>
      <c r="X447" s="12" t="s">
        <v>671</v>
      </c>
      <c r="Y447" s="10"/>
      <c r="Z447" s="7" t="s">
        <v>676</v>
      </c>
      <c r="AA447" s="7"/>
      <c r="AB447" s="9" t="n">
        <v>0.768072289156627</v>
      </c>
    </row>
    <row r="448" customFormat="false" ht="35.05" hidden="false" customHeight="false" outlineLevel="0" collapsed="false">
      <c r="A448" s="7" t="n">
        <v>444</v>
      </c>
      <c r="B448" s="12" t="s">
        <v>492</v>
      </c>
      <c r="C448" s="10" t="s">
        <v>1689</v>
      </c>
      <c r="D448" s="12" t="s">
        <v>1419</v>
      </c>
      <c r="E448" s="12" t="s">
        <v>1690</v>
      </c>
      <c r="F448" s="10" t="s">
        <v>1691</v>
      </c>
      <c r="G448" s="12" t="s">
        <v>656</v>
      </c>
      <c r="H448" s="26"/>
      <c r="I448" s="7" t="n">
        <v>1</v>
      </c>
      <c r="J448" s="7" t="n">
        <v>1683</v>
      </c>
      <c r="K448" s="11" t="n">
        <v>46739.27</v>
      </c>
      <c r="L448" s="10" t="s">
        <v>493</v>
      </c>
      <c r="M448" s="35" t="n">
        <v>0.75</v>
      </c>
      <c r="N448" s="12" t="s">
        <v>664</v>
      </c>
      <c r="O448" s="12" t="s">
        <v>102</v>
      </c>
      <c r="P448" s="10" t="s">
        <v>1685</v>
      </c>
      <c r="Q448" s="30" t="s">
        <v>1686</v>
      </c>
      <c r="R448" s="34" t="n">
        <v>0.397871292803773</v>
      </c>
      <c r="S448" s="11" t="n">
        <v>18596.2</v>
      </c>
      <c r="T448" s="10" t="s">
        <v>1687</v>
      </c>
      <c r="U448" s="7" t="n">
        <v>9</v>
      </c>
      <c r="V448" s="12" t="s">
        <v>96</v>
      </c>
      <c r="W448" s="12" t="s">
        <v>172</v>
      </c>
      <c r="X448" s="12" t="s">
        <v>86</v>
      </c>
      <c r="Y448" s="10"/>
      <c r="Z448" s="7" t="s">
        <v>676</v>
      </c>
      <c r="AA448" s="7"/>
      <c r="AB448" s="9" t="n">
        <v>0.768072289156627</v>
      </c>
    </row>
    <row r="449" customFormat="false" ht="35.05" hidden="false" customHeight="false" outlineLevel="0" collapsed="false">
      <c r="A449" s="7" t="n">
        <v>445</v>
      </c>
      <c r="B449" s="12" t="s">
        <v>492</v>
      </c>
      <c r="C449" s="10" t="s">
        <v>1689</v>
      </c>
      <c r="D449" s="12" t="s">
        <v>1419</v>
      </c>
      <c r="E449" s="12" t="s">
        <v>1692</v>
      </c>
      <c r="F449" s="10" t="s">
        <v>1196</v>
      </c>
      <c r="G449" s="12" t="s">
        <v>656</v>
      </c>
      <c r="H449" s="26"/>
      <c r="I449" s="7" t="n">
        <v>1</v>
      </c>
      <c r="J449" s="7" t="n">
        <v>1683</v>
      </c>
      <c r="K449" s="11" t="n">
        <v>46739.27</v>
      </c>
      <c r="L449" s="10" t="s">
        <v>493</v>
      </c>
      <c r="M449" s="35" t="n">
        <v>1.85</v>
      </c>
      <c r="N449" s="12" t="s">
        <v>664</v>
      </c>
      <c r="O449" s="12" t="s">
        <v>102</v>
      </c>
      <c r="P449" s="10" t="s">
        <v>1685</v>
      </c>
      <c r="Q449" s="30" t="s">
        <v>1686</v>
      </c>
      <c r="R449" s="34" t="n">
        <v>0.397871292803773</v>
      </c>
      <c r="S449" s="11" t="n">
        <v>18596.2</v>
      </c>
      <c r="T449" s="10" t="s">
        <v>1687</v>
      </c>
      <c r="U449" s="7" t="n">
        <v>9</v>
      </c>
      <c r="V449" s="12" t="s">
        <v>96</v>
      </c>
      <c r="W449" s="12" t="s">
        <v>79</v>
      </c>
      <c r="X449" s="12" t="s">
        <v>671</v>
      </c>
      <c r="Y449" s="10"/>
      <c r="Z449" s="7" t="s">
        <v>676</v>
      </c>
      <c r="AA449" s="7"/>
      <c r="AB449" s="9" t="n">
        <v>0.768072289156627</v>
      </c>
    </row>
    <row r="450" customFormat="false" ht="68.65" hidden="false" customHeight="false" outlineLevel="0" collapsed="false">
      <c r="A450" s="7" t="n">
        <v>446</v>
      </c>
      <c r="B450" s="12" t="s">
        <v>546</v>
      </c>
      <c r="C450" s="10" t="s">
        <v>1693</v>
      </c>
      <c r="D450" s="12" t="s">
        <v>1419</v>
      </c>
      <c r="E450" s="12" t="s">
        <v>1694</v>
      </c>
      <c r="F450" s="10" t="s">
        <v>1695</v>
      </c>
      <c r="G450" s="12" t="s">
        <v>656</v>
      </c>
      <c r="H450" s="26"/>
      <c r="I450" s="7" t="n">
        <v>1</v>
      </c>
      <c r="J450" s="7" t="n">
        <v>799</v>
      </c>
      <c r="K450" s="11" t="n">
        <v>7738.99</v>
      </c>
      <c r="L450" s="10" t="s">
        <v>547</v>
      </c>
      <c r="M450" s="26"/>
      <c r="N450" s="12" t="s">
        <v>701</v>
      </c>
      <c r="O450" s="12" t="s">
        <v>323</v>
      </c>
      <c r="P450" s="10" t="s">
        <v>323</v>
      </c>
      <c r="Q450" s="12"/>
      <c r="R450" s="34" t="n">
        <v>1</v>
      </c>
      <c r="S450" s="11" t="n">
        <v>7739</v>
      </c>
      <c r="T450" s="10" t="s">
        <v>1518</v>
      </c>
      <c r="U450" s="7" t="n">
        <v>28</v>
      </c>
      <c r="V450" s="12" t="s">
        <v>91</v>
      </c>
      <c r="W450" s="12" t="s">
        <v>79</v>
      </c>
      <c r="X450" s="12" t="s">
        <v>671</v>
      </c>
      <c r="Y450" s="10" t="s">
        <v>104</v>
      </c>
      <c r="Z450" s="7" t="s">
        <v>688</v>
      </c>
      <c r="AA450" s="7" t="n">
        <v>47</v>
      </c>
      <c r="AB450" s="9" t="n">
        <v>0.377763434691146</v>
      </c>
    </row>
    <row r="451" customFormat="false" ht="68.65" hidden="false" customHeight="false" outlineLevel="0" collapsed="false">
      <c r="A451" s="7" t="n">
        <v>447</v>
      </c>
      <c r="B451" s="12" t="s">
        <v>546</v>
      </c>
      <c r="C451" s="10" t="s">
        <v>1696</v>
      </c>
      <c r="D451" s="12" t="s">
        <v>1419</v>
      </c>
      <c r="E451" s="12" t="s">
        <v>1684</v>
      </c>
      <c r="F451" s="10" t="s">
        <v>1035</v>
      </c>
      <c r="G451" s="12" t="s">
        <v>656</v>
      </c>
      <c r="H451" s="26" t="n">
        <v>7.98</v>
      </c>
      <c r="I451" s="7" t="n">
        <v>1</v>
      </c>
      <c r="J451" s="7" t="n">
        <v>799</v>
      </c>
      <c r="K451" s="11" t="n">
        <v>7738.99</v>
      </c>
      <c r="L451" s="10" t="s">
        <v>547</v>
      </c>
      <c r="M451" s="26" t="n">
        <v>7.98</v>
      </c>
      <c r="N451" s="12" t="s">
        <v>657</v>
      </c>
      <c r="O451" s="12" t="s">
        <v>102</v>
      </c>
      <c r="P451" s="10" t="s">
        <v>658</v>
      </c>
      <c r="Q451" s="30" t="s">
        <v>983</v>
      </c>
      <c r="R451" s="34" t="n">
        <v>1</v>
      </c>
      <c r="S451" s="11" t="n">
        <v>7739</v>
      </c>
      <c r="T451" s="10" t="s">
        <v>1518</v>
      </c>
      <c r="U451" s="7" t="n">
        <v>28</v>
      </c>
      <c r="V451" s="12" t="s">
        <v>91</v>
      </c>
      <c r="W451" s="12" t="s">
        <v>79</v>
      </c>
      <c r="X451" s="12" t="s">
        <v>86</v>
      </c>
      <c r="Y451" s="10" t="s">
        <v>104</v>
      </c>
      <c r="Z451" s="7" t="s">
        <v>688</v>
      </c>
      <c r="AA451" s="7" t="n">
        <v>47</v>
      </c>
      <c r="AB451" s="9" t="n">
        <v>0.377763434691146</v>
      </c>
    </row>
    <row r="452" customFormat="false" ht="68.65" hidden="false" customHeight="false" outlineLevel="0" collapsed="false">
      <c r="A452" s="7" t="n">
        <v>448</v>
      </c>
      <c r="B452" s="12" t="s">
        <v>546</v>
      </c>
      <c r="C452" s="10" t="s">
        <v>1693</v>
      </c>
      <c r="D452" s="12" t="s">
        <v>1419</v>
      </c>
      <c r="E452" s="12" t="s">
        <v>1697</v>
      </c>
      <c r="F452" s="10" t="s">
        <v>1196</v>
      </c>
      <c r="G452" s="12" t="s">
        <v>656</v>
      </c>
      <c r="H452" s="26"/>
      <c r="I452" s="7" t="n">
        <v>1</v>
      </c>
      <c r="J452" s="7" t="n">
        <v>799</v>
      </c>
      <c r="K452" s="11" t="n">
        <v>7738.99</v>
      </c>
      <c r="L452" s="10" t="s">
        <v>547</v>
      </c>
      <c r="M452" s="26"/>
      <c r="N452" s="12" t="s">
        <v>701</v>
      </c>
      <c r="O452" s="12" t="s">
        <v>323</v>
      </c>
      <c r="P452" s="10" t="s">
        <v>323</v>
      </c>
      <c r="Q452" s="12"/>
      <c r="R452" s="34" t="n">
        <v>1</v>
      </c>
      <c r="S452" s="11" t="n">
        <v>7739</v>
      </c>
      <c r="T452" s="10" t="s">
        <v>1518</v>
      </c>
      <c r="U452" s="7" t="n">
        <v>28</v>
      </c>
      <c r="V452" s="12" t="s">
        <v>91</v>
      </c>
      <c r="W452" s="12" t="s">
        <v>79</v>
      </c>
      <c r="X452" s="12" t="s">
        <v>671</v>
      </c>
      <c r="Y452" s="10" t="s">
        <v>104</v>
      </c>
      <c r="Z452" s="7" t="s">
        <v>688</v>
      </c>
      <c r="AA452" s="7" t="n">
        <v>47</v>
      </c>
      <c r="AB452" s="9" t="n">
        <v>0.377763434691146</v>
      </c>
    </row>
    <row r="453" customFormat="false" ht="68.65" hidden="false" customHeight="false" outlineLevel="0" collapsed="false">
      <c r="A453" s="7" t="n">
        <v>449</v>
      </c>
      <c r="B453" s="12" t="s">
        <v>546</v>
      </c>
      <c r="C453" s="10" t="s">
        <v>1693</v>
      </c>
      <c r="D453" s="12" t="s">
        <v>1419</v>
      </c>
      <c r="E453" s="12" t="s">
        <v>1034</v>
      </c>
      <c r="F453" s="10" t="s">
        <v>1035</v>
      </c>
      <c r="G453" s="12" t="s">
        <v>656</v>
      </c>
      <c r="H453" s="26"/>
      <c r="I453" s="7" t="n">
        <v>1</v>
      </c>
      <c r="J453" s="7" t="n">
        <v>799</v>
      </c>
      <c r="K453" s="11" t="n">
        <v>7738.99</v>
      </c>
      <c r="L453" s="10" t="s">
        <v>547</v>
      </c>
      <c r="M453" s="26"/>
      <c r="N453" s="12" t="s">
        <v>701</v>
      </c>
      <c r="O453" s="12" t="s">
        <v>323</v>
      </c>
      <c r="P453" s="10" t="s">
        <v>323</v>
      </c>
      <c r="Q453" s="12"/>
      <c r="R453" s="34" t="n">
        <v>1</v>
      </c>
      <c r="S453" s="11" t="n">
        <v>7739</v>
      </c>
      <c r="T453" s="10" t="s">
        <v>1518</v>
      </c>
      <c r="U453" s="7" t="n">
        <v>28</v>
      </c>
      <c r="V453" s="12" t="s">
        <v>91</v>
      </c>
      <c r="W453" s="12" t="s">
        <v>79</v>
      </c>
      <c r="X453" s="12" t="s">
        <v>86</v>
      </c>
      <c r="Y453" s="10" t="s">
        <v>104</v>
      </c>
      <c r="Z453" s="7" t="s">
        <v>688</v>
      </c>
      <c r="AA453" s="7" t="n">
        <v>47</v>
      </c>
      <c r="AB453" s="9" t="n">
        <v>0.377763434691146</v>
      </c>
    </row>
    <row r="454" customFormat="false" ht="68.65" hidden="false" customHeight="false" outlineLevel="0" collapsed="false">
      <c r="A454" s="7" t="n">
        <v>450</v>
      </c>
      <c r="B454" s="12" t="s">
        <v>546</v>
      </c>
      <c r="C454" s="10" t="s">
        <v>1696</v>
      </c>
      <c r="D454" s="12" t="s">
        <v>1419</v>
      </c>
      <c r="E454" s="12" t="s">
        <v>1690</v>
      </c>
      <c r="F454" s="10" t="s">
        <v>1033</v>
      </c>
      <c r="G454" s="12" t="s">
        <v>656</v>
      </c>
      <c r="H454" s="26"/>
      <c r="I454" s="7" t="n">
        <v>1</v>
      </c>
      <c r="J454" s="7" t="n">
        <v>799</v>
      </c>
      <c r="K454" s="11" t="n">
        <v>7738.99</v>
      </c>
      <c r="L454" s="10" t="s">
        <v>547</v>
      </c>
      <c r="M454" s="26"/>
      <c r="N454" s="12" t="s">
        <v>701</v>
      </c>
      <c r="O454" s="12" t="s">
        <v>323</v>
      </c>
      <c r="P454" s="10" t="s">
        <v>323</v>
      </c>
      <c r="Q454" s="12"/>
      <c r="R454" s="34" t="n">
        <v>1</v>
      </c>
      <c r="S454" s="11" t="n">
        <v>7739</v>
      </c>
      <c r="T454" s="10" t="s">
        <v>1518</v>
      </c>
      <c r="U454" s="7" t="n">
        <v>28</v>
      </c>
      <c r="V454" s="12" t="s">
        <v>91</v>
      </c>
      <c r="W454" s="12" t="s">
        <v>79</v>
      </c>
      <c r="X454" s="12" t="s">
        <v>86</v>
      </c>
      <c r="Y454" s="10" t="s">
        <v>104</v>
      </c>
      <c r="Z454" s="7" t="s">
        <v>688</v>
      </c>
      <c r="AA454" s="7" t="n">
        <v>47</v>
      </c>
      <c r="AB454" s="9" t="n">
        <v>0.377763434691146</v>
      </c>
    </row>
    <row r="455" customFormat="false" ht="68.65" hidden="false" customHeight="false" outlineLevel="0" collapsed="false">
      <c r="A455" s="7" t="n">
        <v>451</v>
      </c>
      <c r="B455" s="12" t="s">
        <v>546</v>
      </c>
      <c r="C455" s="10" t="s">
        <v>1693</v>
      </c>
      <c r="D455" s="12" t="s">
        <v>1419</v>
      </c>
      <c r="E455" s="12" t="s">
        <v>1698</v>
      </c>
      <c r="F455" s="10" t="s">
        <v>1109</v>
      </c>
      <c r="G455" s="12" t="s">
        <v>656</v>
      </c>
      <c r="H455" s="26"/>
      <c r="I455" s="7" t="n">
        <v>1</v>
      </c>
      <c r="J455" s="7" t="n">
        <v>799</v>
      </c>
      <c r="K455" s="11" t="n">
        <v>7738.99</v>
      </c>
      <c r="L455" s="10" t="s">
        <v>547</v>
      </c>
      <c r="M455" s="26"/>
      <c r="N455" s="12" t="s">
        <v>701</v>
      </c>
      <c r="O455" s="12" t="s">
        <v>323</v>
      </c>
      <c r="P455" s="10" t="s">
        <v>323</v>
      </c>
      <c r="Q455" s="12"/>
      <c r="R455" s="34" t="n">
        <v>1</v>
      </c>
      <c r="S455" s="11" t="n">
        <v>7739</v>
      </c>
      <c r="T455" s="10" t="s">
        <v>1518</v>
      </c>
      <c r="U455" s="7" t="n">
        <v>28</v>
      </c>
      <c r="V455" s="12" t="s">
        <v>91</v>
      </c>
      <c r="W455" s="12" t="s">
        <v>79</v>
      </c>
      <c r="X455" s="12" t="s">
        <v>86</v>
      </c>
      <c r="Y455" s="10" t="s">
        <v>104</v>
      </c>
      <c r="Z455" s="7" t="s">
        <v>688</v>
      </c>
      <c r="AA455" s="7" t="n">
        <v>47</v>
      </c>
      <c r="AB455" s="9" t="n">
        <v>0.377763434691146</v>
      </c>
    </row>
    <row r="456" customFormat="false" ht="68.65" hidden="false" customHeight="false" outlineLevel="0" collapsed="false">
      <c r="A456" s="7" t="n">
        <v>452</v>
      </c>
      <c r="B456" s="12" t="s">
        <v>546</v>
      </c>
      <c r="C456" s="10" t="s">
        <v>1693</v>
      </c>
      <c r="D456" s="12" t="s">
        <v>1419</v>
      </c>
      <c r="E456" s="12" t="s">
        <v>1699</v>
      </c>
      <c r="F456" s="10" t="s">
        <v>1700</v>
      </c>
      <c r="G456" s="12" t="s">
        <v>656</v>
      </c>
      <c r="H456" s="26"/>
      <c r="I456" s="7" t="n">
        <v>1</v>
      </c>
      <c r="J456" s="7" t="n">
        <v>799</v>
      </c>
      <c r="K456" s="11" t="n">
        <v>7738.99</v>
      </c>
      <c r="L456" s="10" t="s">
        <v>547</v>
      </c>
      <c r="M456" s="26"/>
      <c r="N456" s="12" t="s">
        <v>701</v>
      </c>
      <c r="O456" s="12" t="s">
        <v>323</v>
      </c>
      <c r="P456" s="10" t="s">
        <v>323</v>
      </c>
      <c r="Q456" s="12"/>
      <c r="R456" s="34" t="n">
        <v>1</v>
      </c>
      <c r="S456" s="11" t="n">
        <v>7739</v>
      </c>
      <c r="T456" s="10" t="s">
        <v>1518</v>
      </c>
      <c r="U456" s="7" t="n">
        <v>28</v>
      </c>
      <c r="V456" s="12" t="s">
        <v>91</v>
      </c>
      <c r="W456" s="12" t="s">
        <v>79</v>
      </c>
      <c r="X456" s="12" t="s">
        <v>671</v>
      </c>
      <c r="Y456" s="10" t="s">
        <v>104</v>
      </c>
      <c r="Z456" s="7" t="s">
        <v>688</v>
      </c>
      <c r="AA456" s="7" t="n">
        <v>47</v>
      </c>
      <c r="AB456" s="9" t="n">
        <v>0.377763434691146</v>
      </c>
    </row>
    <row r="457" customFormat="false" ht="79.85" hidden="false" customHeight="false" outlineLevel="0" collapsed="false">
      <c r="A457" s="7" t="n">
        <v>453</v>
      </c>
      <c r="B457" s="12" t="s">
        <v>75</v>
      </c>
      <c r="C457" s="10" t="s">
        <v>1701</v>
      </c>
      <c r="D457" s="12" t="s">
        <v>1419</v>
      </c>
      <c r="E457" s="12" t="s">
        <v>978</v>
      </c>
      <c r="F457" s="10" t="s">
        <v>979</v>
      </c>
      <c r="G457" s="12" t="s">
        <v>656</v>
      </c>
      <c r="H457" s="26" t="n">
        <v>10.241</v>
      </c>
      <c r="I457" s="7" t="n">
        <v>1</v>
      </c>
      <c r="J457" s="7" t="n">
        <v>762</v>
      </c>
      <c r="K457" s="11" t="n">
        <v>50865.56</v>
      </c>
      <c r="L457" s="10" t="s">
        <v>76</v>
      </c>
      <c r="M457" s="26" t="n">
        <v>10.241</v>
      </c>
      <c r="N457" s="12" t="s">
        <v>657</v>
      </c>
      <c r="O457" s="12" t="s">
        <v>77</v>
      </c>
      <c r="P457" s="10" t="s">
        <v>658</v>
      </c>
      <c r="Q457" s="30" t="s">
        <v>976</v>
      </c>
      <c r="R457" s="34" t="n">
        <v>0.829278792417718</v>
      </c>
      <c r="S457" s="11" t="n">
        <v>42181.7</v>
      </c>
      <c r="T457" s="10" t="s">
        <v>1467</v>
      </c>
      <c r="U457" s="7" t="n">
        <v>32</v>
      </c>
      <c r="V457" s="12" t="s">
        <v>78</v>
      </c>
      <c r="W457" s="12" t="s">
        <v>79</v>
      </c>
      <c r="X457" s="12" t="s">
        <v>80</v>
      </c>
      <c r="Y457" s="10" t="s">
        <v>81</v>
      </c>
      <c r="Z457" s="7" t="s">
        <v>74</v>
      </c>
      <c r="AA457" s="7" t="n">
        <v>1</v>
      </c>
      <c r="AB457" s="9" t="n">
        <v>0.888477720405431</v>
      </c>
    </row>
    <row r="458" customFormat="false" ht="35.05" hidden="false" customHeight="false" outlineLevel="0" collapsed="false">
      <c r="A458" s="7" t="n">
        <v>454</v>
      </c>
      <c r="B458" s="12" t="s">
        <v>485</v>
      </c>
      <c r="C458" s="10" t="s">
        <v>1702</v>
      </c>
      <c r="D458" s="12" t="s">
        <v>1419</v>
      </c>
      <c r="E458" s="12" t="s">
        <v>1703</v>
      </c>
      <c r="F458" s="10" t="s">
        <v>1704</v>
      </c>
      <c r="G458" s="12" t="s">
        <v>656</v>
      </c>
      <c r="H458" s="26"/>
      <c r="I458" s="7" t="n">
        <v>1</v>
      </c>
      <c r="J458" s="7" t="n">
        <v>286</v>
      </c>
      <c r="K458" s="11" t="n">
        <v>3193.58</v>
      </c>
      <c r="L458" s="10" t="s">
        <v>486</v>
      </c>
      <c r="M458" s="35" t="n">
        <v>3</v>
      </c>
      <c r="N458" s="12" t="s">
        <v>664</v>
      </c>
      <c r="O458" s="12" t="s">
        <v>102</v>
      </c>
      <c r="P458" s="10" t="s">
        <v>1685</v>
      </c>
      <c r="Q458" s="30" t="s">
        <v>1686</v>
      </c>
      <c r="R458" s="34" t="n">
        <v>0.417198306639301</v>
      </c>
      <c r="S458" s="11" t="n">
        <v>1332.4</v>
      </c>
      <c r="T458" s="10" t="s">
        <v>1705</v>
      </c>
      <c r="U458" s="7" t="n">
        <v>8</v>
      </c>
      <c r="V458" s="12" t="s">
        <v>199</v>
      </c>
      <c r="W458" s="12" t="s">
        <v>172</v>
      </c>
      <c r="X458" s="12" t="s">
        <v>86</v>
      </c>
      <c r="Y458" s="10"/>
      <c r="Z458" s="7" t="s">
        <v>676</v>
      </c>
      <c r="AA458" s="7"/>
      <c r="AB458" s="9" t="n">
        <v>0.183734939759036</v>
      </c>
    </row>
    <row r="459" customFormat="false" ht="35.05" hidden="false" customHeight="false" outlineLevel="0" collapsed="false">
      <c r="A459" s="7" t="n">
        <v>455</v>
      </c>
      <c r="B459" s="12" t="s">
        <v>245</v>
      </c>
      <c r="C459" s="10" t="s">
        <v>1706</v>
      </c>
      <c r="D459" s="12" t="s">
        <v>1419</v>
      </c>
      <c r="E459" s="12" t="s">
        <v>1707</v>
      </c>
      <c r="F459" s="10" t="s">
        <v>1035</v>
      </c>
      <c r="G459" s="12" t="s">
        <v>656</v>
      </c>
      <c r="H459" s="26"/>
      <c r="I459" s="7" t="n">
        <v>1</v>
      </c>
      <c r="J459" s="7" t="n">
        <v>117</v>
      </c>
      <c r="K459" s="11" t="n">
        <v>2508.09</v>
      </c>
      <c r="L459" s="10" t="s">
        <v>246</v>
      </c>
      <c r="M459" s="26"/>
      <c r="N459" s="12" t="s">
        <v>701</v>
      </c>
      <c r="O459" s="12" t="s">
        <v>323</v>
      </c>
      <c r="P459" s="10" t="s">
        <v>323</v>
      </c>
      <c r="Q459" s="12"/>
      <c r="R459" s="34" t="n">
        <v>1</v>
      </c>
      <c r="S459" s="11" t="n">
        <v>2508.1</v>
      </c>
      <c r="T459" s="10" t="s">
        <v>1530</v>
      </c>
      <c r="U459" s="7" t="n">
        <v>15</v>
      </c>
      <c r="V459" s="12" t="s">
        <v>119</v>
      </c>
      <c r="W459" s="12" t="s">
        <v>79</v>
      </c>
      <c r="X459" s="12" t="s">
        <v>86</v>
      </c>
      <c r="Y459" s="10"/>
      <c r="Z459" s="7" t="s">
        <v>688</v>
      </c>
      <c r="AA459" s="7" t="n">
        <v>37</v>
      </c>
      <c r="AB459" s="9" t="n">
        <v>0.451864601262192</v>
      </c>
    </row>
    <row r="460" customFormat="false" ht="35.05" hidden="false" customHeight="false" outlineLevel="0" collapsed="false">
      <c r="A460" s="7" t="n">
        <v>456</v>
      </c>
      <c r="B460" s="12" t="s">
        <v>245</v>
      </c>
      <c r="C460" s="10" t="s">
        <v>1706</v>
      </c>
      <c r="D460" s="12" t="s">
        <v>1419</v>
      </c>
      <c r="E460" s="12" t="s">
        <v>1708</v>
      </c>
      <c r="F460" s="10" t="s">
        <v>1709</v>
      </c>
      <c r="G460" s="12" t="s">
        <v>656</v>
      </c>
      <c r="H460" s="26"/>
      <c r="I460" s="7" t="n">
        <v>1</v>
      </c>
      <c r="J460" s="7" t="n">
        <v>117</v>
      </c>
      <c r="K460" s="11" t="n">
        <v>2508.09</v>
      </c>
      <c r="L460" s="10" t="s">
        <v>246</v>
      </c>
      <c r="M460" s="26"/>
      <c r="N460" s="12" t="s">
        <v>701</v>
      </c>
      <c r="O460" s="12" t="s">
        <v>323</v>
      </c>
      <c r="P460" s="10" t="s">
        <v>323</v>
      </c>
      <c r="Q460" s="12"/>
      <c r="R460" s="34" t="n">
        <v>1</v>
      </c>
      <c r="S460" s="11" t="n">
        <v>2508.1</v>
      </c>
      <c r="T460" s="10" t="s">
        <v>1530</v>
      </c>
      <c r="U460" s="7" t="n">
        <v>15</v>
      </c>
      <c r="V460" s="12" t="s">
        <v>119</v>
      </c>
      <c r="W460" s="12" t="s">
        <v>79</v>
      </c>
      <c r="X460" s="12" t="s">
        <v>671</v>
      </c>
      <c r="Y460" s="10"/>
      <c r="Z460" s="7" t="s">
        <v>688</v>
      </c>
      <c r="AA460" s="7" t="n">
        <v>37</v>
      </c>
      <c r="AB460" s="9" t="n">
        <v>0.451864601262192</v>
      </c>
    </row>
    <row r="461" customFormat="false" ht="35.05" hidden="false" customHeight="false" outlineLevel="0" collapsed="false">
      <c r="A461" s="7" t="n">
        <v>457</v>
      </c>
      <c r="B461" s="12" t="s">
        <v>245</v>
      </c>
      <c r="C461" s="10" t="s">
        <v>1706</v>
      </c>
      <c r="D461" s="12" t="s">
        <v>1419</v>
      </c>
      <c r="E461" s="12" t="s">
        <v>1710</v>
      </c>
      <c r="F461" s="10" t="s">
        <v>1109</v>
      </c>
      <c r="G461" s="12" t="s">
        <v>656</v>
      </c>
      <c r="H461" s="26"/>
      <c r="I461" s="7" t="n">
        <v>1</v>
      </c>
      <c r="J461" s="7" t="n">
        <v>117</v>
      </c>
      <c r="K461" s="11" t="n">
        <v>2508.09</v>
      </c>
      <c r="L461" s="10" t="s">
        <v>246</v>
      </c>
      <c r="M461" s="26"/>
      <c r="N461" s="12" t="s">
        <v>701</v>
      </c>
      <c r="O461" s="12" t="s">
        <v>323</v>
      </c>
      <c r="P461" s="10" t="s">
        <v>323</v>
      </c>
      <c r="Q461" s="12"/>
      <c r="R461" s="34" t="n">
        <v>1</v>
      </c>
      <c r="S461" s="11" t="n">
        <v>2508.1</v>
      </c>
      <c r="T461" s="10" t="s">
        <v>1530</v>
      </c>
      <c r="U461" s="7" t="n">
        <v>15</v>
      </c>
      <c r="V461" s="12" t="s">
        <v>119</v>
      </c>
      <c r="W461" s="12" t="s">
        <v>79</v>
      </c>
      <c r="X461" s="12" t="s">
        <v>86</v>
      </c>
      <c r="Y461" s="10"/>
      <c r="Z461" s="7" t="s">
        <v>688</v>
      </c>
      <c r="AA461" s="7" t="n">
        <v>37</v>
      </c>
      <c r="AB461" s="9" t="n">
        <v>0.451864601262192</v>
      </c>
    </row>
    <row r="462" customFormat="false" ht="35.05" hidden="false" customHeight="false" outlineLevel="0" collapsed="false">
      <c r="A462" s="7" t="n">
        <v>458</v>
      </c>
      <c r="B462" s="12" t="s">
        <v>245</v>
      </c>
      <c r="C462" s="10" t="s">
        <v>1706</v>
      </c>
      <c r="D462" s="12" t="s">
        <v>1419</v>
      </c>
      <c r="E462" s="12" t="s">
        <v>1711</v>
      </c>
      <c r="F462" s="10" t="s">
        <v>1712</v>
      </c>
      <c r="G462" s="12" t="s">
        <v>656</v>
      </c>
      <c r="H462" s="26"/>
      <c r="I462" s="7" t="n">
        <v>1</v>
      </c>
      <c r="J462" s="7" t="n">
        <v>117</v>
      </c>
      <c r="K462" s="11" t="n">
        <v>2508.09</v>
      </c>
      <c r="L462" s="10" t="s">
        <v>246</v>
      </c>
      <c r="M462" s="26"/>
      <c r="N462" s="12" t="s">
        <v>701</v>
      </c>
      <c r="O462" s="12" t="s">
        <v>323</v>
      </c>
      <c r="P462" s="10" t="s">
        <v>323</v>
      </c>
      <c r="Q462" s="12"/>
      <c r="R462" s="34" t="n">
        <v>1</v>
      </c>
      <c r="S462" s="11" t="n">
        <v>2508.1</v>
      </c>
      <c r="T462" s="10" t="s">
        <v>1530</v>
      </c>
      <c r="U462" s="7" t="n">
        <v>15</v>
      </c>
      <c r="V462" s="12" t="s">
        <v>119</v>
      </c>
      <c r="W462" s="12" t="s">
        <v>79</v>
      </c>
      <c r="X462" s="12" t="s">
        <v>86</v>
      </c>
      <c r="Y462" s="10"/>
      <c r="Z462" s="7" t="s">
        <v>688</v>
      </c>
      <c r="AA462" s="7" t="n">
        <v>37</v>
      </c>
      <c r="AB462" s="9" t="n">
        <v>0.451864601262192</v>
      </c>
    </row>
    <row r="463" customFormat="false" ht="35.05" hidden="false" customHeight="false" outlineLevel="0" collapsed="false">
      <c r="A463" s="7" t="n">
        <v>459</v>
      </c>
      <c r="B463" s="12" t="s">
        <v>245</v>
      </c>
      <c r="C463" s="10" t="s">
        <v>1706</v>
      </c>
      <c r="D463" s="12" t="s">
        <v>1419</v>
      </c>
      <c r="E463" s="12" t="s">
        <v>1713</v>
      </c>
      <c r="F463" s="10" t="s">
        <v>1714</v>
      </c>
      <c r="G463" s="12" t="s">
        <v>656</v>
      </c>
      <c r="H463" s="26"/>
      <c r="I463" s="7" t="n">
        <v>1</v>
      </c>
      <c r="J463" s="7" t="n">
        <v>117</v>
      </c>
      <c r="K463" s="11" t="n">
        <v>2508.09</v>
      </c>
      <c r="L463" s="10" t="s">
        <v>246</v>
      </c>
      <c r="M463" s="26"/>
      <c r="N463" s="12" t="s">
        <v>701</v>
      </c>
      <c r="O463" s="12" t="s">
        <v>323</v>
      </c>
      <c r="P463" s="10" t="s">
        <v>323</v>
      </c>
      <c r="Q463" s="12"/>
      <c r="R463" s="34" t="n">
        <v>1</v>
      </c>
      <c r="S463" s="11" t="n">
        <v>2508.1</v>
      </c>
      <c r="T463" s="10" t="s">
        <v>1530</v>
      </c>
      <c r="U463" s="7" t="n">
        <v>15</v>
      </c>
      <c r="V463" s="12" t="s">
        <v>119</v>
      </c>
      <c r="W463" s="12" t="s">
        <v>79</v>
      </c>
      <c r="X463" s="12" t="s">
        <v>671</v>
      </c>
      <c r="Y463" s="10"/>
      <c r="Z463" s="7" t="s">
        <v>688</v>
      </c>
      <c r="AA463" s="7" t="n">
        <v>37</v>
      </c>
      <c r="AB463" s="9" t="n">
        <v>0.451864601262192</v>
      </c>
    </row>
    <row r="464" customFormat="false" ht="68.65" hidden="false" customHeight="false" outlineLevel="0" collapsed="false">
      <c r="A464" s="7" t="n">
        <v>460</v>
      </c>
      <c r="B464" s="12" t="s">
        <v>289</v>
      </c>
      <c r="C464" s="10" t="s">
        <v>1715</v>
      </c>
      <c r="D464" s="12" t="s">
        <v>1419</v>
      </c>
      <c r="E464" s="12" t="s">
        <v>1698</v>
      </c>
      <c r="F464" s="10" t="s">
        <v>1716</v>
      </c>
      <c r="G464" s="12" t="s">
        <v>656</v>
      </c>
      <c r="H464" s="26" t="n">
        <v>26.369</v>
      </c>
      <c r="I464" s="7" t="n">
        <v>1</v>
      </c>
      <c r="J464" s="7" t="n">
        <v>1282</v>
      </c>
      <c r="K464" s="11" t="n">
        <v>16792.84</v>
      </c>
      <c r="L464" s="10" t="s">
        <v>290</v>
      </c>
      <c r="M464" s="26" t="n">
        <v>26.369</v>
      </c>
      <c r="N464" s="12" t="s">
        <v>657</v>
      </c>
      <c r="O464" s="12" t="s">
        <v>102</v>
      </c>
      <c r="P464" s="10" t="s">
        <v>658</v>
      </c>
      <c r="Q464" s="30" t="s">
        <v>983</v>
      </c>
      <c r="R464" s="34" t="n">
        <v>0.776857437207773</v>
      </c>
      <c r="S464" s="11" t="n">
        <v>13045.6</v>
      </c>
      <c r="T464" s="10" t="s">
        <v>1503</v>
      </c>
      <c r="U464" s="7" t="n">
        <v>29</v>
      </c>
      <c r="V464" s="12" t="s">
        <v>130</v>
      </c>
      <c r="W464" s="12" t="s">
        <v>79</v>
      </c>
      <c r="X464" s="12" t="s">
        <v>86</v>
      </c>
      <c r="Y464" s="10" t="s">
        <v>104</v>
      </c>
      <c r="Z464" s="7" t="s">
        <v>688</v>
      </c>
      <c r="AA464" s="7" t="n">
        <v>13</v>
      </c>
      <c r="AB464" s="9" t="n">
        <v>0.672638171734557</v>
      </c>
    </row>
    <row r="465" customFormat="false" ht="57.45" hidden="false" customHeight="false" outlineLevel="0" collapsed="false">
      <c r="A465" s="7" t="n">
        <v>461</v>
      </c>
      <c r="B465" s="12" t="s">
        <v>342</v>
      </c>
      <c r="C465" s="10" t="s">
        <v>1717</v>
      </c>
      <c r="D465" s="12" t="s">
        <v>1419</v>
      </c>
      <c r="E465" s="12" t="s">
        <v>1710</v>
      </c>
      <c r="F465" s="10" t="s">
        <v>1716</v>
      </c>
      <c r="G465" s="12" t="s">
        <v>656</v>
      </c>
      <c r="H465" s="26" t="n">
        <v>6.23</v>
      </c>
      <c r="I465" s="7" t="n">
        <v>1</v>
      </c>
      <c r="J465" s="7" t="n">
        <v>345</v>
      </c>
      <c r="K465" s="11" t="n">
        <v>2783.28</v>
      </c>
      <c r="L465" s="10" t="s">
        <v>343</v>
      </c>
      <c r="M465" s="26" t="n">
        <v>6.23</v>
      </c>
      <c r="N465" s="12" t="s">
        <v>657</v>
      </c>
      <c r="O465" s="12" t="s">
        <v>102</v>
      </c>
      <c r="P465" s="10" t="s">
        <v>658</v>
      </c>
      <c r="Q465" s="30" t="s">
        <v>983</v>
      </c>
      <c r="R465" s="34" t="n">
        <v>0.995283018867925</v>
      </c>
      <c r="S465" s="11" t="n">
        <v>2770.2</v>
      </c>
      <c r="T465" s="10" t="s">
        <v>1515</v>
      </c>
      <c r="U465" s="7" t="n">
        <v>24</v>
      </c>
      <c r="V465" s="12" t="s">
        <v>539</v>
      </c>
      <c r="W465" s="12" t="s">
        <v>79</v>
      </c>
      <c r="X465" s="12" t="s">
        <v>86</v>
      </c>
      <c r="Y465" s="10" t="s">
        <v>104</v>
      </c>
      <c r="Z465" s="7" t="s">
        <v>688</v>
      </c>
      <c r="AA465" s="7" t="n">
        <v>41</v>
      </c>
      <c r="AB465" s="9" t="n">
        <v>0.412875310766877</v>
      </c>
    </row>
    <row r="466" customFormat="false" ht="57.45" hidden="false" customHeight="false" outlineLevel="0" collapsed="false">
      <c r="A466" s="7" t="n">
        <v>462</v>
      </c>
      <c r="B466" s="12" t="s">
        <v>342</v>
      </c>
      <c r="C466" s="10" t="s">
        <v>1717</v>
      </c>
      <c r="D466" s="12" t="s">
        <v>1419</v>
      </c>
      <c r="E466" s="12" t="s">
        <v>1708</v>
      </c>
      <c r="F466" s="10" t="s">
        <v>1718</v>
      </c>
      <c r="G466" s="12" t="s">
        <v>656</v>
      </c>
      <c r="H466" s="26" t="n">
        <v>15.568</v>
      </c>
      <c r="I466" s="7" t="n">
        <v>1</v>
      </c>
      <c r="J466" s="7" t="n">
        <v>345</v>
      </c>
      <c r="K466" s="11" t="n">
        <v>2783.28</v>
      </c>
      <c r="L466" s="10" t="s">
        <v>343</v>
      </c>
      <c r="M466" s="26" t="n">
        <v>15.568</v>
      </c>
      <c r="N466" s="12" t="s">
        <v>657</v>
      </c>
      <c r="O466" s="12" t="s">
        <v>102</v>
      </c>
      <c r="P466" s="10" t="s">
        <v>658</v>
      </c>
      <c r="Q466" s="30" t="s">
        <v>983</v>
      </c>
      <c r="R466" s="34" t="n">
        <v>0.995283018867925</v>
      </c>
      <c r="S466" s="11" t="n">
        <v>2770.2</v>
      </c>
      <c r="T466" s="10" t="s">
        <v>1515</v>
      </c>
      <c r="U466" s="7" t="n">
        <v>24</v>
      </c>
      <c r="V466" s="12" t="s">
        <v>539</v>
      </c>
      <c r="W466" s="12" t="s">
        <v>79</v>
      </c>
      <c r="X466" s="12" t="s">
        <v>671</v>
      </c>
      <c r="Y466" s="10" t="s">
        <v>104</v>
      </c>
      <c r="Z466" s="7" t="s">
        <v>688</v>
      </c>
      <c r="AA466" s="7" t="n">
        <v>41</v>
      </c>
      <c r="AB466" s="9" t="n">
        <v>0.412875310766877</v>
      </c>
    </row>
    <row r="467" customFormat="false" ht="57.45" hidden="false" customHeight="false" outlineLevel="0" collapsed="false">
      <c r="A467" s="7" t="n">
        <v>463</v>
      </c>
      <c r="B467" s="12" t="s">
        <v>342</v>
      </c>
      <c r="C467" s="10" t="s">
        <v>1717</v>
      </c>
      <c r="D467" s="12" t="s">
        <v>1419</v>
      </c>
      <c r="E467" s="12" t="s">
        <v>1719</v>
      </c>
      <c r="F467" s="10" t="s">
        <v>1720</v>
      </c>
      <c r="G467" s="12" t="s">
        <v>656</v>
      </c>
      <c r="H467" s="26" t="n">
        <v>62.265</v>
      </c>
      <c r="I467" s="7" t="n">
        <v>1</v>
      </c>
      <c r="J467" s="7" t="n">
        <v>345</v>
      </c>
      <c r="K467" s="11" t="n">
        <v>2783.28</v>
      </c>
      <c r="L467" s="10" t="s">
        <v>343</v>
      </c>
      <c r="M467" s="26" t="n">
        <v>62.265</v>
      </c>
      <c r="N467" s="12" t="s">
        <v>657</v>
      </c>
      <c r="O467" s="12" t="s">
        <v>77</v>
      </c>
      <c r="P467" s="10" t="s">
        <v>658</v>
      </c>
      <c r="Q467" s="30" t="s">
        <v>983</v>
      </c>
      <c r="R467" s="34" t="n">
        <v>0.995283018867925</v>
      </c>
      <c r="S467" s="11" t="n">
        <v>2770.2</v>
      </c>
      <c r="T467" s="10" t="s">
        <v>1515</v>
      </c>
      <c r="U467" s="7" t="n">
        <v>24</v>
      </c>
      <c r="V467" s="12" t="s">
        <v>539</v>
      </c>
      <c r="W467" s="12" t="s">
        <v>79</v>
      </c>
      <c r="X467" s="12" t="s">
        <v>671</v>
      </c>
      <c r="Y467" s="10" t="s">
        <v>104</v>
      </c>
      <c r="Z467" s="7" t="s">
        <v>688</v>
      </c>
      <c r="AA467" s="7" t="n">
        <v>41</v>
      </c>
      <c r="AB467" s="9" t="n">
        <v>0.412875310766877</v>
      </c>
    </row>
    <row r="468" customFormat="false" ht="57.45" hidden="false" customHeight="false" outlineLevel="0" collapsed="false">
      <c r="A468" s="7" t="n">
        <v>464</v>
      </c>
      <c r="B468" s="12" t="s">
        <v>542</v>
      </c>
      <c r="C468" s="10" t="s">
        <v>1721</v>
      </c>
      <c r="D468" s="12" t="s">
        <v>1419</v>
      </c>
      <c r="E468" s="12" t="s">
        <v>1722</v>
      </c>
      <c r="F468" s="10" t="s">
        <v>1704</v>
      </c>
      <c r="G468" s="12" t="s">
        <v>656</v>
      </c>
      <c r="H468" s="26" t="n">
        <v>5.152</v>
      </c>
      <c r="I468" s="7" t="n">
        <v>1</v>
      </c>
      <c r="J468" s="7" t="n">
        <v>221</v>
      </c>
      <c r="K468" s="11" t="n">
        <v>5838.25</v>
      </c>
      <c r="L468" s="10" t="s">
        <v>543</v>
      </c>
      <c r="M468" s="26" t="n">
        <v>5.152</v>
      </c>
      <c r="N468" s="12" t="s">
        <v>657</v>
      </c>
      <c r="O468" s="12" t="s">
        <v>102</v>
      </c>
      <c r="P468" s="10" t="s">
        <v>658</v>
      </c>
      <c r="Q468" s="30" t="s">
        <v>976</v>
      </c>
      <c r="R468" s="34" t="n">
        <v>0.800763686706633</v>
      </c>
      <c r="S468" s="11" t="n">
        <v>4675.1</v>
      </c>
      <c r="T468" s="10" t="s">
        <v>1679</v>
      </c>
      <c r="U468" s="7" t="n">
        <v>24</v>
      </c>
      <c r="V468" s="12" t="s">
        <v>279</v>
      </c>
      <c r="W468" s="12" t="s">
        <v>172</v>
      </c>
      <c r="X468" s="12" t="s">
        <v>86</v>
      </c>
      <c r="Y468" s="10"/>
      <c r="Z468" s="7" t="s">
        <v>688</v>
      </c>
      <c r="AA468" s="7" t="n">
        <v>44</v>
      </c>
      <c r="AB468" s="9" t="n">
        <v>0.400062153375406</v>
      </c>
    </row>
    <row r="469" customFormat="false" ht="79.85" hidden="false" customHeight="false" outlineLevel="0" collapsed="false">
      <c r="A469" s="7" t="n">
        <v>465</v>
      </c>
      <c r="B469" s="12" t="s">
        <v>120</v>
      </c>
      <c r="C469" s="10" t="s">
        <v>1584</v>
      </c>
      <c r="D469" s="12" t="s">
        <v>1419</v>
      </c>
      <c r="E469" s="12" t="s">
        <v>1719</v>
      </c>
      <c r="F469" s="10" t="s">
        <v>1723</v>
      </c>
      <c r="G469" s="12" t="s">
        <v>656</v>
      </c>
      <c r="H469" s="26" t="n">
        <v>54.572</v>
      </c>
      <c r="I469" s="7" t="n">
        <v>1</v>
      </c>
      <c r="J469" s="7" t="n">
        <v>1644</v>
      </c>
      <c r="K469" s="11" t="n">
        <v>41889.23</v>
      </c>
      <c r="L469" s="10" t="s">
        <v>121</v>
      </c>
      <c r="M469" s="26" t="n">
        <v>54.572</v>
      </c>
      <c r="N469" s="12" t="s">
        <v>657</v>
      </c>
      <c r="O469" s="12" t="s">
        <v>77</v>
      </c>
      <c r="P469" s="10" t="s">
        <v>658</v>
      </c>
      <c r="Q469" s="30" t="s">
        <v>983</v>
      </c>
      <c r="R469" s="34" t="n">
        <v>0.990783410138249</v>
      </c>
      <c r="S469" s="11" t="n">
        <v>41503.2</v>
      </c>
      <c r="T469" s="10" t="s">
        <v>1585</v>
      </c>
      <c r="U469" s="7" t="n">
        <v>34</v>
      </c>
      <c r="V469" s="12" t="s">
        <v>103</v>
      </c>
      <c r="W469" s="12" t="s">
        <v>79</v>
      </c>
      <c r="X469" s="12" t="s">
        <v>671</v>
      </c>
      <c r="Y469" s="10" t="s">
        <v>104</v>
      </c>
      <c r="Z469" s="7" t="s">
        <v>106</v>
      </c>
      <c r="AA469" s="7" t="n">
        <v>10</v>
      </c>
      <c r="AB469" s="9" t="n">
        <v>0.745945687511953</v>
      </c>
    </row>
    <row r="470" customFormat="false" ht="23.85" hidden="false" customHeight="false" outlineLevel="0" collapsed="false">
      <c r="A470" s="7" t="n">
        <v>466</v>
      </c>
      <c r="B470" s="12" t="s">
        <v>535</v>
      </c>
      <c r="C470" s="10" t="s">
        <v>1724</v>
      </c>
      <c r="D470" s="12" t="s">
        <v>1419</v>
      </c>
      <c r="E470" s="12" t="s">
        <v>1725</v>
      </c>
      <c r="F470" s="10" t="s">
        <v>1544</v>
      </c>
      <c r="G470" s="12" t="s">
        <v>663</v>
      </c>
      <c r="H470" s="26" t="n">
        <v>14.69</v>
      </c>
      <c r="I470" s="7" t="n">
        <v>1</v>
      </c>
      <c r="J470" s="7" t="n">
        <v>646</v>
      </c>
      <c r="K470" s="11" t="n">
        <v>19089.13</v>
      </c>
      <c r="L470" s="10" t="s">
        <v>536</v>
      </c>
      <c r="M470" s="26" t="n">
        <v>14.69</v>
      </c>
      <c r="N470" s="12" t="s">
        <v>657</v>
      </c>
      <c r="O470" s="12" t="s">
        <v>77</v>
      </c>
      <c r="P470" s="10" t="s">
        <v>658</v>
      </c>
      <c r="Q470" s="30" t="s">
        <v>991</v>
      </c>
      <c r="R470" s="34" t="n">
        <v>0.295137394358018</v>
      </c>
      <c r="S470" s="11" t="n">
        <v>5633.9</v>
      </c>
      <c r="T470" s="10" t="s">
        <v>1549</v>
      </c>
      <c r="U470" s="7" t="n">
        <v>2</v>
      </c>
      <c r="V470" s="12" t="s">
        <v>96</v>
      </c>
      <c r="W470" s="12" t="s">
        <v>85</v>
      </c>
      <c r="X470" s="12" t="s">
        <v>86</v>
      </c>
      <c r="Y470" s="10" t="s">
        <v>87</v>
      </c>
      <c r="Z470" s="7" t="s">
        <v>688</v>
      </c>
      <c r="AA470" s="7" t="n">
        <v>38</v>
      </c>
      <c r="AB470" s="9" t="n">
        <v>0.445199847007076</v>
      </c>
    </row>
    <row r="471" customFormat="false" ht="23.85" hidden="false" customHeight="false" outlineLevel="0" collapsed="false">
      <c r="A471" s="7" t="n">
        <v>467</v>
      </c>
      <c r="B471" s="12" t="s">
        <v>440</v>
      </c>
      <c r="C471" s="10" t="s">
        <v>1726</v>
      </c>
      <c r="D471" s="12" t="s">
        <v>1419</v>
      </c>
      <c r="E471" s="12" t="s">
        <v>1086</v>
      </c>
      <c r="F471" s="10" t="s">
        <v>1506</v>
      </c>
      <c r="G471" s="12" t="s">
        <v>656</v>
      </c>
      <c r="H471" s="26" t="n">
        <v>32.6</v>
      </c>
      <c r="I471" s="7" t="n">
        <v>1</v>
      </c>
      <c r="J471" s="7" t="n">
        <v>1963</v>
      </c>
      <c r="K471" s="11" t="n">
        <v>49365.77</v>
      </c>
      <c r="L471" s="10" t="s">
        <v>441</v>
      </c>
      <c r="M471" s="26" t="n">
        <v>32.6</v>
      </c>
      <c r="N471" s="12" t="s">
        <v>657</v>
      </c>
      <c r="O471" s="12" t="s">
        <v>77</v>
      </c>
      <c r="P471" s="10" t="s">
        <v>1069</v>
      </c>
      <c r="Q471" s="30" t="s">
        <v>1727</v>
      </c>
      <c r="R471" s="34" t="n">
        <v>0.115367076010264</v>
      </c>
      <c r="S471" s="11" t="n">
        <v>5695.2</v>
      </c>
      <c r="T471" s="10" t="s">
        <v>1065</v>
      </c>
      <c r="U471" s="7" t="n">
        <v>2</v>
      </c>
      <c r="V471" s="12" t="s">
        <v>323</v>
      </c>
      <c r="W471" s="12" t="s">
        <v>79</v>
      </c>
      <c r="X471" s="12" t="s">
        <v>86</v>
      </c>
      <c r="Y471" s="10"/>
      <c r="Z471" s="7" t="s">
        <v>688</v>
      </c>
      <c r="AA471" s="7" t="n">
        <v>26</v>
      </c>
      <c r="AB471" s="9" t="n">
        <v>0.553055077452668</v>
      </c>
    </row>
    <row r="472" customFormat="false" ht="57.45" hidden="false" customHeight="false" outlineLevel="0" collapsed="false">
      <c r="A472" s="7" t="n">
        <v>468</v>
      </c>
      <c r="B472" s="12" t="s">
        <v>107</v>
      </c>
      <c r="C472" s="10" t="s">
        <v>1728</v>
      </c>
      <c r="D472" s="12" t="s">
        <v>1419</v>
      </c>
      <c r="E472" s="12" t="s">
        <v>1729</v>
      </c>
      <c r="F472" s="10" t="s">
        <v>1730</v>
      </c>
      <c r="G472" s="12" t="s">
        <v>656</v>
      </c>
      <c r="H472" s="26" t="n">
        <v>27.22</v>
      </c>
      <c r="I472" s="7" t="n">
        <v>1</v>
      </c>
      <c r="J472" s="7" t="n">
        <v>312</v>
      </c>
      <c r="K472" s="11" t="n">
        <v>59827.18</v>
      </c>
      <c r="L472" s="10" t="s">
        <v>108</v>
      </c>
      <c r="M472" s="26" t="n">
        <v>27.22</v>
      </c>
      <c r="N472" s="12" t="s">
        <v>657</v>
      </c>
      <c r="O472" s="12" t="s">
        <v>77</v>
      </c>
      <c r="P472" s="10" t="s">
        <v>1069</v>
      </c>
      <c r="Q472" s="30" t="s">
        <v>1731</v>
      </c>
      <c r="R472" s="34" t="n">
        <v>1</v>
      </c>
      <c r="S472" s="11" t="n">
        <v>59827.2</v>
      </c>
      <c r="T472" s="10" t="s">
        <v>1456</v>
      </c>
      <c r="U472" s="7" t="n">
        <v>21</v>
      </c>
      <c r="V472" s="12" t="s">
        <v>109</v>
      </c>
      <c r="W472" s="12" t="s">
        <v>79</v>
      </c>
      <c r="X472" s="12" t="s">
        <v>671</v>
      </c>
      <c r="Y472" s="10" t="s">
        <v>111</v>
      </c>
      <c r="Z472" s="7" t="s">
        <v>106</v>
      </c>
      <c r="AA472" s="7" t="n">
        <v>6</v>
      </c>
      <c r="AB472" s="9" t="n">
        <v>0.829709313444253</v>
      </c>
    </row>
    <row r="473" customFormat="false" ht="68.65" hidden="false" customHeight="false" outlineLevel="0" collapsed="false">
      <c r="A473" s="7" t="n">
        <v>469</v>
      </c>
      <c r="B473" s="12" t="s">
        <v>114</v>
      </c>
      <c r="C473" s="10" t="s">
        <v>1732</v>
      </c>
      <c r="D473" s="12" t="s">
        <v>1419</v>
      </c>
      <c r="E473" s="12" t="s">
        <v>1214</v>
      </c>
      <c r="F473" s="10" t="s">
        <v>891</v>
      </c>
      <c r="G473" s="12" t="s">
        <v>663</v>
      </c>
      <c r="H473" s="26" t="n">
        <v>78.71</v>
      </c>
      <c r="I473" s="7" t="n">
        <v>1</v>
      </c>
      <c r="J473" s="7" t="n">
        <v>146</v>
      </c>
      <c r="K473" s="11" t="n">
        <v>11366.06</v>
      </c>
      <c r="L473" s="10" t="s">
        <v>115</v>
      </c>
      <c r="M473" s="26" t="n">
        <v>78.71</v>
      </c>
      <c r="N473" s="12" t="s">
        <v>657</v>
      </c>
      <c r="O473" s="12" t="s">
        <v>77</v>
      </c>
      <c r="P473" s="10" t="s">
        <v>658</v>
      </c>
      <c r="Q473" s="30" t="s">
        <v>991</v>
      </c>
      <c r="R473" s="34" t="n">
        <v>1</v>
      </c>
      <c r="S473" s="11" t="n">
        <v>11366.1</v>
      </c>
      <c r="T473" s="10" t="s">
        <v>1432</v>
      </c>
      <c r="U473" s="7" t="n">
        <v>30</v>
      </c>
      <c r="V473" s="12" t="s">
        <v>116</v>
      </c>
      <c r="W473" s="12" t="s">
        <v>85</v>
      </c>
      <c r="X473" s="12" t="s">
        <v>86</v>
      </c>
      <c r="Y473" s="10" t="s">
        <v>87</v>
      </c>
      <c r="Z473" s="7" t="s">
        <v>106</v>
      </c>
      <c r="AA473" s="7" t="n">
        <v>8</v>
      </c>
      <c r="AB473" s="9" t="n">
        <v>0.778294128896539</v>
      </c>
    </row>
    <row r="474" customFormat="false" ht="79.85" hidden="false" customHeight="false" outlineLevel="0" collapsed="false">
      <c r="A474" s="7" t="n">
        <v>470</v>
      </c>
      <c r="B474" s="12" t="s">
        <v>400</v>
      </c>
      <c r="C474" s="10" t="s">
        <v>1733</v>
      </c>
      <c r="D474" s="12" t="s">
        <v>1419</v>
      </c>
      <c r="E474" s="12" t="s">
        <v>1410</v>
      </c>
      <c r="F474" s="10" t="s">
        <v>878</v>
      </c>
      <c r="G474" s="12" t="s">
        <v>656</v>
      </c>
      <c r="H474" s="26" t="n">
        <v>15.39</v>
      </c>
      <c r="I474" s="7" t="n">
        <v>1</v>
      </c>
      <c r="J474" s="7" t="n">
        <v>119</v>
      </c>
      <c r="K474" s="11" t="n">
        <v>3113.83</v>
      </c>
      <c r="L474" s="10" t="s">
        <v>401</v>
      </c>
      <c r="M474" s="26" t="n">
        <v>15.39</v>
      </c>
      <c r="N474" s="12" t="s">
        <v>657</v>
      </c>
      <c r="O474" s="12" t="s">
        <v>77</v>
      </c>
      <c r="P474" s="10" t="s">
        <v>658</v>
      </c>
      <c r="Q474" s="30" t="s">
        <v>991</v>
      </c>
      <c r="R474" s="34" t="n">
        <v>0.899884259259259</v>
      </c>
      <c r="S474" s="11" t="n">
        <v>2802.1</v>
      </c>
      <c r="T474" s="10" t="s">
        <v>1478</v>
      </c>
      <c r="U474" s="7" t="n">
        <v>32</v>
      </c>
      <c r="V474" s="12" t="s">
        <v>78</v>
      </c>
      <c r="W474" s="12" t="s">
        <v>79</v>
      </c>
      <c r="X474" s="12" t="s">
        <v>86</v>
      </c>
      <c r="Y474" s="10"/>
      <c r="Z474" s="7" t="s">
        <v>688</v>
      </c>
      <c r="AA474" s="7" t="n">
        <v>29</v>
      </c>
      <c r="AB474" s="9" t="n">
        <v>0.51747466054695</v>
      </c>
    </row>
    <row r="475" customFormat="false" ht="79.85" hidden="false" customHeight="false" outlineLevel="0" collapsed="false">
      <c r="A475" s="7" t="n">
        <v>471</v>
      </c>
      <c r="B475" s="12" t="s">
        <v>89</v>
      </c>
      <c r="C475" s="10" t="s">
        <v>1734</v>
      </c>
      <c r="D475" s="12" t="s">
        <v>1419</v>
      </c>
      <c r="E475" s="12" t="s">
        <v>1735</v>
      </c>
      <c r="F475" s="10" t="s">
        <v>1736</v>
      </c>
      <c r="G475" s="12" t="s">
        <v>656</v>
      </c>
      <c r="H475" s="26" t="n">
        <v>97.6</v>
      </c>
      <c r="I475" s="7" t="n">
        <v>1</v>
      </c>
      <c r="J475" s="7" t="n">
        <v>905</v>
      </c>
      <c r="K475" s="11" t="n">
        <v>28093.38</v>
      </c>
      <c r="L475" s="10" t="s">
        <v>90</v>
      </c>
      <c r="M475" s="26" t="n">
        <v>97.6</v>
      </c>
      <c r="N475" s="12" t="s">
        <v>657</v>
      </c>
      <c r="O475" s="12" t="s">
        <v>77</v>
      </c>
      <c r="P475" s="10" t="s">
        <v>1069</v>
      </c>
      <c r="Q475" s="30" t="s">
        <v>1737</v>
      </c>
      <c r="R475" s="34" t="n">
        <v>1</v>
      </c>
      <c r="S475" s="11" t="n">
        <v>28093.4</v>
      </c>
      <c r="T475" s="10" t="s">
        <v>1461</v>
      </c>
      <c r="U475" s="7" t="n">
        <v>34</v>
      </c>
      <c r="V475" s="12" t="s">
        <v>91</v>
      </c>
      <c r="W475" s="12" t="s">
        <v>79</v>
      </c>
      <c r="X475" s="12" t="s">
        <v>80</v>
      </c>
      <c r="Y475" s="10" t="s">
        <v>81</v>
      </c>
      <c r="Z475" s="7" t="s">
        <v>74</v>
      </c>
      <c r="AA475" s="7" t="n">
        <v>3</v>
      </c>
      <c r="AB475" s="9" t="n">
        <v>0.872274813539874</v>
      </c>
    </row>
    <row r="476" customFormat="false" ht="23.85" hidden="false" customHeight="false" outlineLevel="0" collapsed="false">
      <c r="A476" s="7" t="n">
        <v>472</v>
      </c>
      <c r="B476" s="12" t="s">
        <v>555</v>
      </c>
      <c r="C476" s="10" t="s">
        <v>1738</v>
      </c>
      <c r="D476" s="12" t="s">
        <v>1419</v>
      </c>
      <c r="E476" s="12" t="s">
        <v>1739</v>
      </c>
      <c r="F476" s="10" t="s">
        <v>1210</v>
      </c>
      <c r="G476" s="12" t="s">
        <v>656</v>
      </c>
      <c r="H476" s="26" t="n">
        <v>9.93</v>
      </c>
      <c r="I476" s="7" t="n">
        <v>1</v>
      </c>
      <c r="J476" s="7" t="n">
        <v>484</v>
      </c>
      <c r="K476" s="11" t="n">
        <v>1326.8</v>
      </c>
      <c r="L476" s="10" t="s">
        <v>556</v>
      </c>
      <c r="M476" s="26" t="n">
        <v>9.93</v>
      </c>
      <c r="N476" s="12" t="s">
        <v>657</v>
      </c>
      <c r="O476" s="12" t="s">
        <v>77</v>
      </c>
      <c r="P476" s="10" t="s">
        <v>658</v>
      </c>
      <c r="Q476" s="30" t="s">
        <v>991</v>
      </c>
      <c r="R476" s="34" t="n">
        <v>0.925925925925926</v>
      </c>
      <c r="S476" s="11" t="n">
        <v>1228.5</v>
      </c>
      <c r="T476" s="10" t="s">
        <v>995</v>
      </c>
      <c r="U476" s="7" t="n">
        <v>1</v>
      </c>
      <c r="V476" s="12" t="s">
        <v>323</v>
      </c>
      <c r="W476" s="12" t="s">
        <v>79</v>
      </c>
      <c r="X476" s="12" t="s">
        <v>86</v>
      </c>
      <c r="Y476" s="10" t="s">
        <v>104</v>
      </c>
      <c r="Z476" s="7" t="s">
        <v>688</v>
      </c>
      <c r="AA476" s="7" t="n">
        <v>53</v>
      </c>
      <c r="AB476" s="9" t="n">
        <v>0.203141135972461</v>
      </c>
    </row>
    <row r="477" customFormat="false" ht="57.45" hidden="false" customHeight="false" outlineLevel="0" collapsed="false">
      <c r="A477" s="7" t="n">
        <v>473</v>
      </c>
      <c r="B477" s="12" t="s">
        <v>342</v>
      </c>
      <c r="C477" s="10" t="s">
        <v>1740</v>
      </c>
      <c r="D477" s="12" t="s">
        <v>1419</v>
      </c>
      <c r="E477" s="12" t="s">
        <v>1741</v>
      </c>
      <c r="F477" s="10" t="s">
        <v>878</v>
      </c>
      <c r="G477" s="12" t="s">
        <v>656</v>
      </c>
      <c r="H477" s="26" t="n">
        <v>7.79</v>
      </c>
      <c r="I477" s="7" t="n">
        <v>1</v>
      </c>
      <c r="J477" s="7" t="n">
        <v>345</v>
      </c>
      <c r="K477" s="11" t="n">
        <v>2783.28</v>
      </c>
      <c r="L477" s="10" t="s">
        <v>343</v>
      </c>
      <c r="M477" s="26" t="n">
        <v>7.79</v>
      </c>
      <c r="N477" s="12" t="s">
        <v>657</v>
      </c>
      <c r="O477" s="12" t="s">
        <v>77</v>
      </c>
      <c r="P477" s="10" t="s">
        <v>658</v>
      </c>
      <c r="Q477" s="30" t="s">
        <v>991</v>
      </c>
      <c r="R477" s="34" t="n">
        <v>0.995283018867925</v>
      </c>
      <c r="S477" s="11" t="n">
        <v>2770.2</v>
      </c>
      <c r="T477" s="10" t="s">
        <v>1515</v>
      </c>
      <c r="U477" s="7" t="n">
        <v>24</v>
      </c>
      <c r="V477" s="12" t="s">
        <v>539</v>
      </c>
      <c r="W477" s="12" t="s">
        <v>79</v>
      </c>
      <c r="X477" s="12" t="s">
        <v>86</v>
      </c>
      <c r="Y477" s="10" t="s">
        <v>104</v>
      </c>
      <c r="Z477" s="7" t="s">
        <v>688</v>
      </c>
      <c r="AA477" s="7" t="n">
        <v>41</v>
      </c>
      <c r="AB477" s="9" t="n">
        <v>0.412875310766877</v>
      </c>
    </row>
    <row r="478" customFormat="false" ht="57.45" hidden="false" customHeight="false" outlineLevel="0" collapsed="false">
      <c r="A478" s="7" t="n">
        <v>474</v>
      </c>
      <c r="B478" s="12" t="s">
        <v>342</v>
      </c>
      <c r="C478" s="10" t="s">
        <v>1740</v>
      </c>
      <c r="D478" s="12" t="s">
        <v>1419</v>
      </c>
      <c r="E478" s="12" t="s">
        <v>1741</v>
      </c>
      <c r="F478" s="10" t="s">
        <v>1742</v>
      </c>
      <c r="G478" s="12" t="s">
        <v>656</v>
      </c>
      <c r="H478" s="26" t="n">
        <v>38.94</v>
      </c>
      <c r="I478" s="7" t="n">
        <v>1</v>
      </c>
      <c r="J478" s="7" t="n">
        <v>345</v>
      </c>
      <c r="K478" s="11" t="n">
        <v>2783.28</v>
      </c>
      <c r="L478" s="10" t="s">
        <v>343</v>
      </c>
      <c r="M478" s="26" t="n">
        <v>38.94</v>
      </c>
      <c r="N478" s="12" t="s">
        <v>657</v>
      </c>
      <c r="O478" s="12" t="s">
        <v>77</v>
      </c>
      <c r="P478" s="10" t="s">
        <v>658</v>
      </c>
      <c r="Q478" s="30" t="s">
        <v>991</v>
      </c>
      <c r="R478" s="34" t="n">
        <v>0.995283018867925</v>
      </c>
      <c r="S478" s="11" t="n">
        <v>2770.2</v>
      </c>
      <c r="T478" s="10" t="s">
        <v>1515</v>
      </c>
      <c r="U478" s="7" t="n">
        <v>24</v>
      </c>
      <c r="V478" s="12" t="s">
        <v>539</v>
      </c>
      <c r="W478" s="12" t="s">
        <v>79</v>
      </c>
      <c r="X478" s="12" t="s">
        <v>671</v>
      </c>
      <c r="Y478" s="10" t="s">
        <v>104</v>
      </c>
      <c r="Z478" s="7" t="s">
        <v>688</v>
      </c>
      <c r="AA478" s="7" t="n">
        <v>41</v>
      </c>
      <c r="AB478" s="9" t="n">
        <v>0.412875310766877</v>
      </c>
    </row>
    <row r="479" customFormat="false" ht="57.45" hidden="false" customHeight="false" outlineLevel="0" collapsed="false">
      <c r="A479" s="7" t="n">
        <v>475</v>
      </c>
      <c r="B479" s="12" t="s">
        <v>342</v>
      </c>
      <c r="C479" s="10" t="s">
        <v>1743</v>
      </c>
      <c r="D479" s="12" t="s">
        <v>1419</v>
      </c>
      <c r="E479" s="12" t="s">
        <v>1741</v>
      </c>
      <c r="F479" s="10" t="s">
        <v>878</v>
      </c>
      <c r="G479" s="12" t="s">
        <v>656</v>
      </c>
      <c r="H479" s="26" t="n">
        <v>7.79</v>
      </c>
      <c r="I479" s="7" t="n">
        <v>1</v>
      </c>
      <c r="J479" s="7" t="n">
        <v>345</v>
      </c>
      <c r="K479" s="11" t="n">
        <v>2783.28</v>
      </c>
      <c r="L479" s="10" t="s">
        <v>343</v>
      </c>
      <c r="M479" s="26" t="n">
        <v>7.79</v>
      </c>
      <c r="N479" s="12" t="s">
        <v>657</v>
      </c>
      <c r="O479" s="12" t="s">
        <v>77</v>
      </c>
      <c r="P479" s="10" t="s">
        <v>658</v>
      </c>
      <c r="Q479" s="30" t="s">
        <v>991</v>
      </c>
      <c r="R479" s="34" t="n">
        <v>0.995283018867925</v>
      </c>
      <c r="S479" s="11" t="n">
        <v>2770.2</v>
      </c>
      <c r="T479" s="10" t="s">
        <v>1515</v>
      </c>
      <c r="U479" s="7" t="n">
        <v>24</v>
      </c>
      <c r="V479" s="12" t="s">
        <v>539</v>
      </c>
      <c r="W479" s="12" t="s">
        <v>79</v>
      </c>
      <c r="X479" s="12" t="s">
        <v>86</v>
      </c>
      <c r="Y479" s="10" t="s">
        <v>104</v>
      </c>
      <c r="Z479" s="7" t="s">
        <v>688</v>
      </c>
      <c r="AA479" s="7" t="n">
        <v>41</v>
      </c>
      <c r="AB479" s="9" t="n">
        <v>0.412875310766877</v>
      </c>
    </row>
    <row r="480" customFormat="false" ht="57.45" hidden="false" customHeight="false" outlineLevel="0" collapsed="false">
      <c r="A480" s="7" t="n">
        <v>476</v>
      </c>
      <c r="B480" s="12" t="s">
        <v>342</v>
      </c>
      <c r="C480" s="10" t="s">
        <v>1743</v>
      </c>
      <c r="D480" s="12" t="s">
        <v>1419</v>
      </c>
      <c r="E480" s="12" t="s">
        <v>1741</v>
      </c>
      <c r="F480" s="10" t="s">
        <v>1742</v>
      </c>
      <c r="G480" s="12" t="s">
        <v>656</v>
      </c>
      <c r="H480" s="26" t="n">
        <v>38.94</v>
      </c>
      <c r="I480" s="7" t="n">
        <v>1</v>
      </c>
      <c r="J480" s="7" t="n">
        <v>345</v>
      </c>
      <c r="K480" s="11" t="n">
        <v>2783.28</v>
      </c>
      <c r="L480" s="10" t="s">
        <v>343</v>
      </c>
      <c r="M480" s="26" t="n">
        <v>38.94</v>
      </c>
      <c r="N480" s="12" t="s">
        <v>657</v>
      </c>
      <c r="O480" s="12" t="s">
        <v>77</v>
      </c>
      <c r="P480" s="10" t="s">
        <v>658</v>
      </c>
      <c r="Q480" s="30" t="s">
        <v>991</v>
      </c>
      <c r="R480" s="34" t="n">
        <v>0.995283018867925</v>
      </c>
      <c r="S480" s="11" t="n">
        <v>2770.2</v>
      </c>
      <c r="T480" s="10" t="s">
        <v>1515</v>
      </c>
      <c r="U480" s="7" t="n">
        <v>24</v>
      </c>
      <c r="V480" s="12" t="s">
        <v>539</v>
      </c>
      <c r="W480" s="12" t="s">
        <v>79</v>
      </c>
      <c r="X480" s="12" t="s">
        <v>671</v>
      </c>
      <c r="Y480" s="10" t="s">
        <v>104</v>
      </c>
      <c r="Z480" s="7" t="s">
        <v>688</v>
      </c>
      <c r="AA480" s="7" t="n">
        <v>41</v>
      </c>
      <c r="AB480" s="9" t="n">
        <v>0.412875310766877</v>
      </c>
    </row>
    <row r="481" customFormat="false" ht="79.85" hidden="false" customHeight="false" outlineLevel="0" collapsed="false">
      <c r="A481" s="7" t="n">
        <v>477</v>
      </c>
      <c r="B481" s="12" t="s">
        <v>120</v>
      </c>
      <c r="C481" s="10" t="s">
        <v>1744</v>
      </c>
      <c r="D481" s="12" t="s">
        <v>1419</v>
      </c>
      <c r="E481" s="12" t="s">
        <v>1745</v>
      </c>
      <c r="F481" s="10" t="s">
        <v>1742</v>
      </c>
      <c r="G481" s="12" t="s">
        <v>656</v>
      </c>
      <c r="H481" s="26" t="n">
        <v>17.14</v>
      </c>
      <c r="I481" s="7" t="n">
        <v>1</v>
      </c>
      <c r="J481" s="7" t="n">
        <v>1644</v>
      </c>
      <c r="K481" s="11" t="n">
        <v>41889.23</v>
      </c>
      <c r="L481" s="10" t="s">
        <v>121</v>
      </c>
      <c r="M481" s="26" t="n">
        <v>17.14</v>
      </c>
      <c r="N481" s="12" t="s">
        <v>657</v>
      </c>
      <c r="O481" s="12" t="s">
        <v>77</v>
      </c>
      <c r="P481" s="10" t="s">
        <v>1069</v>
      </c>
      <c r="Q481" s="30" t="s">
        <v>1746</v>
      </c>
      <c r="R481" s="34" t="n">
        <v>0.990783410138249</v>
      </c>
      <c r="S481" s="11" t="n">
        <v>41503.2</v>
      </c>
      <c r="T481" s="10" t="s">
        <v>1585</v>
      </c>
      <c r="U481" s="7" t="n">
        <v>34</v>
      </c>
      <c r="V481" s="12" t="s">
        <v>103</v>
      </c>
      <c r="W481" s="12" t="s">
        <v>79</v>
      </c>
      <c r="X481" s="12" t="s">
        <v>671</v>
      </c>
      <c r="Y481" s="10" t="s">
        <v>104</v>
      </c>
      <c r="Z481" s="7" t="s">
        <v>106</v>
      </c>
      <c r="AA481" s="7" t="n">
        <v>10</v>
      </c>
      <c r="AB481" s="9" t="n">
        <v>0.745945687511953</v>
      </c>
    </row>
    <row r="482" customFormat="false" ht="79.85" hidden="false" customHeight="false" outlineLevel="0" collapsed="false">
      <c r="A482" s="7" t="n">
        <v>478</v>
      </c>
      <c r="B482" s="12" t="s">
        <v>120</v>
      </c>
      <c r="C482" s="10" t="s">
        <v>1744</v>
      </c>
      <c r="D482" s="12" t="s">
        <v>1419</v>
      </c>
      <c r="E482" s="12" t="s">
        <v>1747</v>
      </c>
      <c r="F482" s="10" t="s">
        <v>886</v>
      </c>
      <c r="G482" s="12" t="s">
        <v>656</v>
      </c>
      <c r="H482" s="26" t="n">
        <v>105.46</v>
      </c>
      <c r="I482" s="7" t="n">
        <v>1</v>
      </c>
      <c r="J482" s="7" t="n">
        <v>1644</v>
      </c>
      <c r="K482" s="11" t="n">
        <v>41889.23</v>
      </c>
      <c r="L482" s="10" t="s">
        <v>121</v>
      </c>
      <c r="M482" s="26" t="n">
        <v>105.46</v>
      </c>
      <c r="N482" s="12" t="s">
        <v>657</v>
      </c>
      <c r="O482" s="12" t="s">
        <v>77</v>
      </c>
      <c r="P482" s="10" t="s">
        <v>1069</v>
      </c>
      <c r="Q482" s="30" t="s">
        <v>1746</v>
      </c>
      <c r="R482" s="34" t="n">
        <v>0.990783410138249</v>
      </c>
      <c r="S482" s="11" t="n">
        <v>41503.2</v>
      </c>
      <c r="T482" s="10" t="s">
        <v>1585</v>
      </c>
      <c r="U482" s="7" t="n">
        <v>34</v>
      </c>
      <c r="V482" s="12" t="s">
        <v>103</v>
      </c>
      <c r="W482" s="12" t="s">
        <v>79</v>
      </c>
      <c r="X482" s="12" t="s">
        <v>671</v>
      </c>
      <c r="Y482" s="10" t="s">
        <v>104</v>
      </c>
      <c r="Z482" s="7" t="s">
        <v>106</v>
      </c>
      <c r="AA482" s="7" t="n">
        <v>10</v>
      </c>
      <c r="AB482" s="9" t="n">
        <v>0.745945687511953</v>
      </c>
    </row>
    <row r="483" customFormat="false" ht="79.85" hidden="false" customHeight="false" outlineLevel="0" collapsed="false">
      <c r="A483" s="7" t="n">
        <v>479</v>
      </c>
      <c r="B483" s="12" t="s">
        <v>120</v>
      </c>
      <c r="C483" s="10" t="s">
        <v>1584</v>
      </c>
      <c r="D483" s="12" t="s">
        <v>1419</v>
      </c>
      <c r="E483" s="12" t="s">
        <v>1745</v>
      </c>
      <c r="F483" s="10" t="s">
        <v>1742</v>
      </c>
      <c r="G483" s="12" t="s">
        <v>656</v>
      </c>
      <c r="H483" s="26" t="n">
        <v>18.89</v>
      </c>
      <c r="I483" s="7" t="n">
        <v>1</v>
      </c>
      <c r="J483" s="7" t="n">
        <v>1644</v>
      </c>
      <c r="K483" s="11" t="n">
        <v>41889.23</v>
      </c>
      <c r="L483" s="10" t="s">
        <v>121</v>
      </c>
      <c r="M483" s="26" t="n">
        <v>18.89</v>
      </c>
      <c r="N483" s="12" t="s">
        <v>657</v>
      </c>
      <c r="O483" s="12" t="s">
        <v>77</v>
      </c>
      <c r="P483" s="10" t="s">
        <v>658</v>
      </c>
      <c r="Q483" s="30" t="s">
        <v>991</v>
      </c>
      <c r="R483" s="34" t="n">
        <v>0.990783410138249</v>
      </c>
      <c r="S483" s="11" t="n">
        <v>41503.2</v>
      </c>
      <c r="T483" s="10" t="s">
        <v>1585</v>
      </c>
      <c r="U483" s="7" t="n">
        <v>34</v>
      </c>
      <c r="V483" s="12" t="s">
        <v>103</v>
      </c>
      <c r="W483" s="12" t="s">
        <v>79</v>
      </c>
      <c r="X483" s="12" t="s">
        <v>671</v>
      </c>
      <c r="Y483" s="10" t="s">
        <v>104</v>
      </c>
      <c r="Z483" s="7" t="s">
        <v>106</v>
      </c>
      <c r="AA483" s="7" t="n">
        <v>10</v>
      </c>
      <c r="AB483" s="9" t="n">
        <v>0.745945687511953</v>
      </c>
    </row>
    <row r="484" customFormat="false" ht="79.85" hidden="false" customHeight="false" outlineLevel="0" collapsed="false">
      <c r="A484" s="7" t="n">
        <v>480</v>
      </c>
      <c r="B484" s="12" t="s">
        <v>89</v>
      </c>
      <c r="C484" s="10" t="s">
        <v>1734</v>
      </c>
      <c r="D484" s="12" t="s">
        <v>1419</v>
      </c>
      <c r="E484" s="12" t="s">
        <v>1418</v>
      </c>
      <c r="F484" s="10" t="s">
        <v>1101</v>
      </c>
      <c r="G484" s="12" t="s">
        <v>656</v>
      </c>
      <c r="H484" s="26" t="n">
        <v>166.1</v>
      </c>
      <c r="I484" s="7" t="n">
        <v>1</v>
      </c>
      <c r="J484" s="7" t="n">
        <v>905</v>
      </c>
      <c r="K484" s="11" t="n">
        <v>28093.38</v>
      </c>
      <c r="L484" s="10" t="s">
        <v>90</v>
      </c>
      <c r="M484" s="26" t="n">
        <v>166.1</v>
      </c>
      <c r="N484" s="12" t="s">
        <v>657</v>
      </c>
      <c r="O484" s="12" t="s">
        <v>77</v>
      </c>
      <c r="P484" s="10" t="s">
        <v>658</v>
      </c>
      <c r="Q484" s="30" t="s">
        <v>991</v>
      </c>
      <c r="R484" s="34" t="n">
        <v>1</v>
      </c>
      <c r="S484" s="11" t="n">
        <v>28093.4</v>
      </c>
      <c r="T484" s="10" t="s">
        <v>1461</v>
      </c>
      <c r="U484" s="7" t="n">
        <v>34</v>
      </c>
      <c r="V484" s="12" t="s">
        <v>91</v>
      </c>
      <c r="W484" s="12" t="s">
        <v>79</v>
      </c>
      <c r="X484" s="12" t="s">
        <v>86</v>
      </c>
      <c r="Y484" s="10" t="s">
        <v>81</v>
      </c>
      <c r="Z484" s="7" t="s">
        <v>74</v>
      </c>
      <c r="AA484" s="7" t="n">
        <v>3</v>
      </c>
      <c r="AB484" s="9" t="n">
        <v>0.872274813539874</v>
      </c>
    </row>
    <row r="485" customFormat="false" ht="35.05" hidden="false" customHeight="false" outlineLevel="0" collapsed="false">
      <c r="A485" s="7" t="n">
        <v>481</v>
      </c>
      <c r="B485" s="12" t="s">
        <v>291</v>
      </c>
      <c r="C485" s="10" t="s">
        <v>291</v>
      </c>
      <c r="D485" s="12" t="s">
        <v>43</v>
      </c>
      <c r="E485" s="12" t="s">
        <v>661</v>
      </c>
      <c r="F485" s="10"/>
      <c r="G485" s="12"/>
      <c r="H485" s="26"/>
      <c r="I485" s="7" t="n">
        <v>1</v>
      </c>
      <c r="J485" s="7" t="n">
        <v>180</v>
      </c>
      <c r="K485" s="11" t="n">
        <v>5403.25</v>
      </c>
      <c r="L485" s="10" t="s">
        <v>292</v>
      </c>
      <c r="M485" s="35" t="n">
        <v>10.14</v>
      </c>
      <c r="N485" s="12" t="s">
        <v>664</v>
      </c>
      <c r="O485" s="12" t="s">
        <v>102</v>
      </c>
      <c r="P485" s="10" t="s">
        <v>665</v>
      </c>
      <c r="Q485" s="30" t="s">
        <v>666</v>
      </c>
      <c r="R485" s="34" t="n">
        <v>0.194998811159637</v>
      </c>
      <c r="S485" s="11" t="n">
        <v>1053.6</v>
      </c>
      <c r="T485" s="10" t="s">
        <v>144</v>
      </c>
      <c r="U485" s="7" t="n">
        <v>1</v>
      </c>
      <c r="V485" s="12" t="s">
        <v>144</v>
      </c>
      <c r="W485" s="12" t="s">
        <v>97</v>
      </c>
      <c r="X485" s="12" t="s">
        <v>86</v>
      </c>
      <c r="Y485" s="10"/>
      <c r="Z485" s="7" t="s">
        <v>688</v>
      </c>
      <c r="AA485" s="7" t="n">
        <v>14</v>
      </c>
      <c r="AB485" s="9" t="n">
        <v>0.197523427041499</v>
      </c>
    </row>
    <row r="486" customFormat="false" ht="35.05" hidden="false" customHeight="false" outlineLevel="0" collapsed="false">
      <c r="A486" s="7" t="n">
        <v>482</v>
      </c>
      <c r="B486" s="12" t="s">
        <v>575</v>
      </c>
      <c r="C486" s="10" t="s">
        <v>575</v>
      </c>
      <c r="D486" s="12" t="s">
        <v>43</v>
      </c>
      <c r="E486" s="12" t="s">
        <v>1005</v>
      </c>
      <c r="F486" s="10"/>
      <c r="G486" s="12"/>
      <c r="H486" s="26"/>
      <c r="I486" s="7" t="n">
        <v>1</v>
      </c>
      <c r="J486" s="7" t="n">
        <v>706</v>
      </c>
      <c r="K486" s="11" t="n">
        <v>34008.96</v>
      </c>
      <c r="L486" s="10" t="s">
        <v>576</v>
      </c>
      <c r="M486" s="35" t="n">
        <v>0.72</v>
      </c>
      <c r="N486" s="12" t="s">
        <v>664</v>
      </c>
      <c r="O486" s="12" t="s">
        <v>102</v>
      </c>
      <c r="P486" s="10" t="s">
        <v>665</v>
      </c>
      <c r="Q486" s="30" t="s">
        <v>666</v>
      </c>
      <c r="R486" s="34" t="n">
        <v>0.0464246545295021</v>
      </c>
      <c r="S486" s="11" t="n">
        <v>1578.9</v>
      </c>
      <c r="T486" s="10" t="s">
        <v>144</v>
      </c>
      <c r="U486" s="7" t="n">
        <v>1</v>
      </c>
      <c r="V486" s="12" t="s">
        <v>144</v>
      </c>
      <c r="W486" s="12" t="s">
        <v>97</v>
      </c>
      <c r="X486" s="12" t="s">
        <v>97</v>
      </c>
      <c r="Y486" s="10"/>
      <c r="Z486" s="7" t="s">
        <v>676</v>
      </c>
      <c r="AA486" s="7"/>
      <c r="AB486" s="9" t="n">
        <v>0.216867469879518</v>
      </c>
    </row>
    <row r="487" customFormat="false" ht="23.85" hidden="false" customHeight="false" outlineLevel="0" collapsed="false">
      <c r="A487" s="7" t="n">
        <v>483</v>
      </c>
      <c r="B487" s="12" t="s">
        <v>117</v>
      </c>
      <c r="C487" s="10" t="s">
        <v>1149</v>
      </c>
      <c r="D487" s="12" t="s">
        <v>43</v>
      </c>
      <c r="E487" s="12" t="s">
        <v>1150</v>
      </c>
      <c r="F487" s="10" t="s">
        <v>1748</v>
      </c>
      <c r="G487" s="12" t="s">
        <v>79</v>
      </c>
      <c r="H487" s="26" t="n">
        <v>21.78</v>
      </c>
      <c r="I487" s="7" t="n">
        <v>1</v>
      </c>
      <c r="J487" s="7" t="n">
        <v>346</v>
      </c>
      <c r="K487" s="11" t="n">
        <v>32830.17</v>
      </c>
      <c r="L487" s="10" t="s">
        <v>118</v>
      </c>
      <c r="M487" s="26" t="n">
        <v>21.78</v>
      </c>
      <c r="N487" s="12" t="s">
        <v>657</v>
      </c>
      <c r="O487" s="12" t="s">
        <v>102</v>
      </c>
      <c r="P487" s="10" t="s">
        <v>658</v>
      </c>
      <c r="Q487" s="30" t="s">
        <v>1152</v>
      </c>
      <c r="R487" s="34" t="n">
        <v>1</v>
      </c>
      <c r="S487" s="11" t="n">
        <v>32830.2</v>
      </c>
      <c r="T487" s="10" t="s">
        <v>1003</v>
      </c>
      <c r="U487" s="7" t="n">
        <v>2</v>
      </c>
      <c r="V487" s="12" t="s">
        <v>144</v>
      </c>
      <c r="W487" s="12" t="s">
        <v>79</v>
      </c>
      <c r="X487" s="12" t="s">
        <v>86</v>
      </c>
      <c r="Y487" s="10"/>
      <c r="Z487" s="7" t="s">
        <v>74</v>
      </c>
      <c r="AA487" s="7" t="n">
        <v>1</v>
      </c>
      <c r="AB487" s="9" t="n">
        <v>0.692015681774718</v>
      </c>
    </row>
    <row r="488" customFormat="false" ht="23.85" hidden="false" customHeight="false" outlineLevel="0" collapsed="false">
      <c r="A488" s="7" t="n">
        <v>484</v>
      </c>
      <c r="B488" s="12" t="s">
        <v>117</v>
      </c>
      <c r="C488" s="10" t="s">
        <v>1149</v>
      </c>
      <c r="D488" s="12" t="s">
        <v>43</v>
      </c>
      <c r="E488" s="12" t="s">
        <v>1154</v>
      </c>
      <c r="F488" s="10" t="s">
        <v>1749</v>
      </c>
      <c r="G488" s="12" t="s">
        <v>656</v>
      </c>
      <c r="H488" s="26" t="n">
        <v>48.28</v>
      </c>
      <c r="I488" s="7" t="n">
        <v>1</v>
      </c>
      <c r="J488" s="7" t="n">
        <v>346</v>
      </c>
      <c r="K488" s="11" t="n">
        <v>32830.17</v>
      </c>
      <c r="L488" s="10" t="s">
        <v>118</v>
      </c>
      <c r="M488" s="26" t="n">
        <v>48.28</v>
      </c>
      <c r="N488" s="12" t="s">
        <v>657</v>
      </c>
      <c r="O488" s="12" t="s">
        <v>102</v>
      </c>
      <c r="P488" s="10" t="s">
        <v>658</v>
      </c>
      <c r="Q488" s="30" t="s">
        <v>1152</v>
      </c>
      <c r="R488" s="34" t="n">
        <v>1</v>
      </c>
      <c r="S488" s="11" t="n">
        <v>32830.2</v>
      </c>
      <c r="T488" s="10" t="s">
        <v>1003</v>
      </c>
      <c r="U488" s="7" t="n">
        <v>2</v>
      </c>
      <c r="V488" s="12" t="s">
        <v>144</v>
      </c>
      <c r="W488" s="12" t="s">
        <v>79</v>
      </c>
      <c r="X488" s="12" t="s">
        <v>86</v>
      </c>
      <c r="Y488" s="10"/>
      <c r="Z488" s="7" t="s">
        <v>74</v>
      </c>
      <c r="AA488" s="7" t="n">
        <v>1</v>
      </c>
      <c r="AB488" s="9" t="n">
        <v>0.692015681774718</v>
      </c>
    </row>
    <row r="489" customFormat="false" ht="23.85" hidden="false" customHeight="false" outlineLevel="0" collapsed="false">
      <c r="A489" s="7" t="n">
        <v>485</v>
      </c>
      <c r="B489" s="12" t="s">
        <v>253</v>
      </c>
      <c r="C489" s="10" t="s">
        <v>1750</v>
      </c>
      <c r="D489" s="12" t="s">
        <v>43</v>
      </c>
      <c r="E489" s="12" t="s">
        <v>1751</v>
      </c>
      <c r="F489" s="10" t="s">
        <v>1752</v>
      </c>
      <c r="G489" s="12" t="s">
        <v>656</v>
      </c>
      <c r="H489" s="26" t="n">
        <v>18.277</v>
      </c>
      <c r="I489" s="7" t="n">
        <v>1</v>
      </c>
      <c r="J489" s="7" t="n">
        <v>2061</v>
      </c>
      <c r="K489" s="11" t="n">
        <v>38680.23</v>
      </c>
      <c r="L489" s="10" t="s">
        <v>254</v>
      </c>
      <c r="M489" s="26" t="n">
        <v>18.277</v>
      </c>
      <c r="N489" s="12" t="s">
        <v>657</v>
      </c>
      <c r="O489" s="12" t="s">
        <v>102</v>
      </c>
      <c r="P489" s="10" t="s">
        <v>658</v>
      </c>
      <c r="Q489" s="30" t="s">
        <v>1753</v>
      </c>
      <c r="R489" s="34" t="n">
        <v>0.0316233131485411</v>
      </c>
      <c r="S489" s="11" t="n">
        <v>1223.2</v>
      </c>
      <c r="T489" s="10" t="s">
        <v>1044</v>
      </c>
      <c r="U489" s="7" t="n">
        <v>1</v>
      </c>
      <c r="V489" s="12" t="s">
        <v>323</v>
      </c>
      <c r="W489" s="12" t="s">
        <v>79</v>
      </c>
      <c r="X489" s="12" t="s">
        <v>80</v>
      </c>
      <c r="Y489" s="10" t="s">
        <v>111</v>
      </c>
      <c r="Z489" s="7" t="s">
        <v>106</v>
      </c>
      <c r="AA489" s="7" t="n">
        <v>10</v>
      </c>
      <c r="AB489" s="9" t="n">
        <v>0.277825588066552</v>
      </c>
    </row>
    <row r="490" customFormat="false" ht="23.85" hidden="false" customHeight="false" outlineLevel="0" collapsed="false">
      <c r="A490" s="7" t="n">
        <v>486</v>
      </c>
      <c r="B490" s="12" t="s">
        <v>117</v>
      </c>
      <c r="C490" s="10" t="s">
        <v>1754</v>
      </c>
      <c r="D490" s="12" t="s">
        <v>43</v>
      </c>
      <c r="E490" s="12" t="s">
        <v>1032</v>
      </c>
      <c r="F490" s="10" t="s">
        <v>1033</v>
      </c>
      <c r="G490" s="12" t="s">
        <v>656</v>
      </c>
      <c r="H490" s="26"/>
      <c r="I490" s="7" t="n">
        <v>1</v>
      </c>
      <c r="J490" s="7" t="n">
        <v>346</v>
      </c>
      <c r="K490" s="11" t="n">
        <v>32830.17</v>
      </c>
      <c r="L490" s="10" t="s">
        <v>118</v>
      </c>
      <c r="M490" s="26"/>
      <c r="N490" s="12" t="s">
        <v>701</v>
      </c>
      <c r="O490" s="12" t="s">
        <v>323</v>
      </c>
      <c r="P490" s="10" t="s">
        <v>323</v>
      </c>
      <c r="Q490" s="12"/>
      <c r="R490" s="34" t="n">
        <v>1</v>
      </c>
      <c r="S490" s="11" t="n">
        <v>32830.2</v>
      </c>
      <c r="T490" s="10" t="s">
        <v>1003</v>
      </c>
      <c r="U490" s="7" t="n">
        <v>2</v>
      </c>
      <c r="V490" s="12" t="s">
        <v>144</v>
      </c>
      <c r="W490" s="12" t="s">
        <v>79</v>
      </c>
      <c r="X490" s="12" t="s">
        <v>86</v>
      </c>
      <c r="Y490" s="10"/>
      <c r="Z490" s="7" t="s">
        <v>74</v>
      </c>
      <c r="AA490" s="7" t="n">
        <v>1</v>
      </c>
      <c r="AB490" s="9" t="n">
        <v>0.692015681774718</v>
      </c>
    </row>
    <row r="491" customFormat="false" ht="23.85" hidden="false" customHeight="false" outlineLevel="0" collapsed="false">
      <c r="A491" s="7" t="n">
        <v>487</v>
      </c>
      <c r="B491" s="12" t="s">
        <v>117</v>
      </c>
      <c r="C491" s="10" t="s">
        <v>1755</v>
      </c>
      <c r="D491" s="12" t="s">
        <v>43</v>
      </c>
      <c r="E491" s="12" t="s">
        <v>1034</v>
      </c>
      <c r="F491" s="10" t="s">
        <v>1035</v>
      </c>
      <c r="G491" s="12" t="s">
        <v>656</v>
      </c>
      <c r="H491" s="26"/>
      <c r="I491" s="7" t="n">
        <v>1</v>
      </c>
      <c r="J491" s="7" t="n">
        <v>346</v>
      </c>
      <c r="K491" s="11" t="n">
        <v>32830.17</v>
      </c>
      <c r="L491" s="10" t="s">
        <v>118</v>
      </c>
      <c r="M491" s="26"/>
      <c r="N491" s="12" t="s">
        <v>701</v>
      </c>
      <c r="O491" s="12" t="s">
        <v>323</v>
      </c>
      <c r="P491" s="10" t="s">
        <v>323</v>
      </c>
      <c r="Q491" s="12"/>
      <c r="R491" s="34" t="n">
        <v>1</v>
      </c>
      <c r="S491" s="11" t="n">
        <v>32830.2</v>
      </c>
      <c r="T491" s="10" t="s">
        <v>1003</v>
      </c>
      <c r="U491" s="7" t="n">
        <v>2</v>
      </c>
      <c r="V491" s="12" t="s">
        <v>144</v>
      </c>
      <c r="W491" s="12" t="s">
        <v>79</v>
      </c>
      <c r="X491" s="12" t="s">
        <v>86</v>
      </c>
      <c r="Y491" s="10"/>
      <c r="Z491" s="7" t="s">
        <v>74</v>
      </c>
      <c r="AA491" s="7" t="n">
        <v>1</v>
      </c>
      <c r="AB491" s="9" t="n">
        <v>0.692015681774718</v>
      </c>
    </row>
    <row r="492" customFormat="false" ht="35.05" hidden="false" customHeight="false" outlineLevel="0" collapsed="false">
      <c r="A492" s="7" t="n">
        <v>488</v>
      </c>
      <c r="B492" s="12" t="s">
        <v>107</v>
      </c>
      <c r="C492" s="10" t="s">
        <v>1756</v>
      </c>
      <c r="D492" s="12" t="s">
        <v>43</v>
      </c>
      <c r="E492" s="12" t="s">
        <v>1037</v>
      </c>
      <c r="F492" s="10" t="s">
        <v>1038</v>
      </c>
      <c r="G492" s="12" t="s">
        <v>656</v>
      </c>
      <c r="H492" s="26"/>
      <c r="I492" s="7" t="n">
        <v>1</v>
      </c>
      <c r="J492" s="7" t="n">
        <v>312</v>
      </c>
      <c r="K492" s="11" t="n">
        <v>59827.18</v>
      </c>
      <c r="L492" s="10" t="s">
        <v>108</v>
      </c>
      <c r="M492" s="35" t="n">
        <v>9.45</v>
      </c>
      <c r="N492" s="12" t="s">
        <v>664</v>
      </c>
      <c r="O492" s="12" t="s">
        <v>153</v>
      </c>
      <c r="P492" s="10" t="s">
        <v>665</v>
      </c>
      <c r="Q492" s="30" t="s">
        <v>666</v>
      </c>
      <c r="R492" s="34" t="n">
        <v>1</v>
      </c>
      <c r="S492" s="11" t="n">
        <v>59827.2</v>
      </c>
      <c r="T492" s="10" t="s">
        <v>1044</v>
      </c>
      <c r="U492" s="7" t="n">
        <v>1</v>
      </c>
      <c r="V492" s="12" t="s">
        <v>323</v>
      </c>
      <c r="W492" s="12" t="s">
        <v>79</v>
      </c>
      <c r="X492" s="12" t="s">
        <v>80</v>
      </c>
      <c r="Y492" s="10" t="s">
        <v>111</v>
      </c>
      <c r="Z492" s="7" t="s">
        <v>74</v>
      </c>
      <c r="AA492" s="7" t="n">
        <v>3</v>
      </c>
      <c r="AB492" s="9" t="n">
        <v>0.617010900745841</v>
      </c>
    </row>
    <row r="493" customFormat="false" ht="35.05" hidden="false" customHeight="false" outlineLevel="0" collapsed="false">
      <c r="A493" s="7" t="n">
        <v>489</v>
      </c>
      <c r="B493" s="12" t="s">
        <v>107</v>
      </c>
      <c r="C493" s="10" t="s">
        <v>1756</v>
      </c>
      <c r="D493" s="12" t="s">
        <v>43</v>
      </c>
      <c r="E493" s="12" t="s">
        <v>963</v>
      </c>
      <c r="F493" s="10" t="s">
        <v>964</v>
      </c>
      <c r="G493" s="12" t="s">
        <v>656</v>
      </c>
      <c r="H493" s="26"/>
      <c r="I493" s="7" t="n">
        <v>1</v>
      </c>
      <c r="J493" s="7" t="n">
        <v>312</v>
      </c>
      <c r="K493" s="11" t="n">
        <v>59827.18</v>
      </c>
      <c r="L493" s="10" t="s">
        <v>108</v>
      </c>
      <c r="M493" s="35" t="n">
        <v>13.5</v>
      </c>
      <c r="N493" s="12" t="s">
        <v>664</v>
      </c>
      <c r="O493" s="12" t="s">
        <v>153</v>
      </c>
      <c r="P493" s="10" t="s">
        <v>665</v>
      </c>
      <c r="Q493" s="30" t="s">
        <v>666</v>
      </c>
      <c r="R493" s="34" t="n">
        <v>1</v>
      </c>
      <c r="S493" s="11" t="n">
        <v>59827.2</v>
      </c>
      <c r="T493" s="10" t="s">
        <v>1044</v>
      </c>
      <c r="U493" s="7" t="n">
        <v>1</v>
      </c>
      <c r="V493" s="12" t="s">
        <v>323</v>
      </c>
      <c r="W493" s="12" t="s">
        <v>79</v>
      </c>
      <c r="X493" s="12" t="s">
        <v>80</v>
      </c>
      <c r="Y493" s="10" t="s">
        <v>111</v>
      </c>
      <c r="Z493" s="7" t="s">
        <v>74</v>
      </c>
      <c r="AA493" s="7" t="n">
        <v>3</v>
      </c>
      <c r="AB493" s="9" t="n">
        <v>0.617010900745841</v>
      </c>
    </row>
    <row r="494" customFormat="false" ht="35.05" hidden="false" customHeight="false" outlineLevel="0" collapsed="false">
      <c r="A494" s="7" t="n">
        <v>490</v>
      </c>
      <c r="B494" s="12" t="s">
        <v>572</v>
      </c>
      <c r="C494" s="10" t="s">
        <v>1757</v>
      </c>
      <c r="D494" s="12" t="s">
        <v>43</v>
      </c>
      <c r="E494" s="12" t="s">
        <v>968</v>
      </c>
      <c r="F494" s="10" t="s">
        <v>969</v>
      </c>
      <c r="G494" s="12" t="s">
        <v>656</v>
      </c>
      <c r="H494" s="26"/>
      <c r="I494" s="7" t="n">
        <v>1</v>
      </c>
      <c r="J494" s="7" t="n">
        <v>93</v>
      </c>
      <c r="K494" s="11" t="n">
        <v>1929.98</v>
      </c>
      <c r="L494" s="10" t="s">
        <v>573</v>
      </c>
      <c r="M494" s="35" t="n">
        <v>0.57</v>
      </c>
      <c r="N494" s="12" t="s">
        <v>664</v>
      </c>
      <c r="O494" s="12" t="s">
        <v>102</v>
      </c>
      <c r="P494" s="10" t="s">
        <v>1042</v>
      </c>
      <c r="Q494" s="30" t="s">
        <v>1758</v>
      </c>
      <c r="R494" s="34" t="n">
        <v>1</v>
      </c>
      <c r="S494" s="11" t="n">
        <v>1930</v>
      </c>
      <c r="T494" s="10" t="s">
        <v>1044</v>
      </c>
      <c r="U494" s="7" t="n">
        <v>1</v>
      </c>
      <c r="V494" s="12" t="s">
        <v>323</v>
      </c>
      <c r="W494" s="12" t="s">
        <v>79</v>
      </c>
      <c r="X494" s="12" t="s">
        <v>80</v>
      </c>
      <c r="Y494" s="10" t="s">
        <v>111</v>
      </c>
      <c r="Z494" s="7" t="s">
        <v>676</v>
      </c>
      <c r="AA494" s="7"/>
      <c r="AB494" s="9" t="n">
        <v>0.259036144578313</v>
      </c>
    </row>
    <row r="495" customFormat="false" ht="23.85" hidden="false" customHeight="false" outlineLevel="0" collapsed="false">
      <c r="A495" s="7" t="n">
        <v>491</v>
      </c>
      <c r="B495" s="12" t="s">
        <v>178</v>
      </c>
      <c r="C495" s="10" t="s">
        <v>1759</v>
      </c>
      <c r="D495" s="12" t="s">
        <v>43</v>
      </c>
      <c r="E495" s="12" t="s">
        <v>1760</v>
      </c>
      <c r="F495" s="10" t="s">
        <v>1761</v>
      </c>
      <c r="G495" s="12" t="s">
        <v>656</v>
      </c>
      <c r="H495" s="26" t="n">
        <v>75.992</v>
      </c>
      <c r="I495" s="7" t="n">
        <v>1</v>
      </c>
      <c r="J495" s="7" t="n">
        <v>106</v>
      </c>
      <c r="K495" s="11" t="n">
        <v>7074.72</v>
      </c>
      <c r="L495" s="10" t="s">
        <v>179</v>
      </c>
      <c r="M495" s="26" t="n">
        <v>75.992</v>
      </c>
      <c r="N495" s="12" t="s">
        <v>657</v>
      </c>
      <c r="O495" s="12" t="s">
        <v>102</v>
      </c>
      <c r="P495" s="10" t="s">
        <v>658</v>
      </c>
      <c r="Q495" s="30" t="s">
        <v>1762</v>
      </c>
      <c r="R495" s="34" t="n">
        <v>0.9375</v>
      </c>
      <c r="S495" s="11" t="n">
        <v>6632.6</v>
      </c>
      <c r="T495" s="10" t="s">
        <v>1065</v>
      </c>
      <c r="U495" s="7" t="n">
        <v>2</v>
      </c>
      <c r="V495" s="12" t="s">
        <v>323</v>
      </c>
      <c r="W495" s="12" t="s">
        <v>79</v>
      </c>
      <c r="X495" s="12" t="s">
        <v>80</v>
      </c>
      <c r="Y495" s="10" t="s">
        <v>111</v>
      </c>
      <c r="Z495" s="7" t="s">
        <v>74</v>
      </c>
      <c r="AA495" s="7" t="n">
        <v>5</v>
      </c>
      <c r="AB495" s="9" t="n">
        <v>0.575564161407535</v>
      </c>
    </row>
    <row r="496" customFormat="false" ht="35.05" hidden="false" customHeight="false" outlineLevel="0" collapsed="false">
      <c r="A496" s="7" t="n">
        <v>492</v>
      </c>
      <c r="B496" s="12" t="s">
        <v>569</v>
      </c>
      <c r="C496" s="10" t="s">
        <v>1763</v>
      </c>
      <c r="D496" s="12" t="s">
        <v>43</v>
      </c>
      <c r="E496" s="12" t="s">
        <v>1347</v>
      </c>
      <c r="F496" s="10" t="s">
        <v>1764</v>
      </c>
      <c r="G496" s="12" t="s">
        <v>656</v>
      </c>
      <c r="H496" s="26"/>
      <c r="I496" s="7" t="n">
        <v>1</v>
      </c>
      <c r="J496" s="7" t="n">
        <v>17</v>
      </c>
      <c r="K496" s="11" t="n">
        <v>170.54</v>
      </c>
      <c r="L496" s="10" t="s">
        <v>570</v>
      </c>
      <c r="M496" s="35" t="n">
        <v>5.35</v>
      </c>
      <c r="N496" s="12" t="s">
        <v>664</v>
      </c>
      <c r="O496" s="12" t="s">
        <v>153</v>
      </c>
      <c r="P496" s="10" t="s">
        <v>665</v>
      </c>
      <c r="Q496" s="30" t="s">
        <v>666</v>
      </c>
      <c r="R496" s="34" t="n">
        <v>1</v>
      </c>
      <c r="S496" s="11" t="n">
        <v>170.5</v>
      </c>
      <c r="T496" s="10" t="s">
        <v>1044</v>
      </c>
      <c r="U496" s="7" t="n">
        <v>1</v>
      </c>
      <c r="V496" s="12" t="s">
        <v>323</v>
      </c>
      <c r="W496" s="12" t="s">
        <v>172</v>
      </c>
      <c r="X496" s="12" t="s">
        <v>86</v>
      </c>
      <c r="Y496" s="10"/>
      <c r="Z496" s="7" t="s">
        <v>688</v>
      </c>
      <c r="AA496" s="7" t="n">
        <v>17</v>
      </c>
      <c r="AB496" s="9" t="n">
        <v>0.0429814496079556</v>
      </c>
    </row>
    <row r="497" customFormat="false" ht="35.05" hidden="false" customHeight="false" outlineLevel="0" collapsed="false">
      <c r="A497" s="7" t="n">
        <v>493</v>
      </c>
      <c r="B497" s="12" t="s">
        <v>569</v>
      </c>
      <c r="C497" s="10" t="s">
        <v>1765</v>
      </c>
      <c r="D497" s="12" t="s">
        <v>43</v>
      </c>
      <c r="E497" s="12" t="s">
        <v>1766</v>
      </c>
      <c r="F497" s="10" t="s">
        <v>1767</v>
      </c>
      <c r="G497" s="12" t="s">
        <v>656</v>
      </c>
      <c r="H497" s="26"/>
      <c r="I497" s="7" t="n">
        <v>1</v>
      </c>
      <c r="J497" s="7" t="n">
        <v>17</v>
      </c>
      <c r="K497" s="11" t="n">
        <v>170.54</v>
      </c>
      <c r="L497" s="10" t="s">
        <v>570</v>
      </c>
      <c r="M497" s="35" t="n">
        <v>5.35</v>
      </c>
      <c r="N497" s="12" t="s">
        <v>664</v>
      </c>
      <c r="O497" s="12" t="s">
        <v>153</v>
      </c>
      <c r="P497" s="10" t="s">
        <v>665</v>
      </c>
      <c r="Q497" s="30" t="s">
        <v>666</v>
      </c>
      <c r="R497" s="34" t="n">
        <v>1</v>
      </c>
      <c r="S497" s="11" t="n">
        <v>170.5</v>
      </c>
      <c r="T497" s="10" t="s">
        <v>1044</v>
      </c>
      <c r="U497" s="7" t="n">
        <v>1</v>
      </c>
      <c r="V497" s="12" t="s">
        <v>323</v>
      </c>
      <c r="W497" s="12" t="s">
        <v>172</v>
      </c>
      <c r="X497" s="12" t="s">
        <v>86</v>
      </c>
      <c r="Y497" s="10"/>
      <c r="Z497" s="7" t="s">
        <v>688</v>
      </c>
      <c r="AA497" s="7" t="n">
        <v>17</v>
      </c>
      <c r="AB497" s="9" t="n">
        <v>0.0429814496079556</v>
      </c>
    </row>
    <row r="498" customFormat="false" ht="23.85" hidden="false" customHeight="false" outlineLevel="0" collapsed="false">
      <c r="A498" s="7" t="n">
        <v>494</v>
      </c>
      <c r="B498" s="12" t="s">
        <v>411</v>
      </c>
      <c r="C498" s="10" t="s">
        <v>1768</v>
      </c>
      <c r="D498" s="12" t="s">
        <v>43</v>
      </c>
      <c r="E498" s="12" t="s">
        <v>1769</v>
      </c>
      <c r="F498" s="10" t="s">
        <v>1770</v>
      </c>
      <c r="G498" s="12" t="s">
        <v>656</v>
      </c>
      <c r="H498" s="26"/>
      <c r="I498" s="7" t="n">
        <v>1</v>
      </c>
      <c r="J498" s="7" t="n">
        <v>78</v>
      </c>
      <c r="K498" s="11" t="n">
        <v>4714.67</v>
      </c>
      <c r="L498" s="10" t="s">
        <v>412</v>
      </c>
      <c r="M498" s="35" t="n">
        <v>3.53</v>
      </c>
      <c r="N498" s="12" t="s">
        <v>664</v>
      </c>
      <c r="O498" s="12" t="s">
        <v>153</v>
      </c>
      <c r="P498" s="10" t="s">
        <v>1049</v>
      </c>
      <c r="Q498" s="30" t="s">
        <v>1050</v>
      </c>
      <c r="R498" s="34" t="n">
        <v>0.623015352554995</v>
      </c>
      <c r="S498" s="11" t="n">
        <v>2937.3</v>
      </c>
      <c r="T498" s="10" t="s">
        <v>1044</v>
      </c>
      <c r="U498" s="7" t="n">
        <v>1</v>
      </c>
      <c r="V498" s="12" t="s">
        <v>323</v>
      </c>
      <c r="W498" s="12" t="s">
        <v>172</v>
      </c>
      <c r="X498" s="12" t="s">
        <v>97</v>
      </c>
      <c r="Y498" s="10" t="s">
        <v>442</v>
      </c>
      <c r="Z498" s="7" t="s">
        <v>688</v>
      </c>
      <c r="AA498" s="7" t="n">
        <v>13</v>
      </c>
      <c r="AB498" s="9" t="n">
        <v>0.209662459361255</v>
      </c>
    </row>
    <row r="499" customFormat="false" ht="23.85" hidden="false" customHeight="false" outlineLevel="0" collapsed="false">
      <c r="A499" s="7" t="n">
        <v>495</v>
      </c>
      <c r="B499" s="12" t="s">
        <v>148</v>
      </c>
      <c r="C499" s="10" t="s">
        <v>1771</v>
      </c>
      <c r="D499" s="12" t="s">
        <v>43</v>
      </c>
      <c r="E499" s="12" t="s">
        <v>963</v>
      </c>
      <c r="F499" s="10" t="s">
        <v>964</v>
      </c>
      <c r="G499" s="12" t="s">
        <v>656</v>
      </c>
      <c r="H499" s="26" t="n">
        <v>9.107</v>
      </c>
      <c r="I499" s="7" t="n">
        <v>1</v>
      </c>
      <c r="J499" s="7" t="n">
        <v>1185</v>
      </c>
      <c r="K499" s="11" t="n">
        <v>59407.06</v>
      </c>
      <c r="L499" s="10" t="s">
        <v>149</v>
      </c>
      <c r="M499" s="26" t="n">
        <v>9.107</v>
      </c>
      <c r="N499" s="12" t="s">
        <v>657</v>
      </c>
      <c r="O499" s="12" t="s">
        <v>102</v>
      </c>
      <c r="P499" s="10" t="s">
        <v>658</v>
      </c>
      <c r="Q499" s="30" t="s">
        <v>1772</v>
      </c>
      <c r="R499" s="34" t="n">
        <v>0.991808067465962</v>
      </c>
      <c r="S499" s="11" t="n">
        <v>58920.4</v>
      </c>
      <c r="T499" s="10" t="s">
        <v>1065</v>
      </c>
      <c r="U499" s="7" t="n">
        <v>2</v>
      </c>
      <c r="V499" s="12" t="s">
        <v>323</v>
      </c>
      <c r="W499" s="12" t="s">
        <v>79</v>
      </c>
      <c r="X499" s="12" t="s">
        <v>80</v>
      </c>
      <c r="Y499" s="10" t="s">
        <v>111</v>
      </c>
      <c r="Z499" s="7" t="s">
        <v>74</v>
      </c>
      <c r="AA499" s="7" t="n">
        <v>4</v>
      </c>
      <c r="AB499" s="9" t="n">
        <v>0.603294128896539</v>
      </c>
    </row>
    <row r="500" customFormat="false" ht="23.85" hidden="false" customHeight="false" outlineLevel="0" collapsed="false">
      <c r="A500" s="7" t="n">
        <v>496</v>
      </c>
      <c r="B500" s="12" t="s">
        <v>148</v>
      </c>
      <c r="C500" s="10" t="s">
        <v>1771</v>
      </c>
      <c r="D500" s="12" t="s">
        <v>43</v>
      </c>
      <c r="E500" s="12" t="s">
        <v>1773</v>
      </c>
      <c r="F500" s="10" t="s">
        <v>1774</v>
      </c>
      <c r="G500" s="12" t="s">
        <v>656</v>
      </c>
      <c r="H500" s="26" t="n">
        <v>23.422</v>
      </c>
      <c r="I500" s="7" t="n">
        <v>1</v>
      </c>
      <c r="J500" s="7" t="n">
        <v>1185</v>
      </c>
      <c r="K500" s="11" t="n">
        <v>59407.06</v>
      </c>
      <c r="L500" s="10" t="s">
        <v>149</v>
      </c>
      <c r="M500" s="26" t="n">
        <v>23.422</v>
      </c>
      <c r="N500" s="12" t="s">
        <v>657</v>
      </c>
      <c r="O500" s="12" t="s">
        <v>102</v>
      </c>
      <c r="P500" s="10" t="s">
        <v>658</v>
      </c>
      <c r="Q500" s="30" t="s">
        <v>1775</v>
      </c>
      <c r="R500" s="34" t="n">
        <v>0.991808067465962</v>
      </c>
      <c r="S500" s="11" t="n">
        <v>58920.4</v>
      </c>
      <c r="T500" s="10" t="s">
        <v>1065</v>
      </c>
      <c r="U500" s="7" t="n">
        <v>2</v>
      </c>
      <c r="V500" s="12" t="s">
        <v>323</v>
      </c>
      <c r="W500" s="12" t="s">
        <v>79</v>
      </c>
      <c r="X500" s="12" t="s">
        <v>80</v>
      </c>
      <c r="Y500" s="10" t="s">
        <v>111</v>
      </c>
      <c r="Z500" s="7" t="s">
        <v>74</v>
      </c>
      <c r="AA500" s="7" t="n">
        <v>4</v>
      </c>
      <c r="AB500" s="9" t="n">
        <v>0.603294128896539</v>
      </c>
    </row>
    <row r="501" customFormat="false" ht="35.05" hidden="false" customHeight="false" outlineLevel="0" collapsed="false">
      <c r="A501" s="7" t="n">
        <v>497</v>
      </c>
      <c r="B501" s="12" t="s">
        <v>277</v>
      </c>
      <c r="C501" s="10" t="s">
        <v>1776</v>
      </c>
      <c r="D501" s="12" t="s">
        <v>43</v>
      </c>
      <c r="E501" s="12" t="s">
        <v>1777</v>
      </c>
      <c r="F501" s="10" t="s">
        <v>1778</v>
      </c>
      <c r="G501" s="12" t="s">
        <v>656</v>
      </c>
      <c r="H501" s="26"/>
      <c r="I501" s="7" t="n">
        <v>1</v>
      </c>
      <c r="J501" s="7" t="n">
        <v>58</v>
      </c>
      <c r="K501" s="11" t="n">
        <v>1115.28</v>
      </c>
      <c r="L501" s="10" t="s">
        <v>278</v>
      </c>
      <c r="M501" s="35" t="n">
        <v>6.81</v>
      </c>
      <c r="N501" s="12" t="s">
        <v>664</v>
      </c>
      <c r="O501" s="12" t="s">
        <v>153</v>
      </c>
      <c r="P501" s="10" t="s">
        <v>665</v>
      </c>
      <c r="Q501" s="30" t="s">
        <v>666</v>
      </c>
      <c r="R501" s="34" t="n">
        <v>0.257790111422073</v>
      </c>
      <c r="S501" s="11" t="n">
        <v>287.5</v>
      </c>
      <c r="T501" s="10" t="s">
        <v>1044</v>
      </c>
      <c r="U501" s="7" t="n">
        <v>1</v>
      </c>
      <c r="V501" s="12" t="s">
        <v>323</v>
      </c>
      <c r="W501" s="12" t="s">
        <v>172</v>
      </c>
      <c r="X501" s="12" t="s">
        <v>86</v>
      </c>
      <c r="Y501" s="10"/>
      <c r="Z501" s="7" t="s">
        <v>688</v>
      </c>
      <c r="AA501" s="7" t="n">
        <v>16</v>
      </c>
      <c r="AB501" s="9" t="n">
        <v>0.0979680627270989</v>
      </c>
    </row>
    <row r="502" customFormat="false" ht="35.05" hidden="false" customHeight="false" outlineLevel="0" collapsed="false">
      <c r="A502" s="7" t="n">
        <v>498</v>
      </c>
      <c r="B502" s="12" t="s">
        <v>277</v>
      </c>
      <c r="C502" s="10" t="s">
        <v>1776</v>
      </c>
      <c r="D502" s="12" t="s">
        <v>43</v>
      </c>
      <c r="E502" s="12" t="s">
        <v>1779</v>
      </c>
      <c r="F502" s="10" t="s">
        <v>1767</v>
      </c>
      <c r="G502" s="12" t="s">
        <v>656</v>
      </c>
      <c r="H502" s="26"/>
      <c r="I502" s="7" t="n">
        <v>1</v>
      </c>
      <c r="J502" s="7" t="n">
        <v>58</v>
      </c>
      <c r="K502" s="11" t="n">
        <v>1115.28</v>
      </c>
      <c r="L502" s="10" t="s">
        <v>278</v>
      </c>
      <c r="M502" s="35" t="n">
        <v>1.36</v>
      </c>
      <c r="N502" s="12" t="s">
        <v>664</v>
      </c>
      <c r="O502" s="12" t="s">
        <v>153</v>
      </c>
      <c r="P502" s="10" t="s">
        <v>665</v>
      </c>
      <c r="Q502" s="30" t="s">
        <v>666</v>
      </c>
      <c r="R502" s="34" t="n">
        <v>0.257790111422073</v>
      </c>
      <c r="S502" s="11" t="n">
        <v>287.5</v>
      </c>
      <c r="T502" s="10" t="s">
        <v>1044</v>
      </c>
      <c r="U502" s="7" t="n">
        <v>1</v>
      </c>
      <c r="V502" s="12" t="s">
        <v>323</v>
      </c>
      <c r="W502" s="12" t="s">
        <v>172</v>
      </c>
      <c r="X502" s="12" t="s">
        <v>86</v>
      </c>
      <c r="Y502" s="10"/>
      <c r="Z502" s="7" t="s">
        <v>688</v>
      </c>
      <c r="AA502" s="7" t="n">
        <v>16</v>
      </c>
      <c r="AB502" s="9" t="n">
        <v>0.0979680627270989</v>
      </c>
    </row>
    <row r="503" customFormat="false" ht="23.85" hidden="false" customHeight="false" outlineLevel="0" collapsed="false">
      <c r="A503" s="7" t="n">
        <v>499</v>
      </c>
      <c r="B503" s="12" t="s">
        <v>249</v>
      </c>
      <c r="C503" s="10" t="s">
        <v>1780</v>
      </c>
      <c r="D503" s="12" t="s">
        <v>43</v>
      </c>
      <c r="E503" s="12" t="s">
        <v>1781</v>
      </c>
      <c r="F503" s="10" t="s">
        <v>1764</v>
      </c>
      <c r="G503" s="12" t="s">
        <v>656</v>
      </c>
      <c r="H503" s="26" t="n">
        <v>8.113</v>
      </c>
      <c r="I503" s="7" t="n">
        <v>1</v>
      </c>
      <c r="J503" s="7" t="n">
        <v>309</v>
      </c>
      <c r="K503" s="11" t="n">
        <v>8362.23</v>
      </c>
      <c r="L503" s="10" t="s">
        <v>250</v>
      </c>
      <c r="M503" s="26" t="n">
        <v>8.113</v>
      </c>
      <c r="N503" s="12" t="s">
        <v>657</v>
      </c>
      <c r="O503" s="12" t="s">
        <v>102</v>
      </c>
      <c r="P503" s="10" t="s">
        <v>658</v>
      </c>
      <c r="Q503" s="30" t="s">
        <v>1782</v>
      </c>
      <c r="R503" s="34" t="n">
        <v>0.863192645479244</v>
      </c>
      <c r="S503" s="11" t="n">
        <v>7218.2</v>
      </c>
      <c r="T503" s="10" t="s">
        <v>1044</v>
      </c>
      <c r="U503" s="7" t="n">
        <v>1</v>
      </c>
      <c r="V503" s="12" t="s">
        <v>323</v>
      </c>
      <c r="W503" s="12" t="s">
        <v>172</v>
      </c>
      <c r="X503" s="12" t="s">
        <v>86</v>
      </c>
      <c r="Y503" s="10"/>
      <c r="Z503" s="7" t="s">
        <v>106</v>
      </c>
      <c r="AA503" s="7" t="n">
        <v>8</v>
      </c>
      <c r="AB503" s="9" t="n">
        <v>0.409672021419009</v>
      </c>
    </row>
    <row r="504" customFormat="false" ht="35.05" hidden="false" customHeight="false" outlineLevel="0" collapsed="false">
      <c r="A504" s="7" t="n">
        <v>500</v>
      </c>
      <c r="B504" s="12" t="s">
        <v>208</v>
      </c>
      <c r="C504" s="10" t="s">
        <v>1783</v>
      </c>
      <c r="D504" s="12" t="s">
        <v>43</v>
      </c>
      <c r="E504" s="12" t="s">
        <v>1784</v>
      </c>
      <c r="F504" s="10" t="s">
        <v>1785</v>
      </c>
      <c r="G504" s="12" t="s">
        <v>656</v>
      </c>
      <c r="H504" s="26"/>
      <c r="I504" s="7" t="n">
        <v>1</v>
      </c>
      <c r="J504" s="7" t="n">
        <v>133</v>
      </c>
      <c r="K504" s="11" t="n">
        <v>4036.55</v>
      </c>
      <c r="L504" s="10" t="s">
        <v>209</v>
      </c>
      <c r="M504" s="35" t="n">
        <v>2.29</v>
      </c>
      <c r="N504" s="12" t="s">
        <v>664</v>
      </c>
      <c r="O504" s="12" t="s">
        <v>153</v>
      </c>
      <c r="P504" s="10" t="s">
        <v>665</v>
      </c>
      <c r="Q504" s="30" t="s">
        <v>666</v>
      </c>
      <c r="R504" s="34" t="n">
        <v>1</v>
      </c>
      <c r="S504" s="11" t="n">
        <v>4036.6</v>
      </c>
      <c r="T504" s="10" t="s">
        <v>1044</v>
      </c>
      <c r="U504" s="7" t="n">
        <v>1</v>
      </c>
      <c r="V504" s="12" t="s">
        <v>323</v>
      </c>
      <c r="W504" s="12" t="s">
        <v>172</v>
      </c>
      <c r="X504" s="12" t="s">
        <v>86</v>
      </c>
      <c r="Y504" s="10" t="s">
        <v>442</v>
      </c>
      <c r="Z504" s="7" t="s">
        <v>688</v>
      </c>
      <c r="AA504" s="7" t="n">
        <v>11</v>
      </c>
      <c r="AB504" s="9" t="n">
        <v>0.254680627270989</v>
      </c>
    </row>
    <row r="505" customFormat="false" ht="23.85" hidden="false" customHeight="false" outlineLevel="0" collapsed="false">
      <c r="A505" s="7" t="n">
        <v>501</v>
      </c>
      <c r="B505" s="12" t="s">
        <v>273</v>
      </c>
      <c r="C505" s="10" t="s">
        <v>1786</v>
      </c>
      <c r="D505" s="12" t="s">
        <v>43</v>
      </c>
      <c r="E505" s="12" t="s">
        <v>1787</v>
      </c>
      <c r="F505" s="10" t="s">
        <v>1778</v>
      </c>
      <c r="G505" s="12" t="s">
        <v>656</v>
      </c>
      <c r="H505" s="26" t="n">
        <v>24.71</v>
      </c>
      <c r="I505" s="7" t="n">
        <v>1</v>
      </c>
      <c r="J505" s="7" t="n">
        <v>1</v>
      </c>
      <c r="K505" s="11" t="n">
        <v>15.02</v>
      </c>
      <c r="L505" s="10" t="s">
        <v>274</v>
      </c>
      <c r="M505" s="26" t="n">
        <v>24.71</v>
      </c>
      <c r="N505" s="12" t="s">
        <v>657</v>
      </c>
      <c r="O505" s="12" t="s">
        <v>102</v>
      </c>
      <c r="P505" s="10" t="s">
        <v>658</v>
      </c>
      <c r="Q505" s="30" t="s">
        <v>1788</v>
      </c>
      <c r="R505" s="34" t="n">
        <v>0.952380952380952</v>
      </c>
      <c r="S505" s="11" t="n">
        <v>14.3</v>
      </c>
      <c r="T505" s="10" t="s">
        <v>1044</v>
      </c>
      <c r="U505" s="7" t="n">
        <v>1</v>
      </c>
      <c r="V505" s="12" t="s">
        <v>323</v>
      </c>
      <c r="W505" s="12" t="s">
        <v>172</v>
      </c>
      <c r="X505" s="12" t="s">
        <v>86</v>
      </c>
      <c r="Y505" s="10"/>
      <c r="Z505" s="7" t="s">
        <v>688</v>
      </c>
      <c r="AA505" s="7" t="n">
        <v>12</v>
      </c>
      <c r="AB505" s="9" t="n">
        <v>0.238013960604322</v>
      </c>
    </row>
    <row r="506" customFormat="false" ht="23.85" hidden="false" customHeight="false" outlineLevel="0" collapsed="false">
      <c r="A506" s="7" t="n">
        <v>502</v>
      </c>
      <c r="B506" s="12" t="s">
        <v>245</v>
      </c>
      <c r="C506" s="10" t="s">
        <v>1789</v>
      </c>
      <c r="D506" s="12" t="s">
        <v>43</v>
      </c>
      <c r="E506" s="12" t="s">
        <v>1707</v>
      </c>
      <c r="F506" s="10" t="s">
        <v>1035</v>
      </c>
      <c r="G506" s="12" t="s">
        <v>656</v>
      </c>
      <c r="H506" s="26"/>
      <c r="I506" s="7" t="n">
        <v>1</v>
      </c>
      <c r="J506" s="7" t="n">
        <v>117</v>
      </c>
      <c r="K506" s="11" t="n">
        <v>2508.09</v>
      </c>
      <c r="L506" s="10" t="s">
        <v>246</v>
      </c>
      <c r="M506" s="35" t="n">
        <v>7.47</v>
      </c>
      <c r="N506" s="12" t="s">
        <v>664</v>
      </c>
      <c r="O506" s="12" t="s">
        <v>153</v>
      </c>
      <c r="P506" s="10" t="s">
        <v>1049</v>
      </c>
      <c r="Q506" s="30" t="s">
        <v>1050</v>
      </c>
      <c r="R506" s="34" t="n">
        <v>1</v>
      </c>
      <c r="S506" s="11" t="n">
        <v>2508.1</v>
      </c>
      <c r="T506" s="10" t="s">
        <v>1044</v>
      </c>
      <c r="U506" s="7" t="n">
        <v>1</v>
      </c>
      <c r="V506" s="12" t="s">
        <v>323</v>
      </c>
      <c r="W506" s="12" t="s">
        <v>79</v>
      </c>
      <c r="X506" s="12" t="s">
        <v>86</v>
      </c>
      <c r="Y506" s="10"/>
      <c r="Z506" s="7" t="s">
        <v>106</v>
      </c>
      <c r="AA506" s="7" t="n">
        <v>6</v>
      </c>
      <c r="AB506" s="9" t="n">
        <v>0.429642379039969</v>
      </c>
    </row>
    <row r="507" customFormat="false" ht="23.85" hidden="false" customHeight="false" outlineLevel="0" collapsed="false">
      <c r="A507" s="7" t="n">
        <v>503</v>
      </c>
      <c r="B507" s="12" t="s">
        <v>245</v>
      </c>
      <c r="C507" s="10" t="s">
        <v>1789</v>
      </c>
      <c r="D507" s="12" t="s">
        <v>43</v>
      </c>
      <c r="E507" s="12" t="s">
        <v>1713</v>
      </c>
      <c r="F507" s="10" t="s">
        <v>1714</v>
      </c>
      <c r="G507" s="12" t="s">
        <v>656</v>
      </c>
      <c r="H507" s="26"/>
      <c r="I507" s="7" t="n">
        <v>1</v>
      </c>
      <c r="J507" s="7" t="n">
        <v>117</v>
      </c>
      <c r="K507" s="11" t="n">
        <v>2508.09</v>
      </c>
      <c r="L507" s="10" t="s">
        <v>246</v>
      </c>
      <c r="M507" s="35" t="n">
        <v>58.29</v>
      </c>
      <c r="N507" s="12" t="s">
        <v>664</v>
      </c>
      <c r="O507" s="12" t="s">
        <v>153</v>
      </c>
      <c r="P507" s="10" t="s">
        <v>753</v>
      </c>
      <c r="Q507" s="30" t="s">
        <v>1790</v>
      </c>
      <c r="R507" s="34" t="n">
        <v>1</v>
      </c>
      <c r="S507" s="11" t="n">
        <v>2508.1</v>
      </c>
      <c r="T507" s="10" t="s">
        <v>1044</v>
      </c>
      <c r="U507" s="7" t="n">
        <v>1</v>
      </c>
      <c r="V507" s="12" t="s">
        <v>323</v>
      </c>
      <c r="W507" s="12" t="s">
        <v>79</v>
      </c>
      <c r="X507" s="12" t="s">
        <v>671</v>
      </c>
      <c r="Y507" s="10"/>
      <c r="Z507" s="7" t="s">
        <v>106</v>
      </c>
      <c r="AA507" s="7" t="n">
        <v>6</v>
      </c>
      <c r="AB507" s="9" t="n">
        <v>0.429642379039969</v>
      </c>
    </row>
    <row r="508" customFormat="false" ht="23.85" hidden="false" customHeight="false" outlineLevel="0" collapsed="false">
      <c r="A508" s="7" t="n">
        <v>504</v>
      </c>
      <c r="B508" s="12" t="s">
        <v>247</v>
      </c>
      <c r="C508" s="10" t="s">
        <v>1791</v>
      </c>
      <c r="D508" s="12" t="s">
        <v>43</v>
      </c>
      <c r="E508" s="12" t="s">
        <v>1076</v>
      </c>
      <c r="F508" s="10" t="s">
        <v>1077</v>
      </c>
      <c r="G508" s="12" t="s">
        <v>656</v>
      </c>
      <c r="H508" s="26" t="n">
        <v>125.38</v>
      </c>
      <c r="I508" s="7" t="n">
        <v>1</v>
      </c>
      <c r="J508" s="7" t="n">
        <v>188</v>
      </c>
      <c r="K508" s="11" t="n">
        <v>262.84</v>
      </c>
      <c r="L508" s="10" t="s">
        <v>248</v>
      </c>
      <c r="M508" s="26" t="n">
        <v>125.38</v>
      </c>
      <c r="N508" s="12" t="s">
        <v>657</v>
      </c>
      <c r="O508" s="12" t="s">
        <v>77</v>
      </c>
      <c r="P508" s="10" t="s">
        <v>658</v>
      </c>
      <c r="Q508" s="30" t="s">
        <v>991</v>
      </c>
      <c r="R508" s="34" t="n">
        <v>0.703571428571429</v>
      </c>
      <c r="S508" s="11" t="n">
        <v>184.9</v>
      </c>
      <c r="T508" s="10" t="s">
        <v>995</v>
      </c>
      <c r="U508" s="7" t="n">
        <v>1</v>
      </c>
      <c r="V508" s="12" t="s">
        <v>323</v>
      </c>
      <c r="W508" s="12" t="s">
        <v>79</v>
      </c>
      <c r="X508" s="12" t="s">
        <v>86</v>
      </c>
      <c r="Y508" s="10"/>
      <c r="Z508" s="7" t="s">
        <v>106</v>
      </c>
      <c r="AA508" s="7" t="n">
        <v>7</v>
      </c>
      <c r="AB508" s="9" t="n">
        <v>0.428614457831325</v>
      </c>
    </row>
    <row r="509" customFormat="false" ht="23.85" hidden="false" customHeight="false" outlineLevel="0" collapsed="false">
      <c r="A509" s="7" t="n">
        <v>505</v>
      </c>
      <c r="B509" s="12" t="s">
        <v>145</v>
      </c>
      <c r="C509" s="10" t="s">
        <v>1792</v>
      </c>
      <c r="D509" s="12" t="s">
        <v>43</v>
      </c>
      <c r="E509" s="12" t="s">
        <v>989</v>
      </c>
      <c r="F509" s="10" t="s">
        <v>992</v>
      </c>
      <c r="G509" s="12" t="s">
        <v>656</v>
      </c>
      <c r="H509" s="26" t="n">
        <v>21.3</v>
      </c>
      <c r="I509" s="7" t="n">
        <v>1</v>
      </c>
      <c r="J509" s="7" t="n">
        <v>223</v>
      </c>
      <c r="K509" s="11" t="n">
        <v>53539.87</v>
      </c>
      <c r="L509" s="10" t="s">
        <v>146</v>
      </c>
      <c r="M509" s="26" t="n">
        <v>21.3</v>
      </c>
      <c r="N509" s="12" t="s">
        <v>657</v>
      </c>
      <c r="O509" s="12" t="s">
        <v>77</v>
      </c>
      <c r="P509" s="10" t="s">
        <v>658</v>
      </c>
      <c r="Q509" s="30" t="s">
        <v>991</v>
      </c>
      <c r="R509" s="34" t="n">
        <v>1</v>
      </c>
      <c r="S509" s="11" t="n">
        <v>53539.9</v>
      </c>
      <c r="T509" s="10" t="s">
        <v>995</v>
      </c>
      <c r="U509" s="7" t="n">
        <v>1</v>
      </c>
      <c r="V509" s="12" t="s">
        <v>323</v>
      </c>
      <c r="W509" s="12" t="s">
        <v>79</v>
      </c>
      <c r="X509" s="12" t="s">
        <v>110</v>
      </c>
      <c r="Y509" s="10" t="s">
        <v>111</v>
      </c>
      <c r="Z509" s="7" t="s">
        <v>74</v>
      </c>
      <c r="AA509" s="7" t="n">
        <v>2</v>
      </c>
      <c r="AB509" s="9" t="n">
        <v>0.667192579843182</v>
      </c>
    </row>
    <row r="510" customFormat="false" ht="23.85" hidden="false" customHeight="false" outlineLevel="0" collapsed="false">
      <c r="A510" s="7" t="n">
        <v>506</v>
      </c>
      <c r="B510" s="12" t="s">
        <v>275</v>
      </c>
      <c r="C510" s="10" t="s">
        <v>1793</v>
      </c>
      <c r="D510" s="12" t="s">
        <v>43</v>
      </c>
      <c r="E510" s="12" t="s">
        <v>1741</v>
      </c>
      <c r="F510" s="10" t="s">
        <v>1794</v>
      </c>
      <c r="G510" s="12" t="s">
        <v>656</v>
      </c>
      <c r="H510" s="26" t="n">
        <v>7.18</v>
      </c>
      <c r="I510" s="7" t="n">
        <v>1</v>
      </c>
      <c r="J510" s="7" t="n">
        <v>2</v>
      </c>
      <c r="K510" s="11" t="n">
        <v>71.73</v>
      </c>
      <c r="L510" s="10" t="s">
        <v>276</v>
      </c>
      <c r="M510" s="26" t="n">
        <v>7.18</v>
      </c>
      <c r="N510" s="12" t="s">
        <v>657</v>
      </c>
      <c r="O510" s="12" t="s">
        <v>77</v>
      </c>
      <c r="P510" s="10" t="s">
        <v>1069</v>
      </c>
      <c r="Q510" s="30" t="s">
        <v>1795</v>
      </c>
      <c r="R510" s="34" t="n">
        <v>0.996078431372549</v>
      </c>
      <c r="S510" s="11" t="n">
        <v>71.4</v>
      </c>
      <c r="T510" s="10" t="s">
        <v>995</v>
      </c>
      <c r="U510" s="7" t="n">
        <v>1</v>
      </c>
      <c r="V510" s="12" t="s">
        <v>323</v>
      </c>
      <c r="W510" s="12" t="s">
        <v>79</v>
      </c>
      <c r="X510" s="12" t="s">
        <v>86</v>
      </c>
      <c r="Y510" s="10" t="s">
        <v>111</v>
      </c>
      <c r="Z510" s="7" t="s">
        <v>688</v>
      </c>
      <c r="AA510" s="7" t="n">
        <v>15</v>
      </c>
      <c r="AB510" s="9" t="n">
        <v>0.169272327404858</v>
      </c>
    </row>
    <row r="511" customFormat="false" ht="23.85" hidden="false" customHeight="false" outlineLevel="0" collapsed="false">
      <c r="A511" s="7" t="n">
        <v>507</v>
      </c>
      <c r="B511" s="12" t="s">
        <v>275</v>
      </c>
      <c r="C511" s="10" t="s">
        <v>1793</v>
      </c>
      <c r="D511" s="12" t="s">
        <v>43</v>
      </c>
      <c r="E511" s="12" t="s">
        <v>1796</v>
      </c>
      <c r="F511" s="10" t="s">
        <v>1797</v>
      </c>
      <c r="G511" s="12" t="s">
        <v>656</v>
      </c>
      <c r="H511" s="26" t="n">
        <v>20.69</v>
      </c>
      <c r="I511" s="7" t="n">
        <v>1</v>
      </c>
      <c r="J511" s="7" t="n">
        <v>2</v>
      </c>
      <c r="K511" s="11" t="n">
        <v>71.73</v>
      </c>
      <c r="L511" s="10" t="s">
        <v>276</v>
      </c>
      <c r="M511" s="26" t="n">
        <v>20.69</v>
      </c>
      <c r="N511" s="12" t="s">
        <v>657</v>
      </c>
      <c r="O511" s="12" t="s">
        <v>77</v>
      </c>
      <c r="P511" s="10" t="s">
        <v>1069</v>
      </c>
      <c r="Q511" s="30" t="s">
        <v>1795</v>
      </c>
      <c r="R511" s="34" t="n">
        <v>0.996078431372549</v>
      </c>
      <c r="S511" s="11" t="n">
        <v>71.4</v>
      </c>
      <c r="T511" s="10" t="s">
        <v>995</v>
      </c>
      <c r="U511" s="7" t="n">
        <v>1</v>
      </c>
      <c r="V511" s="12" t="s">
        <v>323</v>
      </c>
      <c r="W511" s="12" t="s">
        <v>79</v>
      </c>
      <c r="X511" s="12" t="s">
        <v>86</v>
      </c>
      <c r="Y511" s="10" t="s">
        <v>111</v>
      </c>
      <c r="Z511" s="7" t="s">
        <v>688</v>
      </c>
      <c r="AA511" s="7" t="n">
        <v>15</v>
      </c>
      <c r="AB511" s="9" t="n">
        <v>0.169272327404858</v>
      </c>
    </row>
    <row r="512" customFormat="false" ht="23.85" hidden="false" customHeight="false" outlineLevel="0" collapsed="false">
      <c r="A512" s="7" t="n">
        <v>508</v>
      </c>
      <c r="B512" s="12" t="s">
        <v>148</v>
      </c>
      <c r="C512" s="10" t="s">
        <v>1798</v>
      </c>
      <c r="D512" s="12" t="s">
        <v>43</v>
      </c>
      <c r="E512" s="12" t="s">
        <v>1799</v>
      </c>
      <c r="F512" s="10" t="s">
        <v>1800</v>
      </c>
      <c r="G512" s="12" t="s">
        <v>656</v>
      </c>
      <c r="H512" s="26" t="n">
        <v>5.94</v>
      </c>
      <c r="I512" s="7" t="n">
        <v>1</v>
      </c>
      <c r="J512" s="7" t="n">
        <v>1185</v>
      </c>
      <c r="K512" s="11" t="n">
        <v>59407.06</v>
      </c>
      <c r="L512" s="10" t="s">
        <v>149</v>
      </c>
      <c r="M512" s="26" t="n">
        <v>5.94</v>
      </c>
      <c r="N512" s="12" t="s">
        <v>657</v>
      </c>
      <c r="O512" s="12" t="s">
        <v>77</v>
      </c>
      <c r="P512" s="10" t="s">
        <v>1069</v>
      </c>
      <c r="Q512" s="30" t="s">
        <v>1801</v>
      </c>
      <c r="R512" s="34" t="n">
        <v>0.991808067465962</v>
      </c>
      <c r="S512" s="11" t="n">
        <v>58920.4</v>
      </c>
      <c r="T512" s="10" t="s">
        <v>1065</v>
      </c>
      <c r="U512" s="7" t="n">
        <v>2</v>
      </c>
      <c r="V512" s="12" t="s">
        <v>323</v>
      </c>
      <c r="W512" s="12" t="s">
        <v>79</v>
      </c>
      <c r="X512" s="12" t="s">
        <v>110</v>
      </c>
      <c r="Y512" s="10" t="s">
        <v>111</v>
      </c>
      <c r="Z512" s="7" t="s">
        <v>74</v>
      </c>
      <c r="AA512" s="7" t="n">
        <v>4</v>
      </c>
      <c r="AB512" s="9" t="n">
        <v>0.603294128896539</v>
      </c>
    </row>
    <row r="513" customFormat="false" ht="23.85" hidden="false" customHeight="false" outlineLevel="0" collapsed="false">
      <c r="A513" s="7" t="n">
        <v>509</v>
      </c>
      <c r="B513" s="12" t="s">
        <v>148</v>
      </c>
      <c r="C513" s="10" t="s">
        <v>1798</v>
      </c>
      <c r="D513" s="12" t="s">
        <v>43</v>
      </c>
      <c r="E513" s="12" t="s">
        <v>1799</v>
      </c>
      <c r="F513" s="10" t="s">
        <v>1221</v>
      </c>
      <c r="G513" s="12" t="s">
        <v>656</v>
      </c>
      <c r="H513" s="26" t="n">
        <v>5.94</v>
      </c>
      <c r="I513" s="7" t="n">
        <v>1</v>
      </c>
      <c r="J513" s="7" t="n">
        <v>1185</v>
      </c>
      <c r="K513" s="11" t="n">
        <v>59407.06</v>
      </c>
      <c r="L513" s="10" t="s">
        <v>149</v>
      </c>
      <c r="M513" s="26" t="n">
        <v>5.94</v>
      </c>
      <c r="N513" s="12" t="s">
        <v>657</v>
      </c>
      <c r="O513" s="12" t="s">
        <v>77</v>
      </c>
      <c r="P513" s="10" t="s">
        <v>1069</v>
      </c>
      <c r="Q513" s="30" t="s">
        <v>1801</v>
      </c>
      <c r="R513" s="34" t="n">
        <v>0.991808067465962</v>
      </c>
      <c r="S513" s="11" t="n">
        <v>58920.4</v>
      </c>
      <c r="T513" s="10" t="s">
        <v>1065</v>
      </c>
      <c r="U513" s="7" t="n">
        <v>2</v>
      </c>
      <c r="V513" s="12" t="s">
        <v>323</v>
      </c>
      <c r="W513" s="12" t="s">
        <v>79</v>
      </c>
      <c r="X513" s="12" t="s">
        <v>110</v>
      </c>
      <c r="Y513" s="10" t="s">
        <v>111</v>
      </c>
      <c r="Z513" s="7" t="s">
        <v>74</v>
      </c>
      <c r="AA513" s="7" t="n">
        <v>4</v>
      </c>
      <c r="AB513" s="9" t="n">
        <v>0.603294128896539</v>
      </c>
    </row>
    <row r="514" customFormat="false" ht="23.85" hidden="false" customHeight="false" outlineLevel="0" collapsed="false">
      <c r="A514" s="7" t="n">
        <v>510</v>
      </c>
      <c r="B514" s="12" t="s">
        <v>178</v>
      </c>
      <c r="C514" s="10" t="s">
        <v>1802</v>
      </c>
      <c r="D514" s="12" t="s">
        <v>43</v>
      </c>
      <c r="E514" s="12" t="s">
        <v>1803</v>
      </c>
      <c r="F514" s="10" t="s">
        <v>1804</v>
      </c>
      <c r="G514" s="12" t="s">
        <v>656</v>
      </c>
      <c r="H514" s="26" t="n">
        <v>8.52</v>
      </c>
      <c r="I514" s="7" t="n">
        <v>1</v>
      </c>
      <c r="J514" s="7" t="n">
        <v>106</v>
      </c>
      <c r="K514" s="11" t="n">
        <v>7074.72</v>
      </c>
      <c r="L514" s="10" t="s">
        <v>179</v>
      </c>
      <c r="M514" s="26" t="n">
        <v>8.52</v>
      </c>
      <c r="N514" s="12" t="s">
        <v>657</v>
      </c>
      <c r="O514" s="12" t="s">
        <v>77</v>
      </c>
      <c r="P514" s="10" t="s">
        <v>658</v>
      </c>
      <c r="Q514" s="30" t="s">
        <v>991</v>
      </c>
      <c r="R514" s="34" t="n">
        <v>0.9375</v>
      </c>
      <c r="S514" s="11" t="n">
        <v>6632.6</v>
      </c>
      <c r="T514" s="10" t="s">
        <v>1065</v>
      </c>
      <c r="U514" s="7" t="n">
        <v>2</v>
      </c>
      <c r="V514" s="12" t="s">
        <v>323</v>
      </c>
      <c r="W514" s="12" t="s">
        <v>79</v>
      </c>
      <c r="X514" s="12" t="s">
        <v>86</v>
      </c>
      <c r="Y514" s="10" t="s">
        <v>111</v>
      </c>
      <c r="Z514" s="7" t="s">
        <v>74</v>
      </c>
      <c r="AA514" s="7" t="n">
        <v>5</v>
      </c>
      <c r="AB514" s="9" t="n">
        <v>0.575564161407535</v>
      </c>
    </row>
    <row r="515" customFormat="false" ht="23.85" hidden="false" customHeight="false" outlineLevel="0" collapsed="false">
      <c r="A515" s="7" t="n">
        <v>511</v>
      </c>
      <c r="B515" s="12" t="s">
        <v>178</v>
      </c>
      <c r="C515" s="10" t="s">
        <v>1805</v>
      </c>
      <c r="D515" s="12" t="s">
        <v>43</v>
      </c>
      <c r="E515" s="12" t="s">
        <v>1097</v>
      </c>
      <c r="F515" s="10" t="s">
        <v>1804</v>
      </c>
      <c r="G515" s="12" t="s">
        <v>656</v>
      </c>
      <c r="H515" s="26" t="n">
        <v>12.78</v>
      </c>
      <c r="I515" s="7" t="n">
        <v>1</v>
      </c>
      <c r="J515" s="7" t="n">
        <v>106</v>
      </c>
      <c r="K515" s="11" t="n">
        <v>7074.72</v>
      </c>
      <c r="L515" s="10" t="s">
        <v>179</v>
      </c>
      <c r="M515" s="26" t="n">
        <v>12.78</v>
      </c>
      <c r="N515" s="12" t="s">
        <v>657</v>
      </c>
      <c r="O515" s="12" t="s">
        <v>77</v>
      </c>
      <c r="P515" s="10" t="s">
        <v>658</v>
      </c>
      <c r="Q515" s="30" t="s">
        <v>991</v>
      </c>
      <c r="R515" s="34" t="n">
        <v>0.9375</v>
      </c>
      <c r="S515" s="11" t="n">
        <v>6632.6</v>
      </c>
      <c r="T515" s="10" t="s">
        <v>1065</v>
      </c>
      <c r="U515" s="7" t="n">
        <v>2</v>
      </c>
      <c r="V515" s="12" t="s">
        <v>323</v>
      </c>
      <c r="W515" s="12" t="s">
        <v>79</v>
      </c>
      <c r="X515" s="12" t="s">
        <v>86</v>
      </c>
      <c r="Y515" s="10" t="s">
        <v>111</v>
      </c>
      <c r="Z515" s="7" t="s">
        <v>74</v>
      </c>
      <c r="AA515" s="7" t="n">
        <v>5</v>
      </c>
      <c r="AB515" s="9" t="n">
        <v>0.575564161407535</v>
      </c>
    </row>
    <row r="516" customFormat="false" ht="23.85" hidden="false" customHeight="false" outlineLevel="0" collapsed="false">
      <c r="A516" s="7" t="n">
        <v>512</v>
      </c>
      <c r="B516" s="12" t="s">
        <v>251</v>
      </c>
      <c r="C516" s="10" t="s">
        <v>1806</v>
      </c>
      <c r="D516" s="12" t="s">
        <v>43</v>
      </c>
      <c r="E516" s="12" t="s">
        <v>1416</v>
      </c>
      <c r="F516" s="10" t="s">
        <v>1807</v>
      </c>
      <c r="G516" s="12" t="s">
        <v>656</v>
      </c>
      <c r="H516" s="26" t="n">
        <v>7.55</v>
      </c>
      <c r="I516" s="7" t="n">
        <v>1</v>
      </c>
      <c r="J516" s="7" t="n">
        <v>176</v>
      </c>
      <c r="K516" s="11" t="n">
        <v>5190.07</v>
      </c>
      <c r="L516" s="10" t="s">
        <v>252</v>
      </c>
      <c r="M516" s="26" t="n">
        <v>7.55</v>
      </c>
      <c r="N516" s="12" t="s">
        <v>657</v>
      </c>
      <c r="O516" s="12" t="s">
        <v>77</v>
      </c>
      <c r="P516" s="10" t="s">
        <v>658</v>
      </c>
      <c r="Q516" s="30" t="s">
        <v>991</v>
      </c>
      <c r="R516" s="34" t="n">
        <v>0.95</v>
      </c>
      <c r="S516" s="11" t="n">
        <v>4930.6</v>
      </c>
      <c r="T516" s="10" t="s">
        <v>995</v>
      </c>
      <c r="U516" s="7" t="n">
        <v>1</v>
      </c>
      <c r="V516" s="12" t="s">
        <v>323</v>
      </c>
      <c r="W516" s="12" t="s">
        <v>79</v>
      </c>
      <c r="X516" s="12" t="s">
        <v>86</v>
      </c>
      <c r="Y516" s="10"/>
      <c r="Z516" s="7" t="s">
        <v>106</v>
      </c>
      <c r="AA516" s="7" t="n">
        <v>9</v>
      </c>
      <c r="AB516" s="9" t="n">
        <v>0.350286861732645</v>
      </c>
    </row>
    <row r="517" customFormat="false" ht="35.05" hidden="false" customHeight="false" outlineLevel="0" collapsed="false">
      <c r="A517" s="7" t="n">
        <v>513</v>
      </c>
      <c r="B517" s="12" t="s">
        <v>162</v>
      </c>
      <c r="C517" s="10" t="s">
        <v>652</v>
      </c>
      <c r="D517" s="12" t="s">
        <v>45</v>
      </c>
      <c r="E517" s="12" t="s">
        <v>654</v>
      </c>
      <c r="F517" s="10" t="s">
        <v>655</v>
      </c>
      <c r="G517" s="12" t="s">
        <v>656</v>
      </c>
      <c r="H517" s="26" t="n">
        <v>30.01</v>
      </c>
      <c r="I517" s="7" t="n">
        <v>1</v>
      </c>
      <c r="J517" s="7" t="n">
        <v>156</v>
      </c>
      <c r="K517" s="11" t="n">
        <v>3954.83</v>
      </c>
      <c r="L517" s="10" t="s">
        <v>163</v>
      </c>
      <c r="M517" s="26" t="n">
        <v>30.01</v>
      </c>
      <c r="N517" s="12" t="s">
        <v>657</v>
      </c>
      <c r="O517" s="12" t="s">
        <v>102</v>
      </c>
      <c r="P517" s="10" t="s">
        <v>658</v>
      </c>
      <c r="Q517" s="30" t="s">
        <v>659</v>
      </c>
      <c r="R517" s="34" t="n">
        <v>0.916666666666667</v>
      </c>
      <c r="S517" s="11" t="n">
        <v>3625.3</v>
      </c>
      <c r="T517" s="10" t="s">
        <v>144</v>
      </c>
      <c r="U517" s="7" t="n">
        <v>1</v>
      </c>
      <c r="V517" s="12" t="s">
        <v>144</v>
      </c>
      <c r="W517" s="12" t="s">
        <v>79</v>
      </c>
      <c r="X517" s="12" t="s">
        <v>86</v>
      </c>
      <c r="Y517" s="10"/>
      <c r="Z517" s="7" t="s">
        <v>74</v>
      </c>
      <c r="AA517" s="7" t="n">
        <v>4</v>
      </c>
      <c r="AB517" s="9" t="n">
        <v>0.482965194109772</v>
      </c>
    </row>
    <row r="518" customFormat="false" ht="23.85" hidden="false" customHeight="false" outlineLevel="0" collapsed="false">
      <c r="A518" s="7" t="n">
        <v>514</v>
      </c>
      <c r="B518" s="12" t="s">
        <v>263</v>
      </c>
      <c r="C518" s="10" t="s">
        <v>1808</v>
      </c>
      <c r="D518" s="12" t="s">
        <v>45</v>
      </c>
      <c r="E518" s="12" t="s">
        <v>741</v>
      </c>
      <c r="F518" s="10" t="s">
        <v>1109</v>
      </c>
      <c r="G518" s="12" t="s">
        <v>656</v>
      </c>
      <c r="H518" s="26" t="n">
        <v>18</v>
      </c>
      <c r="I518" s="7" t="n">
        <v>1</v>
      </c>
      <c r="J518" s="7" t="n">
        <v>582</v>
      </c>
      <c r="K518" s="11" t="n">
        <v>21989.37</v>
      </c>
      <c r="L518" s="10" t="s">
        <v>264</v>
      </c>
      <c r="M518" s="26" t="n">
        <v>18</v>
      </c>
      <c r="N518" s="12" t="s">
        <v>657</v>
      </c>
      <c r="O518" s="12" t="s">
        <v>102</v>
      </c>
      <c r="P518" s="10" t="s">
        <v>658</v>
      </c>
      <c r="Q518" s="30" t="s">
        <v>1809</v>
      </c>
      <c r="R518" s="34" t="n">
        <v>0.0233396995161701</v>
      </c>
      <c r="S518" s="11" t="n">
        <v>513.2</v>
      </c>
      <c r="T518" s="10" t="s">
        <v>144</v>
      </c>
      <c r="U518" s="7" t="n">
        <v>1</v>
      </c>
      <c r="V518" s="12" t="s">
        <v>144</v>
      </c>
      <c r="W518" s="12" t="s">
        <v>79</v>
      </c>
      <c r="X518" s="12" t="s">
        <v>86</v>
      </c>
      <c r="Y518" s="10"/>
      <c r="Z518" s="7" t="s">
        <v>106</v>
      </c>
      <c r="AA518" s="7" t="n">
        <v>9</v>
      </c>
      <c r="AB518" s="9" t="n">
        <v>0.241599732262383</v>
      </c>
    </row>
    <row r="519" customFormat="false" ht="23.85" hidden="false" customHeight="false" outlineLevel="0" collapsed="false">
      <c r="A519" s="7" t="n">
        <v>515</v>
      </c>
      <c r="B519" s="12" t="s">
        <v>170</v>
      </c>
      <c r="C519" s="10" t="s">
        <v>1296</v>
      </c>
      <c r="D519" s="12" t="s">
        <v>45</v>
      </c>
      <c r="E519" s="12" t="s">
        <v>1352</v>
      </c>
      <c r="F519" s="10" t="s">
        <v>1810</v>
      </c>
      <c r="G519" s="12" t="s">
        <v>656</v>
      </c>
      <c r="H519" s="26" t="n">
        <v>51.18</v>
      </c>
      <c r="I519" s="7" t="n">
        <v>1</v>
      </c>
      <c r="J519" s="7" t="n">
        <v>87</v>
      </c>
      <c r="K519" s="11" t="n">
        <v>2931.42</v>
      </c>
      <c r="L519" s="10" t="s">
        <v>171</v>
      </c>
      <c r="M519" s="26" t="n">
        <v>51.18</v>
      </c>
      <c r="N519" s="12" t="s">
        <v>657</v>
      </c>
      <c r="O519" s="12" t="s">
        <v>102</v>
      </c>
      <c r="P519" s="10" t="s">
        <v>658</v>
      </c>
      <c r="Q519" s="30" t="s">
        <v>1811</v>
      </c>
      <c r="R519" s="34" t="n">
        <v>1</v>
      </c>
      <c r="S519" s="11" t="n">
        <v>2931.4</v>
      </c>
      <c r="T519" s="10" t="s">
        <v>1003</v>
      </c>
      <c r="U519" s="7" t="n">
        <v>2</v>
      </c>
      <c r="V519" s="12" t="s">
        <v>144</v>
      </c>
      <c r="W519" s="12" t="s">
        <v>172</v>
      </c>
      <c r="X519" s="12" t="s">
        <v>86</v>
      </c>
      <c r="Y519" s="10"/>
      <c r="Z519" s="7" t="s">
        <v>74</v>
      </c>
      <c r="AA519" s="7" t="n">
        <v>3</v>
      </c>
      <c r="AB519" s="9" t="n">
        <v>0.51157487091222</v>
      </c>
    </row>
    <row r="520" customFormat="false" ht="23.85" hidden="false" customHeight="false" outlineLevel="0" collapsed="false">
      <c r="A520" s="7" t="n">
        <v>516</v>
      </c>
      <c r="B520" s="12" t="s">
        <v>259</v>
      </c>
      <c r="C520" s="10" t="s">
        <v>1812</v>
      </c>
      <c r="D520" s="12" t="s">
        <v>45</v>
      </c>
      <c r="E520" s="12" t="s">
        <v>1813</v>
      </c>
      <c r="F520" s="10" t="s">
        <v>1814</v>
      </c>
      <c r="G520" s="12" t="s">
        <v>656</v>
      </c>
      <c r="H520" s="26" t="n">
        <v>22.55</v>
      </c>
      <c r="I520" s="7" t="n">
        <v>1</v>
      </c>
      <c r="J520" s="7" t="n">
        <v>61</v>
      </c>
      <c r="K520" s="11" t="n">
        <v>1210.6</v>
      </c>
      <c r="L520" s="10" t="s">
        <v>260</v>
      </c>
      <c r="M520" s="26" t="n">
        <v>22.55</v>
      </c>
      <c r="N520" s="12" t="s">
        <v>657</v>
      </c>
      <c r="O520" s="12" t="s">
        <v>102</v>
      </c>
      <c r="P520" s="10" t="s">
        <v>658</v>
      </c>
      <c r="Q520" s="30" t="s">
        <v>1815</v>
      </c>
      <c r="R520" s="34" t="n">
        <v>0.888888888888889</v>
      </c>
      <c r="S520" s="11" t="n">
        <v>1076.1</v>
      </c>
      <c r="T520" s="10" t="s">
        <v>144</v>
      </c>
      <c r="U520" s="7" t="n">
        <v>1</v>
      </c>
      <c r="V520" s="12" t="s">
        <v>144</v>
      </c>
      <c r="W520" s="12" t="s">
        <v>79</v>
      </c>
      <c r="X520" s="12" t="s">
        <v>86</v>
      </c>
      <c r="Y520" s="10"/>
      <c r="Z520" s="7" t="s">
        <v>106</v>
      </c>
      <c r="AA520" s="7" t="n">
        <v>7</v>
      </c>
      <c r="AB520" s="9" t="n">
        <v>0.29569229298145</v>
      </c>
    </row>
    <row r="521" customFormat="false" ht="23.85" hidden="false" customHeight="false" outlineLevel="0" collapsed="false">
      <c r="A521" s="7" t="n">
        <v>517</v>
      </c>
      <c r="B521" s="12" t="s">
        <v>265</v>
      </c>
      <c r="C521" s="10" t="s">
        <v>1114</v>
      </c>
      <c r="D521" s="12" t="s">
        <v>45</v>
      </c>
      <c r="E521" s="12" t="s">
        <v>1115</v>
      </c>
      <c r="F521" s="10" t="s">
        <v>1816</v>
      </c>
      <c r="G521" s="12" t="s">
        <v>656</v>
      </c>
      <c r="H521" s="26"/>
      <c r="I521" s="7" t="n">
        <v>1</v>
      </c>
      <c r="J521" s="7" t="n">
        <v>286</v>
      </c>
      <c r="K521" s="11" t="n">
        <v>3067.39</v>
      </c>
      <c r="L521" s="10" t="s">
        <v>266</v>
      </c>
      <c r="M521" s="35" t="n">
        <v>5.56</v>
      </c>
      <c r="N521" s="12" t="s">
        <v>664</v>
      </c>
      <c r="O521" s="12" t="s">
        <v>102</v>
      </c>
      <c r="P521" s="10" t="s">
        <v>1049</v>
      </c>
      <c r="Q521" s="30" t="s">
        <v>1050</v>
      </c>
      <c r="R521" s="34" t="n">
        <v>1</v>
      </c>
      <c r="S521" s="11" t="n">
        <v>3067.4</v>
      </c>
      <c r="T521" s="10" t="s">
        <v>144</v>
      </c>
      <c r="U521" s="7" t="n">
        <v>1</v>
      </c>
      <c r="V521" s="12" t="s">
        <v>144</v>
      </c>
      <c r="W521" s="12" t="s">
        <v>79</v>
      </c>
      <c r="X521" s="12" t="s">
        <v>86</v>
      </c>
      <c r="Y521" s="10"/>
      <c r="Z521" s="7" t="s">
        <v>106</v>
      </c>
      <c r="AA521" s="7" t="n">
        <v>10</v>
      </c>
      <c r="AB521" s="9" t="n">
        <v>0.233146873207114</v>
      </c>
    </row>
    <row r="522" customFormat="false" ht="23.85" hidden="false" customHeight="false" outlineLevel="0" collapsed="false">
      <c r="A522" s="7" t="n">
        <v>518</v>
      </c>
      <c r="B522" s="12" t="s">
        <v>221</v>
      </c>
      <c r="C522" s="10" t="s">
        <v>221</v>
      </c>
      <c r="D522" s="12" t="s">
        <v>45</v>
      </c>
      <c r="E522" s="12" t="s">
        <v>1817</v>
      </c>
      <c r="F522" s="10" t="s">
        <v>1818</v>
      </c>
      <c r="G522" s="12" t="s">
        <v>1819</v>
      </c>
      <c r="H522" s="26" t="n">
        <v>51.79</v>
      </c>
      <c r="I522" s="7" t="n">
        <v>1</v>
      </c>
      <c r="J522" s="7" t="n">
        <v>45</v>
      </c>
      <c r="K522" s="11" t="n">
        <v>263.65</v>
      </c>
      <c r="L522" s="10" t="s">
        <v>222</v>
      </c>
      <c r="M522" s="26" t="n">
        <v>51.79</v>
      </c>
      <c r="N522" s="12" t="s">
        <v>657</v>
      </c>
      <c r="O522" s="12" t="s">
        <v>102</v>
      </c>
      <c r="P522" s="10" t="s">
        <v>658</v>
      </c>
      <c r="Q522" s="30" t="s">
        <v>1820</v>
      </c>
      <c r="R522" s="34" t="n">
        <v>0.0828659263441872</v>
      </c>
      <c r="S522" s="11" t="n">
        <v>21.8</v>
      </c>
      <c r="T522" s="10" t="s">
        <v>144</v>
      </c>
      <c r="U522" s="7" t="n">
        <v>1</v>
      </c>
      <c r="V522" s="12" t="s">
        <v>144</v>
      </c>
      <c r="W522" s="12" t="s">
        <v>79</v>
      </c>
      <c r="X522" s="12" t="s">
        <v>86</v>
      </c>
      <c r="Y522" s="10"/>
      <c r="Z522" s="7" t="s">
        <v>106</v>
      </c>
      <c r="AA522" s="7" t="n">
        <v>6</v>
      </c>
      <c r="AB522" s="9" t="n">
        <v>0.32348441384586</v>
      </c>
    </row>
    <row r="523" customFormat="false" ht="23.85" hidden="false" customHeight="false" outlineLevel="0" collapsed="false">
      <c r="A523" s="7" t="n">
        <v>519</v>
      </c>
      <c r="B523" s="12" t="s">
        <v>261</v>
      </c>
      <c r="C523" s="10" t="s">
        <v>757</v>
      </c>
      <c r="D523" s="12" t="s">
        <v>45</v>
      </c>
      <c r="E523" s="12" t="s">
        <v>1821</v>
      </c>
      <c r="F523" s="10" t="s">
        <v>1033</v>
      </c>
      <c r="G523" s="12" t="s">
        <v>656</v>
      </c>
      <c r="H523" s="26" t="n">
        <v>13.63</v>
      </c>
      <c r="I523" s="7" t="n">
        <v>1</v>
      </c>
      <c r="J523" s="7" t="n">
        <v>374</v>
      </c>
      <c r="K523" s="11" t="n">
        <v>13615.47</v>
      </c>
      <c r="L523" s="10" t="s">
        <v>262</v>
      </c>
      <c r="M523" s="26" t="n">
        <v>13.63</v>
      </c>
      <c r="N523" s="12" t="s">
        <v>657</v>
      </c>
      <c r="O523" s="12" t="s">
        <v>102</v>
      </c>
      <c r="P523" s="10" t="s">
        <v>658</v>
      </c>
      <c r="Q523" s="30" t="s">
        <v>760</v>
      </c>
      <c r="R523" s="34" t="n">
        <v>0.18191811645244</v>
      </c>
      <c r="S523" s="11" t="n">
        <v>2476.9</v>
      </c>
      <c r="T523" s="10" t="s">
        <v>144</v>
      </c>
      <c r="U523" s="7" t="n">
        <v>1</v>
      </c>
      <c r="V523" s="12" t="s">
        <v>144</v>
      </c>
      <c r="W523" s="12" t="s">
        <v>79</v>
      </c>
      <c r="X523" s="12" t="s">
        <v>86</v>
      </c>
      <c r="Y523" s="10"/>
      <c r="Z523" s="7" t="s">
        <v>106</v>
      </c>
      <c r="AA523" s="7" t="n">
        <v>8</v>
      </c>
      <c r="AB523" s="9" t="n">
        <v>0.268225282080704</v>
      </c>
    </row>
    <row r="524" customFormat="false" ht="23.85" hidden="false" customHeight="false" outlineLevel="0" collapsed="false">
      <c r="A524" s="7" t="n">
        <v>520</v>
      </c>
      <c r="B524" s="12" t="s">
        <v>261</v>
      </c>
      <c r="C524" s="10" t="s">
        <v>757</v>
      </c>
      <c r="D524" s="12" t="s">
        <v>45</v>
      </c>
      <c r="E524" s="12" t="s">
        <v>1822</v>
      </c>
      <c r="F524" s="10" t="s">
        <v>1823</v>
      </c>
      <c r="G524" s="12" t="s">
        <v>656</v>
      </c>
      <c r="H524" s="26" t="n">
        <v>6.62</v>
      </c>
      <c r="I524" s="7" t="n">
        <v>1</v>
      </c>
      <c r="J524" s="7" t="n">
        <v>374</v>
      </c>
      <c r="K524" s="11" t="n">
        <v>13615.47</v>
      </c>
      <c r="L524" s="10" t="s">
        <v>262</v>
      </c>
      <c r="M524" s="26" t="n">
        <v>6.62</v>
      </c>
      <c r="N524" s="12" t="s">
        <v>657</v>
      </c>
      <c r="O524" s="12" t="s">
        <v>102</v>
      </c>
      <c r="P524" s="10" t="s">
        <v>658</v>
      </c>
      <c r="Q524" s="30" t="s">
        <v>760</v>
      </c>
      <c r="R524" s="34" t="n">
        <v>0.18191811645244</v>
      </c>
      <c r="S524" s="11" t="n">
        <v>2476.9</v>
      </c>
      <c r="T524" s="10" t="s">
        <v>144</v>
      </c>
      <c r="U524" s="7" t="n">
        <v>1</v>
      </c>
      <c r="V524" s="12" t="s">
        <v>144</v>
      </c>
      <c r="W524" s="12" t="s">
        <v>79</v>
      </c>
      <c r="X524" s="12" t="s">
        <v>86</v>
      </c>
      <c r="Y524" s="10"/>
      <c r="Z524" s="7" t="s">
        <v>106</v>
      </c>
      <c r="AA524" s="7" t="n">
        <v>8</v>
      </c>
      <c r="AB524" s="9" t="n">
        <v>0.268225282080704</v>
      </c>
    </row>
    <row r="525" customFormat="false" ht="15" hidden="false" customHeight="false" outlineLevel="0" collapsed="false">
      <c r="A525" s="7" t="n">
        <v>521</v>
      </c>
      <c r="B525" s="12" t="s">
        <v>255</v>
      </c>
      <c r="C525" s="10" t="s">
        <v>1824</v>
      </c>
      <c r="D525" s="12" t="s">
        <v>45</v>
      </c>
      <c r="E525" s="12" t="s">
        <v>1825</v>
      </c>
      <c r="F525" s="10" t="s">
        <v>1826</v>
      </c>
      <c r="G525" s="12" t="s">
        <v>656</v>
      </c>
      <c r="H525" s="26" t="n">
        <v>69.3707</v>
      </c>
      <c r="I525" s="7" t="n">
        <v>8</v>
      </c>
      <c r="J525" s="7" t="n">
        <v>2221</v>
      </c>
      <c r="K525" s="11" t="n">
        <v>49989.33</v>
      </c>
      <c r="L525" s="10" t="s">
        <v>256</v>
      </c>
      <c r="M525" s="26" t="n">
        <v>69.3707</v>
      </c>
      <c r="N525" s="12" t="s">
        <v>657</v>
      </c>
      <c r="O525" s="12" t="s">
        <v>153</v>
      </c>
      <c r="P525" s="10" t="s">
        <v>658</v>
      </c>
      <c r="Q525" s="30" t="s">
        <v>1827</v>
      </c>
      <c r="R525" s="34" t="n">
        <v>0.0511527360425806</v>
      </c>
      <c r="S525" s="11" t="n">
        <v>2557.1</v>
      </c>
      <c r="T525" s="10" t="s">
        <v>96</v>
      </c>
      <c r="U525" s="7" t="n">
        <v>1</v>
      </c>
      <c r="V525" s="12" t="s">
        <v>96</v>
      </c>
      <c r="W525" s="12" t="s">
        <v>79</v>
      </c>
      <c r="X525" s="12" t="s">
        <v>86</v>
      </c>
      <c r="Y525" s="10"/>
      <c r="Z525" s="7" t="s">
        <v>74</v>
      </c>
      <c r="AA525" s="7" t="n">
        <v>2</v>
      </c>
      <c r="AB525" s="9" t="n">
        <v>0.518206157965194</v>
      </c>
    </row>
    <row r="526" customFormat="false" ht="15" hidden="false" customHeight="false" outlineLevel="0" collapsed="false">
      <c r="A526" s="7" t="n">
        <v>522</v>
      </c>
      <c r="B526" s="12" t="s">
        <v>255</v>
      </c>
      <c r="C526" s="10" t="s">
        <v>1824</v>
      </c>
      <c r="D526" s="12" t="s">
        <v>45</v>
      </c>
      <c r="E526" s="12" t="s">
        <v>1825</v>
      </c>
      <c r="F526" s="10" t="s">
        <v>1828</v>
      </c>
      <c r="G526" s="12" t="s">
        <v>656</v>
      </c>
      <c r="H526" s="26" t="n">
        <v>69.3707</v>
      </c>
      <c r="I526" s="7" t="n">
        <v>7</v>
      </c>
      <c r="J526" s="7" t="n">
        <v>2221</v>
      </c>
      <c r="K526" s="11" t="n">
        <v>49989.33</v>
      </c>
      <c r="L526" s="10" t="s">
        <v>256</v>
      </c>
      <c r="M526" s="26" t="n">
        <v>69.3707</v>
      </c>
      <c r="N526" s="12" t="s">
        <v>657</v>
      </c>
      <c r="O526" s="12" t="s">
        <v>153</v>
      </c>
      <c r="P526" s="10" t="s">
        <v>658</v>
      </c>
      <c r="Q526" s="30" t="s">
        <v>1827</v>
      </c>
      <c r="R526" s="34" t="n">
        <v>0.0511527360425806</v>
      </c>
      <c r="S526" s="11" t="n">
        <v>2557.1</v>
      </c>
      <c r="T526" s="10" t="s">
        <v>96</v>
      </c>
      <c r="U526" s="7" t="n">
        <v>1</v>
      </c>
      <c r="V526" s="12" t="s">
        <v>96</v>
      </c>
      <c r="W526" s="12" t="s">
        <v>79</v>
      </c>
      <c r="X526" s="12" t="s">
        <v>86</v>
      </c>
      <c r="Y526" s="10"/>
      <c r="Z526" s="7" t="s">
        <v>74</v>
      </c>
      <c r="AA526" s="7" t="n">
        <v>2</v>
      </c>
      <c r="AB526" s="9" t="n">
        <v>0.518206157965194</v>
      </c>
    </row>
    <row r="527" customFormat="false" ht="23.85" hidden="false" customHeight="false" outlineLevel="0" collapsed="false">
      <c r="A527" s="7" t="n">
        <v>523</v>
      </c>
      <c r="B527" s="12" t="s">
        <v>257</v>
      </c>
      <c r="C527" s="10" t="s">
        <v>1829</v>
      </c>
      <c r="D527" s="12" t="s">
        <v>45</v>
      </c>
      <c r="E527" s="12" t="s">
        <v>1830</v>
      </c>
      <c r="F527" s="10" t="s">
        <v>1048</v>
      </c>
      <c r="G527" s="12" t="s">
        <v>656</v>
      </c>
      <c r="H527" s="26" t="n">
        <v>30.352</v>
      </c>
      <c r="I527" s="7" t="n">
        <v>1</v>
      </c>
      <c r="J527" s="7" t="n">
        <v>44</v>
      </c>
      <c r="K527" s="11" t="n">
        <v>2375.17</v>
      </c>
      <c r="L527" s="10" t="s">
        <v>258</v>
      </c>
      <c r="M527" s="26" t="n">
        <v>30.352</v>
      </c>
      <c r="N527" s="12" t="s">
        <v>657</v>
      </c>
      <c r="O527" s="12" t="s">
        <v>102</v>
      </c>
      <c r="P527" s="10" t="s">
        <v>658</v>
      </c>
      <c r="Q527" s="30" t="s">
        <v>1831</v>
      </c>
      <c r="R527" s="34" t="n">
        <v>0.545991045991046</v>
      </c>
      <c r="S527" s="11" t="n">
        <v>1296.8</v>
      </c>
      <c r="T527" s="10" t="s">
        <v>1832</v>
      </c>
      <c r="U527" s="7" t="n">
        <v>2</v>
      </c>
      <c r="V527" s="12" t="s">
        <v>96</v>
      </c>
      <c r="W527" s="12" t="s">
        <v>172</v>
      </c>
      <c r="X527" s="12" t="s">
        <v>86</v>
      </c>
      <c r="Y527" s="10"/>
      <c r="Z527" s="7" t="s">
        <v>74</v>
      </c>
      <c r="AA527" s="7" t="n">
        <v>5</v>
      </c>
      <c r="AB527" s="9" t="n">
        <v>0.352266207687895</v>
      </c>
    </row>
    <row r="528" customFormat="false" ht="23.85" hidden="false" customHeight="false" outlineLevel="0" collapsed="false">
      <c r="A528" s="7" t="n">
        <v>524</v>
      </c>
      <c r="B528" s="12" t="s">
        <v>239</v>
      </c>
      <c r="C528" s="10" t="s">
        <v>1833</v>
      </c>
      <c r="D528" s="12" t="s">
        <v>45</v>
      </c>
      <c r="E528" s="12" t="s">
        <v>1034</v>
      </c>
      <c r="F528" s="10" t="s">
        <v>1035</v>
      </c>
      <c r="G528" s="12" t="s">
        <v>656</v>
      </c>
      <c r="H528" s="26" t="n">
        <v>90.209</v>
      </c>
      <c r="I528" s="7" t="n">
        <v>1</v>
      </c>
      <c r="J528" s="7" t="n">
        <v>2286</v>
      </c>
      <c r="K528" s="11" t="n">
        <v>106496.78</v>
      </c>
      <c r="L528" s="10" t="s">
        <v>205</v>
      </c>
      <c r="M528" s="26" t="n">
        <v>90.209</v>
      </c>
      <c r="N528" s="12" t="s">
        <v>657</v>
      </c>
      <c r="O528" s="12" t="s">
        <v>102</v>
      </c>
      <c r="P528" s="10" t="s">
        <v>658</v>
      </c>
      <c r="Q528" s="30" t="s">
        <v>1834</v>
      </c>
      <c r="R528" s="34" t="n">
        <v>0.174359744408496</v>
      </c>
      <c r="S528" s="11" t="n">
        <v>18568.8</v>
      </c>
      <c r="T528" s="10" t="s">
        <v>1835</v>
      </c>
      <c r="U528" s="7" t="n">
        <v>3</v>
      </c>
      <c r="V528" s="12" t="s">
        <v>169</v>
      </c>
      <c r="W528" s="12" t="s">
        <v>79</v>
      </c>
      <c r="X528" s="12" t="s">
        <v>86</v>
      </c>
      <c r="Y528" s="10"/>
      <c r="Z528" s="7" t="s">
        <v>74</v>
      </c>
      <c r="AA528" s="7" t="n">
        <v>1</v>
      </c>
      <c r="AB528" s="9" t="n">
        <v>0.755627270988717</v>
      </c>
    </row>
    <row r="529" customFormat="false" ht="23.85" hidden="false" customHeight="false" outlineLevel="0" collapsed="false">
      <c r="A529" s="7" t="n">
        <v>525</v>
      </c>
      <c r="B529" s="12" t="s">
        <v>170</v>
      </c>
      <c r="C529" s="10" t="s">
        <v>1836</v>
      </c>
      <c r="D529" s="12" t="s">
        <v>45</v>
      </c>
      <c r="E529" s="12" t="s">
        <v>1052</v>
      </c>
      <c r="F529" s="10" t="s">
        <v>1053</v>
      </c>
      <c r="G529" s="12" t="s">
        <v>656</v>
      </c>
      <c r="H529" s="26"/>
      <c r="I529" s="7" t="n">
        <v>1</v>
      </c>
      <c r="J529" s="7" t="n">
        <v>87</v>
      </c>
      <c r="K529" s="11" t="n">
        <v>2931.42</v>
      </c>
      <c r="L529" s="10" t="s">
        <v>171</v>
      </c>
      <c r="M529" s="26"/>
      <c r="N529" s="12" t="s">
        <v>701</v>
      </c>
      <c r="O529" s="12" t="s">
        <v>323</v>
      </c>
      <c r="P529" s="10" t="s">
        <v>323</v>
      </c>
      <c r="Q529" s="12"/>
      <c r="R529" s="34" t="n">
        <v>1</v>
      </c>
      <c r="S529" s="11" t="n">
        <v>2931.4</v>
      </c>
      <c r="T529" s="10" t="s">
        <v>1003</v>
      </c>
      <c r="U529" s="7" t="n">
        <v>2</v>
      </c>
      <c r="V529" s="12" t="s">
        <v>144</v>
      </c>
      <c r="W529" s="12" t="s">
        <v>172</v>
      </c>
      <c r="X529" s="12" t="s">
        <v>86</v>
      </c>
      <c r="Y529" s="10"/>
      <c r="Z529" s="7" t="s">
        <v>74</v>
      </c>
      <c r="AA529" s="7" t="n">
        <v>3</v>
      </c>
      <c r="AB529" s="9" t="n">
        <v>0.51157487091222</v>
      </c>
    </row>
    <row r="530" customFormat="false" ht="23.85" hidden="false" customHeight="false" outlineLevel="0" collapsed="false">
      <c r="A530" s="7" t="n">
        <v>526</v>
      </c>
      <c r="B530" s="12" t="s">
        <v>170</v>
      </c>
      <c r="C530" s="10" t="s">
        <v>1836</v>
      </c>
      <c r="D530" s="12" t="s">
        <v>45</v>
      </c>
      <c r="E530" s="12" t="s">
        <v>1047</v>
      </c>
      <c r="F530" s="10" t="s">
        <v>1048</v>
      </c>
      <c r="G530" s="12" t="s">
        <v>656</v>
      </c>
      <c r="H530" s="26"/>
      <c r="I530" s="7" t="n">
        <v>1</v>
      </c>
      <c r="J530" s="7" t="n">
        <v>87</v>
      </c>
      <c r="K530" s="11" t="n">
        <v>2931.42</v>
      </c>
      <c r="L530" s="10" t="s">
        <v>171</v>
      </c>
      <c r="M530" s="26"/>
      <c r="N530" s="12" t="s">
        <v>701</v>
      </c>
      <c r="O530" s="12" t="s">
        <v>323</v>
      </c>
      <c r="P530" s="10" t="s">
        <v>323</v>
      </c>
      <c r="Q530" s="12"/>
      <c r="R530" s="34" t="n">
        <v>1</v>
      </c>
      <c r="S530" s="11" t="n">
        <v>2931.4</v>
      </c>
      <c r="T530" s="10" t="s">
        <v>1003</v>
      </c>
      <c r="U530" s="7" t="n">
        <v>2</v>
      </c>
      <c r="V530" s="12" t="s">
        <v>144</v>
      </c>
      <c r="W530" s="12" t="s">
        <v>172</v>
      </c>
      <c r="X530" s="12" t="s">
        <v>86</v>
      </c>
      <c r="Y530" s="10"/>
      <c r="Z530" s="7" t="s">
        <v>74</v>
      </c>
      <c r="AA530" s="7" t="n">
        <v>3</v>
      </c>
      <c r="AB530" s="9" t="n">
        <v>0.51157487091222</v>
      </c>
    </row>
    <row r="531" customFormat="false" ht="23.85" hidden="false" customHeight="false" outlineLevel="0" collapsed="false">
      <c r="A531" s="7" t="n">
        <v>527</v>
      </c>
      <c r="B531" s="12" t="s">
        <v>223</v>
      </c>
      <c r="C531" s="10" t="s">
        <v>689</v>
      </c>
      <c r="D531" s="12" t="s">
        <v>1837</v>
      </c>
      <c r="E531" s="12" t="s">
        <v>690</v>
      </c>
      <c r="F531" s="10" t="s">
        <v>1838</v>
      </c>
      <c r="G531" s="12" t="s">
        <v>656</v>
      </c>
      <c r="H531" s="26" t="n">
        <v>14.96</v>
      </c>
      <c r="I531" s="7" t="n">
        <v>1</v>
      </c>
      <c r="J531" s="7" t="n">
        <v>472</v>
      </c>
      <c r="K531" s="11" t="n">
        <v>7831.08</v>
      </c>
      <c r="L531" s="10" t="s">
        <v>224</v>
      </c>
      <c r="M531" s="26" t="n">
        <v>14.96</v>
      </c>
      <c r="N531" s="12" t="s">
        <v>657</v>
      </c>
      <c r="O531" s="12" t="s">
        <v>102</v>
      </c>
      <c r="P531" s="10" t="s">
        <v>658</v>
      </c>
      <c r="Q531" s="30" t="s">
        <v>692</v>
      </c>
      <c r="R531" s="34" t="n">
        <v>0.172727272727273</v>
      </c>
      <c r="S531" s="11" t="n">
        <v>1352.6</v>
      </c>
      <c r="T531" s="10" t="s">
        <v>144</v>
      </c>
      <c r="U531" s="7" t="n">
        <v>1</v>
      </c>
      <c r="V531" s="12" t="s">
        <v>144</v>
      </c>
      <c r="W531" s="12" t="s">
        <v>79</v>
      </c>
      <c r="X531" s="12" t="s">
        <v>86</v>
      </c>
      <c r="Y531" s="10"/>
      <c r="Z531" s="7" t="s">
        <v>106</v>
      </c>
      <c r="AA531" s="7" t="n">
        <v>7</v>
      </c>
      <c r="AB531" s="9" t="n">
        <v>0.261546184738956</v>
      </c>
    </row>
    <row r="532" customFormat="false" ht="23.85" hidden="false" customHeight="false" outlineLevel="0" collapsed="false">
      <c r="A532" s="7" t="n">
        <v>528</v>
      </c>
      <c r="B532" s="12" t="s">
        <v>217</v>
      </c>
      <c r="C532" s="10" t="s">
        <v>217</v>
      </c>
      <c r="D532" s="12" t="s">
        <v>1837</v>
      </c>
      <c r="E532" s="12" t="s">
        <v>690</v>
      </c>
      <c r="F532" s="10" t="s">
        <v>1839</v>
      </c>
      <c r="G532" s="12" t="s">
        <v>656</v>
      </c>
      <c r="H532" s="26" t="n">
        <v>54.55</v>
      </c>
      <c r="I532" s="7" t="n">
        <v>1</v>
      </c>
      <c r="J532" s="7" t="n">
        <v>126</v>
      </c>
      <c r="K532" s="11" t="n">
        <v>3407.51</v>
      </c>
      <c r="L532" s="10" t="s">
        <v>218</v>
      </c>
      <c r="M532" s="26" t="n">
        <v>54.55</v>
      </c>
      <c r="N532" s="12" t="s">
        <v>657</v>
      </c>
      <c r="O532" s="12" t="s">
        <v>102</v>
      </c>
      <c r="P532" s="10" t="s">
        <v>658</v>
      </c>
      <c r="Q532" s="30" t="s">
        <v>710</v>
      </c>
      <c r="R532" s="34" t="n">
        <v>1</v>
      </c>
      <c r="S532" s="11" t="n">
        <v>3407.5</v>
      </c>
      <c r="T532" s="10" t="s">
        <v>144</v>
      </c>
      <c r="U532" s="7" t="n">
        <v>1</v>
      </c>
      <c r="V532" s="12" t="s">
        <v>144</v>
      </c>
      <c r="W532" s="12" t="s">
        <v>79</v>
      </c>
      <c r="X532" s="12" t="s">
        <v>86</v>
      </c>
      <c r="Y532" s="10"/>
      <c r="Z532" s="7" t="s">
        <v>74</v>
      </c>
      <c r="AA532" s="7" t="n">
        <v>4</v>
      </c>
      <c r="AB532" s="9" t="n">
        <v>0.543770319372729</v>
      </c>
    </row>
    <row r="533" customFormat="false" ht="35.05" hidden="false" customHeight="false" outlineLevel="0" collapsed="false">
      <c r="A533" s="7" t="n">
        <v>529</v>
      </c>
      <c r="B533" s="12" t="s">
        <v>89</v>
      </c>
      <c r="C533" s="10" t="s">
        <v>89</v>
      </c>
      <c r="D533" s="12" t="s">
        <v>1837</v>
      </c>
      <c r="E533" s="12" t="s">
        <v>775</v>
      </c>
      <c r="F533" s="10" t="s">
        <v>1840</v>
      </c>
      <c r="G533" s="12" t="s">
        <v>79</v>
      </c>
      <c r="H533" s="26" t="n">
        <v>22.25</v>
      </c>
      <c r="I533" s="7" t="n">
        <v>1</v>
      </c>
      <c r="J533" s="7" t="n">
        <v>905</v>
      </c>
      <c r="K533" s="11" t="n">
        <v>28093.38</v>
      </c>
      <c r="L533" s="10" t="s">
        <v>90</v>
      </c>
      <c r="M533" s="26" t="n">
        <v>22.25</v>
      </c>
      <c r="N533" s="12" t="s">
        <v>657</v>
      </c>
      <c r="O533" s="12" t="s">
        <v>102</v>
      </c>
      <c r="P533" s="10" t="s">
        <v>658</v>
      </c>
      <c r="Q533" s="30" t="s">
        <v>777</v>
      </c>
      <c r="R533" s="34" t="n">
        <v>1</v>
      </c>
      <c r="S533" s="11" t="n">
        <v>28093.4</v>
      </c>
      <c r="T533" s="10" t="s">
        <v>1841</v>
      </c>
      <c r="U533" s="7" t="n">
        <v>5</v>
      </c>
      <c r="V533" s="12" t="s">
        <v>186</v>
      </c>
      <c r="W533" s="12" t="s">
        <v>79</v>
      </c>
      <c r="X533" s="12" t="s">
        <v>80</v>
      </c>
      <c r="Y533" s="10" t="s">
        <v>81</v>
      </c>
      <c r="Z533" s="7" t="s">
        <v>74</v>
      </c>
      <c r="AA533" s="7" t="n">
        <v>1</v>
      </c>
      <c r="AB533" s="9" t="n">
        <v>0.853227194492255</v>
      </c>
    </row>
    <row r="534" customFormat="false" ht="23.85" hidden="false" customHeight="false" outlineLevel="0" collapsed="false">
      <c r="A534" s="7" t="n">
        <v>530</v>
      </c>
      <c r="B534" s="12" t="s">
        <v>221</v>
      </c>
      <c r="C534" s="10" t="s">
        <v>221</v>
      </c>
      <c r="D534" s="12" t="s">
        <v>1837</v>
      </c>
      <c r="E534" s="12" t="s">
        <v>1817</v>
      </c>
      <c r="F534" s="10" t="s">
        <v>1842</v>
      </c>
      <c r="G534" s="12" t="s">
        <v>1819</v>
      </c>
      <c r="H534" s="26" t="n">
        <v>51.79</v>
      </c>
      <c r="I534" s="7" t="n">
        <v>1</v>
      </c>
      <c r="J534" s="7" t="n">
        <v>45</v>
      </c>
      <c r="K534" s="11" t="n">
        <v>263.65</v>
      </c>
      <c r="L534" s="10" t="s">
        <v>222</v>
      </c>
      <c r="M534" s="26" t="n">
        <v>51.79</v>
      </c>
      <c r="N534" s="12" t="s">
        <v>657</v>
      </c>
      <c r="O534" s="12" t="s">
        <v>102</v>
      </c>
      <c r="P534" s="10" t="s">
        <v>658</v>
      </c>
      <c r="Q534" s="30" t="s">
        <v>1820</v>
      </c>
      <c r="R534" s="34" t="n">
        <v>0.0828659263441872</v>
      </c>
      <c r="S534" s="11" t="n">
        <v>21.8</v>
      </c>
      <c r="T534" s="10" t="s">
        <v>144</v>
      </c>
      <c r="U534" s="7" t="n">
        <v>1</v>
      </c>
      <c r="V534" s="12" t="s">
        <v>144</v>
      </c>
      <c r="W534" s="12" t="s">
        <v>79</v>
      </c>
      <c r="X534" s="12" t="s">
        <v>86</v>
      </c>
      <c r="Y534" s="10"/>
      <c r="Z534" s="7" t="s">
        <v>106</v>
      </c>
      <c r="AA534" s="7" t="n">
        <v>6</v>
      </c>
      <c r="AB534" s="9" t="n">
        <v>0.32348441384586</v>
      </c>
    </row>
    <row r="535" customFormat="false" ht="23.85" hidden="false" customHeight="false" outlineLevel="0" collapsed="false">
      <c r="A535" s="7" t="n">
        <v>531</v>
      </c>
      <c r="B535" s="12" t="s">
        <v>117</v>
      </c>
      <c r="C535" s="10" t="s">
        <v>1149</v>
      </c>
      <c r="D535" s="12" t="s">
        <v>1837</v>
      </c>
      <c r="E535" s="12" t="s">
        <v>1150</v>
      </c>
      <c r="F535" s="10" t="s">
        <v>1843</v>
      </c>
      <c r="G535" s="12" t="s">
        <v>656</v>
      </c>
      <c r="H535" s="26" t="n">
        <v>21.78</v>
      </c>
      <c r="I535" s="7" t="n">
        <v>1</v>
      </c>
      <c r="J535" s="7" t="n">
        <v>346</v>
      </c>
      <c r="K535" s="11" t="n">
        <v>32830.17</v>
      </c>
      <c r="L535" s="10" t="s">
        <v>118</v>
      </c>
      <c r="M535" s="26" t="n">
        <v>21.78</v>
      </c>
      <c r="N535" s="12" t="s">
        <v>657</v>
      </c>
      <c r="O535" s="12" t="s">
        <v>102</v>
      </c>
      <c r="P535" s="10" t="s">
        <v>658</v>
      </c>
      <c r="Q535" s="30" t="s">
        <v>1152</v>
      </c>
      <c r="R535" s="34" t="n">
        <v>1</v>
      </c>
      <c r="S535" s="11" t="n">
        <v>32830.2</v>
      </c>
      <c r="T535" s="10" t="s">
        <v>1844</v>
      </c>
      <c r="U535" s="7" t="n">
        <v>11</v>
      </c>
      <c r="V535" s="12" t="s">
        <v>216</v>
      </c>
      <c r="W535" s="12" t="s">
        <v>79</v>
      </c>
      <c r="X535" s="12" t="s">
        <v>86</v>
      </c>
      <c r="Y535" s="10"/>
      <c r="Z535" s="7" t="s">
        <v>74</v>
      </c>
      <c r="AA535" s="7" t="n">
        <v>3</v>
      </c>
      <c r="AB535" s="9" t="n">
        <v>0.717412507171543</v>
      </c>
    </row>
    <row r="536" customFormat="false" ht="23.85" hidden="false" customHeight="false" outlineLevel="0" collapsed="false">
      <c r="A536" s="7" t="n">
        <v>532</v>
      </c>
      <c r="B536" s="12" t="s">
        <v>117</v>
      </c>
      <c r="C536" s="10" t="s">
        <v>1149</v>
      </c>
      <c r="D536" s="12" t="s">
        <v>1837</v>
      </c>
      <c r="E536" s="12" t="s">
        <v>1154</v>
      </c>
      <c r="F536" s="10" t="s">
        <v>1749</v>
      </c>
      <c r="G536" s="12" t="s">
        <v>656</v>
      </c>
      <c r="H536" s="26" t="n">
        <v>48.28</v>
      </c>
      <c r="I536" s="7" t="n">
        <v>1</v>
      </c>
      <c r="J536" s="7" t="n">
        <v>346</v>
      </c>
      <c r="K536" s="11" t="n">
        <v>32830.17</v>
      </c>
      <c r="L536" s="10" t="s">
        <v>118</v>
      </c>
      <c r="M536" s="26" t="n">
        <v>48.28</v>
      </c>
      <c r="N536" s="12" t="s">
        <v>657</v>
      </c>
      <c r="O536" s="12" t="s">
        <v>102</v>
      </c>
      <c r="P536" s="10" t="s">
        <v>658</v>
      </c>
      <c r="Q536" s="30" t="s">
        <v>1152</v>
      </c>
      <c r="R536" s="34" t="n">
        <v>1</v>
      </c>
      <c r="S536" s="11" t="n">
        <v>32830.2</v>
      </c>
      <c r="T536" s="10" t="s">
        <v>1844</v>
      </c>
      <c r="U536" s="7" t="n">
        <v>11</v>
      </c>
      <c r="V536" s="12" t="s">
        <v>216</v>
      </c>
      <c r="W536" s="12" t="s">
        <v>79</v>
      </c>
      <c r="X536" s="12" t="s">
        <v>86</v>
      </c>
      <c r="Y536" s="10"/>
      <c r="Z536" s="7" t="s">
        <v>74</v>
      </c>
      <c r="AA536" s="7" t="n">
        <v>3</v>
      </c>
      <c r="AB536" s="9" t="n">
        <v>0.717412507171543</v>
      </c>
    </row>
    <row r="537" customFormat="false" ht="23.85" hidden="false" customHeight="false" outlineLevel="0" collapsed="false">
      <c r="A537" s="7" t="n">
        <v>533</v>
      </c>
      <c r="B537" s="12" t="s">
        <v>112</v>
      </c>
      <c r="C537" s="10" t="s">
        <v>112</v>
      </c>
      <c r="D537" s="12" t="s">
        <v>1837</v>
      </c>
      <c r="E537" s="12" t="s">
        <v>823</v>
      </c>
      <c r="F537" s="10" t="s">
        <v>824</v>
      </c>
      <c r="G537" s="12" t="s">
        <v>656</v>
      </c>
      <c r="H537" s="26" t="n">
        <v>343.8</v>
      </c>
      <c r="I537" s="7" t="n">
        <v>1</v>
      </c>
      <c r="J537" s="7" t="n">
        <v>47</v>
      </c>
      <c r="K537" s="11" t="n">
        <v>7904.67</v>
      </c>
      <c r="L537" s="10" t="s">
        <v>113</v>
      </c>
      <c r="M537" s="26" t="n">
        <v>343.8</v>
      </c>
      <c r="N537" s="12" t="s">
        <v>657</v>
      </c>
      <c r="O537" s="12" t="s">
        <v>102</v>
      </c>
      <c r="P537" s="10" t="s">
        <v>658</v>
      </c>
      <c r="Q537" s="30" t="s">
        <v>825</v>
      </c>
      <c r="R537" s="34" t="n">
        <v>1</v>
      </c>
      <c r="S537" s="11" t="n">
        <v>7904.7</v>
      </c>
      <c r="T537" s="10" t="s">
        <v>1845</v>
      </c>
      <c r="U537" s="7" t="n">
        <v>9</v>
      </c>
      <c r="V537" s="12" t="s">
        <v>144</v>
      </c>
      <c r="W537" s="12" t="s">
        <v>79</v>
      </c>
      <c r="X537" s="12" t="s">
        <v>86</v>
      </c>
      <c r="Y537" s="10"/>
      <c r="Z537" s="7" t="s">
        <v>74</v>
      </c>
      <c r="AA537" s="7" t="n">
        <v>2</v>
      </c>
      <c r="AB537" s="9" t="n">
        <v>0.77768215720023</v>
      </c>
    </row>
    <row r="538" customFormat="false" ht="23.85" hidden="false" customHeight="false" outlineLevel="0" collapsed="false">
      <c r="A538" s="7" t="n">
        <v>534</v>
      </c>
      <c r="B538" s="12" t="s">
        <v>117</v>
      </c>
      <c r="C538" s="10" t="s">
        <v>117</v>
      </c>
      <c r="D538" s="12" t="s">
        <v>1837</v>
      </c>
      <c r="E538" s="12" t="s">
        <v>934</v>
      </c>
      <c r="F538" s="10" t="s">
        <v>1080</v>
      </c>
      <c r="G538" s="12" t="s">
        <v>656</v>
      </c>
      <c r="H538" s="26" t="n">
        <v>55.26</v>
      </c>
      <c r="I538" s="7" t="n">
        <v>1</v>
      </c>
      <c r="J538" s="7" t="n">
        <v>346</v>
      </c>
      <c r="K538" s="11" t="n">
        <v>32830.17</v>
      </c>
      <c r="L538" s="10" t="s">
        <v>118</v>
      </c>
      <c r="M538" s="26" t="n">
        <v>55.26</v>
      </c>
      <c r="N538" s="12" t="s">
        <v>657</v>
      </c>
      <c r="O538" s="12" t="s">
        <v>77</v>
      </c>
      <c r="P538" s="10" t="s">
        <v>658</v>
      </c>
      <c r="Q538" s="30" t="s">
        <v>1846</v>
      </c>
      <c r="R538" s="34" t="n">
        <v>1</v>
      </c>
      <c r="S538" s="11" t="n">
        <v>32830.2</v>
      </c>
      <c r="T538" s="10" t="s">
        <v>1844</v>
      </c>
      <c r="U538" s="7" t="n">
        <v>11</v>
      </c>
      <c r="V538" s="12" t="s">
        <v>216</v>
      </c>
      <c r="W538" s="12" t="s">
        <v>79</v>
      </c>
      <c r="X538" s="12" t="s">
        <v>86</v>
      </c>
      <c r="Y538" s="10"/>
      <c r="Z538" s="7" t="s">
        <v>74</v>
      </c>
      <c r="AA538" s="7" t="n">
        <v>3</v>
      </c>
      <c r="AB538" s="9" t="n">
        <v>0.717412507171543</v>
      </c>
    </row>
    <row r="539" customFormat="false" ht="23.85" hidden="false" customHeight="false" outlineLevel="0" collapsed="false">
      <c r="A539" s="7" t="n">
        <v>535</v>
      </c>
      <c r="B539" s="12" t="s">
        <v>89</v>
      </c>
      <c r="C539" s="10" t="s">
        <v>89</v>
      </c>
      <c r="D539" s="12" t="s">
        <v>1837</v>
      </c>
      <c r="E539" s="12" t="s">
        <v>828</v>
      </c>
      <c r="F539" s="10" t="s">
        <v>829</v>
      </c>
      <c r="G539" s="12" t="s">
        <v>656</v>
      </c>
      <c r="H539" s="26" t="n">
        <v>698.02</v>
      </c>
      <c r="I539" s="7" t="n">
        <v>1</v>
      </c>
      <c r="J539" s="7" t="n">
        <v>905</v>
      </c>
      <c r="K539" s="11" t="n">
        <v>28093.38</v>
      </c>
      <c r="L539" s="10" t="s">
        <v>90</v>
      </c>
      <c r="M539" s="26" t="n">
        <v>698.02</v>
      </c>
      <c r="N539" s="12" t="s">
        <v>657</v>
      </c>
      <c r="O539" s="12" t="s">
        <v>77</v>
      </c>
      <c r="P539" s="10" t="s">
        <v>658</v>
      </c>
      <c r="Q539" s="30" t="s">
        <v>1847</v>
      </c>
      <c r="R539" s="34" t="n">
        <v>1</v>
      </c>
      <c r="S539" s="11" t="n">
        <v>28093.4</v>
      </c>
      <c r="T539" s="10" t="s">
        <v>1841</v>
      </c>
      <c r="U539" s="7" t="n">
        <v>5</v>
      </c>
      <c r="V539" s="12" t="s">
        <v>186</v>
      </c>
      <c r="W539" s="12" t="s">
        <v>79</v>
      </c>
      <c r="X539" s="12" t="s">
        <v>80</v>
      </c>
      <c r="Y539" s="10" t="s">
        <v>81</v>
      </c>
      <c r="Z539" s="7" t="s">
        <v>74</v>
      </c>
      <c r="AA539" s="7" t="n">
        <v>1</v>
      </c>
      <c r="AB539" s="9" t="n">
        <v>0.853227194492255</v>
      </c>
    </row>
    <row r="540" customFormat="false" ht="23.85" hidden="false" customHeight="false" outlineLevel="0" collapsed="false">
      <c r="A540" s="7" t="n">
        <v>536</v>
      </c>
      <c r="B540" s="12" t="s">
        <v>219</v>
      </c>
      <c r="C540" s="10" t="s">
        <v>219</v>
      </c>
      <c r="D540" s="12" t="s">
        <v>1837</v>
      </c>
      <c r="E540" s="12" t="s">
        <v>1848</v>
      </c>
      <c r="F540" s="10" t="s">
        <v>1849</v>
      </c>
      <c r="G540" s="12" t="s">
        <v>656</v>
      </c>
      <c r="H540" s="26" t="n">
        <v>66.93</v>
      </c>
      <c r="I540" s="7" t="n">
        <v>1</v>
      </c>
      <c r="J540" s="7" t="n">
        <v>5</v>
      </c>
      <c r="K540" s="11" t="n">
        <v>135.07</v>
      </c>
      <c r="L540" s="10" t="s">
        <v>220</v>
      </c>
      <c r="M540" s="26" t="n">
        <v>66.93</v>
      </c>
      <c r="N540" s="12" t="s">
        <v>657</v>
      </c>
      <c r="O540" s="12" t="s">
        <v>102</v>
      </c>
      <c r="P540" s="10" t="s">
        <v>658</v>
      </c>
      <c r="Q540" s="30" t="s">
        <v>1850</v>
      </c>
      <c r="R540" s="34" t="n">
        <v>1</v>
      </c>
      <c r="S540" s="11" t="n">
        <v>135.1</v>
      </c>
      <c r="T540" s="10" t="s">
        <v>175</v>
      </c>
      <c r="U540" s="7" t="n">
        <v>2</v>
      </c>
      <c r="V540" s="12" t="s">
        <v>175</v>
      </c>
      <c r="W540" s="12" t="s">
        <v>79</v>
      </c>
      <c r="X540" s="12" t="s">
        <v>86</v>
      </c>
      <c r="Y540" s="10"/>
      <c r="Z540" s="7" t="s">
        <v>74</v>
      </c>
      <c r="AA540" s="7" t="n">
        <v>5</v>
      </c>
      <c r="AB540" s="9" t="n">
        <v>0.371959265633965</v>
      </c>
    </row>
    <row r="541" customFormat="false" ht="23.85" hidden="false" customHeight="false" outlineLevel="0" collapsed="false">
      <c r="A541" s="7" t="n">
        <v>537</v>
      </c>
      <c r="B541" s="12" t="s">
        <v>89</v>
      </c>
      <c r="C541" s="10" t="s">
        <v>1851</v>
      </c>
      <c r="D541" s="12" t="s">
        <v>1837</v>
      </c>
      <c r="E541" s="12" t="s">
        <v>854</v>
      </c>
      <c r="F541" s="10" t="s">
        <v>829</v>
      </c>
      <c r="G541" s="12" t="s">
        <v>656</v>
      </c>
      <c r="H541" s="26" t="n">
        <v>705.4703</v>
      </c>
      <c r="I541" s="7" t="n">
        <v>29</v>
      </c>
      <c r="J541" s="7" t="n">
        <v>905</v>
      </c>
      <c r="K541" s="11" t="n">
        <v>28093.38</v>
      </c>
      <c r="L541" s="10" t="s">
        <v>90</v>
      </c>
      <c r="M541" s="26" t="n">
        <v>705.4703</v>
      </c>
      <c r="N541" s="12" t="s">
        <v>657</v>
      </c>
      <c r="O541" s="12" t="s">
        <v>77</v>
      </c>
      <c r="P541" s="10" t="s">
        <v>658</v>
      </c>
      <c r="Q541" s="30" t="s">
        <v>1852</v>
      </c>
      <c r="R541" s="34" t="n">
        <v>1</v>
      </c>
      <c r="S541" s="11" t="n">
        <v>28093.4</v>
      </c>
      <c r="T541" s="10" t="s">
        <v>1841</v>
      </c>
      <c r="U541" s="7" t="n">
        <v>5</v>
      </c>
      <c r="V541" s="12" t="s">
        <v>186</v>
      </c>
      <c r="W541" s="12" t="s">
        <v>79</v>
      </c>
      <c r="X541" s="12" t="s">
        <v>80</v>
      </c>
      <c r="Y541" s="10" t="s">
        <v>81</v>
      </c>
      <c r="Z541" s="7" t="s">
        <v>74</v>
      </c>
      <c r="AA541" s="7" t="n">
        <v>1</v>
      </c>
      <c r="AB541" s="9" t="n">
        <v>0.853227194492255</v>
      </c>
    </row>
    <row r="542" customFormat="false" ht="23.85" hidden="false" customHeight="false" outlineLevel="0" collapsed="false">
      <c r="A542" s="7" t="n">
        <v>538</v>
      </c>
      <c r="B542" s="12" t="s">
        <v>219</v>
      </c>
      <c r="C542" s="10" t="s">
        <v>1853</v>
      </c>
      <c r="D542" s="12" t="s">
        <v>1837</v>
      </c>
      <c r="E542" s="12" t="s">
        <v>1854</v>
      </c>
      <c r="F542" s="10"/>
      <c r="G542" s="12"/>
      <c r="H542" s="26"/>
      <c r="I542" s="7" t="n">
        <v>30</v>
      </c>
      <c r="J542" s="7" t="n">
        <v>5</v>
      </c>
      <c r="K542" s="11" t="n">
        <v>135.07</v>
      </c>
      <c r="L542" s="10" t="s">
        <v>220</v>
      </c>
      <c r="M542" s="26"/>
      <c r="N542" s="12" t="s">
        <v>701</v>
      </c>
      <c r="O542" s="12" t="s">
        <v>323</v>
      </c>
      <c r="P542" s="10" t="s">
        <v>323</v>
      </c>
      <c r="Q542" s="12"/>
      <c r="R542" s="34" t="n">
        <v>1</v>
      </c>
      <c r="S542" s="11" t="n">
        <v>135.1</v>
      </c>
      <c r="T542" s="10" t="s">
        <v>175</v>
      </c>
      <c r="U542" s="7" t="n">
        <v>2</v>
      </c>
      <c r="V542" s="12" t="s">
        <v>175</v>
      </c>
      <c r="W542" s="12" t="s">
        <v>97</v>
      </c>
      <c r="X542" s="12" t="s">
        <v>97</v>
      </c>
      <c r="Y542" s="10"/>
      <c r="Z542" s="7" t="s">
        <v>74</v>
      </c>
      <c r="AA542" s="7" t="n">
        <v>5</v>
      </c>
      <c r="AB542" s="9" t="n">
        <v>0.371959265633965</v>
      </c>
    </row>
    <row r="543" customFormat="false" ht="23.85" hidden="false" customHeight="false" outlineLevel="0" collapsed="false">
      <c r="A543" s="7" t="n">
        <v>539</v>
      </c>
      <c r="B543" s="12" t="s">
        <v>117</v>
      </c>
      <c r="C543" s="10" t="s">
        <v>1855</v>
      </c>
      <c r="D543" s="12" t="s">
        <v>1837</v>
      </c>
      <c r="E543" s="12" t="s">
        <v>1032</v>
      </c>
      <c r="F543" s="10" t="s">
        <v>1033</v>
      </c>
      <c r="G543" s="12" t="s">
        <v>656</v>
      </c>
      <c r="H543" s="26"/>
      <c r="I543" s="7" t="n">
        <v>1</v>
      </c>
      <c r="J543" s="7" t="n">
        <v>346</v>
      </c>
      <c r="K543" s="11" t="n">
        <v>32830.17</v>
      </c>
      <c r="L543" s="10" t="s">
        <v>118</v>
      </c>
      <c r="M543" s="26"/>
      <c r="N543" s="12" t="s">
        <v>701</v>
      </c>
      <c r="O543" s="12" t="s">
        <v>323</v>
      </c>
      <c r="P543" s="10" t="s">
        <v>323</v>
      </c>
      <c r="Q543" s="12"/>
      <c r="R543" s="34" t="n">
        <v>1</v>
      </c>
      <c r="S543" s="11" t="n">
        <v>32830.2</v>
      </c>
      <c r="T543" s="10" t="s">
        <v>1844</v>
      </c>
      <c r="U543" s="7" t="n">
        <v>11</v>
      </c>
      <c r="V543" s="12" t="s">
        <v>216</v>
      </c>
      <c r="W543" s="12" t="s">
        <v>79</v>
      </c>
      <c r="X543" s="12" t="s">
        <v>86</v>
      </c>
      <c r="Y543" s="10"/>
      <c r="Z543" s="7" t="s">
        <v>74</v>
      </c>
      <c r="AA543" s="7" t="n">
        <v>3</v>
      </c>
      <c r="AB543" s="9" t="n">
        <v>0.717412507171543</v>
      </c>
    </row>
    <row r="544" customFormat="false" ht="23.85" hidden="false" customHeight="false" outlineLevel="0" collapsed="false">
      <c r="A544" s="7" t="n">
        <v>540</v>
      </c>
      <c r="B544" s="12" t="s">
        <v>117</v>
      </c>
      <c r="C544" s="10" t="s">
        <v>1855</v>
      </c>
      <c r="D544" s="12" t="s">
        <v>1837</v>
      </c>
      <c r="E544" s="12" t="s">
        <v>1034</v>
      </c>
      <c r="F544" s="10" t="s">
        <v>1035</v>
      </c>
      <c r="G544" s="12" t="s">
        <v>656</v>
      </c>
      <c r="H544" s="26"/>
      <c r="I544" s="7" t="n">
        <v>1</v>
      </c>
      <c r="J544" s="7" t="n">
        <v>346</v>
      </c>
      <c r="K544" s="11" t="n">
        <v>32830.17</v>
      </c>
      <c r="L544" s="10" t="s">
        <v>118</v>
      </c>
      <c r="M544" s="26"/>
      <c r="N544" s="12" t="s">
        <v>701</v>
      </c>
      <c r="O544" s="12" t="s">
        <v>323</v>
      </c>
      <c r="P544" s="10" t="s">
        <v>323</v>
      </c>
      <c r="Q544" s="12"/>
      <c r="R544" s="34" t="n">
        <v>1</v>
      </c>
      <c r="S544" s="11" t="n">
        <v>32830.2</v>
      </c>
      <c r="T544" s="10" t="s">
        <v>1844</v>
      </c>
      <c r="U544" s="7" t="n">
        <v>11</v>
      </c>
      <c r="V544" s="12" t="s">
        <v>216</v>
      </c>
      <c r="W544" s="12" t="s">
        <v>79</v>
      </c>
      <c r="X544" s="12" t="s">
        <v>86</v>
      </c>
      <c r="Y544" s="10"/>
      <c r="Z544" s="7" t="s">
        <v>74</v>
      </c>
      <c r="AA544" s="7" t="n">
        <v>3</v>
      </c>
      <c r="AB544" s="9" t="n">
        <v>0.717412507171543</v>
      </c>
    </row>
    <row r="545" customFormat="false" ht="23.85" hidden="false" customHeight="false" outlineLevel="0" collapsed="false">
      <c r="A545" s="7" t="n">
        <v>541</v>
      </c>
      <c r="B545" s="12" t="s">
        <v>89</v>
      </c>
      <c r="C545" s="10" t="s">
        <v>1856</v>
      </c>
      <c r="D545" s="12" t="s">
        <v>1837</v>
      </c>
      <c r="E545" s="12" t="s">
        <v>981</v>
      </c>
      <c r="F545" s="10" t="s">
        <v>982</v>
      </c>
      <c r="G545" s="12" t="s">
        <v>656</v>
      </c>
      <c r="H545" s="26" t="n">
        <v>14.329</v>
      </c>
      <c r="I545" s="7" t="n">
        <v>1</v>
      </c>
      <c r="J545" s="7" t="n">
        <v>905</v>
      </c>
      <c r="K545" s="11" t="n">
        <v>28093.38</v>
      </c>
      <c r="L545" s="10" t="s">
        <v>90</v>
      </c>
      <c r="M545" s="26" t="n">
        <v>14.329</v>
      </c>
      <c r="N545" s="12" t="s">
        <v>657</v>
      </c>
      <c r="O545" s="12" t="s">
        <v>102</v>
      </c>
      <c r="P545" s="10" t="s">
        <v>658</v>
      </c>
      <c r="Q545" s="30" t="s">
        <v>983</v>
      </c>
      <c r="R545" s="34" t="n">
        <v>1</v>
      </c>
      <c r="S545" s="11" t="n">
        <v>28093.4</v>
      </c>
      <c r="T545" s="10" t="s">
        <v>1841</v>
      </c>
      <c r="U545" s="7" t="n">
        <v>5</v>
      </c>
      <c r="V545" s="12" t="s">
        <v>186</v>
      </c>
      <c r="W545" s="12" t="s">
        <v>79</v>
      </c>
      <c r="X545" s="12" t="s">
        <v>80</v>
      </c>
      <c r="Y545" s="10" t="s">
        <v>81</v>
      </c>
      <c r="Z545" s="7" t="s">
        <v>74</v>
      </c>
      <c r="AA545" s="7" t="n">
        <v>1</v>
      </c>
      <c r="AB545" s="9" t="n">
        <v>0.853227194492255</v>
      </c>
    </row>
    <row r="546" customFormat="false" ht="23.85" hidden="false" customHeight="false" outlineLevel="0" collapsed="false">
      <c r="A546" s="7" t="n">
        <v>542</v>
      </c>
      <c r="B546" s="12" t="s">
        <v>283</v>
      </c>
      <c r="C546" s="10" t="s">
        <v>1857</v>
      </c>
      <c r="D546" s="12" t="s">
        <v>1858</v>
      </c>
      <c r="E546" s="12" t="s">
        <v>1859</v>
      </c>
      <c r="F546" s="10" t="s">
        <v>1860</v>
      </c>
      <c r="G546" s="12" t="s">
        <v>656</v>
      </c>
      <c r="H546" s="26" t="n">
        <v>6.47</v>
      </c>
      <c r="I546" s="7" t="n">
        <v>1</v>
      </c>
      <c r="J546" s="7" t="n">
        <v>598</v>
      </c>
      <c r="K546" s="11" t="n">
        <v>16840.43</v>
      </c>
      <c r="L546" s="10" t="s">
        <v>284</v>
      </c>
      <c r="M546" s="26" t="n">
        <v>6.47</v>
      </c>
      <c r="N546" s="12" t="s">
        <v>657</v>
      </c>
      <c r="O546" s="12" t="s">
        <v>102</v>
      </c>
      <c r="P546" s="10" t="s">
        <v>658</v>
      </c>
      <c r="Q546" s="30" t="s">
        <v>1861</v>
      </c>
      <c r="R546" s="34" t="n">
        <v>0.971428571428571</v>
      </c>
      <c r="S546" s="11" t="n">
        <v>16359.3</v>
      </c>
      <c r="T546" s="10" t="s">
        <v>144</v>
      </c>
      <c r="U546" s="7" t="n">
        <v>1</v>
      </c>
      <c r="V546" s="12" t="s">
        <v>144</v>
      </c>
      <c r="W546" s="12" t="s">
        <v>79</v>
      </c>
      <c r="X546" s="12" t="s">
        <v>86</v>
      </c>
      <c r="Y546" s="10"/>
      <c r="Z546" s="7" t="s">
        <v>74</v>
      </c>
      <c r="AA546" s="7" t="n">
        <v>3</v>
      </c>
      <c r="AB546" s="9" t="n">
        <v>0.413339070567986</v>
      </c>
    </row>
    <row r="547" customFormat="false" ht="23.85" hidden="false" customHeight="false" outlineLevel="0" collapsed="false">
      <c r="A547" s="7" t="n">
        <v>543</v>
      </c>
      <c r="B547" s="12" t="s">
        <v>283</v>
      </c>
      <c r="C547" s="10" t="s">
        <v>1857</v>
      </c>
      <c r="D547" s="12" t="s">
        <v>1858</v>
      </c>
      <c r="E547" s="12" t="s">
        <v>1862</v>
      </c>
      <c r="F547" s="10" t="s">
        <v>1863</v>
      </c>
      <c r="G547" s="12" t="s">
        <v>656</v>
      </c>
      <c r="H547" s="26" t="n">
        <v>6.28</v>
      </c>
      <c r="I547" s="7" t="n">
        <v>1</v>
      </c>
      <c r="J547" s="7" t="n">
        <v>598</v>
      </c>
      <c r="K547" s="11" t="n">
        <v>16840.43</v>
      </c>
      <c r="L547" s="10" t="s">
        <v>284</v>
      </c>
      <c r="M547" s="26" t="n">
        <v>6.28</v>
      </c>
      <c r="N547" s="12" t="s">
        <v>657</v>
      </c>
      <c r="O547" s="12" t="s">
        <v>102</v>
      </c>
      <c r="P547" s="10" t="s">
        <v>658</v>
      </c>
      <c r="Q547" s="30" t="s">
        <v>1861</v>
      </c>
      <c r="R547" s="34" t="n">
        <v>0.971428571428571</v>
      </c>
      <c r="S547" s="11" t="n">
        <v>16359.3</v>
      </c>
      <c r="T547" s="10" t="s">
        <v>144</v>
      </c>
      <c r="U547" s="7" t="n">
        <v>1</v>
      </c>
      <c r="V547" s="12" t="s">
        <v>144</v>
      </c>
      <c r="W547" s="12" t="s">
        <v>79</v>
      </c>
      <c r="X547" s="12" t="s">
        <v>86</v>
      </c>
      <c r="Y547" s="10"/>
      <c r="Z547" s="7" t="s">
        <v>74</v>
      </c>
      <c r="AA547" s="7" t="n">
        <v>3</v>
      </c>
      <c r="AB547" s="9" t="n">
        <v>0.413339070567986</v>
      </c>
    </row>
    <row r="548" customFormat="false" ht="35.05" hidden="false" customHeight="false" outlineLevel="0" collapsed="false">
      <c r="A548" s="7" t="n">
        <v>544</v>
      </c>
      <c r="B548" s="12" t="s">
        <v>162</v>
      </c>
      <c r="C548" s="10" t="s">
        <v>652</v>
      </c>
      <c r="D548" s="12" t="s">
        <v>1858</v>
      </c>
      <c r="E548" s="12" t="s">
        <v>654</v>
      </c>
      <c r="F548" s="10" t="s">
        <v>655</v>
      </c>
      <c r="G548" s="12" t="s">
        <v>656</v>
      </c>
      <c r="H548" s="26" t="n">
        <v>30.01</v>
      </c>
      <c r="I548" s="7" t="n">
        <v>1</v>
      </c>
      <c r="J548" s="7" t="n">
        <v>156</v>
      </c>
      <c r="K548" s="11" t="n">
        <v>3954.83</v>
      </c>
      <c r="L548" s="10" t="s">
        <v>163</v>
      </c>
      <c r="M548" s="26" t="n">
        <v>30.01</v>
      </c>
      <c r="N548" s="12" t="s">
        <v>657</v>
      </c>
      <c r="O548" s="12" t="s">
        <v>102</v>
      </c>
      <c r="P548" s="10" t="s">
        <v>658</v>
      </c>
      <c r="Q548" s="30" t="s">
        <v>659</v>
      </c>
      <c r="R548" s="34" t="n">
        <v>0.916666666666667</v>
      </c>
      <c r="S548" s="11" t="n">
        <v>3625.3</v>
      </c>
      <c r="T548" s="10" t="s">
        <v>144</v>
      </c>
      <c r="U548" s="7" t="n">
        <v>1</v>
      </c>
      <c r="V548" s="12" t="s">
        <v>144</v>
      </c>
      <c r="W548" s="12" t="s">
        <v>79</v>
      </c>
      <c r="X548" s="12" t="s">
        <v>86</v>
      </c>
      <c r="Y548" s="10"/>
      <c r="Z548" s="7" t="s">
        <v>74</v>
      </c>
      <c r="AA548" s="7" t="n">
        <v>2</v>
      </c>
      <c r="AB548" s="9" t="n">
        <v>0.482965194109772</v>
      </c>
    </row>
    <row r="549" customFormat="false" ht="23.85" hidden="false" customHeight="false" outlineLevel="0" collapsed="false">
      <c r="A549" s="7" t="n">
        <v>545</v>
      </c>
      <c r="B549" s="12" t="s">
        <v>285</v>
      </c>
      <c r="C549" s="10" t="s">
        <v>1864</v>
      </c>
      <c r="D549" s="12" t="s">
        <v>1858</v>
      </c>
      <c r="E549" s="12" t="s">
        <v>1865</v>
      </c>
      <c r="F549" s="10" t="s">
        <v>1866</v>
      </c>
      <c r="G549" s="12" t="s">
        <v>656</v>
      </c>
      <c r="H549" s="26"/>
      <c r="I549" s="7" t="n">
        <v>1</v>
      </c>
      <c r="J549" s="7" t="n">
        <v>2</v>
      </c>
      <c r="K549" s="11" t="n">
        <v>117.07</v>
      </c>
      <c r="L549" s="10" t="s">
        <v>286</v>
      </c>
      <c r="M549" s="35" t="n">
        <v>54.62</v>
      </c>
      <c r="N549" s="12" t="s">
        <v>664</v>
      </c>
      <c r="O549" s="12" t="s">
        <v>102</v>
      </c>
      <c r="P549" s="10" t="s">
        <v>1049</v>
      </c>
      <c r="Q549" s="30" t="s">
        <v>1050</v>
      </c>
      <c r="R549" s="34" t="n">
        <v>1</v>
      </c>
      <c r="S549" s="11" t="n">
        <v>117.1</v>
      </c>
      <c r="T549" s="10" t="s">
        <v>144</v>
      </c>
      <c r="U549" s="7" t="n">
        <v>1</v>
      </c>
      <c r="V549" s="12" t="s">
        <v>144</v>
      </c>
      <c r="W549" s="12" t="s">
        <v>79</v>
      </c>
      <c r="X549" s="12" t="s">
        <v>97</v>
      </c>
      <c r="Y549" s="10"/>
      <c r="Z549" s="7" t="s">
        <v>74</v>
      </c>
      <c r="AA549" s="7" t="n">
        <v>4</v>
      </c>
      <c r="AB549" s="9" t="n">
        <v>0.346643717728055</v>
      </c>
    </row>
    <row r="550" customFormat="false" ht="23.85" hidden="false" customHeight="false" outlineLevel="0" collapsed="false">
      <c r="A550" s="7" t="n">
        <v>546</v>
      </c>
      <c r="B550" s="12" t="s">
        <v>287</v>
      </c>
      <c r="C550" s="10" t="s">
        <v>725</v>
      </c>
      <c r="D550" s="12" t="s">
        <v>1858</v>
      </c>
      <c r="E550" s="12" t="s">
        <v>726</v>
      </c>
      <c r="F550" s="10" t="s">
        <v>1867</v>
      </c>
      <c r="G550" s="12" t="s">
        <v>656</v>
      </c>
      <c r="H550" s="26" t="n">
        <v>8.76</v>
      </c>
      <c r="I550" s="7" t="n">
        <v>1</v>
      </c>
      <c r="J550" s="7" t="n">
        <v>4</v>
      </c>
      <c r="K550" s="11" t="n">
        <v>570.1</v>
      </c>
      <c r="L550" s="10" t="s">
        <v>288</v>
      </c>
      <c r="M550" s="26" t="n">
        <v>8.76</v>
      </c>
      <c r="N550" s="12" t="s">
        <v>657</v>
      </c>
      <c r="O550" s="12" t="s">
        <v>102</v>
      </c>
      <c r="P550" s="10" t="s">
        <v>658</v>
      </c>
      <c r="Q550" s="30" t="s">
        <v>728</v>
      </c>
      <c r="R550" s="34" t="n">
        <v>1</v>
      </c>
      <c r="S550" s="11" t="n">
        <v>570.1</v>
      </c>
      <c r="T550" s="10" t="s">
        <v>144</v>
      </c>
      <c r="U550" s="7" t="n">
        <v>1</v>
      </c>
      <c r="V550" s="12" t="s">
        <v>144</v>
      </c>
      <c r="W550" s="12" t="s">
        <v>79</v>
      </c>
      <c r="X550" s="12" t="s">
        <v>80</v>
      </c>
      <c r="Y550" s="10" t="s">
        <v>111</v>
      </c>
      <c r="Z550" s="7" t="s">
        <v>74</v>
      </c>
      <c r="AA550" s="7" t="n">
        <v>5</v>
      </c>
      <c r="AB550" s="9" t="n">
        <v>0.13476286096768</v>
      </c>
    </row>
    <row r="551" customFormat="false" ht="23.85" hidden="false" customHeight="false" outlineLevel="0" collapsed="false">
      <c r="A551" s="7" t="n">
        <v>547</v>
      </c>
      <c r="B551" s="12" t="s">
        <v>287</v>
      </c>
      <c r="C551" s="10" t="s">
        <v>725</v>
      </c>
      <c r="D551" s="12" t="s">
        <v>1858</v>
      </c>
      <c r="E551" s="12" t="s">
        <v>729</v>
      </c>
      <c r="F551" s="10" t="s">
        <v>1868</v>
      </c>
      <c r="G551" s="12" t="s">
        <v>656</v>
      </c>
      <c r="H551" s="26" t="n">
        <v>6.06</v>
      </c>
      <c r="I551" s="7" t="n">
        <v>1</v>
      </c>
      <c r="J551" s="7" t="n">
        <v>4</v>
      </c>
      <c r="K551" s="11" t="n">
        <v>570.1</v>
      </c>
      <c r="L551" s="10" t="s">
        <v>288</v>
      </c>
      <c r="M551" s="26" t="n">
        <v>6.06</v>
      </c>
      <c r="N551" s="12" t="s">
        <v>657</v>
      </c>
      <c r="O551" s="12" t="s">
        <v>102</v>
      </c>
      <c r="P551" s="10" t="s">
        <v>658</v>
      </c>
      <c r="Q551" s="30" t="s">
        <v>728</v>
      </c>
      <c r="R551" s="34" t="n">
        <v>1</v>
      </c>
      <c r="S551" s="11" t="n">
        <v>570.1</v>
      </c>
      <c r="T551" s="10" t="s">
        <v>144</v>
      </c>
      <c r="U551" s="7" t="n">
        <v>1</v>
      </c>
      <c r="V551" s="12" t="s">
        <v>144</v>
      </c>
      <c r="W551" s="12" t="s">
        <v>79</v>
      </c>
      <c r="X551" s="12" t="s">
        <v>80</v>
      </c>
      <c r="Y551" s="10" t="s">
        <v>111</v>
      </c>
      <c r="Z551" s="7" t="s">
        <v>74</v>
      </c>
      <c r="AA551" s="7" t="n">
        <v>5</v>
      </c>
      <c r="AB551" s="9" t="n">
        <v>0.13476286096768</v>
      </c>
    </row>
    <row r="552" customFormat="false" ht="57.45" hidden="false" customHeight="false" outlineLevel="0" collapsed="false">
      <c r="A552" s="7" t="n">
        <v>548</v>
      </c>
      <c r="B552" s="12" t="s">
        <v>148</v>
      </c>
      <c r="C552" s="10" t="s">
        <v>1869</v>
      </c>
      <c r="D552" s="12" t="s">
        <v>1858</v>
      </c>
      <c r="E552" s="12" t="s">
        <v>897</v>
      </c>
      <c r="F552" s="10" t="s">
        <v>898</v>
      </c>
      <c r="G552" s="12" t="s">
        <v>656</v>
      </c>
      <c r="H552" s="26" t="n">
        <v>12.0797</v>
      </c>
      <c r="I552" s="7" t="n">
        <v>29</v>
      </c>
      <c r="J552" s="7" t="n">
        <v>1185</v>
      </c>
      <c r="K552" s="11" t="n">
        <v>59407.06</v>
      </c>
      <c r="L552" s="10" t="s">
        <v>149</v>
      </c>
      <c r="M552" s="26" t="n">
        <v>12.0797</v>
      </c>
      <c r="N552" s="12" t="s">
        <v>657</v>
      </c>
      <c r="O552" s="12" t="s">
        <v>102</v>
      </c>
      <c r="P552" s="10" t="s">
        <v>658</v>
      </c>
      <c r="Q552" s="30" t="s">
        <v>1870</v>
      </c>
      <c r="R552" s="34" t="n">
        <v>0.991808067465962</v>
      </c>
      <c r="S552" s="11" t="n">
        <v>58920.4</v>
      </c>
      <c r="T552" s="10" t="s">
        <v>1871</v>
      </c>
      <c r="U552" s="7" t="n">
        <v>23</v>
      </c>
      <c r="V552" s="12" t="s">
        <v>282</v>
      </c>
      <c r="W552" s="12" t="s">
        <v>79</v>
      </c>
      <c r="X552" s="12" t="s">
        <v>80</v>
      </c>
      <c r="Y552" s="10" t="s">
        <v>111</v>
      </c>
      <c r="Z552" s="7" t="s">
        <v>74</v>
      </c>
      <c r="AA552" s="7" t="n">
        <v>1</v>
      </c>
      <c r="AB552" s="9" t="n">
        <v>0.698532224134634</v>
      </c>
    </row>
    <row r="553" customFormat="false" ht="57.45" hidden="false" customHeight="false" outlineLevel="0" collapsed="false">
      <c r="A553" s="7" t="n">
        <v>549</v>
      </c>
      <c r="B553" s="12" t="s">
        <v>148</v>
      </c>
      <c r="C553" s="10" t="s">
        <v>1869</v>
      </c>
      <c r="D553" s="12" t="s">
        <v>1858</v>
      </c>
      <c r="E553" s="12" t="s">
        <v>1872</v>
      </c>
      <c r="F553" s="10" t="s">
        <v>1873</v>
      </c>
      <c r="G553" s="12" t="s">
        <v>656</v>
      </c>
      <c r="H553" s="26" t="n">
        <v>44.7141</v>
      </c>
      <c r="I553" s="7" t="n">
        <v>30</v>
      </c>
      <c r="J553" s="7" t="n">
        <v>1185</v>
      </c>
      <c r="K553" s="11" t="n">
        <v>59407.06</v>
      </c>
      <c r="L553" s="10" t="s">
        <v>149</v>
      </c>
      <c r="M553" s="26" t="n">
        <v>44.7141</v>
      </c>
      <c r="N553" s="12" t="s">
        <v>657</v>
      </c>
      <c r="O553" s="12" t="s">
        <v>102</v>
      </c>
      <c r="P553" s="10" t="s">
        <v>658</v>
      </c>
      <c r="Q553" s="30" t="s">
        <v>852</v>
      </c>
      <c r="R553" s="34" t="n">
        <v>0.991808067465962</v>
      </c>
      <c r="S553" s="11" t="n">
        <v>58920.4</v>
      </c>
      <c r="T553" s="10" t="s">
        <v>1871</v>
      </c>
      <c r="U553" s="7" t="n">
        <v>23</v>
      </c>
      <c r="V553" s="12" t="s">
        <v>282</v>
      </c>
      <c r="W553" s="12" t="s">
        <v>79</v>
      </c>
      <c r="X553" s="12" t="s">
        <v>80</v>
      </c>
      <c r="Y553" s="10" t="s">
        <v>111</v>
      </c>
      <c r="Z553" s="7" t="s">
        <v>74</v>
      </c>
      <c r="AA553" s="7" t="n">
        <v>1</v>
      </c>
      <c r="AB553" s="9" t="n">
        <v>0.698532224134634</v>
      </c>
    </row>
    <row r="554" customFormat="false" ht="57.45" hidden="false" customHeight="false" outlineLevel="0" collapsed="false">
      <c r="A554" s="7" t="n">
        <v>550</v>
      </c>
      <c r="B554" s="12" t="s">
        <v>148</v>
      </c>
      <c r="C554" s="10" t="s">
        <v>1869</v>
      </c>
      <c r="D554" s="12" t="s">
        <v>1858</v>
      </c>
      <c r="E554" s="12" t="s">
        <v>897</v>
      </c>
      <c r="F554" s="10" t="s">
        <v>898</v>
      </c>
      <c r="G554" s="12" t="s">
        <v>656</v>
      </c>
      <c r="H554" s="26" t="n">
        <v>15.5149</v>
      </c>
      <c r="I554" s="7" t="n">
        <v>30</v>
      </c>
      <c r="J554" s="7" t="n">
        <v>1185</v>
      </c>
      <c r="K554" s="11" t="n">
        <v>59407.06</v>
      </c>
      <c r="L554" s="10" t="s">
        <v>149</v>
      </c>
      <c r="M554" s="26" t="n">
        <v>15.5149</v>
      </c>
      <c r="N554" s="12" t="s">
        <v>657</v>
      </c>
      <c r="O554" s="12" t="s">
        <v>102</v>
      </c>
      <c r="P554" s="10" t="s">
        <v>658</v>
      </c>
      <c r="Q554" s="30" t="s">
        <v>1870</v>
      </c>
      <c r="R554" s="34" t="n">
        <v>0.991808067465962</v>
      </c>
      <c r="S554" s="11" t="n">
        <v>58920.4</v>
      </c>
      <c r="T554" s="10" t="s">
        <v>1871</v>
      </c>
      <c r="U554" s="7" t="n">
        <v>23</v>
      </c>
      <c r="V554" s="12" t="s">
        <v>282</v>
      </c>
      <c r="W554" s="12" t="s">
        <v>79</v>
      </c>
      <c r="X554" s="12" t="s">
        <v>80</v>
      </c>
      <c r="Y554" s="10" t="s">
        <v>111</v>
      </c>
      <c r="Z554" s="7" t="s">
        <v>74</v>
      </c>
      <c r="AA554" s="7" t="n">
        <v>1</v>
      </c>
      <c r="AB554" s="9" t="n">
        <v>0.698532224134634</v>
      </c>
    </row>
    <row r="555" customFormat="false" ht="23.85" hidden="false" customHeight="false" outlineLevel="0" collapsed="false">
      <c r="A555" s="7" t="n">
        <v>551</v>
      </c>
      <c r="B555" s="12" t="s">
        <v>245</v>
      </c>
      <c r="C555" s="10" t="s">
        <v>1874</v>
      </c>
      <c r="D555" s="12" t="s">
        <v>1875</v>
      </c>
      <c r="E555" s="12" t="s">
        <v>1422</v>
      </c>
      <c r="F555" s="10" t="s">
        <v>1876</v>
      </c>
      <c r="G555" s="12" t="s">
        <v>656</v>
      </c>
      <c r="H555" s="26" t="n">
        <v>6.66</v>
      </c>
      <c r="I555" s="7" t="n">
        <v>1</v>
      </c>
      <c r="J555" s="7" t="n">
        <v>117</v>
      </c>
      <c r="K555" s="11" t="n">
        <v>2508.09</v>
      </c>
      <c r="L555" s="10" t="s">
        <v>246</v>
      </c>
      <c r="M555" s="26" t="n">
        <v>6.66</v>
      </c>
      <c r="N555" s="12" t="s">
        <v>657</v>
      </c>
      <c r="O555" s="12" t="s">
        <v>102</v>
      </c>
      <c r="P555" s="10" t="s">
        <v>658</v>
      </c>
      <c r="Q555" s="30" t="s">
        <v>1877</v>
      </c>
      <c r="R555" s="34" t="n">
        <v>1</v>
      </c>
      <c r="S555" s="11" t="n">
        <v>2508.1</v>
      </c>
      <c r="T555" s="10" t="s">
        <v>144</v>
      </c>
      <c r="U555" s="7" t="n">
        <v>1</v>
      </c>
      <c r="V555" s="12" t="s">
        <v>144</v>
      </c>
      <c r="W555" s="12" t="s">
        <v>79</v>
      </c>
      <c r="X555" s="12" t="s">
        <v>86</v>
      </c>
      <c r="Y555" s="10"/>
      <c r="Z555" s="7" t="s">
        <v>74</v>
      </c>
      <c r="AA555" s="7" t="n">
        <v>4</v>
      </c>
      <c r="AB555" s="9" t="n">
        <v>0.369324918722509</v>
      </c>
    </row>
    <row r="556" customFormat="false" ht="23.85" hidden="false" customHeight="false" outlineLevel="0" collapsed="false">
      <c r="A556" s="7" t="n">
        <v>552</v>
      </c>
      <c r="B556" s="12" t="s">
        <v>245</v>
      </c>
      <c r="C556" s="10" t="s">
        <v>1874</v>
      </c>
      <c r="D556" s="12" t="s">
        <v>1875</v>
      </c>
      <c r="E556" s="12" t="s">
        <v>1878</v>
      </c>
      <c r="F556" s="10" t="s">
        <v>707</v>
      </c>
      <c r="G556" s="12" t="s">
        <v>656</v>
      </c>
      <c r="H556" s="26" t="n">
        <v>38.11</v>
      </c>
      <c r="I556" s="7" t="n">
        <v>1</v>
      </c>
      <c r="J556" s="7" t="n">
        <v>117</v>
      </c>
      <c r="K556" s="11" t="n">
        <v>2508.09</v>
      </c>
      <c r="L556" s="10" t="s">
        <v>246</v>
      </c>
      <c r="M556" s="26" t="n">
        <v>38.11</v>
      </c>
      <c r="N556" s="12" t="s">
        <v>657</v>
      </c>
      <c r="O556" s="12" t="s">
        <v>102</v>
      </c>
      <c r="P556" s="10" t="s">
        <v>658</v>
      </c>
      <c r="Q556" s="30" t="s">
        <v>1877</v>
      </c>
      <c r="R556" s="34" t="n">
        <v>1</v>
      </c>
      <c r="S556" s="11" t="n">
        <v>2508.1</v>
      </c>
      <c r="T556" s="10" t="s">
        <v>144</v>
      </c>
      <c r="U556" s="7" t="n">
        <v>1</v>
      </c>
      <c r="V556" s="12" t="s">
        <v>144</v>
      </c>
      <c r="W556" s="12" t="s">
        <v>79</v>
      </c>
      <c r="X556" s="12" t="s">
        <v>671</v>
      </c>
      <c r="Y556" s="10"/>
      <c r="Z556" s="7" t="s">
        <v>74</v>
      </c>
      <c r="AA556" s="7" t="n">
        <v>4</v>
      </c>
      <c r="AB556" s="9" t="n">
        <v>0.369324918722509</v>
      </c>
    </row>
    <row r="557" customFormat="false" ht="23.85" hidden="false" customHeight="false" outlineLevel="0" collapsed="false">
      <c r="A557" s="7" t="n">
        <v>553</v>
      </c>
      <c r="B557" s="12" t="s">
        <v>271</v>
      </c>
      <c r="C557" s="10" t="s">
        <v>1879</v>
      </c>
      <c r="D557" s="12" t="s">
        <v>1875</v>
      </c>
      <c r="E557" s="12" t="s">
        <v>1880</v>
      </c>
      <c r="F557" s="10" t="s">
        <v>1881</v>
      </c>
      <c r="G557" s="12" t="s">
        <v>663</v>
      </c>
      <c r="H557" s="26"/>
      <c r="I557" s="7" t="n">
        <v>1</v>
      </c>
      <c r="J557" s="7" t="n">
        <v>858</v>
      </c>
      <c r="K557" s="11" t="n">
        <v>13738.53</v>
      </c>
      <c r="L557" s="10" t="s">
        <v>272</v>
      </c>
      <c r="M557" s="35" t="n">
        <v>59.3</v>
      </c>
      <c r="N557" s="12" t="s">
        <v>664</v>
      </c>
      <c r="O557" s="12" t="s">
        <v>77</v>
      </c>
      <c r="P557" s="10" t="s">
        <v>1049</v>
      </c>
      <c r="Q557" s="30" t="s">
        <v>1050</v>
      </c>
      <c r="R557" s="34" t="n">
        <v>0.372538609534506</v>
      </c>
      <c r="S557" s="11" t="n">
        <v>5118.1</v>
      </c>
      <c r="T557" s="10" t="s">
        <v>1882</v>
      </c>
      <c r="U557" s="7" t="n">
        <v>9</v>
      </c>
      <c r="V557" s="12" t="s">
        <v>116</v>
      </c>
      <c r="W557" s="12" t="s">
        <v>85</v>
      </c>
      <c r="X557" s="12" t="s">
        <v>86</v>
      </c>
      <c r="Y557" s="10" t="s">
        <v>87</v>
      </c>
      <c r="Z557" s="7" t="s">
        <v>74</v>
      </c>
      <c r="AA557" s="7" t="n">
        <v>2</v>
      </c>
      <c r="AB557" s="9" t="n">
        <v>0.612110346146491</v>
      </c>
    </row>
    <row r="558" customFormat="false" ht="79.85" hidden="false" customHeight="false" outlineLevel="0" collapsed="false">
      <c r="A558" s="7" t="n">
        <v>554</v>
      </c>
      <c r="B558" s="12" t="s">
        <v>117</v>
      </c>
      <c r="C558" s="10" t="s">
        <v>117</v>
      </c>
      <c r="D558" s="12" t="s">
        <v>1875</v>
      </c>
      <c r="E558" s="12" t="s">
        <v>934</v>
      </c>
      <c r="F558" s="10" t="s">
        <v>1080</v>
      </c>
      <c r="G558" s="12" t="s">
        <v>656</v>
      </c>
      <c r="H558" s="26" t="n">
        <v>67.02</v>
      </c>
      <c r="I558" s="7" t="n">
        <v>1</v>
      </c>
      <c r="J558" s="7" t="n">
        <v>346</v>
      </c>
      <c r="K558" s="11" t="n">
        <v>32830.17</v>
      </c>
      <c r="L558" s="10" t="s">
        <v>118</v>
      </c>
      <c r="M558" s="26" t="n">
        <v>67.02</v>
      </c>
      <c r="N558" s="12" t="s">
        <v>657</v>
      </c>
      <c r="O558" s="12" t="s">
        <v>102</v>
      </c>
      <c r="P558" s="10" t="s">
        <v>658</v>
      </c>
      <c r="Q558" s="30" t="s">
        <v>1329</v>
      </c>
      <c r="R558" s="34" t="n">
        <v>1</v>
      </c>
      <c r="S558" s="11" t="n">
        <v>32830.2</v>
      </c>
      <c r="T558" s="10" t="s">
        <v>1492</v>
      </c>
      <c r="U558" s="7" t="n">
        <v>32</v>
      </c>
      <c r="V558" s="12" t="s">
        <v>91</v>
      </c>
      <c r="W558" s="12" t="s">
        <v>79</v>
      </c>
      <c r="X558" s="12" t="s">
        <v>86</v>
      </c>
      <c r="Y558" s="10"/>
      <c r="Z558" s="7" t="s">
        <v>74</v>
      </c>
      <c r="AA558" s="7" t="n">
        <v>1</v>
      </c>
      <c r="AB558" s="9" t="n">
        <v>0.772968062727099</v>
      </c>
    </row>
    <row r="559" customFormat="false" ht="46.25" hidden="false" customHeight="false" outlineLevel="0" collapsed="false">
      <c r="A559" s="7" t="n">
        <v>555</v>
      </c>
      <c r="B559" s="12" t="s">
        <v>273</v>
      </c>
      <c r="C559" s="10" t="s">
        <v>1883</v>
      </c>
      <c r="D559" s="12" t="s">
        <v>1875</v>
      </c>
      <c r="E559" s="12"/>
      <c r="F559" s="10" t="s">
        <v>1884</v>
      </c>
      <c r="G559" s="12" t="s">
        <v>656</v>
      </c>
      <c r="H559" s="26" t="n">
        <v>634</v>
      </c>
      <c r="I559" s="7" t="n">
        <v>1</v>
      </c>
      <c r="J559" s="7" t="n">
        <v>1</v>
      </c>
      <c r="K559" s="11" t="n">
        <v>15.02</v>
      </c>
      <c r="L559" s="10" t="s">
        <v>274</v>
      </c>
      <c r="M559" s="26" t="n">
        <v>634</v>
      </c>
      <c r="N559" s="12" t="s">
        <v>657</v>
      </c>
      <c r="O559" s="12" t="s">
        <v>77</v>
      </c>
      <c r="P559" s="10" t="s">
        <v>1069</v>
      </c>
      <c r="Q559" s="30" t="s">
        <v>1885</v>
      </c>
      <c r="R559" s="34" t="n">
        <v>0.952380952380952</v>
      </c>
      <c r="S559" s="11" t="n">
        <v>14.3</v>
      </c>
      <c r="T559" s="10" t="s">
        <v>1886</v>
      </c>
      <c r="U559" s="7" t="n">
        <v>19</v>
      </c>
      <c r="V559" s="12" t="s">
        <v>91</v>
      </c>
      <c r="W559" s="12" t="s">
        <v>172</v>
      </c>
      <c r="X559" s="12" t="s">
        <v>86</v>
      </c>
      <c r="Y559" s="10"/>
      <c r="Z559" s="7" t="s">
        <v>74</v>
      </c>
      <c r="AA559" s="7" t="n">
        <v>3</v>
      </c>
      <c r="AB559" s="9" t="n">
        <v>0.420553643144005</v>
      </c>
    </row>
    <row r="560" customFormat="false" ht="23.85" hidden="false" customHeight="false" outlineLevel="0" collapsed="false">
      <c r="A560" s="7" t="n">
        <v>556</v>
      </c>
      <c r="B560" s="12" t="s">
        <v>271</v>
      </c>
      <c r="C560" s="10" t="s">
        <v>1879</v>
      </c>
      <c r="D560" s="12" t="s">
        <v>1875</v>
      </c>
      <c r="E560" s="12" t="s">
        <v>846</v>
      </c>
      <c r="F560" s="10" t="s">
        <v>1536</v>
      </c>
      <c r="G560" s="12" t="s">
        <v>663</v>
      </c>
      <c r="H560" s="26"/>
      <c r="I560" s="7" t="n">
        <v>1</v>
      </c>
      <c r="J560" s="7" t="n">
        <v>858</v>
      </c>
      <c r="K560" s="11" t="n">
        <v>13738.53</v>
      </c>
      <c r="L560" s="10" t="s">
        <v>272</v>
      </c>
      <c r="M560" s="26"/>
      <c r="N560" s="12" t="s">
        <v>701</v>
      </c>
      <c r="O560" s="12" t="s">
        <v>323</v>
      </c>
      <c r="P560" s="10" t="s">
        <v>323</v>
      </c>
      <c r="Q560" s="12"/>
      <c r="R560" s="34" t="n">
        <v>0.372538609534506</v>
      </c>
      <c r="S560" s="11" t="n">
        <v>5118.1</v>
      </c>
      <c r="T560" s="10" t="s">
        <v>1882</v>
      </c>
      <c r="U560" s="7" t="n">
        <v>9</v>
      </c>
      <c r="V560" s="12" t="s">
        <v>116</v>
      </c>
      <c r="W560" s="12" t="s">
        <v>85</v>
      </c>
      <c r="X560" s="12" t="s">
        <v>97</v>
      </c>
      <c r="Y560" s="10" t="s">
        <v>87</v>
      </c>
      <c r="Z560" s="7" t="s">
        <v>74</v>
      </c>
      <c r="AA560" s="7" t="n">
        <v>2</v>
      </c>
      <c r="AB560" s="9" t="n">
        <v>0.612110346146491</v>
      </c>
    </row>
    <row r="561" customFormat="false" ht="46.25" hidden="false" customHeight="false" outlineLevel="0" collapsed="false">
      <c r="A561" s="7" t="n">
        <v>557</v>
      </c>
      <c r="B561" s="12" t="s">
        <v>273</v>
      </c>
      <c r="C561" s="10" t="s">
        <v>1887</v>
      </c>
      <c r="D561" s="12" t="s">
        <v>1875</v>
      </c>
      <c r="E561" s="12" t="s">
        <v>1888</v>
      </c>
      <c r="F561" s="10" t="s">
        <v>1889</v>
      </c>
      <c r="G561" s="12" t="s">
        <v>656</v>
      </c>
      <c r="H561" s="26" t="n">
        <v>7.2659</v>
      </c>
      <c r="I561" s="7" t="n">
        <v>13</v>
      </c>
      <c r="J561" s="7" t="n">
        <v>1</v>
      </c>
      <c r="K561" s="11" t="n">
        <v>15.02</v>
      </c>
      <c r="L561" s="10" t="s">
        <v>274</v>
      </c>
      <c r="M561" s="26" t="n">
        <v>7.2659</v>
      </c>
      <c r="N561" s="12" t="s">
        <v>657</v>
      </c>
      <c r="O561" s="12" t="s">
        <v>77</v>
      </c>
      <c r="P561" s="10" t="s">
        <v>658</v>
      </c>
      <c r="Q561" s="30" t="s">
        <v>1890</v>
      </c>
      <c r="R561" s="34" t="n">
        <v>0.952380952380952</v>
      </c>
      <c r="S561" s="11" t="n">
        <v>14.3</v>
      </c>
      <c r="T561" s="10" t="s">
        <v>1886</v>
      </c>
      <c r="U561" s="7" t="n">
        <v>19</v>
      </c>
      <c r="V561" s="12" t="s">
        <v>91</v>
      </c>
      <c r="W561" s="12" t="s">
        <v>172</v>
      </c>
      <c r="X561" s="12" t="s">
        <v>86</v>
      </c>
      <c r="Y561" s="10"/>
      <c r="Z561" s="7" t="s">
        <v>74</v>
      </c>
      <c r="AA561" s="7" t="n">
        <v>3</v>
      </c>
      <c r="AB561" s="9" t="n">
        <v>0.420553643144005</v>
      </c>
    </row>
    <row r="562" customFormat="false" ht="35.05" hidden="false" customHeight="false" outlineLevel="0" collapsed="false">
      <c r="A562" s="7" t="n">
        <v>558</v>
      </c>
      <c r="B562" s="12" t="s">
        <v>280</v>
      </c>
      <c r="C562" s="10" t="s">
        <v>1891</v>
      </c>
      <c r="D562" s="12" t="s">
        <v>1875</v>
      </c>
      <c r="E562" s="12" t="s">
        <v>1892</v>
      </c>
      <c r="F562" s="10" t="s">
        <v>1889</v>
      </c>
      <c r="G562" s="12" t="s">
        <v>656</v>
      </c>
      <c r="H562" s="26" t="n">
        <v>6.0342</v>
      </c>
      <c r="I562" s="7" t="n">
        <v>15</v>
      </c>
      <c r="J562" s="7" t="n">
        <v>69</v>
      </c>
      <c r="K562" s="11" t="n">
        <v>1781.11</v>
      </c>
      <c r="L562" s="10" t="s">
        <v>281</v>
      </c>
      <c r="M562" s="26" t="n">
        <v>6.0342</v>
      </c>
      <c r="N562" s="12" t="s">
        <v>657</v>
      </c>
      <c r="O562" s="12" t="s">
        <v>77</v>
      </c>
      <c r="P562" s="10" t="s">
        <v>658</v>
      </c>
      <c r="Q562" s="30" t="s">
        <v>1893</v>
      </c>
      <c r="R562" s="34" t="n">
        <v>1</v>
      </c>
      <c r="S562" s="11" t="n">
        <v>1781.1</v>
      </c>
      <c r="T562" s="10" t="s">
        <v>1894</v>
      </c>
      <c r="U562" s="7" t="n">
        <v>12</v>
      </c>
      <c r="V562" s="12" t="s">
        <v>279</v>
      </c>
      <c r="W562" s="12" t="s">
        <v>172</v>
      </c>
      <c r="X562" s="12" t="s">
        <v>86</v>
      </c>
      <c r="Y562" s="10"/>
      <c r="Z562" s="7" t="s">
        <v>106</v>
      </c>
      <c r="AA562" s="7" t="n">
        <v>7</v>
      </c>
      <c r="AB562" s="9" t="n">
        <v>0.206521323388793</v>
      </c>
    </row>
    <row r="563" customFormat="false" ht="23.85" hidden="false" customHeight="false" outlineLevel="0" collapsed="false">
      <c r="A563" s="7" t="n">
        <v>559</v>
      </c>
      <c r="B563" s="12" t="s">
        <v>275</v>
      </c>
      <c r="C563" s="10" t="s">
        <v>1895</v>
      </c>
      <c r="D563" s="12" t="s">
        <v>1875</v>
      </c>
      <c r="E563" s="12" t="s">
        <v>912</v>
      </c>
      <c r="F563" s="10"/>
      <c r="G563" s="12"/>
      <c r="H563" s="26"/>
      <c r="I563" s="7" t="n">
        <v>22</v>
      </c>
      <c r="J563" s="7" t="n">
        <v>2</v>
      </c>
      <c r="K563" s="11" t="n">
        <v>71.73</v>
      </c>
      <c r="L563" s="10" t="s">
        <v>276</v>
      </c>
      <c r="M563" s="35" t="n">
        <v>42.21</v>
      </c>
      <c r="N563" s="12" t="s">
        <v>664</v>
      </c>
      <c r="O563" s="12" t="s">
        <v>153</v>
      </c>
      <c r="P563" s="10" t="s">
        <v>1049</v>
      </c>
      <c r="Q563" s="30" t="s">
        <v>1050</v>
      </c>
      <c r="R563" s="34" t="n">
        <v>0.996078431372549</v>
      </c>
      <c r="S563" s="11" t="n">
        <v>71.4</v>
      </c>
      <c r="T563" s="10" t="s">
        <v>864</v>
      </c>
      <c r="U563" s="7" t="n">
        <v>1</v>
      </c>
      <c r="V563" s="12" t="s">
        <v>226</v>
      </c>
      <c r="W563" s="12" t="s">
        <v>97</v>
      </c>
      <c r="X563" s="12" t="s">
        <v>97</v>
      </c>
      <c r="Y563" s="10"/>
      <c r="Z563" s="7" t="s">
        <v>74</v>
      </c>
      <c r="AA563" s="7" t="n">
        <v>5</v>
      </c>
      <c r="AB563" s="9" t="n">
        <v>0.318478676611207</v>
      </c>
    </row>
    <row r="564" customFormat="false" ht="79.85" hidden="false" customHeight="false" outlineLevel="0" collapsed="false">
      <c r="A564" s="7" t="n">
        <v>560</v>
      </c>
      <c r="B564" s="12" t="s">
        <v>117</v>
      </c>
      <c r="C564" s="10" t="s">
        <v>1896</v>
      </c>
      <c r="D564" s="12" t="s">
        <v>1875</v>
      </c>
      <c r="E564" s="12" t="s">
        <v>1183</v>
      </c>
      <c r="F564" s="10" t="s">
        <v>1080</v>
      </c>
      <c r="G564" s="12" t="s">
        <v>656</v>
      </c>
      <c r="H564" s="26" t="n">
        <v>92.0498</v>
      </c>
      <c r="I564" s="7" t="n">
        <v>31</v>
      </c>
      <c r="J564" s="7" t="n">
        <v>346</v>
      </c>
      <c r="K564" s="11" t="n">
        <v>32830.17</v>
      </c>
      <c r="L564" s="10" t="s">
        <v>118</v>
      </c>
      <c r="M564" s="26" t="n">
        <v>92.0498</v>
      </c>
      <c r="N564" s="12" t="s">
        <v>657</v>
      </c>
      <c r="O564" s="12" t="s">
        <v>102</v>
      </c>
      <c r="P564" s="10" t="s">
        <v>658</v>
      </c>
      <c r="Q564" s="30" t="s">
        <v>852</v>
      </c>
      <c r="R564" s="34" t="n">
        <v>1</v>
      </c>
      <c r="S564" s="11" t="n">
        <v>32830.2</v>
      </c>
      <c r="T564" s="10" t="s">
        <v>1492</v>
      </c>
      <c r="U564" s="7" t="n">
        <v>32</v>
      </c>
      <c r="V564" s="12" t="s">
        <v>91</v>
      </c>
      <c r="W564" s="12" t="s">
        <v>79</v>
      </c>
      <c r="X564" s="12" t="s">
        <v>86</v>
      </c>
      <c r="Y564" s="10"/>
      <c r="Z564" s="7" t="s">
        <v>74</v>
      </c>
      <c r="AA564" s="7" t="n">
        <v>1</v>
      </c>
      <c r="AB564" s="9" t="n">
        <v>0.772968062727099</v>
      </c>
    </row>
    <row r="565" customFormat="false" ht="46.25" hidden="false" customHeight="false" outlineLevel="0" collapsed="false">
      <c r="A565" s="7" t="n">
        <v>561</v>
      </c>
      <c r="B565" s="12" t="s">
        <v>273</v>
      </c>
      <c r="C565" s="10" t="s">
        <v>1883</v>
      </c>
      <c r="D565" s="12" t="s">
        <v>1875</v>
      </c>
      <c r="E565" s="12" t="s">
        <v>1200</v>
      </c>
      <c r="F565" s="10" t="s">
        <v>1691</v>
      </c>
      <c r="G565" s="12" t="s">
        <v>656</v>
      </c>
      <c r="H565" s="26" t="n">
        <v>5.579</v>
      </c>
      <c r="I565" s="7" t="n">
        <v>1</v>
      </c>
      <c r="J565" s="7" t="n">
        <v>1</v>
      </c>
      <c r="K565" s="11" t="n">
        <v>15.02</v>
      </c>
      <c r="L565" s="10" t="s">
        <v>274</v>
      </c>
      <c r="M565" s="26" t="n">
        <v>5.579</v>
      </c>
      <c r="N565" s="12" t="s">
        <v>657</v>
      </c>
      <c r="O565" s="12" t="s">
        <v>77</v>
      </c>
      <c r="P565" s="10" t="s">
        <v>658</v>
      </c>
      <c r="Q565" s="30" t="s">
        <v>1788</v>
      </c>
      <c r="R565" s="34" t="n">
        <v>0.952380952380952</v>
      </c>
      <c r="S565" s="11" t="n">
        <v>14.3</v>
      </c>
      <c r="T565" s="10" t="s">
        <v>1886</v>
      </c>
      <c r="U565" s="7" t="n">
        <v>19</v>
      </c>
      <c r="V565" s="12" t="s">
        <v>91</v>
      </c>
      <c r="W565" s="12" t="s">
        <v>172</v>
      </c>
      <c r="X565" s="12" t="s">
        <v>86</v>
      </c>
      <c r="Y565" s="10"/>
      <c r="Z565" s="7" t="s">
        <v>74</v>
      </c>
      <c r="AA565" s="7" t="n">
        <v>3</v>
      </c>
      <c r="AB565" s="9" t="n">
        <v>0.420553643144005</v>
      </c>
    </row>
    <row r="566" customFormat="false" ht="35.05" hidden="false" customHeight="false" outlineLevel="0" collapsed="false">
      <c r="A566" s="7" t="n">
        <v>562</v>
      </c>
      <c r="B566" s="12" t="s">
        <v>280</v>
      </c>
      <c r="C566" s="10" t="s">
        <v>1891</v>
      </c>
      <c r="D566" s="12" t="s">
        <v>1875</v>
      </c>
      <c r="E566" s="12" t="s">
        <v>1741</v>
      </c>
      <c r="F566" s="10" t="s">
        <v>1889</v>
      </c>
      <c r="G566" s="12" t="s">
        <v>656</v>
      </c>
      <c r="H566" s="26" t="n">
        <v>11.39</v>
      </c>
      <c r="I566" s="7" t="n">
        <v>1</v>
      </c>
      <c r="J566" s="7" t="n">
        <v>69</v>
      </c>
      <c r="K566" s="11" t="n">
        <v>1781.11</v>
      </c>
      <c r="L566" s="10" t="s">
        <v>281</v>
      </c>
      <c r="M566" s="26" t="n">
        <v>11.39</v>
      </c>
      <c r="N566" s="12" t="s">
        <v>657</v>
      </c>
      <c r="O566" s="12" t="s">
        <v>77</v>
      </c>
      <c r="P566" s="10" t="s">
        <v>658</v>
      </c>
      <c r="Q566" s="30" t="s">
        <v>991</v>
      </c>
      <c r="R566" s="34" t="n">
        <v>1</v>
      </c>
      <c r="S566" s="11" t="n">
        <v>1781.1</v>
      </c>
      <c r="T566" s="10" t="s">
        <v>1894</v>
      </c>
      <c r="U566" s="7" t="n">
        <v>12</v>
      </c>
      <c r="V566" s="12" t="s">
        <v>279</v>
      </c>
      <c r="W566" s="12" t="s">
        <v>172</v>
      </c>
      <c r="X566" s="12" t="s">
        <v>86</v>
      </c>
      <c r="Y566" s="10"/>
      <c r="Z566" s="7" t="s">
        <v>106</v>
      </c>
      <c r="AA566" s="7" t="n">
        <v>7</v>
      </c>
      <c r="AB566" s="9" t="n">
        <v>0.206521323388793</v>
      </c>
    </row>
    <row r="567" customFormat="false" ht="46.25" hidden="false" customHeight="false" outlineLevel="0" collapsed="false">
      <c r="A567" s="7" t="n">
        <v>563</v>
      </c>
      <c r="B567" s="12" t="s">
        <v>273</v>
      </c>
      <c r="C567" s="10" t="s">
        <v>1883</v>
      </c>
      <c r="D567" s="12" t="s">
        <v>1875</v>
      </c>
      <c r="E567" s="12" t="s">
        <v>1897</v>
      </c>
      <c r="F567" s="10" t="s">
        <v>1282</v>
      </c>
      <c r="G567" s="12" t="s">
        <v>656</v>
      </c>
      <c r="H567" s="26" t="n">
        <v>7.18</v>
      </c>
      <c r="I567" s="7" t="n">
        <v>1</v>
      </c>
      <c r="J567" s="7" t="n">
        <v>1</v>
      </c>
      <c r="K567" s="11" t="n">
        <v>15.02</v>
      </c>
      <c r="L567" s="10" t="s">
        <v>274</v>
      </c>
      <c r="M567" s="26" t="n">
        <v>7.18</v>
      </c>
      <c r="N567" s="12" t="s">
        <v>657</v>
      </c>
      <c r="O567" s="12" t="s">
        <v>77</v>
      </c>
      <c r="P567" s="10" t="s">
        <v>1069</v>
      </c>
      <c r="Q567" s="30" t="s">
        <v>1885</v>
      </c>
      <c r="R567" s="34" t="n">
        <v>0.952380952380952</v>
      </c>
      <c r="S567" s="11" t="n">
        <v>14.3</v>
      </c>
      <c r="T567" s="10" t="s">
        <v>1886</v>
      </c>
      <c r="U567" s="7" t="n">
        <v>19</v>
      </c>
      <c r="V567" s="12" t="s">
        <v>91</v>
      </c>
      <c r="W567" s="12" t="s">
        <v>172</v>
      </c>
      <c r="X567" s="12" t="s">
        <v>86</v>
      </c>
      <c r="Y567" s="10"/>
      <c r="Z567" s="7" t="s">
        <v>74</v>
      </c>
      <c r="AA567" s="7" t="n">
        <v>3</v>
      </c>
      <c r="AB567" s="9" t="n">
        <v>0.420553643144005</v>
      </c>
    </row>
    <row r="568" customFormat="false" ht="46.25" hidden="false" customHeight="false" outlineLevel="0" collapsed="false">
      <c r="A568" s="7" t="n">
        <v>564</v>
      </c>
      <c r="B568" s="12" t="s">
        <v>277</v>
      </c>
      <c r="C568" s="10" t="s">
        <v>1898</v>
      </c>
      <c r="D568" s="12" t="s">
        <v>1875</v>
      </c>
      <c r="E568" s="12" t="s">
        <v>1899</v>
      </c>
      <c r="F568" s="10" t="s">
        <v>1282</v>
      </c>
      <c r="G568" s="12" t="s">
        <v>656</v>
      </c>
      <c r="H568" s="26" t="n">
        <v>5.27</v>
      </c>
      <c r="I568" s="7" t="n">
        <v>1</v>
      </c>
      <c r="J568" s="7" t="n">
        <v>58</v>
      </c>
      <c r="K568" s="11" t="n">
        <v>1115.28</v>
      </c>
      <c r="L568" s="10" t="s">
        <v>278</v>
      </c>
      <c r="M568" s="26" t="n">
        <v>5.27</v>
      </c>
      <c r="N568" s="12" t="s">
        <v>657</v>
      </c>
      <c r="O568" s="12" t="s">
        <v>77</v>
      </c>
      <c r="P568" s="10" t="s">
        <v>1069</v>
      </c>
      <c r="Q568" s="30" t="s">
        <v>1900</v>
      </c>
      <c r="R568" s="34" t="n">
        <v>0.257790111422073</v>
      </c>
      <c r="S568" s="11" t="n">
        <v>287.5</v>
      </c>
      <c r="T568" s="10" t="s">
        <v>1901</v>
      </c>
      <c r="U568" s="7" t="n">
        <v>18</v>
      </c>
      <c r="V568" s="12" t="s">
        <v>279</v>
      </c>
      <c r="W568" s="12" t="s">
        <v>172</v>
      </c>
      <c r="X568" s="12" t="s">
        <v>86</v>
      </c>
      <c r="Y568" s="10"/>
      <c r="Z568" s="7" t="s">
        <v>106</v>
      </c>
      <c r="AA568" s="7" t="n">
        <v>6</v>
      </c>
      <c r="AB568" s="9" t="n">
        <v>0.212253777012813</v>
      </c>
    </row>
    <row r="569" customFormat="false" ht="46.25" hidden="false" customHeight="false" outlineLevel="0" collapsed="false">
      <c r="A569" s="7" t="n">
        <v>565</v>
      </c>
      <c r="B569" s="12" t="s">
        <v>277</v>
      </c>
      <c r="C569" s="10" t="s">
        <v>1898</v>
      </c>
      <c r="D569" s="12" t="s">
        <v>1875</v>
      </c>
      <c r="E569" s="12" t="s">
        <v>1899</v>
      </c>
      <c r="F569" s="10" t="s">
        <v>1889</v>
      </c>
      <c r="G569" s="12" t="s">
        <v>656</v>
      </c>
      <c r="H569" s="26" t="n">
        <v>26.33</v>
      </c>
      <c r="I569" s="7" t="n">
        <v>1</v>
      </c>
      <c r="J569" s="7" t="n">
        <v>58</v>
      </c>
      <c r="K569" s="11" t="n">
        <v>1115.28</v>
      </c>
      <c r="L569" s="10" t="s">
        <v>278</v>
      </c>
      <c r="M569" s="26" t="n">
        <v>26.33</v>
      </c>
      <c r="N569" s="12" t="s">
        <v>657</v>
      </c>
      <c r="O569" s="12" t="s">
        <v>77</v>
      </c>
      <c r="P569" s="10" t="s">
        <v>1069</v>
      </c>
      <c r="Q569" s="30" t="s">
        <v>1900</v>
      </c>
      <c r="R569" s="34" t="n">
        <v>0.257790111422073</v>
      </c>
      <c r="S569" s="11" t="n">
        <v>287.5</v>
      </c>
      <c r="T569" s="10" t="s">
        <v>1901</v>
      </c>
      <c r="U569" s="7" t="n">
        <v>18</v>
      </c>
      <c r="V569" s="12" t="s">
        <v>279</v>
      </c>
      <c r="W569" s="12" t="s">
        <v>172</v>
      </c>
      <c r="X569" s="12" t="s">
        <v>86</v>
      </c>
      <c r="Y569" s="10"/>
      <c r="Z569" s="7" t="s">
        <v>106</v>
      </c>
      <c r="AA569" s="7" t="n">
        <v>6</v>
      </c>
      <c r="AB569" s="9" t="n">
        <v>0.212253777012813</v>
      </c>
    </row>
    <row r="570" customFormat="false" ht="23.85" hidden="false" customHeight="false" outlineLevel="0" collapsed="false">
      <c r="A570" s="7" t="n">
        <v>566</v>
      </c>
      <c r="B570" s="12" t="s">
        <v>148</v>
      </c>
      <c r="C570" s="10" t="s">
        <v>148</v>
      </c>
      <c r="D570" s="12" t="s">
        <v>1902</v>
      </c>
      <c r="E570" s="12" t="s">
        <v>1254</v>
      </c>
      <c r="F570" s="10" t="s">
        <v>1903</v>
      </c>
      <c r="G570" s="12" t="s">
        <v>656</v>
      </c>
      <c r="H570" s="26" t="n">
        <v>10.97</v>
      </c>
      <c r="I570" s="7" t="n">
        <v>1</v>
      </c>
      <c r="J570" s="7" t="n">
        <v>1185</v>
      </c>
      <c r="K570" s="11" t="n">
        <v>59407.06</v>
      </c>
      <c r="L570" s="10" t="s">
        <v>149</v>
      </c>
      <c r="M570" s="26" t="n">
        <v>10.97</v>
      </c>
      <c r="N570" s="12" t="s">
        <v>657</v>
      </c>
      <c r="O570" s="12" t="s">
        <v>102</v>
      </c>
      <c r="P570" s="10" t="s">
        <v>658</v>
      </c>
      <c r="Q570" s="30" t="s">
        <v>1904</v>
      </c>
      <c r="R570" s="34" t="n">
        <v>0.991808067465962</v>
      </c>
      <c r="S570" s="11" t="n">
        <v>58920.4</v>
      </c>
      <c r="T570" s="10" t="s">
        <v>175</v>
      </c>
      <c r="U570" s="7" t="n">
        <v>2</v>
      </c>
      <c r="V570" s="12" t="s">
        <v>175</v>
      </c>
      <c r="W570" s="12" t="s">
        <v>79</v>
      </c>
      <c r="X570" s="12" t="s">
        <v>97</v>
      </c>
      <c r="Y570" s="10" t="s">
        <v>111</v>
      </c>
      <c r="Z570" s="7" t="s">
        <v>74</v>
      </c>
      <c r="AA570" s="7" t="n">
        <v>1</v>
      </c>
      <c r="AB570" s="9" t="n">
        <v>0.608056033658443</v>
      </c>
    </row>
    <row r="571" customFormat="false" ht="23.85" hidden="false" customHeight="false" outlineLevel="0" collapsed="false">
      <c r="A571" s="7" t="n">
        <v>567</v>
      </c>
      <c r="B571" s="12" t="s">
        <v>148</v>
      </c>
      <c r="C571" s="10" t="s">
        <v>1905</v>
      </c>
      <c r="D571" s="12" t="s">
        <v>1902</v>
      </c>
      <c r="E571" s="12" t="s">
        <v>897</v>
      </c>
      <c r="F571" s="10" t="s">
        <v>1906</v>
      </c>
      <c r="G571" s="12" t="s">
        <v>656</v>
      </c>
      <c r="H571" s="26" t="n">
        <v>12.0797</v>
      </c>
      <c r="I571" s="7" t="n">
        <v>29</v>
      </c>
      <c r="J571" s="7" t="n">
        <v>1185</v>
      </c>
      <c r="K571" s="11" t="n">
        <v>59407.06</v>
      </c>
      <c r="L571" s="10" t="s">
        <v>149</v>
      </c>
      <c r="M571" s="26" t="n">
        <v>12.0797</v>
      </c>
      <c r="N571" s="12" t="s">
        <v>657</v>
      </c>
      <c r="O571" s="12" t="s">
        <v>153</v>
      </c>
      <c r="P571" s="10" t="s">
        <v>658</v>
      </c>
      <c r="Q571" s="30" t="s">
        <v>852</v>
      </c>
      <c r="R571" s="34" t="n">
        <v>0.991808067465962</v>
      </c>
      <c r="S571" s="11" t="n">
        <v>58920.4</v>
      </c>
      <c r="T571" s="10" t="s">
        <v>175</v>
      </c>
      <c r="U571" s="7" t="n">
        <v>2</v>
      </c>
      <c r="V571" s="12" t="s">
        <v>175</v>
      </c>
      <c r="W571" s="12" t="s">
        <v>79</v>
      </c>
      <c r="X571" s="12" t="s">
        <v>80</v>
      </c>
      <c r="Y571" s="10" t="s">
        <v>111</v>
      </c>
      <c r="Z571" s="7" t="s">
        <v>74</v>
      </c>
      <c r="AA571" s="7" t="n">
        <v>1</v>
      </c>
      <c r="AB571" s="9" t="n">
        <v>0.608056033658443</v>
      </c>
    </row>
    <row r="572" customFormat="false" ht="23.85" hidden="false" customHeight="false" outlineLevel="0" collapsed="false">
      <c r="A572" s="7" t="n">
        <v>568</v>
      </c>
      <c r="B572" s="12" t="s">
        <v>148</v>
      </c>
      <c r="C572" s="10" t="s">
        <v>1905</v>
      </c>
      <c r="D572" s="12" t="s">
        <v>1902</v>
      </c>
      <c r="E572" s="12" t="s">
        <v>897</v>
      </c>
      <c r="F572" s="10" t="s">
        <v>1906</v>
      </c>
      <c r="G572" s="12" t="s">
        <v>656</v>
      </c>
      <c r="H572" s="26" t="n">
        <v>12.0797</v>
      </c>
      <c r="I572" s="7" t="n">
        <v>30</v>
      </c>
      <c r="J572" s="7" t="n">
        <v>1185</v>
      </c>
      <c r="K572" s="11" t="n">
        <v>59407.06</v>
      </c>
      <c r="L572" s="10" t="s">
        <v>149</v>
      </c>
      <c r="M572" s="26" t="n">
        <v>12.0797</v>
      </c>
      <c r="N572" s="12" t="s">
        <v>657</v>
      </c>
      <c r="O572" s="12" t="s">
        <v>153</v>
      </c>
      <c r="P572" s="10" t="s">
        <v>658</v>
      </c>
      <c r="Q572" s="30" t="s">
        <v>852</v>
      </c>
      <c r="R572" s="34" t="n">
        <v>0.991808067465962</v>
      </c>
      <c r="S572" s="11" t="n">
        <v>58920.4</v>
      </c>
      <c r="T572" s="10" t="s">
        <v>175</v>
      </c>
      <c r="U572" s="7" t="n">
        <v>2</v>
      </c>
      <c r="V572" s="12" t="s">
        <v>175</v>
      </c>
      <c r="W572" s="12" t="s">
        <v>79</v>
      </c>
      <c r="X572" s="12" t="s">
        <v>80</v>
      </c>
      <c r="Y572" s="10" t="s">
        <v>111</v>
      </c>
      <c r="Z572" s="7" t="s">
        <v>74</v>
      </c>
      <c r="AA572" s="7" t="n">
        <v>1</v>
      </c>
      <c r="AB572" s="9" t="n">
        <v>0.608056033658443</v>
      </c>
    </row>
    <row r="573" customFormat="false" ht="23.85" hidden="false" customHeight="false" outlineLevel="0" collapsed="false">
      <c r="A573" s="7" t="n">
        <v>569</v>
      </c>
      <c r="B573" s="12" t="s">
        <v>206</v>
      </c>
      <c r="C573" s="10" t="s">
        <v>1907</v>
      </c>
      <c r="D573" s="12" t="s">
        <v>1902</v>
      </c>
      <c r="E573" s="12" t="s">
        <v>1908</v>
      </c>
      <c r="F573" s="10" t="s">
        <v>1909</v>
      </c>
      <c r="G573" s="12" t="s">
        <v>656</v>
      </c>
      <c r="H573" s="26" t="n">
        <v>30.73</v>
      </c>
      <c r="I573" s="7" t="n">
        <v>1</v>
      </c>
      <c r="J573" s="7" t="n">
        <v>335</v>
      </c>
      <c r="K573" s="11" t="n">
        <v>5713.56</v>
      </c>
      <c r="L573" s="10" t="s">
        <v>207</v>
      </c>
      <c r="M573" s="26" t="n">
        <v>30.73</v>
      </c>
      <c r="N573" s="12" t="s">
        <v>657</v>
      </c>
      <c r="O573" s="12" t="s">
        <v>102</v>
      </c>
      <c r="P573" s="10" t="s">
        <v>658</v>
      </c>
      <c r="Q573" s="30" t="s">
        <v>1910</v>
      </c>
      <c r="R573" s="34" t="n">
        <v>1</v>
      </c>
      <c r="S573" s="11" t="n">
        <v>5713.6</v>
      </c>
      <c r="T573" s="10" t="s">
        <v>1044</v>
      </c>
      <c r="U573" s="7" t="n">
        <v>1</v>
      </c>
      <c r="V573" s="12" t="s">
        <v>323</v>
      </c>
      <c r="W573" s="12" t="s">
        <v>79</v>
      </c>
      <c r="X573" s="12" t="s">
        <v>80</v>
      </c>
      <c r="Y573" s="10" t="s">
        <v>111</v>
      </c>
      <c r="Z573" s="7" t="s">
        <v>74</v>
      </c>
      <c r="AA573" s="7" t="n">
        <v>3</v>
      </c>
      <c r="AB573" s="9" t="n">
        <v>0.503686173264487</v>
      </c>
    </row>
    <row r="574" customFormat="false" ht="23.85" hidden="false" customHeight="false" outlineLevel="0" collapsed="false">
      <c r="A574" s="7" t="n">
        <v>570</v>
      </c>
      <c r="B574" s="12" t="s">
        <v>206</v>
      </c>
      <c r="C574" s="10" t="s">
        <v>1907</v>
      </c>
      <c r="D574" s="12" t="s">
        <v>1902</v>
      </c>
      <c r="E574" s="12" t="s">
        <v>1773</v>
      </c>
      <c r="F574" s="10" t="s">
        <v>1774</v>
      </c>
      <c r="G574" s="12" t="s">
        <v>656</v>
      </c>
      <c r="H574" s="26" t="n">
        <v>15.365</v>
      </c>
      <c r="I574" s="7" t="n">
        <v>1</v>
      </c>
      <c r="J574" s="7" t="n">
        <v>335</v>
      </c>
      <c r="K574" s="11" t="n">
        <v>5713.56</v>
      </c>
      <c r="L574" s="10" t="s">
        <v>207</v>
      </c>
      <c r="M574" s="26" t="n">
        <v>15.365</v>
      </c>
      <c r="N574" s="12" t="s">
        <v>657</v>
      </c>
      <c r="O574" s="12" t="s">
        <v>102</v>
      </c>
      <c r="P574" s="10" t="s">
        <v>658</v>
      </c>
      <c r="Q574" s="30" t="s">
        <v>1910</v>
      </c>
      <c r="R574" s="34" t="n">
        <v>1</v>
      </c>
      <c r="S574" s="11" t="n">
        <v>5713.6</v>
      </c>
      <c r="T574" s="10" t="s">
        <v>1044</v>
      </c>
      <c r="U574" s="7" t="n">
        <v>1</v>
      </c>
      <c r="V574" s="12" t="s">
        <v>323</v>
      </c>
      <c r="W574" s="12" t="s">
        <v>79</v>
      </c>
      <c r="X574" s="12" t="s">
        <v>80</v>
      </c>
      <c r="Y574" s="10" t="s">
        <v>111</v>
      </c>
      <c r="Z574" s="7" t="s">
        <v>74</v>
      </c>
      <c r="AA574" s="7" t="n">
        <v>3</v>
      </c>
      <c r="AB574" s="9" t="n">
        <v>0.503686173264487</v>
      </c>
    </row>
    <row r="575" customFormat="false" ht="35.05" hidden="false" customHeight="false" outlineLevel="0" collapsed="false">
      <c r="A575" s="7" t="n">
        <v>571</v>
      </c>
      <c r="B575" s="12" t="s">
        <v>269</v>
      </c>
      <c r="C575" s="10" t="s">
        <v>1911</v>
      </c>
      <c r="D575" s="12" t="s">
        <v>1902</v>
      </c>
      <c r="E575" s="12" t="s">
        <v>1773</v>
      </c>
      <c r="F575" s="10" t="s">
        <v>1774</v>
      </c>
      <c r="G575" s="12" t="s">
        <v>656</v>
      </c>
      <c r="H575" s="26" t="n">
        <v>8.323</v>
      </c>
      <c r="I575" s="7" t="n">
        <v>1</v>
      </c>
      <c r="J575" s="7" t="n">
        <v>290</v>
      </c>
      <c r="K575" s="11" t="n">
        <v>6348.25</v>
      </c>
      <c r="L575" s="10" t="s">
        <v>270</v>
      </c>
      <c r="M575" s="26" t="n">
        <v>8.323</v>
      </c>
      <c r="N575" s="12" t="s">
        <v>657</v>
      </c>
      <c r="O575" s="12" t="s">
        <v>102</v>
      </c>
      <c r="P575" s="10" t="s">
        <v>658</v>
      </c>
      <c r="Q575" s="30" t="s">
        <v>1912</v>
      </c>
      <c r="R575" s="34" t="n">
        <v>0.991596638655462</v>
      </c>
      <c r="S575" s="11" t="n">
        <v>6294.9</v>
      </c>
      <c r="T575" s="10" t="s">
        <v>1044</v>
      </c>
      <c r="U575" s="7" t="n">
        <v>1</v>
      </c>
      <c r="V575" s="12" t="s">
        <v>323</v>
      </c>
      <c r="W575" s="12" t="s">
        <v>79</v>
      </c>
      <c r="X575" s="12" t="s">
        <v>80</v>
      </c>
      <c r="Y575" s="10" t="s">
        <v>111</v>
      </c>
      <c r="Z575" s="7" t="s">
        <v>74</v>
      </c>
      <c r="AA575" s="7" t="n">
        <v>4</v>
      </c>
      <c r="AB575" s="9" t="n">
        <v>0.445893096194301</v>
      </c>
    </row>
    <row r="576" customFormat="false" ht="35.05" hidden="false" customHeight="false" outlineLevel="0" collapsed="false">
      <c r="A576" s="7" t="n">
        <v>572</v>
      </c>
      <c r="B576" s="12" t="s">
        <v>269</v>
      </c>
      <c r="C576" s="10" t="s">
        <v>1911</v>
      </c>
      <c r="D576" s="12" t="s">
        <v>1902</v>
      </c>
      <c r="E576" s="12" t="s">
        <v>1908</v>
      </c>
      <c r="F576" s="10" t="s">
        <v>1909</v>
      </c>
      <c r="G576" s="12" t="s">
        <v>656</v>
      </c>
      <c r="H576" s="26" t="n">
        <v>17.738</v>
      </c>
      <c r="I576" s="7" t="n">
        <v>1</v>
      </c>
      <c r="J576" s="7" t="n">
        <v>290</v>
      </c>
      <c r="K576" s="11" t="n">
        <v>6348.25</v>
      </c>
      <c r="L576" s="10" t="s">
        <v>270</v>
      </c>
      <c r="M576" s="26" t="n">
        <v>17.738</v>
      </c>
      <c r="N576" s="12" t="s">
        <v>657</v>
      </c>
      <c r="O576" s="12" t="s">
        <v>102</v>
      </c>
      <c r="P576" s="10" t="s">
        <v>658</v>
      </c>
      <c r="Q576" s="30" t="s">
        <v>1913</v>
      </c>
      <c r="R576" s="34" t="n">
        <v>0.991596638655462</v>
      </c>
      <c r="S576" s="11" t="n">
        <v>6294.9</v>
      </c>
      <c r="T576" s="10" t="s">
        <v>1044</v>
      </c>
      <c r="U576" s="7" t="n">
        <v>1</v>
      </c>
      <c r="V576" s="12" t="s">
        <v>323</v>
      </c>
      <c r="W576" s="12" t="s">
        <v>79</v>
      </c>
      <c r="X576" s="12" t="s">
        <v>80</v>
      </c>
      <c r="Y576" s="10" t="s">
        <v>111</v>
      </c>
      <c r="Z576" s="7" t="s">
        <v>74</v>
      </c>
      <c r="AA576" s="7" t="n">
        <v>4</v>
      </c>
      <c r="AB576" s="9" t="n">
        <v>0.445893096194301</v>
      </c>
    </row>
    <row r="577" customFormat="false" ht="35.05" hidden="false" customHeight="false" outlineLevel="0" collapsed="false">
      <c r="A577" s="7" t="n">
        <v>573</v>
      </c>
      <c r="B577" s="12" t="s">
        <v>267</v>
      </c>
      <c r="C577" s="10" t="s">
        <v>1914</v>
      </c>
      <c r="D577" s="12" t="s">
        <v>1902</v>
      </c>
      <c r="E577" s="12" t="s">
        <v>1915</v>
      </c>
      <c r="F577" s="10" t="s">
        <v>1916</v>
      </c>
      <c r="G577" s="12" t="s">
        <v>656</v>
      </c>
      <c r="H577" s="26" t="n">
        <v>13.489</v>
      </c>
      <c r="I577" s="7" t="n">
        <v>1</v>
      </c>
      <c r="J577" s="7" t="n">
        <v>766</v>
      </c>
      <c r="K577" s="11" t="n">
        <v>32204.47</v>
      </c>
      <c r="L577" s="10" t="s">
        <v>268</v>
      </c>
      <c r="M577" s="26" t="n">
        <v>13.489</v>
      </c>
      <c r="N577" s="12" t="s">
        <v>657</v>
      </c>
      <c r="O577" s="12" t="s">
        <v>102</v>
      </c>
      <c r="P577" s="10" t="s">
        <v>658</v>
      </c>
      <c r="Q577" s="30" t="s">
        <v>1917</v>
      </c>
      <c r="R577" s="34" t="n">
        <v>1</v>
      </c>
      <c r="S577" s="11" t="n">
        <v>32204.5</v>
      </c>
      <c r="T577" s="10" t="s">
        <v>1044</v>
      </c>
      <c r="U577" s="7" t="n">
        <v>1</v>
      </c>
      <c r="V577" s="12" t="s">
        <v>323</v>
      </c>
      <c r="W577" s="12" t="s">
        <v>79</v>
      </c>
      <c r="X577" s="12" t="s">
        <v>80</v>
      </c>
      <c r="Y577" s="10" t="s">
        <v>111</v>
      </c>
      <c r="Z577" s="7" t="s">
        <v>74</v>
      </c>
      <c r="AA577" s="7" t="n">
        <v>2</v>
      </c>
      <c r="AB577" s="9" t="n">
        <v>0.60796997513865</v>
      </c>
    </row>
    <row r="578" customFormat="false" ht="35.05" hidden="false" customHeight="false" outlineLevel="0" collapsed="false">
      <c r="A578" s="7" t="n">
        <v>574</v>
      </c>
      <c r="B578" s="12" t="s">
        <v>267</v>
      </c>
      <c r="C578" s="10" t="s">
        <v>1918</v>
      </c>
      <c r="D578" s="12" t="s">
        <v>1902</v>
      </c>
      <c r="E578" s="12" t="s">
        <v>1919</v>
      </c>
      <c r="F578" s="10" t="s">
        <v>1920</v>
      </c>
      <c r="G578" s="12" t="s">
        <v>656</v>
      </c>
      <c r="H578" s="26" t="n">
        <v>26.971</v>
      </c>
      <c r="I578" s="7" t="n">
        <v>1</v>
      </c>
      <c r="J578" s="7" t="n">
        <v>766</v>
      </c>
      <c r="K578" s="11" t="n">
        <v>32204.47</v>
      </c>
      <c r="L578" s="10" t="s">
        <v>268</v>
      </c>
      <c r="M578" s="26" t="n">
        <v>26.971</v>
      </c>
      <c r="N578" s="12" t="s">
        <v>657</v>
      </c>
      <c r="O578" s="12" t="s">
        <v>102</v>
      </c>
      <c r="P578" s="10" t="s">
        <v>658</v>
      </c>
      <c r="Q578" s="30" t="s">
        <v>1917</v>
      </c>
      <c r="R578" s="34" t="n">
        <v>1</v>
      </c>
      <c r="S578" s="11" t="n">
        <v>32204.5</v>
      </c>
      <c r="T578" s="10" t="s">
        <v>1044</v>
      </c>
      <c r="U578" s="7" t="n">
        <v>1</v>
      </c>
      <c r="V578" s="12" t="s">
        <v>323</v>
      </c>
      <c r="W578" s="12" t="s">
        <v>79</v>
      </c>
      <c r="X578" s="12" t="s">
        <v>80</v>
      </c>
      <c r="Y578" s="10" t="s">
        <v>111</v>
      </c>
      <c r="Z578" s="7" t="s">
        <v>74</v>
      </c>
      <c r="AA578" s="7" t="n">
        <v>2</v>
      </c>
      <c r="AB578" s="9" t="n">
        <v>0.60796997513865</v>
      </c>
    </row>
    <row r="579" customFormat="false" ht="23.85" hidden="false" customHeight="false" outlineLevel="0" collapsed="false">
      <c r="A579" s="7" t="n">
        <v>575</v>
      </c>
      <c r="B579" s="12" t="s">
        <v>229</v>
      </c>
      <c r="C579" s="10" t="s">
        <v>1921</v>
      </c>
      <c r="D579" s="12" t="s">
        <v>1902</v>
      </c>
      <c r="E579" s="12" t="s">
        <v>1922</v>
      </c>
      <c r="F579" s="10" t="s">
        <v>1923</v>
      </c>
      <c r="G579" s="12" t="s">
        <v>656</v>
      </c>
      <c r="H579" s="26" t="n">
        <v>6.9411728505</v>
      </c>
      <c r="I579" s="7" t="n">
        <v>1</v>
      </c>
      <c r="J579" s="7" t="n">
        <v>2582</v>
      </c>
      <c r="K579" s="11" t="n">
        <v>38106.07</v>
      </c>
      <c r="L579" s="10" t="s">
        <v>230</v>
      </c>
      <c r="M579" s="26" t="n">
        <v>6.9411728505</v>
      </c>
      <c r="N579" s="12" t="s">
        <v>657</v>
      </c>
      <c r="O579" s="12" t="s">
        <v>77</v>
      </c>
      <c r="P579" s="10" t="s">
        <v>1069</v>
      </c>
      <c r="Q579" s="30" t="s">
        <v>1924</v>
      </c>
      <c r="R579" s="34" t="n">
        <v>0.125714523309917</v>
      </c>
      <c r="S579" s="11" t="n">
        <v>4790.5</v>
      </c>
      <c r="T579" s="10" t="s">
        <v>995</v>
      </c>
      <c r="U579" s="7" t="n">
        <v>1</v>
      </c>
      <c r="V579" s="12" t="s">
        <v>323</v>
      </c>
      <c r="W579" s="12" t="s">
        <v>79</v>
      </c>
      <c r="X579" s="12" t="s">
        <v>86</v>
      </c>
      <c r="Y579" s="10"/>
      <c r="Z579" s="7" t="s">
        <v>74</v>
      </c>
      <c r="AA579" s="7" t="n">
        <v>5</v>
      </c>
      <c r="AB579" s="9" t="n">
        <v>0.328471026965003</v>
      </c>
    </row>
    <row r="580" customFormat="false" ht="23.85" hidden="false" customHeight="false" outlineLevel="0" collapsed="false">
      <c r="A580" s="7" t="n">
        <v>576</v>
      </c>
      <c r="B580" s="12" t="s">
        <v>590</v>
      </c>
      <c r="C580" s="10" t="s">
        <v>1925</v>
      </c>
      <c r="D580" s="12" t="s">
        <v>33</v>
      </c>
      <c r="E580" s="12" t="s">
        <v>1926</v>
      </c>
      <c r="F580" s="10" t="s">
        <v>1927</v>
      </c>
      <c r="G580" s="12" t="s">
        <v>656</v>
      </c>
      <c r="H580" s="26" t="n">
        <v>29.39</v>
      </c>
      <c r="I580" s="7" t="n">
        <v>1</v>
      </c>
      <c r="J580" s="7" t="n">
        <v>15</v>
      </c>
      <c r="K580" s="11" t="n">
        <v>3589.61</v>
      </c>
      <c r="L580" s="10" t="s">
        <v>591</v>
      </c>
      <c r="M580" s="26" t="n">
        <v>29.39</v>
      </c>
      <c r="N580" s="12" t="s">
        <v>657</v>
      </c>
      <c r="O580" s="12" t="s">
        <v>102</v>
      </c>
      <c r="P580" s="10" t="s">
        <v>658</v>
      </c>
      <c r="Q580" s="30" t="s">
        <v>1928</v>
      </c>
      <c r="R580" s="34" t="n">
        <v>0.833333333333333</v>
      </c>
      <c r="S580" s="11" t="n">
        <v>2991.3</v>
      </c>
      <c r="T580" s="10" t="s">
        <v>144</v>
      </c>
      <c r="U580" s="7" t="n">
        <v>1</v>
      </c>
      <c r="V580" s="12" t="s">
        <v>144</v>
      </c>
      <c r="W580" s="12" t="s">
        <v>79</v>
      </c>
      <c r="X580" s="12" t="s">
        <v>110</v>
      </c>
      <c r="Y580" s="10" t="s">
        <v>111</v>
      </c>
      <c r="Z580" s="7" t="s">
        <v>688</v>
      </c>
      <c r="AA580" s="7" t="n">
        <v>12</v>
      </c>
      <c r="AB580" s="9" t="n">
        <v>0.457037674507554</v>
      </c>
    </row>
    <row r="581" customFormat="false" ht="23.85" hidden="false" customHeight="false" outlineLevel="0" collapsed="false">
      <c r="A581" s="7" t="n">
        <v>577</v>
      </c>
      <c r="B581" s="12" t="s">
        <v>120</v>
      </c>
      <c r="C581" s="10" t="s">
        <v>1929</v>
      </c>
      <c r="D581" s="12" t="s">
        <v>33</v>
      </c>
      <c r="E581" s="12" t="s">
        <v>696</v>
      </c>
      <c r="F581" s="10" t="s">
        <v>1930</v>
      </c>
      <c r="G581" s="12" t="s">
        <v>656</v>
      </c>
      <c r="H581" s="26" t="n">
        <v>15.95</v>
      </c>
      <c r="I581" s="7" t="n">
        <v>1</v>
      </c>
      <c r="J581" s="7" t="n">
        <v>1644</v>
      </c>
      <c r="K581" s="11" t="n">
        <v>41889.23</v>
      </c>
      <c r="L581" s="10" t="s">
        <v>121</v>
      </c>
      <c r="M581" s="26" t="n">
        <v>15.95</v>
      </c>
      <c r="N581" s="12" t="s">
        <v>657</v>
      </c>
      <c r="O581" s="12" t="s">
        <v>102</v>
      </c>
      <c r="P581" s="10" t="s">
        <v>658</v>
      </c>
      <c r="Q581" s="30" t="s">
        <v>1931</v>
      </c>
      <c r="R581" s="34" t="n">
        <v>0.990783410138249</v>
      </c>
      <c r="S581" s="11" t="n">
        <v>41503.2</v>
      </c>
      <c r="T581" s="10" t="s">
        <v>189</v>
      </c>
      <c r="U581" s="7" t="n">
        <v>2</v>
      </c>
      <c r="V581" s="12" t="s">
        <v>189</v>
      </c>
      <c r="W581" s="12" t="s">
        <v>79</v>
      </c>
      <c r="X581" s="12" t="s">
        <v>671</v>
      </c>
      <c r="Y581" s="10" t="s">
        <v>104</v>
      </c>
      <c r="Z581" s="7" t="s">
        <v>74</v>
      </c>
      <c r="AA581" s="7" t="n">
        <v>4</v>
      </c>
      <c r="AB581" s="9" t="n">
        <v>0.618961560527826</v>
      </c>
    </row>
    <row r="582" customFormat="false" ht="23.85" hidden="false" customHeight="false" outlineLevel="0" collapsed="false">
      <c r="A582" s="7" t="n">
        <v>578</v>
      </c>
      <c r="B582" s="12" t="s">
        <v>117</v>
      </c>
      <c r="C582" s="10" t="s">
        <v>1149</v>
      </c>
      <c r="D582" s="12" t="s">
        <v>33</v>
      </c>
      <c r="E582" s="12" t="s">
        <v>1150</v>
      </c>
      <c r="F582" s="10" t="s">
        <v>1843</v>
      </c>
      <c r="G582" s="12" t="s">
        <v>656</v>
      </c>
      <c r="H582" s="26" t="n">
        <v>21.78</v>
      </c>
      <c r="I582" s="7" t="n">
        <v>1</v>
      </c>
      <c r="J582" s="7" t="n">
        <v>346</v>
      </c>
      <c r="K582" s="11" t="n">
        <v>32830.17</v>
      </c>
      <c r="L582" s="10" t="s">
        <v>118</v>
      </c>
      <c r="M582" s="26" t="n">
        <v>21.78</v>
      </c>
      <c r="N582" s="12" t="s">
        <v>657</v>
      </c>
      <c r="O582" s="12" t="s">
        <v>102</v>
      </c>
      <c r="P582" s="10" t="s">
        <v>658</v>
      </c>
      <c r="Q582" s="30" t="s">
        <v>1152</v>
      </c>
      <c r="R582" s="34" t="n">
        <v>1</v>
      </c>
      <c r="S582" s="11" t="n">
        <v>32830.2</v>
      </c>
      <c r="T582" s="10" t="s">
        <v>1932</v>
      </c>
      <c r="U582" s="7" t="n">
        <v>7</v>
      </c>
      <c r="V582" s="12" t="s">
        <v>188</v>
      </c>
      <c r="W582" s="12" t="s">
        <v>79</v>
      </c>
      <c r="X582" s="12" t="s">
        <v>86</v>
      </c>
      <c r="Y582" s="10"/>
      <c r="Z582" s="7" t="s">
        <v>74</v>
      </c>
      <c r="AA582" s="7" t="n">
        <v>3</v>
      </c>
      <c r="AB582" s="9" t="n">
        <v>0.712650602409639</v>
      </c>
    </row>
    <row r="583" customFormat="false" ht="23.85" hidden="false" customHeight="false" outlineLevel="0" collapsed="false">
      <c r="A583" s="7" t="n">
        <v>579</v>
      </c>
      <c r="B583" s="12" t="s">
        <v>117</v>
      </c>
      <c r="C583" s="10" t="s">
        <v>1149</v>
      </c>
      <c r="D583" s="12" t="s">
        <v>33</v>
      </c>
      <c r="E583" s="12" t="s">
        <v>1154</v>
      </c>
      <c r="F583" s="10" t="s">
        <v>1749</v>
      </c>
      <c r="G583" s="12" t="s">
        <v>656</v>
      </c>
      <c r="H583" s="26" t="n">
        <v>48.28</v>
      </c>
      <c r="I583" s="7" t="n">
        <v>1</v>
      </c>
      <c r="J583" s="7" t="n">
        <v>346</v>
      </c>
      <c r="K583" s="11" t="n">
        <v>32830.17</v>
      </c>
      <c r="L583" s="10" t="s">
        <v>118</v>
      </c>
      <c r="M583" s="26" t="n">
        <v>48.28</v>
      </c>
      <c r="N583" s="12" t="s">
        <v>657</v>
      </c>
      <c r="O583" s="12" t="s">
        <v>102</v>
      </c>
      <c r="P583" s="10" t="s">
        <v>658</v>
      </c>
      <c r="Q583" s="30" t="s">
        <v>1152</v>
      </c>
      <c r="R583" s="34" t="n">
        <v>1</v>
      </c>
      <c r="S583" s="11" t="n">
        <v>32830.2</v>
      </c>
      <c r="T583" s="10" t="s">
        <v>1932</v>
      </c>
      <c r="U583" s="7" t="n">
        <v>7</v>
      </c>
      <c r="V583" s="12" t="s">
        <v>188</v>
      </c>
      <c r="W583" s="12" t="s">
        <v>79</v>
      </c>
      <c r="X583" s="12" t="s">
        <v>86</v>
      </c>
      <c r="Y583" s="10"/>
      <c r="Z583" s="7" t="s">
        <v>74</v>
      </c>
      <c r="AA583" s="7" t="n">
        <v>3</v>
      </c>
      <c r="AB583" s="9" t="n">
        <v>0.712650602409639</v>
      </c>
    </row>
    <row r="584" customFormat="false" ht="23.85" hidden="false" customHeight="false" outlineLevel="0" collapsed="false">
      <c r="A584" s="7" t="n">
        <v>580</v>
      </c>
      <c r="B584" s="12" t="s">
        <v>117</v>
      </c>
      <c r="C584" s="10" t="s">
        <v>1933</v>
      </c>
      <c r="D584" s="12" t="s">
        <v>33</v>
      </c>
      <c r="E584" s="12" t="s">
        <v>934</v>
      </c>
      <c r="F584" s="10" t="s">
        <v>1080</v>
      </c>
      <c r="G584" s="12" t="s">
        <v>656</v>
      </c>
      <c r="H584" s="26" t="n">
        <v>78.79</v>
      </c>
      <c r="I584" s="7" t="n">
        <v>1</v>
      </c>
      <c r="J584" s="7" t="n">
        <v>346</v>
      </c>
      <c r="K584" s="11" t="n">
        <v>32830.17</v>
      </c>
      <c r="L584" s="10" t="s">
        <v>118</v>
      </c>
      <c r="M584" s="26" t="n">
        <v>78.79</v>
      </c>
      <c r="N584" s="12" t="s">
        <v>657</v>
      </c>
      <c r="O584" s="12" t="s">
        <v>77</v>
      </c>
      <c r="P584" s="10" t="s">
        <v>658</v>
      </c>
      <c r="Q584" s="30" t="s">
        <v>1934</v>
      </c>
      <c r="R584" s="34" t="n">
        <v>1</v>
      </c>
      <c r="S584" s="11" t="n">
        <v>32830.2</v>
      </c>
      <c r="T584" s="10" t="s">
        <v>1932</v>
      </c>
      <c r="U584" s="7" t="n">
        <v>7</v>
      </c>
      <c r="V584" s="12" t="s">
        <v>188</v>
      </c>
      <c r="W584" s="12" t="s">
        <v>79</v>
      </c>
      <c r="X584" s="12" t="s">
        <v>86</v>
      </c>
      <c r="Y584" s="10"/>
      <c r="Z584" s="7" t="s">
        <v>74</v>
      </c>
      <c r="AA584" s="7" t="n">
        <v>3</v>
      </c>
      <c r="AB584" s="9" t="n">
        <v>0.712650602409639</v>
      </c>
    </row>
    <row r="585" customFormat="false" ht="23.85" hidden="false" customHeight="false" outlineLevel="0" collapsed="false">
      <c r="A585" s="7" t="n">
        <v>581</v>
      </c>
      <c r="B585" s="12" t="s">
        <v>192</v>
      </c>
      <c r="C585" s="10" t="s">
        <v>192</v>
      </c>
      <c r="D585" s="12" t="s">
        <v>33</v>
      </c>
      <c r="E585" s="12" t="s">
        <v>1235</v>
      </c>
      <c r="F585" s="10" t="s">
        <v>1935</v>
      </c>
      <c r="G585" s="12" t="s">
        <v>656</v>
      </c>
      <c r="H585" s="26"/>
      <c r="I585" s="7" t="n">
        <v>1</v>
      </c>
      <c r="J585" s="7" t="n">
        <v>1331</v>
      </c>
      <c r="K585" s="11" t="n">
        <v>23317.34</v>
      </c>
      <c r="L585" s="10" t="s">
        <v>193</v>
      </c>
      <c r="M585" s="26"/>
      <c r="N585" s="12" t="s">
        <v>701</v>
      </c>
      <c r="O585" s="12" t="s">
        <v>323</v>
      </c>
      <c r="P585" s="10" t="s">
        <v>323</v>
      </c>
      <c r="Q585" s="12"/>
      <c r="R585" s="34" t="n">
        <v>0.0847700746550087</v>
      </c>
      <c r="S585" s="11" t="n">
        <v>1976.6</v>
      </c>
      <c r="T585" s="10" t="s">
        <v>1936</v>
      </c>
      <c r="U585" s="7" t="n">
        <v>2</v>
      </c>
      <c r="V585" s="12" t="s">
        <v>194</v>
      </c>
      <c r="W585" s="12" t="s">
        <v>79</v>
      </c>
      <c r="X585" s="12" t="s">
        <v>86</v>
      </c>
      <c r="Y585" s="10" t="s">
        <v>111</v>
      </c>
      <c r="Z585" s="7" t="s">
        <v>106</v>
      </c>
      <c r="AA585" s="7" t="n">
        <v>8</v>
      </c>
      <c r="AB585" s="9" t="n">
        <v>0.559595524956971</v>
      </c>
    </row>
    <row r="586" customFormat="false" ht="23.85" hidden="false" customHeight="false" outlineLevel="0" collapsed="false">
      <c r="A586" s="7" t="n">
        <v>582</v>
      </c>
      <c r="B586" s="12" t="s">
        <v>114</v>
      </c>
      <c r="C586" s="10" t="s">
        <v>1937</v>
      </c>
      <c r="D586" s="12" t="s">
        <v>33</v>
      </c>
      <c r="E586" s="12" t="s">
        <v>831</v>
      </c>
      <c r="F586" s="10" t="s">
        <v>832</v>
      </c>
      <c r="G586" s="12" t="s">
        <v>663</v>
      </c>
      <c r="H586" s="26" t="n">
        <v>345.31</v>
      </c>
      <c r="I586" s="7" t="n">
        <v>1</v>
      </c>
      <c r="J586" s="7" t="n">
        <v>146</v>
      </c>
      <c r="K586" s="11" t="n">
        <v>11366.06</v>
      </c>
      <c r="L586" s="10" t="s">
        <v>115</v>
      </c>
      <c r="M586" s="26" t="n">
        <v>345.31</v>
      </c>
      <c r="N586" s="12" t="s">
        <v>657</v>
      </c>
      <c r="O586" s="12" t="s">
        <v>102</v>
      </c>
      <c r="P586" s="10" t="s">
        <v>658</v>
      </c>
      <c r="Q586" s="30" t="s">
        <v>1938</v>
      </c>
      <c r="R586" s="34" t="n">
        <v>1</v>
      </c>
      <c r="S586" s="11" t="n">
        <v>11366.1</v>
      </c>
      <c r="T586" s="10" t="s">
        <v>1939</v>
      </c>
      <c r="U586" s="7" t="n">
        <v>7</v>
      </c>
      <c r="V586" s="12" t="s">
        <v>187</v>
      </c>
      <c r="W586" s="12" t="s">
        <v>85</v>
      </c>
      <c r="X586" s="12" t="s">
        <v>86</v>
      </c>
      <c r="Y586" s="10" t="s">
        <v>87</v>
      </c>
      <c r="Z586" s="7" t="s">
        <v>74</v>
      </c>
      <c r="AA586" s="7" t="n">
        <v>2</v>
      </c>
      <c r="AB586" s="9" t="n">
        <v>0.813214763817173</v>
      </c>
    </row>
    <row r="587" customFormat="false" ht="79.85" hidden="false" customHeight="false" outlineLevel="0" collapsed="false">
      <c r="A587" s="7" t="n">
        <v>583</v>
      </c>
      <c r="B587" s="12" t="s">
        <v>89</v>
      </c>
      <c r="C587" s="10" t="s">
        <v>1940</v>
      </c>
      <c r="D587" s="12" t="s">
        <v>33</v>
      </c>
      <c r="E587" s="12" t="s">
        <v>828</v>
      </c>
      <c r="F587" s="10" t="s">
        <v>829</v>
      </c>
      <c r="G587" s="12" t="s">
        <v>656</v>
      </c>
      <c r="H587" s="26" t="n">
        <v>1007.36</v>
      </c>
      <c r="I587" s="7" t="n">
        <v>1</v>
      </c>
      <c r="J587" s="7" t="n">
        <v>905</v>
      </c>
      <c r="K587" s="11" t="n">
        <v>28093.38</v>
      </c>
      <c r="L587" s="10" t="s">
        <v>90</v>
      </c>
      <c r="M587" s="26" t="n">
        <v>1007.36</v>
      </c>
      <c r="N587" s="12" t="s">
        <v>657</v>
      </c>
      <c r="O587" s="12" t="s">
        <v>77</v>
      </c>
      <c r="P587" s="10" t="s">
        <v>658</v>
      </c>
      <c r="Q587" s="30" t="s">
        <v>1941</v>
      </c>
      <c r="R587" s="34" t="n">
        <v>1</v>
      </c>
      <c r="S587" s="11" t="n">
        <v>28093.4</v>
      </c>
      <c r="T587" s="10" t="s">
        <v>1942</v>
      </c>
      <c r="U587" s="7" t="n">
        <v>34</v>
      </c>
      <c r="V587" s="12" t="s">
        <v>130</v>
      </c>
      <c r="W587" s="12" t="s">
        <v>79</v>
      </c>
      <c r="X587" s="12" t="s">
        <v>80</v>
      </c>
      <c r="Y587" s="10" t="s">
        <v>81</v>
      </c>
      <c r="Z587" s="7" t="s">
        <v>74</v>
      </c>
      <c r="AA587" s="7" t="n">
        <v>1</v>
      </c>
      <c r="AB587" s="9" t="n">
        <v>0.880211321476382</v>
      </c>
    </row>
    <row r="588" customFormat="false" ht="23.85" hidden="false" customHeight="false" outlineLevel="0" collapsed="false">
      <c r="A588" s="7" t="n">
        <v>584</v>
      </c>
      <c r="B588" s="12" t="s">
        <v>391</v>
      </c>
      <c r="C588" s="10" t="s">
        <v>1943</v>
      </c>
      <c r="D588" s="12" t="s">
        <v>33</v>
      </c>
      <c r="E588" s="12" t="s">
        <v>1944</v>
      </c>
      <c r="F588" s="10" t="s">
        <v>1945</v>
      </c>
      <c r="G588" s="12" t="s">
        <v>656</v>
      </c>
      <c r="H588" s="26" t="n">
        <v>9.92</v>
      </c>
      <c r="I588" s="7" t="n">
        <v>1</v>
      </c>
      <c r="J588" s="7" t="n">
        <v>208</v>
      </c>
      <c r="K588" s="11" t="n">
        <v>3923.58</v>
      </c>
      <c r="L588" s="10" t="s">
        <v>241</v>
      </c>
      <c r="M588" s="26" t="n">
        <v>9.92</v>
      </c>
      <c r="N588" s="12" t="s">
        <v>657</v>
      </c>
      <c r="O588" s="12" t="s">
        <v>102</v>
      </c>
      <c r="P588" s="10" t="s">
        <v>658</v>
      </c>
      <c r="Q588" s="30" t="s">
        <v>1946</v>
      </c>
      <c r="R588" s="34" t="n">
        <v>1</v>
      </c>
      <c r="S588" s="11" t="n">
        <v>3923.6</v>
      </c>
      <c r="T588" s="10" t="s">
        <v>1947</v>
      </c>
      <c r="U588" s="7" t="n">
        <v>5</v>
      </c>
      <c r="V588" s="12" t="s">
        <v>187</v>
      </c>
      <c r="W588" s="12" t="s">
        <v>79</v>
      </c>
      <c r="X588" s="12" t="s">
        <v>86</v>
      </c>
      <c r="Y588" s="10" t="s">
        <v>111</v>
      </c>
      <c r="Z588" s="7" t="s">
        <v>688</v>
      </c>
      <c r="AA588" s="7" t="n">
        <v>16</v>
      </c>
      <c r="AB588" s="9" t="n">
        <v>0.348737808376363</v>
      </c>
    </row>
    <row r="589" customFormat="false" ht="35.05" hidden="false" customHeight="false" outlineLevel="0" collapsed="false">
      <c r="A589" s="7" t="n">
        <v>585</v>
      </c>
      <c r="B589" s="12" t="s">
        <v>247</v>
      </c>
      <c r="C589" s="10" t="s">
        <v>1948</v>
      </c>
      <c r="D589" s="12" t="s">
        <v>33</v>
      </c>
      <c r="E589" s="12" t="s">
        <v>1949</v>
      </c>
      <c r="F589" s="10" t="s">
        <v>1077</v>
      </c>
      <c r="G589" s="12" t="s">
        <v>656</v>
      </c>
      <c r="H589" s="26" t="n">
        <v>114.18</v>
      </c>
      <c r="I589" s="7" t="n">
        <v>1</v>
      </c>
      <c r="J589" s="7" t="n">
        <v>188</v>
      </c>
      <c r="K589" s="11" t="n">
        <v>262.84</v>
      </c>
      <c r="L589" s="10" t="s">
        <v>248</v>
      </c>
      <c r="M589" s="26" t="n">
        <v>114.18</v>
      </c>
      <c r="N589" s="12" t="s">
        <v>657</v>
      </c>
      <c r="O589" s="12" t="s">
        <v>102</v>
      </c>
      <c r="P589" s="10" t="s">
        <v>658</v>
      </c>
      <c r="Q589" s="30" t="s">
        <v>833</v>
      </c>
      <c r="R589" s="34" t="n">
        <v>0.703571428571429</v>
      </c>
      <c r="S589" s="11" t="n">
        <v>184.9</v>
      </c>
      <c r="T589" s="10" t="s">
        <v>1950</v>
      </c>
      <c r="U589" s="7" t="n">
        <v>12</v>
      </c>
      <c r="V589" s="12" t="s">
        <v>593</v>
      </c>
      <c r="W589" s="12" t="s">
        <v>79</v>
      </c>
      <c r="X589" s="12" t="s">
        <v>86</v>
      </c>
      <c r="Y589" s="10"/>
      <c r="Z589" s="7" t="s">
        <v>688</v>
      </c>
      <c r="AA589" s="7" t="n">
        <v>15</v>
      </c>
      <c r="AB589" s="9" t="n">
        <v>0.374646203863071</v>
      </c>
    </row>
    <row r="590" customFormat="false" ht="35.05" hidden="false" customHeight="false" outlineLevel="0" collapsed="false">
      <c r="A590" s="7" t="n">
        <v>586</v>
      </c>
      <c r="B590" s="12" t="s">
        <v>594</v>
      </c>
      <c r="C590" s="10" t="s">
        <v>1951</v>
      </c>
      <c r="D590" s="12" t="s">
        <v>33</v>
      </c>
      <c r="E590" s="12" t="s">
        <v>1952</v>
      </c>
      <c r="F590" s="10" t="s">
        <v>1953</v>
      </c>
      <c r="G590" s="12" t="s">
        <v>656</v>
      </c>
      <c r="H590" s="26" t="n">
        <v>25.12</v>
      </c>
      <c r="I590" s="7" t="n">
        <v>1</v>
      </c>
      <c r="J590" s="7" t="n">
        <v>18</v>
      </c>
      <c r="K590" s="11" t="n">
        <v>77.4</v>
      </c>
      <c r="L590" s="10" t="s">
        <v>595</v>
      </c>
      <c r="M590" s="26" t="n">
        <v>25.12</v>
      </c>
      <c r="N590" s="12" t="s">
        <v>657</v>
      </c>
      <c r="O590" s="12" t="s">
        <v>102</v>
      </c>
      <c r="P590" s="10" t="s">
        <v>658</v>
      </c>
      <c r="Q590" s="30" t="s">
        <v>1954</v>
      </c>
      <c r="R590" s="34" t="n">
        <v>1</v>
      </c>
      <c r="S590" s="11" t="n">
        <v>77.4</v>
      </c>
      <c r="T590" s="10" t="s">
        <v>1955</v>
      </c>
      <c r="U590" s="7" t="n">
        <v>11</v>
      </c>
      <c r="V590" s="12" t="s">
        <v>109</v>
      </c>
      <c r="W590" s="12" t="s">
        <v>172</v>
      </c>
      <c r="X590" s="12" t="s">
        <v>86</v>
      </c>
      <c r="Y590" s="10"/>
      <c r="Z590" s="7" t="s">
        <v>688</v>
      </c>
      <c r="AA590" s="7" t="n">
        <v>17</v>
      </c>
      <c r="AB590" s="9" t="n">
        <v>0.281645630139606</v>
      </c>
    </row>
    <row r="591" customFormat="false" ht="23.85" hidden="false" customHeight="false" outlineLevel="0" collapsed="false">
      <c r="A591" s="7" t="n">
        <v>587</v>
      </c>
      <c r="B591" s="12" t="s">
        <v>178</v>
      </c>
      <c r="C591" s="10" t="s">
        <v>178</v>
      </c>
      <c r="D591" s="12" t="s">
        <v>33</v>
      </c>
      <c r="E591" s="12" t="s">
        <v>1376</v>
      </c>
      <c r="F591" s="10" t="s">
        <v>1956</v>
      </c>
      <c r="G591" s="12" t="s">
        <v>656</v>
      </c>
      <c r="H591" s="26" t="n">
        <v>10.85</v>
      </c>
      <c r="I591" s="7" t="n">
        <v>1</v>
      </c>
      <c r="J591" s="7" t="n">
        <v>106</v>
      </c>
      <c r="K591" s="11" t="n">
        <v>7074.72</v>
      </c>
      <c r="L591" s="10" t="s">
        <v>179</v>
      </c>
      <c r="M591" s="26" t="n">
        <v>10.85</v>
      </c>
      <c r="N591" s="12" t="s">
        <v>657</v>
      </c>
      <c r="O591" s="12" t="s">
        <v>102</v>
      </c>
      <c r="P591" s="10" t="s">
        <v>658</v>
      </c>
      <c r="Q591" s="30" t="s">
        <v>1957</v>
      </c>
      <c r="R591" s="34" t="n">
        <v>0.9375</v>
      </c>
      <c r="S591" s="11" t="n">
        <v>6632.6</v>
      </c>
      <c r="T591" s="10" t="s">
        <v>1958</v>
      </c>
      <c r="U591" s="7" t="n">
        <v>4</v>
      </c>
      <c r="V591" s="12" t="s">
        <v>187</v>
      </c>
      <c r="W591" s="12" t="s">
        <v>79</v>
      </c>
      <c r="X591" s="12" t="s">
        <v>671</v>
      </c>
      <c r="Y591" s="10" t="s">
        <v>111</v>
      </c>
      <c r="Z591" s="7" t="s">
        <v>106</v>
      </c>
      <c r="AA591" s="7" t="n">
        <v>7</v>
      </c>
      <c r="AB591" s="9" t="n">
        <v>0.593024478867852</v>
      </c>
    </row>
    <row r="592" customFormat="false" ht="35.05" hidden="false" customHeight="false" outlineLevel="0" collapsed="false">
      <c r="A592" s="7" t="n">
        <v>588</v>
      </c>
      <c r="B592" s="12" t="s">
        <v>180</v>
      </c>
      <c r="C592" s="10" t="s">
        <v>180</v>
      </c>
      <c r="D592" s="12" t="s">
        <v>33</v>
      </c>
      <c r="E592" s="12" t="s">
        <v>842</v>
      </c>
      <c r="F592" s="10" t="s">
        <v>1239</v>
      </c>
      <c r="G592" s="12" t="s">
        <v>656</v>
      </c>
      <c r="H592" s="26" t="n">
        <v>6.61</v>
      </c>
      <c r="I592" s="7" t="n">
        <v>1</v>
      </c>
      <c r="J592" s="7" t="n">
        <v>3515</v>
      </c>
      <c r="K592" s="11" t="n">
        <v>140084.73</v>
      </c>
      <c r="L592" s="10" t="s">
        <v>181</v>
      </c>
      <c r="M592" s="26" t="n">
        <v>6.61</v>
      </c>
      <c r="N592" s="12" t="s">
        <v>657</v>
      </c>
      <c r="O592" s="12" t="s">
        <v>77</v>
      </c>
      <c r="P592" s="10" t="s">
        <v>658</v>
      </c>
      <c r="Q592" s="30" t="s">
        <v>1959</v>
      </c>
      <c r="R592" s="34" t="n">
        <v>0.251824206147514</v>
      </c>
      <c r="S592" s="11" t="n">
        <v>35276.7</v>
      </c>
      <c r="T592" s="10" t="s">
        <v>1960</v>
      </c>
      <c r="U592" s="7" t="n">
        <v>14</v>
      </c>
      <c r="V592" s="12" t="s">
        <v>91</v>
      </c>
      <c r="W592" s="12" t="s">
        <v>79</v>
      </c>
      <c r="X592" s="12" t="s">
        <v>80</v>
      </c>
      <c r="Y592" s="10" t="s">
        <v>111</v>
      </c>
      <c r="Z592" s="7" t="s">
        <v>688</v>
      </c>
      <c r="AA592" s="7" t="n">
        <v>11</v>
      </c>
      <c r="AB592" s="9" t="n">
        <v>0.468574297188755</v>
      </c>
    </row>
    <row r="593" customFormat="false" ht="46.25" hidden="false" customHeight="false" outlineLevel="0" collapsed="false">
      <c r="A593" s="7" t="n">
        <v>589</v>
      </c>
      <c r="B593" s="12" t="s">
        <v>148</v>
      </c>
      <c r="C593" s="10" t="s">
        <v>148</v>
      </c>
      <c r="D593" s="12" t="s">
        <v>33</v>
      </c>
      <c r="E593" s="12" t="s">
        <v>1254</v>
      </c>
      <c r="F593" s="10" t="s">
        <v>1903</v>
      </c>
      <c r="G593" s="12" t="s">
        <v>656</v>
      </c>
      <c r="H593" s="26" t="n">
        <v>10.97</v>
      </c>
      <c r="I593" s="7" t="n">
        <v>1</v>
      </c>
      <c r="J593" s="7" t="n">
        <v>1185</v>
      </c>
      <c r="K593" s="11" t="n">
        <v>59407.06</v>
      </c>
      <c r="L593" s="10" t="s">
        <v>149</v>
      </c>
      <c r="M593" s="26" t="n">
        <v>10.97</v>
      </c>
      <c r="N593" s="12" t="s">
        <v>657</v>
      </c>
      <c r="O593" s="12" t="s">
        <v>102</v>
      </c>
      <c r="P593" s="10" t="s">
        <v>658</v>
      </c>
      <c r="Q593" s="30" t="s">
        <v>1904</v>
      </c>
      <c r="R593" s="34" t="n">
        <v>0.991808067465962</v>
      </c>
      <c r="S593" s="11" t="n">
        <v>58920.4</v>
      </c>
      <c r="T593" s="10" t="s">
        <v>1961</v>
      </c>
      <c r="U593" s="7" t="n">
        <v>18</v>
      </c>
      <c r="V593" s="12" t="s">
        <v>190</v>
      </c>
      <c r="W593" s="12" t="s">
        <v>79</v>
      </c>
      <c r="X593" s="12" t="s">
        <v>97</v>
      </c>
      <c r="Y593" s="10" t="s">
        <v>111</v>
      </c>
      <c r="Z593" s="7" t="s">
        <v>74</v>
      </c>
      <c r="AA593" s="7" t="n">
        <v>5</v>
      </c>
      <c r="AB593" s="9" t="n">
        <v>0.611230636833047</v>
      </c>
    </row>
    <row r="594" customFormat="false" ht="79.85" hidden="false" customHeight="false" outlineLevel="0" collapsed="false">
      <c r="A594" s="7" t="n">
        <v>590</v>
      </c>
      <c r="B594" s="12" t="s">
        <v>89</v>
      </c>
      <c r="C594" s="10" t="s">
        <v>1940</v>
      </c>
      <c r="D594" s="12" t="s">
        <v>33</v>
      </c>
      <c r="E594" s="12" t="s">
        <v>854</v>
      </c>
      <c r="F594" s="10" t="s">
        <v>829</v>
      </c>
      <c r="G594" s="12" t="s">
        <v>656</v>
      </c>
      <c r="H594" s="26" t="n">
        <v>1444.1174</v>
      </c>
      <c r="I594" s="7" t="n">
        <v>29</v>
      </c>
      <c r="J594" s="7" t="n">
        <v>905</v>
      </c>
      <c r="K594" s="11" t="n">
        <v>28093.38</v>
      </c>
      <c r="L594" s="10" t="s">
        <v>90</v>
      </c>
      <c r="M594" s="26" t="n">
        <v>1444.1174</v>
      </c>
      <c r="N594" s="12" t="s">
        <v>657</v>
      </c>
      <c r="O594" s="12" t="s">
        <v>77</v>
      </c>
      <c r="P594" s="10" t="s">
        <v>658</v>
      </c>
      <c r="Q594" s="30" t="s">
        <v>852</v>
      </c>
      <c r="R594" s="34" t="n">
        <v>1</v>
      </c>
      <c r="S594" s="11" t="n">
        <v>28093.4</v>
      </c>
      <c r="T594" s="10" t="s">
        <v>1942</v>
      </c>
      <c r="U594" s="7" t="n">
        <v>34</v>
      </c>
      <c r="V594" s="12" t="s">
        <v>130</v>
      </c>
      <c r="W594" s="12" t="s">
        <v>79</v>
      </c>
      <c r="X594" s="12" t="s">
        <v>80</v>
      </c>
      <c r="Y594" s="10" t="s">
        <v>81</v>
      </c>
      <c r="Z594" s="7" t="s">
        <v>74</v>
      </c>
      <c r="AA594" s="7" t="n">
        <v>1</v>
      </c>
      <c r="AB594" s="9" t="n">
        <v>0.880211321476382</v>
      </c>
    </row>
    <row r="595" customFormat="false" ht="35.05" hidden="false" customHeight="false" outlineLevel="0" collapsed="false">
      <c r="A595" s="7" t="n">
        <v>591</v>
      </c>
      <c r="B595" s="12" t="s">
        <v>473</v>
      </c>
      <c r="C595" s="10" t="s">
        <v>1962</v>
      </c>
      <c r="D595" s="12" t="s">
        <v>33</v>
      </c>
      <c r="E595" s="12" t="s">
        <v>1273</v>
      </c>
      <c r="F595" s="10" t="s">
        <v>1239</v>
      </c>
      <c r="G595" s="12" t="s">
        <v>656</v>
      </c>
      <c r="H595" s="26" t="n">
        <v>7.2659</v>
      </c>
      <c r="I595" s="7" t="n">
        <v>31</v>
      </c>
      <c r="J595" s="7" t="n">
        <v>3168</v>
      </c>
      <c r="K595" s="11" t="n">
        <v>130453.11</v>
      </c>
      <c r="L595" s="10" t="s">
        <v>474</v>
      </c>
      <c r="M595" s="26" t="n">
        <v>7.2659</v>
      </c>
      <c r="N595" s="12" t="s">
        <v>657</v>
      </c>
      <c r="O595" s="12" t="s">
        <v>77</v>
      </c>
      <c r="P595" s="10" t="s">
        <v>658</v>
      </c>
      <c r="Q595" s="30" t="s">
        <v>852</v>
      </c>
      <c r="R595" s="34" t="n">
        <v>0.103608949323645</v>
      </c>
      <c r="S595" s="11" t="n">
        <v>13516.1</v>
      </c>
      <c r="T595" s="10" t="s">
        <v>1963</v>
      </c>
      <c r="U595" s="7" t="n">
        <v>10</v>
      </c>
      <c r="V595" s="12" t="s">
        <v>475</v>
      </c>
      <c r="W595" s="12" t="s">
        <v>79</v>
      </c>
      <c r="X595" s="12" t="s">
        <v>80</v>
      </c>
      <c r="Y595" s="10" t="s">
        <v>111</v>
      </c>
      <c r="Z595" s="7" t="s">
        <v>688</v>
      </c>
      <c r="AA595" s="7" t="n">
        <v>13</v>
      </c>
      <c r="AB595" s="9" t="n">
        <v>0.434217823675655</v>
      </c>
    </row>
    <row r="596" customFormat="false" ht="23.85" hidden="false" customHeight="false" outlineLevel="0" collapsed="false">
      <c r="A596" s="7" t="n">
        <v>592</v>
      </c>
      <c r="B596" s="12" t="s">
        <v>114</v>
      </c>
      <c r="C596" s="10" t="s">
        <v>1937</v>
      </c>
      <c r="D596" s="12" t="s">
        <v>33</v>
      </c>
      <c r="E596" s="12" t="s">
        <v>1339</v>
      </c>
      <c r="F596" s="10" t="s">
        <v>891</v>
      </c>
      <c r="G596" s="12" t="s">
        <v>663</v>
      </c>
      <c r="H596" s="26" t="n">
        <v>531.8684</v>
      </c>
      <c r="I596" s="7" t="n">
        <v>31</v>
      </c>
      <c r="J596" s="7" t="n">
        <v>146</v>
      </c>
      <c r="K596" s="11" t="n">
        <v>11366.06</v>
      </c>
      <c r="L596" s="10" t="s">
        <v>115</v>
      </c>
      <c r="M596" s="26" t="n">
        <v>531.8684</v>
      </c>
      <c r="N596" s="12" t="s">
        <v>657</v>
      </c>
      <c r="O596" s="12" t="s">
        <v>153</v>
      </c>
      <c r="P596" s="10" t="s">
        <v>658</v>
      </c>
      <c r="Q596" s="30" t="s">
        <v>852</v>
      </c>
      <c r="R596" s="34" t="n">
        <v>1</v>
      </c>
      <c r="S596" s="11" t="n">
        <v>11366.1</v>
      </c>
      <c r="T596" s="10" t="s">
        <v>1939</v>
      </c>
      <c r="U596" s="7" t="n">
        <v>7</v>
      </c>
      <c r="V596" s="12" t="s">
        <v>187</v>
      </c>
      <c r="W596" s="12" t="s">
        <v>85</v>
      </c>
      <c r="X596" s="12" t="s">
        <v>86</v>
      </c>
      <c r="Y596" s="10" t="s">
        <v>87</v>
      </c>
      <c r="Z596" s="7" t="s">
        <v>74</v>
      </c>
      <c r="AA596" s="7" t="n">
        <v>2</v>
      </c>
      <c r="AB596" s="9" t="n">
        <v>0.813214763817173</v>
      </c>
    </row>
    <row r="597" customFormat="false" ht="23.85" hidden="false" customHeight="false" outlineLevel="0" collapsed="false">
      <c r="A597" s="7" t="n">
        <v>593</v>
      </c>
      <c r="B597" s="12" t="s">
        <v>128</v>
      </c>
      <c r="C597" s="10" t="s">
        <v>1964</v>
      </c>
      <c r="D597" s="12" t="s">
        <v>33</v>
      </c>
      <c r="E597" s="12" t="s">
        <v>893</v>
      </c>
      <c r="F597" s="10" t="s">
        <v>1246</v>
      </c>
      <c r="G597" s="12" t="s">
        <v>656</v>
      </c>
      <c r="H597" s="26" t="n">
        <v>95.2025</v>
      </c>
      <c r="I597" s="7" t="n">
        <v>28</v>
      </c>
      <c r="J597" s="7" t="n">
        <v>257</v>
      </c>
      <c r="K597" s="11" t="n">
        <v>4183.29</v>
      </c>
      <c r="L597" s="10" t="s">
        <v>129</v>
      </c>
      <c r="M597" s="26" t="n">
        <v>95.2025</v>
      </c>
      <c r="N597" s="12" t="s">
        <v>657</v>
      </c>
      <c r="O597" s="12" t="s">
        <v>77</v>
      </c>
      <c r="P597" s="10" t="s">
        <v>658</v>
      </c>
      <c r="Q597" s="30" t="s">
        <v>852</v>
      </c>
      <c r="R597" s="34" t="n">
        <v>0.689888576486515</v>
      </c>
      <c r="S597" s="11" t="n">
        <v>2886</v>
      </c>
      <c r="T597" s="10" t="s">
        <v>1965</v>
      </c>
      <c r="U597" s="7" t="n">
        <v>9</v>
      </c>
      <c r="V597" s="12" t="s">
        <v>191</v>
      </c>
      <c r="W597" s="12" t="s">
        <v>79</v>
      </c>
      <c r="X597" s="12" t="s">
        <v>86</v>
      </c>
      <c r="Y597" s="10" t="s">
        <v>81</v>
      </c>
      <c r="Z597" s="7" t="s">
        <v>106</v>
      </c>
      <c r="AA597" s="7" t="n">
        <v>6</v>
      </c>
      <c r="AB597" s="9" t="n">
        <v>0.610556511761331</v>
      </c>
    </row>
    <row r="598" customFormat="false" ht="46.25" hidden="false" customHeight="false" outlineLevel="0" collapsed="false">
      <c r="A598" s="7" t="n">
        <v>594</v>
      </c>
      <c r="B598" s="12" t="s">
        <v>148</v>
      </c>
      <c r="C598" s="10" t="s">
        <v>1966</v>
      </c>
      <c r="D598" s="12" t="s">
        <v>33</v>
      </c>
      <c r="E598" s="12" t="s">
        <v>1967</v>
      </c>
      <c r="F598" s="10" t="s">
        <v>1968</v>
      </c>
      <c r="G598" s="12" t="s">
        <v>656</v>
      </c>
      <c r="H598" s="26" t="n">
        <v>12.0797</v>
      </c>
      <c r="I598" s="7" t="n">
        <v>29</v>
      </c>
      <c r="J598" s="7" t="n">
        <v>1185</v>
      </c>
      <c r="K598" s="11" t="n">
        <v>59407.06</v>
      </c>
      <c r="L598" s="10" t="s">
        <v>149</v>
      </c>
      <c r="M598" s="26" t="n">
        <v>12.0797</v>
      </c>
      <c r="N598" s="12" t="s">
        <v>657</v>
      </c>
      <c r="O598" s="12" t="s">
        <v>153</v>
      </c>
      <c r="P598" s="10" t="s">
        <v>658</v>
      </c>
      <c r="Q598" s="30" t="s">
        <v>852</v>
      </c>
      <c r="R598" s="34" t="n">
        <v>0.991808067465962</v>
      </c>
      <c r="S598" s="11" t="n">
        <v>58920.4</v>
      </c>
      <c r="T598" s="10" t="s">
        <v>1961</v>
      </c>
      <c r="U598" s="7" t="n">
        <v>18</v>
      </c>
      <c r="V598" s="12" t="s">
        <v>190</v>
      </c>
      <c r="W598" s="12" t="s">
        <v>79</v>
      </c>
      <c r="X598" s="12" t="s">
        <v>110</v>
      </c>
      <c r="Y598" s="10" t="s">
        <v>111</v>
      </c>
      <c r="Z598" s="7" t="s">
        <v>74</v>
      </c>
      <c r="AA598" s="7" t="n">
        <v>5</v>
      </c>
      <c r="AB598" s="9" t="n">
        <v>0.611230636833047</v>
      </c>
    </row>
    <row r="599" customFormat="false" ht="46.25" hidden="false" customHeight="false" outlineLevel="0" collapsed="false">
      <c r="A599" s="7" t="n">
        <v>595</v>
      </c>
      <c r="B599" s="12" t="s">
        <v>148</v>
      </c>
      <c r="C599" s="10" t="s">
        <v>1969</v>
      </c>
      <c r="D599" s="12" t="s">
        <v>33</v>
      </c>
      <c r="E599" s="12" t="s">
        <v>1967</v>
      </c>
      <c r="F599" s="10" t="s">
        <v>1968</v>
      </c>
      <c r="G599" s="12" t="s">
        <v>656</v>
      </c>
      <c r="H599" s="26" t="n">
        <v>12.0797</v>
      </c>
      <c r="I599" s="7" t="n">
        <v>30</v>
      </c>
      <c r="J599" s="7" t="n">
        <v>1185</v>
      </c>
      <c r="K599" s="11" t="n">
        <v>59407.06</v>
      </c>
      <c r="L599" s="10" t="s">
        <v>149</v>
      </c>
      <c r="M599" s="26" t="n">
        <v>12.0797</v>
      </c>
      <c r="N599" s="12" t="s">
        <v>657</v>
      </c>
      <c r="O599" s="12" t="s">
        <v>153</v>
      </c>
      <c r="P599" s="10" t="s">
        <v>658</v>
      </c>
      <c r="Q599" s="30" t="s">
        <v>852</v>
      </c>
      <c r="R599" s="34" t="n">
        <v>0.991808067465962</v>
      </c>
      <c r="S599" s="11" t="n">
        <v>58920.4</v>
      </c>
      <c r="T599" s="10" t="s">
        <v>1961</v>
      </c>
      <c r="U599" s="7" t="n">
        <v>18</v>
      </c>
      <c r="V599" s="12" t="s">
        <v>190</v>
      </c>
      <c r="W599" s="12" t="s">
        <v>79</v>
      </c>
      <c r="X599" s="12" t="s">
        <v>110</v>
      </c>
      <c r="Y599" s="10" t="s">
        <v>111</v>
      </c>
      <c r="Z599" s="7" t="s">
        <v>74</v>
      </c>
      <c r="AA599" s="7" t="n">
        <v>5</v>
      </c>
      <c r="AB599" s="9" t="n">
        <v>0.611230636833047</v>
      </c>
    </row>
    <row r="600" customFormat="false" ht="35.05" hidden="false" customHeight="false" outlineLevel="0" collapsed="false">
      <c r="A600" s="7" t="n">
        <v>596</v>
      </c>
      <c r="B600" s="12" t="s">
        <v>180</v>
      </c>
      <c r="C600" s="10" t="s">
        <v>1970</v>
      </c>
      <c r="D600" s="12" t="s">
        <v>33</v>
      </c>
      <c r="E600" s="12" t="s">
        <v>1273</v>
      </c>
      <c r="F600" s="10" t="s">
        <v>1239</v>
      </c>
      <c r="G600" s="12" t="s">
        <v>656</v>
      </c>
      <c r="H600" s="26" t="n">
        <v>5.5596</v>
      </c>
      <c r="I600" s="7" t="n">
        <v>31</v>
      </c>
      <c r="J600" s="7" t="n">
        <v>3515</v>
      </c>
      <c r="K600" s="11" t="n">
        <v>140084.73</v>
      </c>
      <c r="L600" s="10" t="s">
        <v>181</v>
      </c>
      <c r="M600" s="26" t="n">
        <v>5.5596</v>
      </c>
      <c r="N600" s="12" t="s">
        <v>657</v>
      </c>
      <c r="O600" s="12" t="s">
        <v>77</v>
      </c>
      <c r="P600" s="10" t="s">
        <v>658</v>
      </c>
      <c r="Q600" s="30" t="s">
        <v>852</v>
      </c>
      <c r="R600" s="34" t="n">
        <v>0.251824206147514</v>
      </c>
      <c r="S600" s="11" t="n">
        <v>35276.7</v>
      </c>
      <c r="T600" s="10" t="s">
        <v>1960</v>
      </c>
      <c r="U600" s="7" t="n">
        <v>14</v>
      </c>
      <c r="V600" s="12" t="s">
        <v>91</v>
      </c>
      <c r="W600" s="12" t="s">
        <v>79</v>
      </c>
      <c r="X600" s="12" t="s">
        <v>80</v>
      </c>
      <c r="Y600" s="10" t="s">
        <v>111</v>
      </c>
      <c r="Z600" s="7" t="s">
        <v>688</v>
      </c>
      <c r="AA600" s="7" t="n">
        <v>11</v>
      </c>
      <c r="AB600" s="9" t="n">
        <v>0.468574297188755</v>
      </c>
    </row>
    <row r="601" customFormat="false" ht="23.85" hidden="false" customHeight="false" outlineLevel="0" collapsed="false">
      <c r="A601" s="7" t="n">
        <v>597</v>
      </c>
      <c r="B601" s="12" t="s">
        <v>549</v>
      </c>
      <c r="C601" s="10" t="s">
        <v>1971</v>
      </c>
      <c r="D601" s="12" t="s">
        <v>33</v>
      </c>
      <c r="E601" s="12" t="s">
        <v>1972</v>
      </c>
      <c r="F601" s="10" t="s">
        <v>1973</v>
      </c>
      <c r="G601" s="12" t="s">
        <v>656</v>
      </c>
      <c r="H601" s="26" t="n">
        <v>17.628</v>
      </c>
      <c r="I601" s="7" t="n">
        <v>23</v>
      </c>
      <c r="J601" s="7" t="n">
        <v>55</v>
      </c>
      <c r="K601" s="11" t="n">
        <v>6450.54</v>
      </c>
      <c r="L601" s="10" t="s">
        <v>550</v>
      </c>
      <c r="M601" s="26" t="n">
        <v>17.628</v>
      </c>
      <c r="N601" s="12" t="s">
        <v>657</v>
      </c>
      <c r="O601" s="12" t="s">
        <v>102</v>
      </c>
      <c r="P601" s="10" t="s">
        <v>658</v>
      </c>
      <c r="Q601" s="30" t="s">
        <v>1974</v>
      </c>
      <c r="R601" s="34" t="n">
        <v>0.449896846448571</v>
      </c>
      <c r="S601" s="11" t="n">
        <v>2902.1</v>
      </c>
      <c r="T601" s="10" t="s">
        <v>1975</v>
      </c>
      <c r="U601" s="7" t="n">
        <v>2</v>
      </c>
      <c r="V601" s="12" t="s">
        <v>169</v>
      </c>
      <c r="W601" s="12" t="s">
        <v>79</v>
      </c>
      <c r="X601" s="12" t="s">
        <v>86</v>
      </c>
      <c r="Y601" s="10"/>
      <c r="Z601" s="7" t="s">
        <v>688</v>
      </c>
      <c r="AA601" s="7" t="n">
        <v>14</v>
      </c>
      <c r="AB601" s="9" t="n">
        <v>0.378404092560719</v>
      </c>
    </row>
    <row r="602" customFormat="false" ht="23.85" hidden="false" customHeight="false" outlineLevel="0" collapsed="false">
      <c r="A602" s="7" t="n">
        <v>598</v>
      </c>
      <c r="B602" s="12" t="s">
        <v>178</v>
      </c>
      <c r="C602" s="10" t="s">
        <v>1976</v>
      </c>
      <c r="D602" s="12" t="s">
        <v>33</v>
      </c>
      <c r="E602" s="12" t="s">
        <v>1397</v>
      </c>
      <c r="F602" s="10" t="s">
        <v>1977</v>
      </c>
      <c r="G602" s="12" t="s">
        <v>656</v>
      </c>
      <c r="H602" s="26" t="n">
        <v>62.2065</v>
      </c>
      <c r="I602" s="7" t="n">
        <v>26</v>
      </c>
      <c r="J602" s="7" t="n">
        <v>106</v>
      </c>
      <c r="K602" s="11" t="n">
        <v>7074.72</v>
      </c>
      <c r="L602" s="10" t="s">
        <v>179</v>
      </c>
      <c r="M602" s="26" t="n">
        <v>62.2065</v>
      </c>
      <c r="N602" s="12" t="s">
        <v>657</v>
      </c>
      <c r="O602" s="12" t="s">
        <v>102</v>
      </c>
      <c r="P602" s="10" t="s">
        <v>658</v>
      </c>
      <c r="Q602" s="30" t="s">
        <v>852</v>
      </c>
      <c r="R602" s="34" t="n">
        <v>0.9375</v>
      </c>
      <c r="S602" s="11" t="n">
        <v>6632.6</v>
      </c>
      <c r="T602" s="10" t="s">
        <v>1958</v>
      </c>
      <c r="U602" s="7" t="n">
        <v>4</v>
      </c>
      <c r="V602" s="12" t="s">
        <v>187</v>
      </c>
      <c r="W602" s="12" t="s">
        <v>79</v>
      </c>
      <c r="X602" s="12" t="s">
        <v>86</v>
      </c>
      <c r="Y602" s="10" t="s">
        <v>111</v>
      </c>
      <c r="Z602" s="7" t="s">
        <v>106</v>
      </c>
      <c r="AA602" s="7" t="n">
        <v>7</v>
      </c>
      <c r="AB602" s="9" t="n">
        <v>0.593024478867852</v>
      </c>
    </row>
    <row r="603" customFormat="false" ht="35.05" hidden="false" customHeight="false" outlineLevel="0" collapsed="false">
      <c r="A603" s="7" t="n">
        <v>599</v>
      </c>
      <c r="B603" s="12" t="s">
        <v>594</v>
      </c>
      <c r="C603" s="10" t="s">
        <v>1978</v>
      </c>
      <c r="D603" s="12" t="s">
        <v>33</v>
      </c>
      <c r="E603" s="12" t="s">
        <v>1979</v>
      </c>
      <c r="F603" s="10" t="s">
        <v>1953</v>
      </c>
      <c r="G603" s="12" t="s">
        <v>656</v>
      </c>
      <c r="H603" s="26" t="n">
        <v>36.2052</v>
      </c>
      <c r="I603" s="7" t="n">
        <v>26</v>
      </c>
      <c r="J603" s="7" t="n">
        <v>18</v>
      </c>
      <c r="K603" s="11" t="n">
        <v>77.4</v>
      </c>
      <c r="L603" s="10" t="s">
        <v>595</v>
      </c>
      <c r="M603" s="26" t="n">
        <v>36.2052</v>
      </c>
      <c r="N603" s="12" t="s">
        <v>657</v>
      </c>
      <c r="O603" s="12" t="s">
        <v>77</v>
      </c>
      <c r="P603" s="10" t="s">
        <v>658</v>
      </c>
      <c r="Q603" s="30" t="s">
        <v>852</v>
      </c>
      <c r="R603" s="34" t="n">
        <v>1</v>
      </c>
      <c r="S603" s="11" t="n">
        <v>77.4</v>
      </c>
      <c r="T603" s="10" t="s">
        <v>1955</v>
      </c>
      <c r="U603" s="7" t="n">
        <v>11</v>
      </c>
      <c r="V603" s="12" t="s">
        <v>109</v>
      </c>
      <c r="W603" s="12" t="s">
        <v>172</v>
      </c>
      <c r="X603" s="12" t="s">
        <v>86</v>
      </c>
      <c r="Y603" s="10"/>
      <c r="Z603" s="7" t="s">
        <v>688</v>
      </c>
      <c r="AA603" s="7" t="n">
        <v>17</v>
      </c>
      <c r="AB603" s="9" t="n">
        <v>0.281645630139606</v>
      </c>
    </row>
    <row r="604" customFormat="false" ht="35.05" hidden="false" customHeight="false" outlineLevel="0" collapsed="false">
      <c r="A604" s="7" t="n">
        <v>600</v>
      </c>
      <c r="B604" s="12" t="s">
        <v>247</v>
      </c>
      <c r="C604" s="10" t="s">
        <v>1980</v>
      </c>
      <c r="D604" s="12" t="s">
        <v>33</v>
      </c>
      <c r="E604" s="12" t="s">
        <v>1981</v>
      </c>
      <c r="F604" s="10" t="s">
        <v>1077</v>
      </c>
      <c r="G604" s="12" t="s">
        <v>656</v>
      </c>
      <c r="H604" s="26" t="n">
        <v>25.877</v>
      </c>
      <c r="I604" s="7" t="n">
        <v>28</v>
      </c>
      <c r="J604" s="7" t="n">
        <v>188</v>
      </c>
      <c r="K604" s="11" t="n">
        <v>262.84</v>
      </c>
      <c r="L604" s="10" t="s">
        <v>248</v>
      </c>
      <c r="M604" s="26" t="n">
        <v>25.877</v>
      </c>
      <c r="N604" s="12" t="s">
        <v>657</v>
      </c>
      <c r="O604" s="12" t="s">
        <v>102</v>
      </c>
      <c r="P604" s="10" t="s">
        <v>658</v>
      </c>
      <c r="Q604" s="30" t="s">
        <v>1982</v>
      </c>
      <c r="R604" s="34" t="n">
        <v>0.703571428571429</v>
      </c>
      <c r="S604" s="11" t="n">
        <v>184.9</v>
      </c>
      <c r="T604" s="10" t="s">
        <v>1950</v>
      </c>
      <c r="U604" s="7" t="n">
        <v>12</v>
      </c>
      <c r="V604" s="12" t="s">
        <v>593</v>
      </c>
      <c r="W604" s="12" t="s">
        <v>79</v>
      </c>
      <c r="X604" s="12" t="s">
        <v>86</v>
      </c>
      <c r="Y604" s="10"/>
      <c r="Z604" s="7" t="s">
        <v>688</v>
      </c>
      <c r="AA604" s="7" t="n">
        <v>15</v>
      </c>
      <c r="AB604" s="9" t="n">
        <v>0.374646203863071</v>
      </c>
    </row>
    <row r="605" customFormat="false" ht="23.85" hidden="false" customHeight="false" outlineLevel="0" collapsed="false">
      <c r="A605" s="7" t="n">
        <v>601</v>
      </c>
      <c r="B605" s="12" t="s">
        <v>391</v>
      </c>
      <c r="C605" s="10" t="s">
        <v>1943</v>
      </c>
      <c r="D605" s="12" t="s">
        <v>33</v>
      </c>
      <c r="E605" s="12" t="s">
        <v>1612</v>
      </c>
      <c r="F605" s="10" t="s">
        <v>1983</v>
      </c>
      <c r="G605" s="12" t="s">
        <v>656</v>
      </c>
      <c r="H605" s="26" t="n">
        <v>18.7806</v>
      </c>
      <c r="I605" s="7" t="n">
        <v>6</v>
      </c>
      <c r="J605" s="7" t="n">
        <v>208</v>
      </c>
      <c r="K605" s="11" t="n">
        <v>3923.58</v>
      </c>
      <c r="L605" s="10" t="s">
        <v>241</v>
      </c>
      <c r="M605" s="26" t="n">
        <v>18.7806</v>
      </c>
      <c r="N605" s="12" t="s">
        <v>657</v>
      </c>
      <c r="O605" s="12" t="s">
        <v>153</v>
      </c>
      <c r="P605" s="10" t="s">
        <v>658</v>
      </c>
      <c r="Q605" s="30" t="s">
        <v>1984</v>
      </c>
      <c r="R605" s="34" t="n">
        <v>1</v>
      </c>
      <c r="S605" s="11" t="n">
        <v>3923.6</v>
      </c>
      <c r="T605" s="10" t="s">
        <v>1947</v>
      </c>
      <c r="U605" s="7" t="n">
        <v>5</v>
      </c>
      <c r="V605" s="12" t="s">
        <v>187</v>
      </c>
      <c r="W605" s="12" t="s">
        <v>79</v>
      </c>
      <c r="X605" s="12" t="s">
        <v>80</v>
      </c>
      <c r="Y605" s="10" t="s">
        <v>111</v>
      </c>
      <c r="Z605" s="7" t="s">
        <v>688</v>
      </c>
      <c r="AA605" s="7" t="n">
        <v>16</v>
      </c>
      <c r="AB605" s="9" t="n">
        <v>0.348737808376363</v>
      </c>
    </row>
    <row r="606" customFormat="false" ht="46.25" hidden="false" customHeight="false" outlineLevel="0" collapsed="false">
      <c r="A606" s="7" t="n">
        <v>602</v>
      </c>
      <c r="B606" s="12" t="s">
        <v>148</v>
      </c>
      <c r="C606" s="10" t="s">
        <v>1985</v>
      </c>
      <c r="D606" s="12" t="s">
        <v>33</v>
      </c>
      <c r="E606" s="12" t="s">
        <v>929</v>
      </c>
      <c r="F606" s="10" t="s">
        <v>1986</v>
      </c>
      <c r="G606" s="12" t="s">
        <v>656</v>
      </c>
      <c r="H606" s="26" t="n">
        <v>6.45575</v>
      </c>
      <c r="I606" s="7" t="n">
        <v>1</v>
      </c>
      <c r="J606" s="7" t="n">
        <v>1185</v>
      </c>
      <c r="K606" s="11" t="n">
        <v>59407.06</v>
      </c>
      <c r="L606" s="10" t="s">
        <v>149</v>
      </c>
      <c r="M606" s="26" t="n">
        <v>6.45575</v>
      </c>
      <c r="N606" s="12" t="s">
        <v>657</v>
      </c>
      <c r="O606" s="12" t="s">
        <v>77</v>
      </c>
      <c r="P606" s="10" t="s">
        <v>658</v>
      </c>
      <c r="Q606" s="30" t="s">
        <v>1987</v>
      </c>
      <c r="R606" s="34" t="n">
        <v>0.991808067465962</v>
      </c>
      <c r="S606" s="11" t="n">
        <v>58920.4</v>
      </c>
      <c r="T606" s="10" t="s">
        <v>1961</v>
      </c>
      <c r="U606" s="7" t="n">
        <v>18</v>
      </c>
      <c r="V606" s="12" t="s">
        <v>190</v>
      </c>
      <c r="W606" s="12" t="s">
        <v>79</v>
      </c>
      <c r="X606" s="12" t="s">
        <v>671</v>
      </c>
      <c r="Y606" s="10" t="s">
        <v>111</v>
      </c>
      <c r="Z606" s="7" t="s">
        <v>74</v>
      </c>
      <c r="AA606" s="7" t="n">
        <v>5</v>
      </c>
      <c r="AB606" s="9" t="n">
        <v>0.611230636833047</v>
      </c>
    </row>
    <row r="607" customFormat="false" ht="46.25" hidden="false" customHeight="false" outlineLevel="0" collapsed="false">
      <c r="A607" s="7" t="n">
        <v>603</v>
      </c>
      <c r="B607" s="12" t="s">
        <v>148</v>
      </c>
      <c r="C607" s="10" t="s">
        <v>1985</v>
      </c>
      <c r="D607" s="12" t="s">
        <v>33</v>
      </c>
      <c r="E607" s="12" t="s">
        <v>932</v>
      </c>
      <c r="F607" s="10" t="s">
        <v>1988</v>
      </c>
      <c r="G607" s="12" t="s">
        <v>656</v>
      </c>
      <c r="H607" s="26" t="n">
        <v>12.9115</v>
      </c>
      <c r="I607" s="7" t="n">
        <v>1</v>
      </c>
      <c r="J607" s="7" t="n">
        <v>1185</v>
      </c>
      <c r="K607" s="11" t="n">
        <v>59407.06</v>
      </c>
      <c r="L607" s="10" t="s">
        <v>149</v>
      </c>
      <c r="M607" s="26" t="n">
        <v>12.9115</v>
      </c>
      <c r="N607" s="12" t="s">
        <v>657</v>
      </c>
      <c r="O607" s="12" t="s">
        <v>77</v>
      </c>
      <c r="P607" s="10" t="s">
        <v>658</v>
      </c>
      <c r="Q607" s="30" t="s">
        <v>1987</v>
      </c>
      <c r="R607" s="34" t="n">
        <v>0.991808067465962</v>
      </c>
      <c r="S607" s="11" t="n">
        <v>58920.4</v>
      </c>
      <c r="T607" s="10" t="s">
        <v>1961</v>
      </c>
      <c r="U607" s="7" t="n">
        <v>18</v>
      </c>
      <c r="V607" s="12" t="s">
        <v>190</v>
      </c>
      <c r="W607" s="12" t="s">
        <v>79</v>
      </c>
      <c r="X607" s="12" t="s">
        <v>671</v>
      </c>
      <c r="Y607" s="10" t="s">
        <v>111</v>
      </c>
      <c r="Z607" s="7" t="s">
        <v>74</v>
      </c>
      <c r="AA607" s="7" t="n">
        <v>5</v>
      </c>
      <c r="AB607" s="9" t="n">
        <v>0.611230636833047</v>
      </c>
    </row>
    <row r="608" customFormat="false" ht="23.85" hidden="false" customHeight="false" outlineLevel="0" collapsed="false">
      <c r="A608" s="7" t="n">
        <v>604</v>
      </c>
      <c r="B608" s="12" t="s">
        <v>128</v>
      </c>
      <c r="C608" s="10" t="s">
        <v>1989</v>
      </c>
      <c r="D608" s="12" t="s">
        <v>33</v>
      </c>
      <c r="E608" s="12" t="s">
        <v>1289</v>
      </c>
      <c r="F608" s="10" t="s">
        <v>1990</v>
      </c>
      <c r="G608" s="12" t="s">
        <v>656</v>
      </c>
      <c r="H608" s="26" t="n">
        <v>265.643</v>
      </c>
      <c r="I608" s="7" t="n">
        <v>1</v>
      </c>
      <c r="J608" s="7" t="n">
        <v>257</v>
      </c>
      <c r="K608" s="11" t="n">
        <v>4183.29</v>
      </c>
      <c r="L608" s="10" t="s">
        <v>129</v>
      </c>
      <c r="M608" s="26" t="n">
        <v>265.643</v>
      </c>
      <c r="N608" s="12" t="s">
        <v>657</v>
      </c>
      <c r="O608" s="12" t="s">
        <v>77</v>
      </c>
      <c r="P608" s="10" t="s">
        <v>658</v>
      </c>
      <c r="Q608" s="30" t="s">
        <v>944</v>
      </c>
      <c r="R608" s="34" t="n">
        <v>0.689888576486515</v>
      </c>
      <c r="S608" s="11" t="n">
        <v>2886</v>
      </c>
      <c r="T608" s="10" t="s">
        <v>1965</v>
      </c>
      <c r="U608" s="7" t="n">
        <v>9</v>
      </c>
      <c r="V608" s="12" t="s">
        <v>191</v>
      </c>
      <c r="W608" s="12" t="s">
        <v>79</v>
      </c>
      <c r="X608" s="12" t="s">
        <v>86</v>
      </c>
      <c r="Y608" s="10" t="s">
        <v>81</v>
      </c>
      <c r="Z608" s="7" t="s">
        <v>106</v>
      </c>
      <c r="AA608" s="7" t="n">
        <v>6</v>
      </c>
      <c r="AB608" s="9" t="n">
        <v>0.610556511761331</v>
      </c>
    </row>
    <row r="609" customFormat="false" ht="23.85" hidden="false" customHeight="false" outlineLevel="0" collapsed="false">
      <c r="A609" s="7" t="n">
        <v>605</v>
      </c>
      <c r="B609" s="12" t="s">
        <v>195</v>
      </c>
      <c r="C609" s="10" t="s">
        <v>1991</v>
      </c>
      <c r="D609" s="12" t="s">
        <v>33</v>
      </c>
      <c r="E609" s="12" t="s">
        <v>934</v>
      </c>
      <c r="F609" s="10" t="s">
        <v>1992</v>
      </c>
      <c r="G609" s="12" t="s">
        <v>656</v>
      </c>
      <c r="H609" s="26" t="n">
        <v>24.4146</v>
      </c>
      <c r="I609" s="7" t="n">
        <v>1</v>
      </c>
      <c r="J609" s="7" t="n">
        <v>307</v>
      </c>
      <c r="K609" s="11" t="n">
        <v>7276.73</v>
      </c>
      <c r="L609" s="10" t="s">
        <v>196</v>
      </c>
      <c r="M609" s="26" t="n">
        <v>24.4146</v>
      </c>
      <c r="N609" s="12" t="s">
        <v>657</v>
      </c>
      <c r="O609" s="12" t="s">
        <v>77</v>
      </c>
      <c r="P609" s="10" t="s">
        <v>658</v>
      </c>
      <c r="Q609" s="30" t="s">
        <v>1993</v>
      </c>
      <c r="R609" s="34" t="n">
        <v>0.947368421052632</v>
      </c>
      <c r="S609" s="11" t="n">
        <v>6893.7</v>
      </c>
      <c r="T609" s="10" t="s">
        <v>948</v>
      </c>
      <c r="U609" s="7" t="n">
        <v>1</v>
      </c>
      <c r="V609" s="12" t="s">
        <v>126</v>
      </c>
      <c r="W609" s="12" t="s">
        <v>79</v>
      </c>
      <c r="X609" s="12" t="s">
        <v>86</v>
      </c>
      <c r="Y609" s="10"/>
      <c r="Z609" s="7" t="s">
        <v>106</v>
      </c>
      <c r="AA609" s="7" t="n">
        <v>9</v>
      </c>
      <c r="AB609" s="9" t="n">
        <v>0.549598393574297</v>
      </c>
    </row>
    <row r="610" customFormat="false" ht="79.85" hidden="false" customHeight="false" outlineLevel="0" collapsed="false">
      <c r="A610" s="7" t="n">
        <v>606</v>
      </c>
      <c r="B610" s="12" t="s">
        <v>89</v>
      </c>
      <c r="C610" s="10" t="s">
        <v>1994</v>
      </c>
      <c r="D610" s="12" t="s">
        <v>33</v>
      </c>
      <c r="E610" s="12" t="s">
        <v>1184</v>
      </c>
      <c r="F610" s="10" t="s">
        <v>1995</v>
      </c>
      <c r="G610" s="12" t="s">
        <v>656</v>
      </c>
      <c r="H610" s="26" t="n">
        <v>981.694</v>
      </c>
      <c r="I610" s="7" t="n">
        <v>1</v>
      </c>
      <c r="J610" s="7" t="n">
        <v>905</v>
      </c>
      <c r="K610" s="11" t="n">
        <v>28093.38</v>
      </c>
      <c r="L610" s="10" t="s">
        <v>90</v>
      </c>
      <c r="M610" s="26" t="n">
        <v>981.694</v>
      </c>
      <c r="N610" s="12" t="s">
        <v>657</v>
      </c>
      <c r="O610" s="12" t="s">
        <v>77</v>
      </c>
      <c r="P610" s="10" t="s">
        <v>658</v>
      </c>
      <c r="Q610" s="30" t="s">
        <v>944</v>
      </c>
      <c r="R610" s="34" t="n">
        <v>1</v>
      </c>
      <c r="S610" s="11" t="n">
        <v>28093.4</v>
      </c>
      <c r="T610" s="10" t="s">
        <v>1942</v>
      </c>
      <c r="U610" s="7" t="n">
        <v>34</v>
      </c>
      <c r="V610" s="12" t="s">
        <v>130</v>
      </c>
      <c r="W610" s="12" t="s">
        <v>79</v>
      </c>
      <c r="X610" s="12" t="s">
        <v>86</v>
      </c>
      <c r="Y610" s="10" t="s">
        <v>81</v>
      </c>
      <c r="Z610" s="7" t="s">
        <v>74</v>
      </c>
      <c r="AA610" s="7" t="n">
        <v>1</v>
      </c>
      <c r="AB610" s="9" t="n">
        <v>0.880211321476382</v>
      </c>
    </row>
    <row r="611" customFormat="false" ht="23.85" hidden="false" customHeight="false" outlineLevel="0" collapsed="false">
      <c r="A611" s="7" t="n">
        <v>607</v>
      </c>
      <c r="B611" s="12" t="s">
        <v>192</v>
      </c>
      <c r="C611" s="10" t="s">
        <v>1996</v>
      </c>
      <c r="D611" s="12" t="s">
        <v>33</v>
      </c>
      <c r="E611" s="12" t="s">
        <v>1315</v>
      </c>
      <c r="F611" s="10" t="s">
        <v>1997</v>
      </c>
      <c r="G611" s="12" t="s">
        <v>1998</v>
      </c>
      <c r="H611" s="26" t="n">
        <v>176.652</v>
      </c>
      <c r="I611" s="7" t="n">
        <v>1</v>
      </c>
      <c r="J611" s="7" t="n">
        <v>1331</v>
      </c>
      <c r="K611" s="11" t="n">
        <v>23317.34</v>
      </c>
      <c r="L611" s="10" t="s">
        <v>193</v>
      </c>
      <c r="M611" s="26" t="n">
        <v>176.652</v>
      </c>
      <c r="N611" s="12" t="s">
        <v>657</v>
      </c>
      <c r="O611" s="12" t="s">
        <v>102</v>
      </c>
      <c r="P611" s="10" t="s">
        <v>658</v>
      </c>
      <c r="Q611" s="30" t="s">
        <v>976</v>
      </c>
      <c r="R611" s="34" t="n">
        <v>0.0847700746550087</v>
      </c>
      <c r="S611" s="11" t="n">
        <v>1976.6</v>
      </c>
      <c r="T611" s="10" t="s">
        <v>1936</v>
      </c>
      <c r="U611" s="7" t="n">
        <v>2</v>
      </c>
      <c r="V611" s="12" t="s">
        <v>194</v>
      </c>
      <c r="W611" s="12" t="s">
        <v>79</v>
      </c>
      <c r="X611" s="12" t="s">
        <v>80</v>
      </c>
      <c r="Y611" s="10" t="s">
        <v>111</v>
      </c>
      <c r="Z611" s="7" t="s">
        <v>106</v>
      </c>
      <c r="AA611" s="7" t="n">
        <v>8</v>
      </c>
      <c r="AB611" s="9" t="n">
        <v>0.559595524956971</v>
      </c>
    </row>
    <row r="612" customFormat="false" ht="23.85" hidden="false" customHeight="false" outlineLevel="0" collapsed="false">
      <c r="A612" s="7" t="n">
        <v>608</v>
      </c>
      <c r="B612" s="12" t="s">
        <v>192</v>
      </c>
      <c r="C612" s="10" t="s">
        <v>1996</v>
      </c>
      <c r="D612" s="12" t="s">
        <v>33</v>
      </c>
      <c r="E612" s="12" t="s">
        <v>1760</v>
      </c>
      <c r="F612" s="10" t="s">
        <v>1999</v>
      </c>
      <c r="G612" s="12" t="s">
        <v>1998</v>
      </c>
      <c r="H612" s="26" t="n">
        <v>220.822</v>
      </c>
      <c r="I612" s="7" t="n">
        <v>1</v>
      </c>
      <c r="J612" s="7" t="n">
        <v>1331</v>
      </c>
      <c r="K612" s="11" t="n">
        <v>23317.34</v>
      </c>
      <c r="L612" s="10" t="s">
        <v>193</v>
      </c>
      <c r="M612" s="26" t="n">
        <v>220.822</v>
      </c>
      <c r="N612" s="12" t="s">
        <v>657</v>
      </c>
      <c r="O612" s="12" t="s">
        <v>77</v>
      </c>
      <c r="P612" s="10" t="s">
        <v>658</v>
      </c>
      <c r="Q612" s="30" t="s">
        <v>976</v>
      </c>
      <c r="R612" s="34" t="n">
        <v>0.0847700746550087</v>
      </c>
      <c r="S612" s="11" t="n">
        <v>1976.6</v>
      </c>
      <c r="T612" s="10" t="s">
        <v>1936</v>
      </c>
      <c r="U612" s="7" t="n">
        <v>2</v>
      </c>
      <c r="V612" s="12" t="s">
        <v>194</v>
      </c>
      <c r="W612" s="12" t="s">
        <v>79</v>
      </c>
      <c r="X612" s="12" t="s">
        <v>80</v>
      </c>
      <c r="Y612" s="10" t="s">
        <v>111</v>
      </c>
      <c r="Z612" s="7" t="s">
        <v>106</v>
      </c>
      <c r="AA612" s="7" t="n">
        <v>8</v>
      </c>
      <c r="AB612" s="9" t="n">
        <v>0.559595524956971</v>
      </c>
    </row>
    <row r="613" customFormat="false" ht="35.05" hidden="false" customHeight="false" outlineLevel="0" collapsed="false">
      <c r="A613" s="7" t="n">
        <v>609</v>
      </c>
      <c r="B613" s="12" t="s">
        <v>247</v>
      </c>
      <c r="C613" s="10" t="s">
        <v>2000</v>
      </c>
      <c r="D613" s="12" t="s">
        <v>33</v>
      </c>
      <c r="E613" s="12" t="s">
        <v>2001</v>
      </c>
      <c r="F613" s="10" t="s">
        <v>2002</v>
      </c>
      <c r="G613" s="12" t="s">
        <v>656</v>
      </c>
      <c r="H613" s="26" t="n">
        <v>52.717</v>
      </c>
      <c r="I613" s="7" t="n">
        <v>1</v>
      </c>
      <c r="J613" s="7" t="n">
        <v>188</v>
      </c>
      <c r="K613" s="11" t="n">
        <v>262.84</v>
      </c>
      <c r="L613" s="10" t="s">
        <v>248</v>
      </c>
      <c r="M613" s="26" t="n">
        <v>52.717</v>
      </c>
      <c r="N613" s="12" t="s">
        <v>657</v>
      </c>
      <c r="O613" s="12" t="s">
        <v>77</v>
      </c>
      <c r="P613" s="10" t="s">
        <v>658</v>
      </c>
      <c r="Q613" s="30" t="s">
        <v>976</v>
      </c>
      <c r="R613" s="34" t="n">
        <v>0.703571428571429</v>
      </c>
      <c r="S613" s="11" t="n">
        <v>184.9</v>
      </c>
      <c r="T613" s="10" t="s">
        <v>1950</v>
      </c>
      <c r="U613" s="7" t="n">
        <v>12</v>
      </c>
      <c r="V613" s="12" t="s">
        <v>593</v>
      </c>
      <c r="W613" s="12" t="s">
        <v>79</v>
      </c>
      <c r="X613" s="12" t="s">
        <v>86</v>
      </c>
      <c r="Y613" s="10"/>
      <c r="Z613" s="7" t="s">
        <v>688</v>
      </c>
      <c r="AA613" s="7" t="n">
        <v>15</v>
      </c>
      <c r="AB613" s="9" t="n">
        <v>0.374646203863071</v>
      </c>
    </row>
    <row r="614" customFormat="false" ht="23.85" hidden="false" customHeight="false" outlineLevel="0" collapsed="false">
      <c r="A614" s="7" t="n">
        <v>610</v>
      </c>
      <c r="B614" s="12" t="s">
        <v>197</v>
      </c>
      <c r="C614" s="10" t="s">
        <v>2003</v>
      </c>
      <c r="D614" s="12" t="s">
        <v>33</v>
      </c>
      <c r="E614" s="12" t="s">
        <v>2004</v>
      </c>
      <c r="F614" s="10" t="s">
        <v>1048</v>
      </c>
      <c r="G614" s="12" t="s">
        <v>656</v>
      </c>
      <c r="H614" s="26" t="n">
        <v>14.546</v>
      </c>
      <c r="I614" s="7" t="n">
        <v>1</v>
      </c>
      <c r="J614" s="7" t="n">
        <v>344</v>
      </c>
      <c r="K614" s="11" t="n">
        <v>8758.04</v>
      </c>
      <c r="L614" s="10" t="s">
        <v>198</v>
      </c>
      <c r="M614" s="26" t="n">
        <v>14.546</v>
      </c>
      <c r="N614" s="12" t="s">
        <v>657</v>
      </c>
      <c r="O614" s="12" t="s">
        <v>77</v>
      </c>
      <c r="P614" s="10" t="s">
        <v>658</v>
      </c>
      <c r="Q614" s="30" t="s">
        <v>976</v>
      </c>
      <c r="R614" s="34" t="n">
        <v>0.981298701298701</v>
      </c>
      <c r="S614" s="11" t="n">
        <v>8594.3</v>
      </c>
      <c r="T614" s="10" t="s">
        <v>2005</v>
      </c>
      <c r="U614" s="7" t="n">
        <v>7</v>
      </c>
      <c r="V614" s="12" t="s">
        <v>199</v>
      </c>
      <c r="W614" s="12" t="s">
        <v>172</v>
      </c>
      <c r="X614" s="12" t="s">
        <v>86</v>
      </c>
      <c r="Y614" s="10"/>
      <c r="Z614" s="7" t="s">
        <v>106</v>
      </c>
      <c r="AA614" s="7" t="n">
        <v>10</v>
      </c>
      <c r="AB614" s="9" t="n">
        <v>0.503853509275196</v>
      </c>
    </row>
    <row r="615" customFormat="false" ht="23.85" hidden="false" customHeight="false" outlineLevel="0" collapsed="false">
      <c r="A615" s="7" t="n">
        <v>611</v>
      </c>
      <c r="B615" s="12" t="s">
        <v>391</v>
      </c>
      <c r="C615" s="10" t="s">
        <v>1943</v>
      </c>
      <c r="D615" s="12" t="s">
        <v>33</v>
      </c>
      <c r="E615" s="12" t="s">
        <v>1751</v>
      </c>
      <c r="F615" s="10" t="s">
        <v>2006</v>
      </c>
      <c r="G615" s="12" t="s">
        <v>656</v>
      </c>
      <c r="H615" s="26"/>
      <c r="I615" s="7" t="n">
        <v>1</v>
      </c>
      <c r="J615" s="7" t="n">
        <v>208</v>
      </c>
      <c r="K615" s="11" t="n">
        <v>3923.58</v>
      </c>
      <c r="L615" s="10" t="s">
        <v>241</v>
      </c>
      <c r="M615" s="26"/>
      <c r="N615" s="12" t="s">
        <v>701</v>
      </c>
      <c r="O615" s="12" t="s">
        <v>323</v>
      </c>
      <c r="P615" s="10" t="s">
        <v>323</v>
      </c>
      <c r="Q615" s="12"/>
      <c r="R615" s="34" t="n">
        <v>1</v>
      </c>
      <c r="S615" s="11" t="n">
        <v>3923.6</v>
      </c>
      <c r="T615" s="10" t="s">
        <v>1947</v>
      </c>
      <c r="U615" s="7" t="n">
        <v>5</v>
      </c>
      <c r="V615" s="12" t="s">
        <v>187</v>
      </c>
      <c r="W615" s="12" t="s">
        <v>79</v>
      </c>
      <c r="X615" s="12" t="s">
        <v>80</v>
      </c>
      <c r="Y615" s="10" t="s">
        <v>111</v>
      </c>
      <c r="Z615" s="7" t="s">
        <v>688</v>
      </c>
      <c r="AA615" s="7" t="n">
        <v>16</v>
      </c>
      <c r="AB615" s="9" t="n">
        <v>0.348737808376363</v>
      </c>
    </row>
    <row r="616" customFormat="false" ht="35.05" hidden="false" customHeight="false" outlineLevel="0" collapsed="false">
      <c r="A616" s="7" t="n">
        <v>612</v>
      </c>
      <c r="B616" s="12" t="s">
        <v>473</v>
      </c>
      <c r="C616" s="10" t="s">
        <v>2007</v>
      </c>
      <c r="D616" s="12" t="s">
        <v>33</v>
      </c>
      <c r="E616" s="12" t="s">
        <v>2008</v>
      </c>
      <c r="F616" s="10" t="s">
        <v>2009</v>
      </c>
      <c r="G616" s="12" t="s">
        <v>656</v>
      </c>
      <c r="H616" s="26"/>
      <c r="I616" s="7" t="n">
        <v>1</v>
      </c>
      <c r="J616" s="7" t="n">
        <v>3168</v>
      </c>
      <c r="K616" s="11" t="n">
        <v>130453.11</v>
      </c>
      <c r="L616" s="10" t="s">
        <v>474</v>
      </c>
      <c r="M616" s="26"/>
      <c r="N616" s="12" t="s">
        <v>701</v>
      </c>
      <c r="O616" s="12" t="s">
        <v>323</v>
      </c>
      <c r="P616" s="10" t="s">
        <v>323</v>
      </c>
      <c r="Q616" s="12"/>
      <c r="R616" s="34" t="n">
        <v>0.103608949323645</v>
      </c>
      <c r="S616" s="11" t="n">
        <v>13516.1</v>
      </c>
      <c r="T616" s="10" t="s">
        <v>1963</v>
      </c>
      <c r="U616" s="7" t="n">
        <v>10</v>
      </c>
      <c r="V616" s="12" t="s">
        <v>475</v>
      </c>
      <c r="W616" s="12" t="s">
        <v>79</v>
      </c>
      <c r="X616" s="12" t="s">
        <v>80</v>
      </c>
      <c r="Y616" s="10" t="s">
        <v>111</v>
      </c>
      <c r="Z616" s="7" t="s">
        <v>688</v>
      </c>
      <c r="AA616" s="7" t="n">
        <v>13</v>
      </c>
      <c r="AB616" s="9" t="n">
        <v>0.434217823675655</v>
      </c>
    </row>
    <row r="617" customFormat="false" ht="46.25" hidden="false" customHeight="false" outlineLevel="0" collapsed="false">
      <c r="A617" s="7" t="n">
        <v>613</v>
      </c>
      <c r="B617" s="12" t="s">
        <v>148</v>
      </c>
      <c r="C617" s="10" t="s">
        <v>1969</v>
      </c>
      <c r="D617" s="12" t="s">
        <v>33</v>
      </c>
      <c r="E617" s="12" t="s">
        <v>1773</v>
      </c>
      <c r="F617" s="10" t="s">
        <v>1774</v>
      </c>
      <c r="G617" s="12" t="s">
        <v>656</v>
      </c>
      <c r="H617" s="26" t="n">
        <v>23.422</v>
      </c>
      <c r="I617" s="7" t="n">
        <v>1</v>
      </c>
      <c r="J617" s="7" t="n">
        <v>1185</v>
      </c>
      <c r="K617" s="11" t="n">
        <v>59407.06</v>
      </c>
      <c r="L617" s="10" t="s">
        <v>149</v>
      </c>
      <c r="M617" s="26" t="n">
        <v>23.422</v>
      </c>
      <c r="N617" s="12" t="s">
        <v>657</v>
      </c>
      <c r="O617" s="12" t="s">
        <v>77</v>
      </c>
      <c r="P617" s="10" t="s">
        <v>658</v>
      </c>
      <c r="Q617" s="30" t="s">
        <v>1775</v>
      </c>
      <c r="R617" s="34" t="n">
        <v>0.991808067465962</v>
      </c>
      <c r="S617" s="11" t="n">
        <v>58920.4</v>
      </c>
      <c r="T617" s="10" t="s">
        <v>1961</v>
      </c>
      <c r="U617" s="7" t="n">
        <v>18</v>
      </c>
      <c r="V617" s="12" t="s">
        <v>190</v>
      </c>
      <c r="W617" s="12" t="s">
        <v>79</v>
      </c>
      <c r="X617" s="12" t="s">
        <v>80</v>
      </c>
      <c r="Y617" s="10" t="s">
        <v>111</v>
      </c>
      <c r="Z617" s="7" t="s">
        <v>74</v>
      </c>
      <c r="AA617" s="7" t="n">
        <v>5</v>
      </c>
      <c r="AB617" s="9" t="n">
        <v>0.611230636833047</v>
      </c>
    </row>
    <row r="618" customFormat="false" ht="46.25" hidden="false" customHeight="false" outlineLevel="0" collapsed="false">
      <c r="A618" s="7" t="n">
        <v>614</v>
      </c>
      <c r="B618" s="12" t="s">
        <v>148</v>
      </c>
      <c r="C618" s="10" t="s">
        <v>1969</v>
      </c>
      <c r="D618" s="12" t="s">
        <v>33</v>
      </c>
      <c r="E618" s="12" t="s">
        <v>963</v>
      </c>
      <c r="F618" s="10" t="s">
        <v>964</v>
      </c>
      <c r="G618" s="12" t="s">
        <v>656</v>
      </c>
      <c r="H618" s="26" t="n">
        <v>9.107</v>
      </c>
      <c r="I618" s="7" t="n">
        <v>1</v>
      </c>
      <c r="J618" s="7" t="n">
        <v>1185</v>
      </c>
      <c r="K618" s="11" t="n">
        <v>59407.06</v>
      </c>
      <c r="L618" s="10" t="s">
        <v>149</v>
      </c>
      <c r="M618" s="26" t="n">
        <v>9.107</v>
      </c>
      <c r="N618" s="12" t="s">
        <v>657</v>
      </c>
      <c r="O618" s="12" t="s">
        <v>102</v>
      </c>
      <c r="P618" s="10" t="s">
        <v>658</v>
      </c>
      <c r="Q618" s="30" t="s">
        <v>1772</v>
      </c>
      <c r="R618" s="34" t="n">
        <v>0.991808067465962</v>
      </c>
      <c r="S618" s="11" t="n">
        <v>58920.4</v>
      </c>
      <c r="T618" s="10" t="s">
        <v>1961</v>
      </c>
      <c r="U618" s="7" t="n">
        <v>18</v>
      </c>
      <c r="V618" s="12" t="s">
        <v>190</v>
      </c>
      <c r="W618" s="12" t="s">
        <v>79</v>
      </c>
      <c r="X618" s="12" t="s">
        <v>80</v>
      </c>
      <c r="Y618" s="10" t="s">
        <v>111</v>
      </c>
      <c r="Z618" s="7" t="s">
        <v>74</v>
      </c>
      <c r="AA618" s="7" t="n">
        <v>5</v>
      </c>
      <c r="AB618" s="9" t="n">
        <v>0.611230636833047</v>
      </c>
    </row>
    <row r="619" customFormat="false" ht="23.85" hidden="false" customHeight="false" outlineLevel="0" collapsed="false">
      <c r="A619" s="7" t="n">
        <v>615</v>
      </c>
      <c r="B619" s="12" t="s">
        <v>117</v>
      </c>
      <c r="C619" s="10" t="s">
        <v>2010</v>
      </c>
      <c r="D619" s="12" t="s">
        <v>33</v>
      </c>
      <c r="E619" s="12" t="s">
        <v>2011</v>
      </c>
      <c r="F619" s="10" t="s">
        <v>1080</v>
      </c>
      <c r="G619" s="12" t="s">
        <v>656</v>
      </c>
      <c r="H619" s="26" t="n">
        <v>11.71</v>
      </c>
      <c r="I619" s="7" t="n">
        <v>1</v>
      </c>
      <c r="J619" s="7" t="n">
        <v>346</v>
      </c>
      <c r="K619" s="11" t="n">
        <v>32830.17</v>
      </c>
      <c r="L619" s="10" t="s">
        <v>118</v>
      </c>
      <c r="M619" s="26" t="n">
        <v>11.71</v>
      </c>
      <c r="N619" s="12" t="s">
        <v>657</v>
      </c>
      <c r="O619" s="12" t="s">
        <v>77</v>
      </c>
      <c r="P619" s="10" t="s">
        <v>1069</v>
      </c>
      <c r="Q619" s="30" t="s">
        <v>2012</v>
      </c>
      <c r="R619" s="34" t="n">
        <v>1</v>
      </c>
      <c r="S619" s="11" t="n">
        <v>32830.2</v>
      </c>
      <c r="T619" s="10" t="s">
        <v>1932</v>
      </c>
      <c r="U619" s="7" t="n">
        <v>7</v>
      </c>
      <c r="V619" s="12" t="s">
        <v>188</v>
      </c>
      <c r="W619" s="12" t="s">
        <v>79</v>
      </c>
      <c r="X619" s="12" t="s">
        <v>86</v>
      </c>
      <c r="Y619" s="10"/>
      <c r="Z619" s="7" t="s">
        <v>74</v>
      </c>
      <c r="AA619" s="7" t="n">
        <v>3</v>
      </c>
      <c r="AB619" s="9" t="n">
        <v>0.712650602409639</v>
      </c>
    </row>
    <row r="620" customFormat="false" ht="79.85" hidden="false" customHeight="false" outlineLevel="0" collapsed="false">
      <c r="A620" s="7" t="n">
        <v>616</v>
      </c>
      <c r="B620" s="12" t="s">
        <v>89</v>
      </c>
      <c r="C620" s="10" t="s">
        <v>2013</v>
      </c>
      <c r="D620" s="12" t="s">
        <v>33</v>
      </c>
      <c r="E620" s="12" t="s">
        <v>1083</v>
      </c>
      <c r="F620" s="10" t="s">
        <v>1217</v>
      </c>
      <c r="G620" s="12" t="s">
        <v>656</v>
      </c>
      <c r="H620" s="26" t="n">
        <v>116.14</v>
      </c>
      <c r="I620" s="7" t="n">
        <v>1</v>
      </c>
      <c r="J620" s="7" t="n">
        <v>905</v>
      </c>
      <c r="K620" s="11" t="n">
        <v>28093.38</v>
      </c>
      <c r="L620" s="10" t="s">
        <v>90</v>
      </c>
      <c r="M620" s="26" t="n">
        <v>116.14</v>
      </c>
      <c r="N620" s="12" t="s">
        <v>657</v>
      </c>
      <c r="O620" s="12" t="s">
        <v>77</v>
      </c>
      <c r="P620" s="10" t="s">
        <v>1069</v>
      </c>
      <c r="Q620" s="30" t="s">
        <v>2014</v>
      </c>
      <c r="R620" s="34" t="n">
        <v>1</v>
      </c>
      <c r="S620" s="11" t="n">
        <v>28093.4</v>
      </c>
      <c r="T620" s="10" t="s">
        <v>1942</v>
      </c>
      <c r="U620" s="7" t="n">
        <v>34</v>
      </c>
      <c r="V620" s="12" t="s">
        <v>130</v>
      </c>
      <c r="W620" s="12" t="s">
        <v>79</v>
      </c>
      <c r="X620" s="12" t="s">
        <v>86</v>
      </c>
      <c r="Y620" s="10" t="s">
        <v>81</v>
      </c>
      <c r="Z620" s="7" t="s">
        <v>74</v>
      </c>
      <c r="AA620" s="7" t="n">
        <v>1</v>
      </c>
      <c r="AB620" s="9" t="n">
        <v>0.880211321476382</v>
      </c>
    </row>
    <row r="621" customFormat="false" ht="23.85" hidden="false" customHeight="false" outlineLevel="0" collapsed="false">
      <c r="A621" s="7" t="n">
        <v>617</v>
      </c>
      <c r="B621" s="12" t="s">
        <v>391</v>
      </c>
      <c r="C621" s="10" t="s">
        <v>2015</v>
      </c>
      <c r="D621" s="12" t="s">
        <v>33</v>
      </c>
      <c r="E621" s="12" t="s">
        <v>2016</v>
      </c>
      <c r="F621" s="10" t="s">
        <v>2017</v>
      </c>
      <c r="G621" s="12" t="s">
        <v>656</v>
      </c>
      <c r="H621" s="26" t="n">
        <v>5.15</v>
      </c>
      <c r="I621" s="7" t="n">
        <v>1</v>
      </c>
      <c r="J621" s="7" t="n">
        <v>208</v>
      </c>
      <c r="K621" s="11" t="n">
        <v>3923.58</v>
      </c>
      <c r="L621" s="10" t="s">
        <v>241</v>
      </c>
      <c r="M621" s="26" t="n">
        <v>5.15</v>
      </c>
      <c r="N621" s="12" t="s">
        <v>657</v>
      </c>
      <c r="O621" s="12" t="s">
        <v>77</v>
      </c>
      <c r="P621" s="10" t="s">
        <v>658</v>
      </c>
      <c r="Q621" s="30" t="s">
        <v>991</v>
      </c>
      <c r="R621" s="34" t="n">
        <v>1</v>
      </c>
      <c r="S621" s="11" t="n">
        <v>3923.6</v>
      </c>
      <c r="T621" s="10" t="s">
        <v>1947</v>
      </c>
      <c r="U621" s="7" t="n">
        <v>5</v>
      </c>
      <c r="V621" s="12" t="s">
        <v>187</v>
      </c>
      <c r="W621" s="12" t="s">
        <v>79</v>
      </c>
      <c r="X621" s="12" t="s">
        <v>86</v>
      </c>
      <c r="Y621" s="10" t="s">
        <v>111</v>
      </c>
      <c r="Z621" s="7" t="s">
        <v>688</v>
      </c>
      <c r="AA621" s="7" t="n">
        <v>16</v>
      </c>
      <c r="AB621" s="9" t="n">
        <v>0.348737808376363</v>
      </c>
    </row>
    <row r="622" customFormat="false" ht="23.85" hidden="false" customHeight="false" outlineLevel="0" collapsed="false">
      <c r="A622" s="7" t="n">
        <v>618</v>
      </c>
      <c r="B622" s="12" t="s">
        <v>391</v>
      </c>
      <c r="C622" s="10" t="s">
        <v>2015</v>
      </c>
      <c r="D622" s="12" t="s">
        <v>33</v>
      </c>
      <c r="E622" s="12" t="s">
        <v>2016</v>
      </c>
      <c r="F622" s="10" t="s">
        <v>2018</v>
      </c>
      <c r="G622" s="12" t="s">
        <v>656</v>
      </c>
      <c r="H622" s="26" t="n">
        <v>5.15</v>
      </c>
      <c r="I622" s="7" t="n">
        <v>1</v>
      </c>
      <c r="J622" s="7" t="n">
        <v>208</v>
      </c>
      <c r="K622" s="11" t="n">
        <v>3923.58</v>
      </c>
      <c r="L622" s="10" t="s">
        <v>241</v>
      </c>
      <c r="M622" s="26" t="n">
        <v>5.15</v>
      </c>
      <c r="N622" s="12" t="s">
        <v>657</v>
      </c>
      <c r="O622" s="12" t="s">
        <v>77</v>
      </c>
      <c r="P622" s="10" t="s">
        <v>658</v>
      </c>
      <c r="Q622" s="30" t="s">
        <v>991</v>
      </c>
      <c r="R622" s="34" t="n">
        <v>1</v>
      </c>
      <c r="S622" s="11" t="n">
        <v>3923.6</v>
      </c>
      <c r="T622" s="10" t="s">
        <v>1947</v>
      </c>
      <c r="U622" s="7" t="n">
        <v>5</v>
      </c>
      <c r="V622" s="12" t="s">
        <v>187</v>
      </c>
      <c r="W622" s="12" t="s">
        <v>79</v>
      </c>
      <c r="X622" s="12" t="s">
        <v>86</v>
      </c>
      <c r="Y622" s="10" t="s">
        <v>111</v>
      </c>
      <c r="Z622" s="7" t="s">
        <v>688</v>
      </c>
      <c r="AA622" s="7" t="n">
        <v>16</v>
      </c>
      <c r="AB622" s="9" t="n">
        <v>0.348737808376363</v>
      </c>
    </row>
    <row r="623" customFormat="false" ht="46.25" hidden="false" customHeight="false" outlineLevel="0" collapsed="false">
      <c r="A623" s="7" t="n">
        <v>619</v>
      </c>
      <c r="B623" s="12" t="s">
        <v>148</v>
      </c>
      <c r="C623" s="10" t="s">
        <v>2019</v>
      </c>
      <c r="D623" s="12" t="s">
        <v>33</v>
      </c>
      <c r="E623" s="12" t="s">
        <v>994</v>
      </c>
      <c r="F623" s="10" t="s">
        <v>2020</v>
      </c>
      <c r="G623" s="12" t="s">
        <v>656</v>
      </c>
      <c r="H623" s="26" t="n">
        <v>8.23</v>
      </c>
      <c r="I623" s="7" t="n">
        <v>1</v>
      </c>
      <c r="J623" s="7" t="n">
        <v>1185</v>
      </c>
      <c r="K623" s="11" t="n">
        <v>59407.06</v>
      </c>
      <c r="L623" s="10" t="s">
        <v>149</v>
      </c>
      <c r="M623" s="26" t="n">
        <v>8.23</v>
      </c>
      <c r="N623" s="12" t="s">
        <v>657</v>
      </c>
      <c r="O623" s="12" t="s">
        <v>77</v>
      </c>
      <c r="P623" s="10" t="s">
        <v>1069</v>
      </c>
      <c r="Q623" s="30" t="s">
        <v>2021</v>
      </c>
      <c r="R623" s="34" t="n">
        <v>0.991808067465962</v>
      </c>
      <c r="S623" s="11" t="n">
        <v>58920.4</v>
      </c>
      <c r="T623" s="10" t="s">
        <v>1961</v>
      </c>
      <c r="U623" s="7" t="n">
        <v>18</v>
      </c>
      <c r="V623" s="12" t="s">
        <v>190</v>
      </c>
      <c r="W623" s="12" t="s">
        <v>79</v>
      </c>
      <c r="X623" s="12" t="s">
        <v>110</v>
      </c>
      <c r="Y623" s="10" t="s">
        <v>111</v>
      </c>
      <c r="Z623" s="7" t="s">
        <v>74</v>
      </c>
      <c r="AA623" s="7" t="n">
        <v>5</v>
      </c>
      <c r="AB623" s="9" t="n">
        <v>0.611230636833047</v>
      </c>
    </row>
    <row r="624" customFormat="false" ht="23.85" hidden="false" customHeight="false" outlineLevel="0" collapsed="false">
      <c r="A624" s="7" t="n">
        <v>620</v>
      </c>
      <c r="B624" s="12" t="s">
        <v>244</v>
      </c>
      <c r="C624" s="10" t="s">
        <v>244</v>
      </c>
      <c r="D624" s="12" t="s">
        <v>2022</v>
      </c>
      <c r="E624" s="12" t="s">
        <v>2023</v>
      </c>
      <c r="F624" s="10" t="s">
        <v>2024</v>
      </c>
      <c r="G624" s="12" t="s">
        <v>656</v>
      </c>
      <c r="H624" s="26" t="n">
        <v>9.52</v>
      </c>
      <c r="I624" s="7" t="n">
        <v>1</v>
      </c>
      <c r="J624" s="7" t="n">
        <v>59</v>
      </c>
      <c r="K624" s="11" t="n">
        <v>1206.55</v>
      </c>
      <c r="L624" s="10" t="s">
        <v>211</v>
      </c>
      <c r="M624" s="26" t="n">
        <v>9.52</v>
      </c>
      <c r="N624" s="12" t="s">
        <v>657</v>
      </c>
      <c r="O624" s="12" t="s">
        <v>102</v>
      </c>
      <c r="P624" s="10" t="s">
        <v>658</v>
      </c>
      <c r="Q624" s="30" t="s">
        <v>2025</v>
      </c>
      <c r="R624" s="34" t="n">
        <v>0.581244456320444</v>
      </c>
      <c r="S624" s="11" t="n">
        <v>701.3</v>
      </c>
      <c r="T624" s="10" t="s">
        <v>175</v>
      </c>
      <c r="U624" s="7" t="n">
        <v>2</v>
      </c>
      <c r="V624" s="12" t="s">
        <v>175</v>
      </c>
      <c r="W624" s="12" t="s">
        <v>172</v>
      </c>
      <c r="X624" s="12" t="s">
        <v>86</v>
      </c>
      <c r="Y624" s="10"/>
      <c r="Z624" s="7" t="s">
        <v>106</v>
      </c>
      <c r="AA624" s="7" t="n">
        <v>7</v>
      </c>
      <c r="AB624" s="9" t="n">
        <v>0.21229680627271</v>
      </c>
    </row>
    <row r="625" customFormat="false" ht="15" hidden="false" customHeight="false" outlineLevel="0" collapsed="false">
      <c r="A625" s="7" t="n">
        <v>621</v>
      </c>
      <c r="B625" s="12" t="s">
        <v>114</v>
      </c>
      <c r="C625" s="10" t="s">
        <v>2026</v>
      </c>
      <c r="D625" s="12" t="s">
        <v>2022</v>
      </c>
      <c r="E625" s="12" t="s">
        <v>890</v>
      </c>
      <c r="F625" s="10" t="s">
        <v>891</v>
      </c>
      <c r="G625" s="12" t="s">
        <v>663</v>
      </c>
      <c r="H625" s="26" t="n">
        <v>531.8684</v>
      </c>
      <c r="I625" s="7" t="n">
        <v>31</v>
      </c>
      <c r="J625" s="7" t="n">
        <v>146</v>
      </c>
      <c r="K625" s="11" t="n">
        <v>11366.06</v>
      </c>
      <c r="L625" s="10" t="s">
        <v>115</v>
      </c>
      <c r="M625" s="26" t="n">
        <v>531.8684</v>
      </c>
      <c r="N625" s="12" t="s">
        <v>657</v>
      </c>
      <c r="O625" s="12" t="s">
        <v>153</v>
      </c>
      <c r="P625" s="10" t="s">
        <v>658</v>
      </c>
      <c r="Q625" s="30" t="s">
        <v>852</v>
      </c>
      <c r="R625" s="34" t="n">
        <v>1</v>
      </c>
      <c r="S625" s="11" t="n">
        <v>11366.1</v>
      </c>
      <c r="T625" s="10" t="s">
        <v>888</v>
      </c>
      <c r="U625" s="7" t="n">
        <v>1</v>
      </c>
      <c r="V625" s="12" t="s">
        <v>169</v>
      </c>
      <c r="W625" s="12" t="s">
        <v>85</v>
      </c>
      <c r="X625" s="12" t="s">
        <v>86</v>
      </c>
      <c r="Y625" s="10" t="s">
        <v>87</v>
      </c>
      <c r="Z625" s="7" t="s">
        <v>74</v>
      </c>
      <c r="AA625" s="7" t="n">
        <v>1</v>
      </c>
      <c r="AB625" s="9" t="n">
        <v>0.816389366991777</v>
      </c>
    </row>
    <row r="626" customFormat="false" ht="23.85" hidden="false" customHeight="false" outlineLevel="0" collapsed="false">
      <c r="A626" s="7" t="n">
        <v>622</v>
      </c>
      <c r="B626" s="12" t="s">
        <v>244</v>
      </c>
      <c r="C626" s="10" t="s">
        <v>2027</v>
      </c>
      <c r="D626" s="12" t="s">
        <v>2022</v>
      </c>
      <c r="E626" s="12" t="s">
        <v>1605</v>
      </c>
      <c r="F626" s="10" t="s">
        <v>2028</v>
      </c>
      <c r="G626" s="12" t="s">
        <v>656</v>
      </c>
      <c r="H626" s="26" t="n">
        <v>14.8934</v>
      </c>
      <c r="I626" s="7" t="n">
        <v>25</v>
      </c>
      <c r="J626" s="7" t="n">
        <v>59</v>
      </c>
      <c r="K626" s="11" t="n">
        <v>1206.55</v>
      </c>
      <c r="L626" s="10" t="s">
        <v>211</v>
      </c>
      <c r="M626" s="26" t="n">
        <v>14.8934</v>
      </c>
      <c r="N626" s="12" t="s">
        <v>657</v>
      </c>
      <c r="O626" s="12" t="s">
        <v>153</v>
      </c>
      <c r="P626" s="10" t="s">
        <v>658</v>
      </c>
      <c r="Q626" s="30" t="s">
        <v>852</v>
      </c>
      <c r="R626" s="34" t="n">
        <v>0.581244456320444</v>
      </c>
      <c r="S626" s="11" t="n">
        <v>701.3</v>
      </c>
      <c r="T626" s="10" t="s">
        <v>175</v>
      </c>
      <c r="U626" s="7" t="n">
        <v>2</v>
      </c>
      <c r="V626" s="12" t="s">
        <v>175</v>
      </c>
      <c r="W626" s="12" t="s">
        <v>172</v>
      </c>
      <c r="X626" s="12" t="s">
        <v>86</v>
      </c>
      <c r="Y626" s="10"/>
      <c r="Z626" s="7" t="s">
        <v>106</v>
      </c>
      <c r="AA626" s="7" t="n">
        <v>7</v>
      </c>
      <c r="AB626" s="9" t="n">
        <v>0.21229680627271</v>
      </c>
    </row>
    <row r="627" customFormat="false" ht="46.25" hidden="false" customHeight="false" outlineLevel="0" collapsed="false">
      <c r="A627" s="7" t="n">
        <v>623</v>
      </c>
      <c r="B627" s="12" t="s">
        <v>239</v>
      </c>
      <c r="C627" s="10" t="s">
        <v>2029</v>
      </c>
      <c r="D627" s="12" t="s">
        <v>2022</v>
      </c>
      <c r="E627" s="12"/>
      <c r="F627" s="10"/>
      <c r="G627" s="12"/>
      <c r="H627" s="26"/>
      <c r="I627" s="7" t="n">
        <v>31</v>
      </c>
      <c r="J627" s="7" t="n">
        <v>2286</v>
      </c>
      <c r="K627" s="11" t="n">
        <v>106496.78</v>
      </c>
      <c r="L627" s="10" t="s">
        <v>205</v>
      </c>
      <c r="M627" s="35" t="n">
        <v>20.65</v>
      </c>
      <c r="N627" s="12" t="s">
        <v>664</v>
      </c>
      <c r="O627" s="12" t="s">
        <v>102</v>
      </c>
      <c r="P627" s="10" t="s">
        <v>2030</v>
      </c>
      <c r="Q627" s="30" t="s">
        <v>2031</v>
      </c>
      <c r="R627" s="34" t="n">
        <v>0.174359744408496</v>
      </c>
      <c r="S627" s="11" t="n">
        <v>18568.8</v>
      </c>
      <c r="T627" s="10" t="s">
        <v>888</v>
      </c>
      <c r="U627" s="7" t="n">
        <v>1</v>
      </c>
      <c r="V627" s="12" t="s">
        <v>169</v>
      </c>
      <c r="W627" s="12" t="s">
        <v>97</v>
      </c>
      <c r="X627" s="12" t="s">
        <v>97</v>
      </c>
      <c r="Y627" s="10"/>
      <c r="Z627" s="7" t="s">
        <v>74</v>
      </c>
      <c r="AA627" s="7" t="n">
        <v>4</v>
      </c>
      <c r="AB627" s="9" t="n">
        <v>0.584198699560145</v>
      </c>
    </row>
    <row r="628" customFormat="false" ht="23.85" hidden="false" customHeight="false" outlineLevel="0" collapsed="false">
      <c r="A628" s="7" t="n">
        <v>624</v>
      </c>
      <c r="B628" s="12" t="s">
        <v>148</v>
      </c>
      <c r="C628" s="10" t="s">
        <v>2032</v>
      </c>
      <c r="D628" s="12" t="s">
        <v>2022</v>
      </c>
      <c r="E628" s="12" t="s">
        <v>897</v>
      </c>
      <c r="F628" s="10" t="s">
        <v>898</v>
      </c>
      <c r="G628" s="12" t="s">
        <v>656</v>
      </c>
      <c r="H628" s="26" t="n">
        <v>12.0797</v>
      </c>
      <c r="I628" s="7" t="n">
        <v>29</v>
      </c>
      <c r="J628" s="7" t="n">
        <v>1185</v>
      </c>
      <c r="K628" s="11" t="n">
        <v>59407.06</v>
      </c>
      <c r="L628" s="10" t="s">
        <v>149</v>
      </c>
      <c r="M628" s="26" t="n">
        <v>12.0797</v>
      </c>
      <c r="N628" s="12" t="s">
        <v>657</v>
      </c>
      <c r="O628" s="12" t="s">
        <v>153</v>
      </c>
      <c r="P628" s="10" t="s">
        <v>658</v>
      </c>
      <c r="Q628" s="30" t="s">
        <v>852</v>
      </c>
      <c r="R628" s="34" t="n">
        <v>0.991808067465962</v>
      </c>
      <c r="S628" s="11" t="n">
        <v>58920.4</v>
      </c>
      <c r="T628" s="10" t="s">
        <v>888</v>
      </c>
      <c r="U628" s="7" t="n">
        <v>1</v>
      </c>
      <c r="V628" s="12" t="s">
        <v>169</v>
      </c>
      <c r="W628" s="12" t="s">
        <v>79</v>
      </c>
      <c r="X628" s="12" t="s">
        <v>80</v>
      </c>
      <c r="Y628" s="10" t="s">
        <v>111</v>
      </c>
      <c r="Z628" s="7" t="s">
        <v>74</v>
      </c>
      <c r="AA628" s="7" t="n">
        <v>3</v>
      </c>
      <c r="AB628" s="9" t="n">
        <v>0.612817938420348</v>
      </c>
    </row>
    <row r="629" customFormat="false" ht="23.85" hidden="false" customHeight="false" outlineLevel="0" collapsed="false">
      <c r="A629" s="7" t="n">
        <v>625</v>
      </c>
      <c r="B629" s="12" t="s">
        <v>237</v>
      </c>
      <c r="C629" s="10" t="s">
        <v>2033</v>
      </c>
      <c r="D629" s="12" t="s">
        <v>2022</v>
      </c>
      <c r="E629" s="12" t="s">
        <v>893</v>
      </c>
      <c r="F629" s="10" t="s">
        <v>2034</v>
      </c>
      <c r="G629" s="12" t="s">
        <v>663</v>
      </c>
      <c r="H629" s="26" t="n">
        <v>118.3449</v>
      </c>
      <c r="I629" s="7" t="n">
        <v>31</v>
      </c>
      <c r="J629" s="7" t="n">
        <v>153</v>
      </c>
      <c r="K629" s="11" t="n">
        <v>8244.44</v>
      </c>
      <c r="L629" s="10" t="s">
        <v>238</v>
      </c>
      <c r="M629" s="26" t="n">
        <v>118.3449</v>
      </c>
      <c r="N629" s="12" t="s">
        <v>657</v>
      </c>
      <c r="O629" s="12" t="s">
        <v>153</v>
      </c>
      <c r="P629" s="10" t="s">
        <v>658</v>
      </c>
      <c r="Q629" s="30" t="s">
        <v>2035</v>
      </c>
      <c r="R629" s="34" t="n">
        <v>0.749979206504154</v>
      </c>
      <c r="S629" s="11" t="n">
        <v>6183.2</v>
      </c>
      <c r="T629" s="10" t="s">
        <v>2036</v>
      </c>
      <c r="U629" s="7" t="n">
        <v>2</v>
      </c>
      <c r="V629" s="12" t="s">
        <v>169</v>
      </c>
      <c r="W629" s="12" t="s">
        <v>85</v>
      </c>
      <c r="X629" s="12" t="s">
        <v>86</v>
      </c>
      <c r="Y629" s="10" t="s">
        <v>87</v>
      </c>
      <c r="Z629" s="7" t="s">
        <v>74</v>
      </c>
      <c r="AA629" s="7" t="n">
        <v>2</v>
      </c>
      <c r="AB629" s="9" t="n">
        <v>0.685819468349589</v>
      </c>
    </row>
    <row r="630" customFormat="false" ht="35.05" hidden="false" customHeight="false" outlineLevel="0" collapsed="false">
      <c r="A630" s="7" t="n">
        <v>626</v>
      </c>
      <c r="B630" s="12" t="s">
        <v>242</v>
      </c>
      <c r="C630" s="10" t="s">
        <v>2037</v>
      </c>
      <c r="D630" s="12" t="s">
        <v>2022</v>
      </c>
      <c r="E630" s="12"/>
      <c r="F630" s="10"/>
      <c r="G630" s="12"/>
      <c r="H630" s="26"/>
      <c r="I630" s="7" t="n">
        <v>31</v>
      </c>
      <c r="J630" s="7" t="n">
        <v>565</v>
      </c>
      <c r="K630" s="11" t="n">
        <v>17324.19</v>
      </c>
      <c r="L630" s="10" t="s">
        <v>243</v>
      </c>
      <c r="M630" s="35" t="n">
        <v>10.96</v>
      </c>
      <c r="N630" s="12" t="s">
        <v>664</v>
      </c>
      <c r="O630" s="12" t="s">
        <v>153</v>
      </c>
      <c r="P630" s="10" t="s">
        <v>665</v>
      </c>
      <c r="Q630" s="30" t="s">
        <v>666</v>
      </c>
      <c r="R630" s="34" t="n">
        <v>0.419074437219412</v>
      </c>
      <c r="S630" s="11" t="n">
        <v>7260.1</v>
      </c>
      <c r="T630" s="10" t="s">
        <v>888</v>
      </c>
      <c r="U630" s="7" t="n">
        <v>1</v>
      </c>
      <c r="V630" s="12" t="s">
        <v>169</v>
      </c>
      <c r="W630" s="12" t="s">
        <v>97</v>
      </c>
      <c r="X630" s="12" t="s">
        <v>97</v>
      </c>
      <c r="Y630" s="10"/>
      <c r="Z630" s="7" t="s">
        <v>106</v>
      </c>
      <c r="AA630" s="7" t="n">
        <v>6</v>
      </c>
      <c r="AB630" s="9" t="n">
        <v>0.455622489959839</v>
      </c>
    </row>
    <row r="631" customFormat="false" ht="23.85" hidden="false" customHeight="false" outlineLevel="0" collapsed="false">
      <c r="A631" s="7" t="n">
        <v>627</v>
      </c>
      <c r="B631" s="12" t="s">
        <v>240</v>
      </c>
      <c r="C631" s="10" t="s">
        <v>2038</v>
      </c>
      <c r="D631" s="12" t="s">
        <v>2022</v>
      </c>
      <c r="E631" s="12" t="s">
        <v>1094</v>
      </c>
      <c r="F631" s="10" t="s">
        <v>1370</v>
      </c>
      <c r="G631" s="12" t="s">
        <v>656</v>
      </c>
      <c r="H631" s="26" t="n">
        <v>7.72</v>
      </c>
      <c r="I631" s="7" t="n">
        <v>1</v>
      </c>
      <c r="J631" s="7" t="n">
        <v>264</v>
      </c>
      <c r="K631" s="11" t="n">
        <v>20408.58</v>
      </c>
      <c r="L631" s="10" t="s">
        <v>241</v>
      </c>
      <c r="M631" s="26" t="n">
        <v>7.72</v>
      </c>
      <c r="N631" s="12" t="s">
        <v>657</v>
      </c>
      <c r="O631" s="12" t="s">
        <v>77</v>
      </c>
      <c r="P631" s="10" t="s">
        <v>658</v>
      </c>
      <c r="Q631" s="30" t="s">
        <v>991</v>
      </c>
      <c r="R631" s="34" t="n">
        <v>0.989010989010989</v>
      </c>
      <c r="S631" s="11" t="n">
        <v>20184.3</v>
      </c>
      <c r="T631" s="10" t="s">
        <v>995</v>
      </c>
      <c r="U631" s="7" t="n">
        <v>1</v>
      </c>
      <c r="V631" s="12" t="s">
        <v>323</v>
      </c>
      <c r="W631" s="12" t="s">
        <v>79</v>
      </c>
      <c r="X631" s="12" t="s">
        <v>86</v>
      </c>
      <c r="Y631" s="10"/>
      <c r="Z631" s="7" t="s">
        <v>74</v>
      </c>
      <c r="AA631" s="7" t="n">
        <v>5</v>
      </c>
      <c r="AB631" s="9" t="n">
        <v>0.468000573723465</v>
      </c>
    </row>
    <row r="632" customFormat="false" ht="23.85" hidden="false" customHeight="false" outlineLevel="0" collapsed="false">
      <c r="A632" s="7" t="n">
        <v>628</v>
      </c>
      <c r="B632" s="12" t="s">
        <v>148</v>
      </c>
      <c r="C632" s="10" t="s">
        <v>2039</v>
      </c>
      <c r="D632" s="12" t="s">
        <v>47</v>
      </c>
      <c r="E632" s="12" t="s">
        <v>1254</v>
      </c>
      <c r="F632" s="10" t="s">
        <v>898</v>
      </c>
      <c r="G632" s="12" t="s">
        <v>656</v>
      </c>
      <c r="H632" s="26" t="n">
        <v>10.97</v>
      </c>
      <c r="I632" s="7" t="n">
        <v>1</v>
      </c>
      <c r="J632" s="7" t="n">
        <v>1185</v>
      </c>
      <c r="K632" s="11" t="n">
        <v>59407.06</v>
      </c>
      <c r="L632" s="10" t="s">
        <v>149</v>
      </c>
      <c r="M632" s="26" t="n">
        <v>10.97</v>
      </c>
      <c r="N632" s="12" t="s">
        <v>657</v>
      </c>
      <c r="O632" s="12" t="s">
        <v>102</v>
      </c>
      <c r="P632" s="10" t="s">
        <v>658</v>
      </c>
      <c r="Q632" s="30" t="s">
        <v>1904</v>
      </c>
      <c r="R632" s="34" t="n">
        <v>0.991808067465962</v>
      </c>
      <c r="S632" s="11" t="n">
        <v>58920.4</v>
      </c>
      <c r="T632" s="10" t="s">
        <v>2040</v>
      </c>
      <c r="U632" s="7" t="n">
        <v>10</v>
      </c>
      <c r="V632" s="12" t="s">
        <v>91</v>
      </c>
      <c r="W632" s="12" t="s">
        <v>79</v>
      </c>
      <c r="X632" s="12" t="s">
        <v>80</v>
      </c>
      <c r="Y632" s="10" t="s">
        <v>111</v>
      </c>
      <c r="Z632" s="7" t="s">
        <v>74</v>
      </c>
      <c r="AA632" s="7" t="n">
        <v>3</v>
      </c>
      <c r="AB632" s="9" t="n">
        <v>0.608056033658443</v>
      </c>
    </row>
    <row r="633" customFormat="false" ht="23.85" hidden="false" customHeight="false" outlineLevel="0" collapsed="false">
      <c r="A633" s="7" t="n">
        <v>629</v>
      </c>
      <c r="B633" s="12" t="s">
        <v>201</v>
      </c>
      <c r="C633" s="10" t="s">
        <v>201</v>
      </c>
      <c r="D633" s="12" t="s">
        <v>47</v>
      </c>
      <c r="E633" s="12" t="s">
        <v>2041</v>
      </c>
      <c r="F633" s="10" t="s">
        <v>2042</v>
      </c>
      <c r="G633" s="12" t="s">
        <v>656</v>
      </c>
      <c r="H633" s="26" t="n">
        <v>25.36</v>
      </c>
      <c r="I633" s="7" t="n">
        <v>1</v>
      </c>
      <c r="J633" s="7" t="n">
        <v>3110</v>
      </c>
      <c r="K633" s="11" t="n">
        <v>93119.22</v>
      </c>
      <c r="L633" s="10" t="s">
        <v>202</v>
      </c>
      <c r="M633" s="26" t="n">
        <v>25.36</v>
      </c>
      <c r="N633" s="12" t="s">
        <v>657</v>
      </c>
      <c r="O633" s="12" t="s">
        <v>102</v>
      </c>
      <c r="P633" s="10" t="s">
        <v>658</v>
      </c>
      <c r="Q633" s="30" t="s">
        <v>2043</v>
      </c>
      <c r="R633" s="34" t="n">
        <v>1</v>
      </c>
      <c r="S633" s="11" t="n">
        <v>93119.2</v>
      </c>
      <c r="T633" s="10" t="s">
        <v>194</v>
      </c>
      <c r="U633" s="7" t="n">
        <v>1</v>
      </c>
      <c r="V633" s="12" t="s">
        <v>194</v>
      </c>
      <c r="W633" s="12" t="s">
        <v>79</v>
      </c>
      <c r="X633" s="12" t="s">
        <v>80</v>
      </c>
      <c r="Y633" s="10" t="s">
        <v>111</v>
      </c>
      <c r="Z633" s="7" t="s">
        <v>74</v>
      </c>
      <c r="AA633" s="7" t="n">
        <v>1</v>
      </c>
      <c r="AB633" s="9" t="n">
        <v>0.73382099827883</v>
      </c>
    </row>
    <row r="634" customFormat="false" ht="23.85" hidden="false" customHeight="false" outlineLevel="0" collapsed="false">
      <c r="A634" s="7" t="n">
        <v>630</v>
      </c>
      <c r="B634" s="12" t="s">
        <v>206</v>
      </c>
      <c r="C634" s="10" t="s">
        <v>2044</v>
      </c>
      <c r="D634" s="12" t="s">
        <v>47</v>
      </c>
      <c r="E634" s="12" t="s">
        <v>2041</v>
      </c>
      <c r="F634" s="10" t="s">
        <v>843</v>
      </c>
      <c r="G634" s="12" t="s">
        <v>656</v>
      </c>
      <c r="H634" s="26" t="n">
        <v>34.58</v>
      </c>
      <c r="I634" s="7" t="n">
        <v>1</v>
      </c>
      <c r="J634" s="7" t="n">
        <v>335</v>
      </c>
      <c r="K634" s="11" t="n">
        <v>5713.56</v>
      </c>
      <c r="L634" s="10" t="s">
        <v>207</v>
      </c>
      <c r="M634" s="26" t="n">
        <v>34.58</v>
      </c>
      <c r="N634" s="12" t="s">
        <v>657</v>
      </c>
      <c r="O634" s="12" t="s">
        <v>102</v>
      </c>
      <c r="P634" s="10" t="s">
        <v>658</v>
      </c>
      <c r="Q634" s="30" t="s">
        <v>2045</v>
      </c>
      <c r="R634" s="34" t="n">
        <v>1</v>
      </c>
      <c r="S634" s="11" t="n">
        <v>5713.6</v>
      </c>
      <c r="T634" s="10" t="s">
        <v>194</v>
      </c>
      <c r="U634" s="7" t="n">
        <v>1</v>
      </c>
      <c r="V634" s="12" t="s">
        <v>194</v>
      </c>
      <c r="W634" s="12" t="s">
        <v>79</v>
      </c>
      <c r="X634" s="12" t="s">
        <v>97</v>
      </c>
      <c r="Y634" s="10"/>
      <c r="Z634" s="7" t="s">
        <v>74</v>
      </c>
      <c r="AA634" s="7" t="n">
        <v>4</v>
      </c>
      <c r="AB634" s="9" t="n">
        <v>0.562416331994645</v>
      </c>
    </row>
    <row r="635" customFormat="false" ht="23.85" hidden="false" customHeight="false" outlineLevel="0" collapsed="false">
      <c r="A635" s="7" t="n">
        <v>631</v>
      </c>
      <c r="B635" s="12" t="s">
        <v>173</v>
      </c>
      <c r="C635" s="10" t="s">
        <v>2046</v>
      </c>
      <c r="D635" s="12" t="s">
        <v>47</v>
      </c>
      <c r="E635" s="12" t="s">
        <v>2047</v>
      </c>
      <c r="F635" s="10" t="s">
        <v>2048</v>
      </c>
      <c r="G635" s="12" t="s">
        <v>656</v>
      </c>
      <c r="H635" s="26" t="n">
        <v>81.96</v>
      </c>
      <c r="I635" s="7" t="n">
        <v>1</v>
      </c>
      <c r="J635" s="7" t="n">
        <v>441</v>
      </c>
      <c r="K635" s="11" t="n">
        <v>3973.65</v>
      </c>
      <c r="L635" s="10" t="s">
        <v>174</v>
      </c>
      <c r="M635" s="26" t="n">
        <v>81.96</v>
      </c>
      <c r="N635" s="12" t="s">
        <v>657</v>
      </c>
      <c r="O635" s="12" t="s">
        <v>102</v>
      </c>
      <c r="P635" s="10" t="s">
        <v>658</v>
      </c>
      <c r="Q635" s="30" t="s">
        <v>2049</v>
      </c>
      <c r="R635" s="34" t="n">
        <v>1</v>
      </c>
      <c r="S635" s="11" t="n">
        <v>3973.7</v>
      </c>
      <c r="T635" s="10" t="s">
        <v>194</v>
      </c>
      <c r="U635" s="7" t="n">
        <v>1</v>
      </c>
      <c r="V635" s="12" t="s">
        <v>194</v>
      </c>
      <c r="W635" s="12" t="s">
        <v>79</v>
      </c>
      <c r="X635" s="12" t="s">
        <v>80</v>
      </c>
      <c r="Y635" s="10" t="s">
        <v>81</v>
      </c>
      <c r="Z635" s="7" t="s">
        <v>74</v>
      </c>
      <c r="AA635" s="7" t="n">
        <v>2</v>
      </c>
      <c r="AB635" s="9" t="n">
        <v>0.612067316886594</v>
      </c>
    </row>
    <row r="636" customFormat="false" ht="23.85" hidden="false" customHeight="false" outlineLevel="0" collapsed="false">
      <c r="A636" s="7" t="n">
        <v>632</v>
      </c>
      <c r="B636" s="12" t="s">
        <v>148</v>
      </c>
      <c r="C636" s="10" t="s">
        <v>2050</v>
      </c>
      <c r="D636" s="12" t="s">
        <v>47</v>
      </c>
      <c r="E636" s="12" t="s">
        <v>897</v>
      </c>
      <c r="F636" s="10" t="s">
        <v>898</v>
      </c>
      <c r="G636" s="12" t="s">
        <v>656</v>
      </c>
      <c r="H636" s="26" t="n">
        <v>12.0797</v>
      </c>
      <c r="I636" s="7" t="n">
        <v>29</v>
      </c>
      <c r="J636" s="7" t="n">
        <v>1185</v>
      </c>
      <c r="K636" s="11" t="n">
        <v>59407.06</v>
      </c>
      <c r="L636" s="10" t="s">
        <v>149</v>
      </c>
      <c r="M636" s="26" t="n">
        <v>12.0797</v>
      </c>
      <c r="N636" s="12" t="s">
        <v>657</v>
      </c>
      <c r="O636" s="12" t="s">
        <v>77</v>
      </c>
      <c r="P636" s="10" t="s">
        <v>658</v>
      </c>
      <c r="Q636" s="30" t="s">
        <v>852</v>
      </c>
      <c r="R636" s="34" t="n">
        <v>0.991808067465962</v>
      </c>
      <c r="S636" s="11" t="n">
        <v>58920.4</v>
      </c>
      <c r="T636" s="10" t="s">
        <v>2040</v>
      </c>
      <c r="U636" s="7" t="n">
        <v>10</v>
      </c>
      <c r="V636" s="12" t="s">
        <v>91</v>
      </c>
      <c r="W636" s="12" t="s">
        <v>79</v>
      </c>
      <c r="X636" s="12" t="s">
        <v>80</v>
      </c>
      <c r="Y636" s="10" t="s">
        <v>111</v>
      </c>
      <c r="Z636" s="7" t="s">
        <v>74</v>
      </c>
      <c r="AA636" s="7" t="n">
        <v>3</v>
      </c>
      <c r="AB636" s="9" t="n">
        <v>0.608056033658443</v>
      </c>
    </row>
    <row r="637" customFormat="false" ht="23.85" hidden="false" customHeight="false" outlineLevel="0" collapsed="false">
      <c r="A637" s="7" t="n">
        <v>633</v>
      </c>
      <c r="B637" s="12" t="s">
        <v>148</v>
      </c>
      <c r="C637" s="10" t="s">
        <v>2050</v>
      </c>
      <c r="D637" s="12" t="s">
        <v>47</v>
      </c>
      <c r="E637" s="12" t="s">
        <v>897</v>
      </c>
      <c r="F637" s="10" t="s">
        <v>898</v>
      </c>
      <c r="G637" s="12" t="s">
        <v>656</v>
      </c>
      <c r="H637" s="26" t="n">
        <v>12.0797</v>
      </c>
      <c r="I637" s="7" t="n">
        <v>30</v>
      </c>
      <c r="J637" s="7" t="n">
        <v>1185</v>
      </c>
      <c r="K637" s="11" t="n">
        <v>59407.06</v>
      </c>
      <c r="L637" s="10" t="s">
        <v>149</v>
      </c>
      <c r="M637" s="26" t="n">
        <v>12.0797</v>
      </c>
      <c r="N637" s="12" t="s">
        <v>657</v>
      </c>
      <c r="O637" s="12" t="s">
        <v>77</v>
      </c>
      <c r="P637" s="10" t="s">
        <v>658</v>
      </c>
      <c r="Q637" s="30" t="s">
        <v>852</v>
      </c>
      <c r="R637" s="34" t="n">
        <v>0.991808067465962</v>
      </c>
      <c r="S637" s="11" t="n">
        <v>58920.4</v>
      </c>
      <c r="T637" s="10" t="s">
        <v>2040</v>
      </c>
      <c r="U637" s="7" t="n">
        <v>10</v>
      </c>
      <c r="V637" s="12" t="s">
        <v>91</v>
      </c>
      <c r="W637" s="12" t="s">
        <v>79</v>
      </c>
      <c r="X637" s="12" t="s">
        <v>80</v>
      </c>
      <c r="Y637" s="10" t="s">
        <v>111</v>
      </c>
      <c r="Z637" s="7" t="s">
        <v>74</v>
      </c>
      <c r="AA637" s="7" t="n">
        <v>3</v>
      </c>
      <c r="AB637" s="9" t="n">
        <v>0.608056033658443</v>
      </c>
    </row>
    <row r="638" customFormat="false" ht="23.85" hidden="false" customHeight="false" outlineLevel="0" collapsed="false">
      <c r="A638" s="7" t="n">
        <v>634</v>
      </c>
      <c r="B638" s="12" t="s">
        <v>418</v>
      </c>
      <c r="C638" s="10" t="s">
        <v>738</v>
      </c>
      <c r="D638" s="12" t="s">
        <v>35</v>
      </c>
      <c r="E638" s="12" t="s">
        <v>726</v>
      </c>
      <c r="F638" s="10" t="s">
        <v>2051</v>
      </c>
      <c r="G638" s="12" t="s">
        <v>656</v>
      </c>
      <c r="H638" s="26" t="n">
        <v>10.93</v>
      </c>
      <c r="I638" s="7" t="n">
        <v>1</v>
      </c>
      <c r="J638" s="7" t="n">
        <v>10</v>
      </c>
      <c r="K638" s="11" t="n">
        <v>280.98</v>
      </c>
      <c r="L638" s="10" t="s">
        <v>288</v>
      </c>
      <c r="M638" s="26" t="n">
        <v>10.93</v>
      </c>
      <c r="N638" s="12" t="s">
        <v>657</v>
      </c>
      <c r="O638" s="12" t="s">
        <v>102</v>
      </c>
      <c r="P638" s="10" t="s">
        <v>658</v>
      </c>
      <c r="Q638" s="30" t="s">
        <v>740</v>
      </c>
      <c r="R638" s="34" t="n">
        <v>0.928571428571429</v>
      </c>
      <c r="S638" s="11" t="n">
        <v>260.9</v>
      </c>
      <c r="T638" s="10" t="s">
        <v>144</v>
      </c>
      <c r="U638" s="7" t="n">
        <v>1</v>
      </c>
      <c r="V638" s="12" t="s">
        <v>144</v>
      </c>
      <c r="W638" s="12" t="s">
        <v>79</v>
      </c>
      <c r="X638" s="12" t="s">
        <v>80</v>
      </c>
      <c r="Y638" s="10" t="s">
        <v>111</v>
      </c>
      <c r="Z638" s="7" t="s">
        <v>688</v>
      </c>
      <c r="AA638" s="7" t="n">
        <v>18</v>
      </c>
      <c r="AB638" s="9" t="n">
        <v>0.164797284375598</v>
      </c>
    </row>
    <row r="639" customFormat="false" ht="23.85" hidden="false" customHeight="false" outlineLevel="0" collapsed="false">
      <c r="A639" s="7" t="n">
        <v>635</v>
      </c>
      <c r="B639" s="12" t="s">
        <v>418</v>
      </c>
      <c r="C639" s="10" t="s">
        <v>738</v>
      </c>
      <c r="D639" s="12" t="s">
        <v>35</v>
      </c>
      <c r="E639" s="12" t="s">
        <v>729</v>
      </c>
      <c r="F639" s="10" t="s">
        <v>2051</v>
      </c>
      <c r="G639" s="12" t="s">
        <v>656</v>
      </c>
      <c r="H639" s="26"/>
      <c r="I639" s="7" t="n">
        <v>1</v>
      </c>
      <c r="J639" s="7" t="n">
        <v>10</v>
      </c>
      <c r="K639" s="11" t="n">
        <v>280.98</v>
      </c>
      <c r="L639" s="10" t="s">
        <v>288</v>
      </c>
      <c r="M639" s="26"/>
      <c r="N639" s="12" t="s">
        <v>701</v>
      </c>
      <c r="O639" s="12" t="s">
        <v>323</v>
      </c>
      <c r="P639" s="10" t="s">
        <v>323</v>
      </c>
      <c r="Q639" s="12"/>
      <c r="R639" s="34" t="n">
        <v>0.928571428571429</v>
      </c>
      <c r="S639" s="11" t="n">
        <v>260.9</v>
      </c>
      <c r="T639" s="10" t="s">
        <v>144</v>
      </c>
      <c r="U639" s="7" t="n">
        <v>1</v>
      </c>
      <c r="V639" s="12" t="s">
        <v>144</v>
      </c>
      <c r="W639" s="12" t="s">
        <v>79</v>
      </c>
      <c r="X639" s="12" t="s">
        <v>80</v>
      </c>
      <c r="Y639" s="10" t="s">
        <v>111</v>
      </c>
      <c r="Z639" s="7" t="s">
        <v>688</v>
      </c>
      <c r="AA639" s="7" t="n">
        <v>18</v>
      </c>
      <c r="AB639" s="9" t="n">
        <v>0.164797284375598</v>
      </c>
    </row>
    <row r="640" customFormat="false" ht="46.25" hidden="false" customHeight="false" outlineLevel="0" collapsed="false">
      <c r="A640" s="7" t="n">
        <v>636</v>
      </c>
      <c r="B640" s="12" t="s">
        <v>201</v>
      </c>
      <c r="C640" s="10" t="s">
        <v>201</v>
      </c>
      <c r="D640" s="12" t="s">
        <v>35</v>
      </c>
      <c r="E640" s="12" t="s">
        <v>2052</v>
      </c>
      <c r="F640" s="10" t="s">
        <v>2053</v>
      </c>
      <c r="G640" s="12" t="s">
        <v>656</v>
      </c>
      <c r="H640" s="26" t="n">
        <v>5.24</v>
      </c>
      <c r="I640" s="7" t="n">
        <v>1</v>
      </c>
      <c r="J640" s="7" t="n">
        <v>3110</v>
      </c>
      <c r="K640" s="11" t="n">
        <v>93119.22</v>
      </c>
      <c r="L640" s="10" t="s">
        <v>202</v>
      </c>
      <c r="M640" s="26" t="n">
        <v>5.24</v>
      </c>
      <c r="N640" s="12" t="s">
        <v>657</v>
      </c>
      <c r="O640" s="12" t="s">
        <v>102</v>
      </c>
      <c r="P640" s="10" t="s">
        <v>658</v>
      </c>
      <c r="Q640" s="30" t="s">
        <v>2054</v>
      </c>
      <c r="R640" s="34" t="n">
        <v>1</v>
      </c>
      <c r="S640" s="11" t="n">
        <v>93119.2</v>
      </c>
      <c r="T640" s="10" t="s">
        <v>2055</v>
      </c>
      <c r="U640" s="7" t="n">
        <v>5</v>
      </c>
      <c r="V640" s="12" t="s">
        <v>186</v>
      </c>
      <c r="W640" s="12" t="s">
        <v>79</v>
      </c>
      <c r="X640" s="12" t="s">
        <v>97</v>
      </c>
      <c r="Y640" s="10" t="s">
        <v>111</v>
      </c>
      <c r="Z640" s="7" t="s">
        <v>74</v>
      </c>
      <c r="AA640" s="7" t="n">
        <v>3</v>
      </c>
      <c r="AB640" s="9" t="n">
        <v>0.638582903040734</v>
      </c>
    </row>
    <row r="641" customFormat="false" ht="35.05" hidden="false" customHeight="false" outlineLevel="0" collapsed="false">
      <c r="A641" s="7" t="n">
        <v>637</v>
      </c>
      <c r="B641" s="12" t="s">
        <v>201</v>
      </c>
      <c r="C641" s="10" t="s">
        <v>201</v>
      </c>
      <c r="D641" s="12" t="s">
        <v>35</v>
      </c>
      <c r="E641" s="12" t="s">
        <v>1926</v>
      </c>
      <c r="F641" s="10" t="s">
        <v>2056</v>
      </c>
      <c r="G641" s="12" t="s">
        <v>656</v>
      </c>
      <c r="H641" s="26" t="n">
        <v>6.3</v>
      </c>
      <c r="I641" s="7" t="n">
        <v>1</v>
      </c>
      <c r="J641" s="7" t="n">
        <v>3110</v>
      </c>
      <c r="K641" s="11" t="n">
        <v>93119.22</v>
      </c>
      <c r="L641" s="10" t="s">
        <v>202</v>
      </c>
      <c r="M641" s="26" t="n">
        <v>6.3</v>
      </c>
      <c r="N641" s="12" t="s">
        <v>657</v>
      </c>
      <c r="O641" s="12" t="s">
        <v>102</v>
      </c>
      <c r="P641" s="10" t="s">
        <v>658</v>
      </c>
      <c r="Q641" s="30" t="s">
        <v>2054</v>
      </c>
      <c r="R641" s="34" t="n">
        <v>1</v>
      </c>
      <c r="S641" s="11" t="n">
        <v>93119.2</v>
      </c>
      <c r="T641" s="10" t="s">
        <v>2055</v>
      </c>
      <c r="U641" s="7" t="n">
        <v>5</v>
      </c>
      <c r="V641" s="12" t="s">
        <v>186</v>
      </c>
      <c r="W641" s="12" t="s">
        <v>79</v>
      </c>
      <c r="X641" s="12" t="s">
        <v>97</v>
      </c>
      <c r="Y641" s="10" t="s">
        <v>111</v>
      </c>
      <c r="Z641" s="7" t="s">
        <v>74</v>
      </c>
      <c r="AA641" s="7" t="n">
        <v>3</v>
      </c>
      <c r="AB641" s="9" t="n">
        <v>0.638582903040734</v>
      </c>
    </row>
    <row r="642" customFormat="false" ht="23.85" hidden="false" customHeight="false" outlineLevel="0" collapsed="false">
      <c r="A642" s="7" t="n">
        <v>638</v>
      </c>
      <c r="B642" s="12" t="s">
        <v>107</v>
      </c>
      <c r="C642" s="10" t="s">
        <v>107</v>
      </c>
      <c r="D642" s="12" t="s">
        <v>35</v>
      </c>
      <c r="E642" s="12" t="s">
        <v>1019</v>
      </c>
      <c r="F642" s="10" t="s">
        <v>874</v>
      </c>
      <c r="G642" s="12" t="s">
        <v>656</v>
      </c>
      <c r="H642" s="26" t="n">
        <v>81.96</v>
      </c>
      <c r="I642" s="7" t="n">
        <v>1</v>
      </c>
      <c r="J642" s="7" t="n">
        <v>312</v>
      </c>
      <c r="K642" s="11" t="n">
        <v>59827.18</v>
      </c>
      <c r="L642" s="10" t="s">
        <v>108</v>
      </c>
      <c r="M642" s="26" t="n">
        <v>81.96</v>
      </c>
      <c r="N642" s="12" t="s">
        <v>657</v>
      </c>
      <c r="O642" s="12" t="s">
        <v>77</v>
      </c>
      <c r="P642" s="10" t="s">
        <v>658</v>
      </c>
      <c r="Q642" s="30" t="s">
        <v>2057</v>
      </c>
      <c r="R642" s="34" t="n">
        <v>1</v>
      </c>
      <c r="S642" s="11" t="n">
        <v>59827.2</v>
      </c>
      <c r="T642" s="10" t="s">
        <v>2058</v>
      </c>
      <c r="U642" s="7" t="n">
        <v>3</v>
      </c>
      <c r="V642" s="12" t="s">
        <v>175</v>
      </c>
      <c r="W642" s="12" t="s">
        <v>79</v>
      </c>
      <c r="X642" s="12" t="s">
        <v>80</v>
      </c>
      <c r="Y642" s="10" t="s">
        <v>111</v>
      </c>
      <c r="Z642" s="7" t="s">
        <v>74</v>
      </c>
      <c r="AA642" s="7" t="n">
        <v>1</v>
      </c>
      <c r="AB642" s="9" t="n">
        <v>0.848756932491872</v>
      </c>
    </row>
    <row r="643" customFormat="false" ht="23.85" hidden="false" customHeight="false" outlineLevel="0" collapsed="false">
      <c r="A643" s="7" t="n">
        <v>639</v>
      </c>
      <c r="B643" s="12" t="s">
        <v>117</v>
      </c>
      <c r="C643" s="10" t="s">
        <v>117</v>
      </c>
      <c r="D643" s="12" t="s">
        <v>35</v>
      </c>
      <c r="E643" s="12" t="s">
        <v>934</v>
      </c>
      <c r="F643" s="10" t="s">
        <v>1370</v>
      </c>
      <c r="G643" s="12" t="s">
        <v>656</v>
      </c>
      <c r="H643" s="26" t="n">
        <v>197.11</v>
      </c>
      <c r="I643" s="7" t="n">
        <v>1</v>
      </c>
      <c r="J643" s="7" t="n">
        <v>346</v>
      </c>
      <c r="K643" s="11" t="n">
        <v>32830.17</v>
      </c>
      <c r="L643" s="10" t="s">
        <v>118</v>
      </c>
      <c r="M643" s="26" t="n">
        <v>197.11</v>
      </c>
      <c r="N643" s="12" t="s">
        <v>657</v>
      </c>
      <c r="O643" s="12" t="s">
        <v>77</v>
      </c>
      <c r="P643" s="10" t="s">
        <v>658</v>
      </c>
      <c r="Q643" s="30" t="s">
        <v>2059</v>
      </c>
      <c r="R643" s="34" t="n">
        <v>1</v>
      </c>
      <c r="S643" s="11" t="n">
        <v>32830.2</v>
      </c>
      <c r="T643" s="10" t="s">
        <v>175</v>
      </c>
      <c r="U643" s="7" t="n">
        <v>2</v>
      </c>
      <c r="V643" s="12" t="s">
        <v>175</v>
      </c>
      <c r="W643" s="12" t="s">
        <v>79</v>
      </c>
      <c r="X643" s="12" t="s">
        <v>86</v>
      </c>
      <c r="Y643" s="10"/>
      <c r="Z643" s="7" t="s">
        <v>74</v>
      </c>
      <c r="AA643" s="7" t="n">
        <v>2</v>
      </c>
      <c r="AB643" s="9" t="n">
        <v>0.820587110346147</v>
      </c>
    </row>
    <row r="644" customFormat="false" ht="23.85" hidden="false" customHeight="false" outlineLevel="0" collapsed="false">
      <c r="A644" s="7" t="n">
        <v>640</v>
      </c>
      <c r="B644" s="12" t="s">
        <v>204</v>
      </c>
      <c r="C644" s="10" t="s">
        <v>204</v>
      </c>
      <c r="D644" s="12" t="s">
        <v>35</v>
      </c>
      <c r="E644" s="12" t="s">
        <v>934</v>
      </c>
      <c r="F644" s="10" t="s">
        <v>2060</v>
      </c>
      <c r="G644" s="12" t="s">
        <v>656</v>
      </c>
      <c r="H644" s="26" t="n">
        <v>18.31</v>
      </c>
      <c r="I644" s="7" t="n">
        <v>1</v>
      </c>
      <c r="J644" s="7" t="n">
        <v>780</v>
      </c>
      <c r="K644" s="11" t="n">
        <v>18439.5</v>
      </c>
      <c r="L644" s="10" t="s">
        <v>205</v>
      </c>
      <c r="M644" s="26" t="n">
        <v>18.31</v>
      </c>
      <c r="N644" s="12" t="s">
        <v>657</v>
      </c>
      <c r="O644" s="12" t="s">
        <v>77</v>
      </c>
      <c r="P644" s="10" t="s">
        <v>658</v>
      </c>
      <c r="Q644" s="30" t="s">
        <v>2061</v>
      </c>
      <c r="R644" s="34" t="n">
        <v>0.193196635159931</v>
      </c>
      <c r="S644" s="11" t="n">
        <v>3562.4</v>
      </c>
      <c r="T644" s="10" t="s">
        <v>2058</v>
      </c>
      <c r="U644" s="7" t="n">
        <v>3</v>
      </c>
      <c r="V644" s="12" t="s">
        <v>175</v>
      </c>
      <c r="W644" s="12" t="s">
        <v>172</v>
      </c>
      <c r="X644" s="12" t="s">
        <v>86</v>
      </c>
      <c r="Y644" s="10"/>
      <c r="Z644" s="7" t="s">
        <v>74</v>
      </c>
      <c r="AA644" s="7" t="n">
        <v>5</v>
      </c>
      <c r="AB644" s="9" t="n">
        <v>0.500588066551922</v>
      </c>
    </row>
    <row r="645" customFormat="false" ht="23.85" hidden="false" customHeight="false" outlineLevel="0" collapsed="false">
      <c r="A645" s="7" t="n">
        <v>641</v>
      </c>
      <c r="B645" s="12" t="s">
        <v>275</v>
      </c>
      <c r="C645" s="10" t="s">
        <v>275</v>
      </c>
      <c r="D645" s="12" t="s">
        <v>35</v>
      </c>
      <c r="E645" s="12" t="s">
        <v>2062</v>
      </c>
      <c r="F645" s="10" t="s">
        <v>2063</v>
      </c>
      <c r="G645" s="12" t="s">
        <v>656</v>
      </c>
      <c r="H645" s="26" t="n">
        <v>38.34</v>
      </c>
      <c r="I645" s="7" t="n">
        <v>1</v>
      </c>
      <c r="J645" s="7" t="n">
        <v>2</v>
      </c>
      <c r="K645" s="11" t="n">
        <v>71.73</v>
      </c>
      <c r="L645" s="10" t="s">
        <v>276</v>
      </c>
      <c r="M645" s="26" t="n">
        <v>38.34</v>
      </c>
      <c r="N645" s="12" t="s">
        <v>657</v>
      </c>
      <c r="O645" s="12" t="s">
        <v>77</v>
      </c>
      <c r="P645" s="10" t="s">
        <v>658</v>
      </c>
      <c r="Q645" s="30" t="s">
        <v>2064</v>
      </c>
      <c r="R645" s="34" t="n">
        <v>0.996078431372549</v>
      </c>
      <c r="S645" s="11" t="n">
        <v>71.4</v>
      </c>
      <c r="T645" s="10" t="s">
        <v>175</v>
      </c>
      <c r="U645" s="7" t="n">
        <v>2</v>
      </c>
      <c r="V645" s="12" t="s">
        <v>175</v>
      </c>
      <c r="W645" s="12" t="s">
        <v>79</v>
      </c>
      <c r="X645" s="12" t="s">
        <v>80</v>
      </c>
      <c r="Y645" s="10" t="s">
        <v>111</v>
      </c>
      <c r="Z645" s="7" t="s">
        <v>688</v>
      </c>
      <c r="AA645" s="7" t="n">
        <v>13</v>
      </c>
      <c r="AB645" s="9" t="n">
        <v>0.285145343277873</v>
      </c>
    </row>
    <row r="646" customFormat="false" ht="23.85" hidden="false" customHeight="false" outlineLevel="0" collapsed="false">
      <c r="A646" s="7" t="n">
        <v>642</v>
      </c>
      <c r="B646" s="12" t="s">
        <v>606</v>
      </c>
      <c r="C646" s="10" t="s">
        <v>2065</v>
      </c>
      <c r="D646" s="12" t="s">
        <v>35</v>
      </c>
      <c r="E646" s="12" t="s">
        <v>1305</v>
      </c>
      <c r="F646" s="10" t="s">
        <v>1624</v>
      </c>
      <c r="G646" s="12" t="s">
        <v>656</v>
      </c>
      <c r="H646" s="26" t="n">
        <v>8.84</v>
      </c>
      <c r="I646" s="7" t="n">
        <v>1</v>
      </c>
      <c r="J646" s="7" t="n">
        <v>186</v>
      </c>
      <c r="K646" s="11" t="n">
        <v>1176.33</v>
      </c>
      <c r="L646" s="10" t="s">
        <v>607</v>
      </c>
      <c r="M646" s="26" t="n">
        <v>8.84</v>
      </c>
      <c r="N646" s="12" t="s">
        <v>657</v>
      </c>
      <c r="O646" s="12" t="s">
        <v>77</v>
      </c>
      <c r="P646" s="10" t="s">
        <v>658</v>
      </c>
      <c r="Q646" s="30" t="s">
        <v>2066</v>
      </c>
      <c r="R646" s="34" t="n">
        <v>0.857142857142857</v>
      </c>
      <c r="S646" s="11" t="n">
        <v>1008.3</v>
      </c>
      <c r="T646" s="10" t="s">
        <v>175</v>
      </c>
      <c r="U646" s="7" t="n">
        <v>2</v>
      </c>
      <c r="V646" s="12" t="s">
        <v>175</v>
      </c>
      <c r="W646" s="12" t="s">
        <v>172</v>
      </c>
      <c r="X646" s="12" t="s">
        <v>86</v>
      </c>
      <c r="Y646" s="10"/>
      <c r="Z646" s="7" t="s">
        <v>688</v>
      </c>
      <c r="AA646" s="7" t="n">
        <v>14</v>
      </c>
      <c r="AB646" s="9" t="n">
        <v>0.256334863262574</v>
      </c>
    </row>
    <row r="647" customFormat="false" ht="23.85" hidden="false" customHeight="false" outlineLevel="0" collapsed="false">
      <c r="A647" s="7" t="n">
        <v>643</v>
      </c>
      <c r="B647" s="12" t="s">
        <v>615</v>
      </c>
      <c r="C647" s="10" t="s">
        <v>2067</v>
      </c>
      <c r="D647" s="12" t="s">
        <v>35</v>
      </c>
      <c r="E647" s="12" t="s">
        <v>2068</v>
      </c>
      <c r="F647" s="10" t="s">
        <v>2069</v>
      </c>
      <c r="G647" s="12" t="s">
        <v>656</v>
      </c>
      <c r="H647" s="26" t="n">
        <v>6.4</v>
      </c>
      <c r="I647" s="7" t="n">
        <v>1</v>
      </c>
      <c r="J647" s="7" t="n">
        <v>128</v>
      </c>
      <c r="K647" s="11" t="n">
        <v>3640.13</v>
      </c>
      <c r="L647" s="10" t="s">
        <v>616</v>
      </c>
      <c r="M647" s="26" t="n">
        <v>6.4</v>
      </c>
      <c r="N647" s="12" t="s">
        <v>657</v>
      </c>
      <c r="O647" s="12" t="s">
        <v>102</v>
      </c>
      <c r="P647" s="10" t="s">
        <v>658</v>
      </c>
      <c r="Q647" s="30" t="s">
        <v>833</v>
      </c>
      <c r="R647" s="34" t="n">
        <v>0.484908175406181</v>
      </c>
      <c r="S647" s="11" t="n">
        <v>1765.1</v>
      </c>
      <c r="T647" s="10" t="s">
        <v>175</v>
      </c>
      <c r="U647" s="7" t="n">
        <v>2</v>
      </c>
      <c r="V647" s="12" t="s">
        <v>175</v>
      </c>
      <c r="W647" s="12" t="s">
        <v>172</v>
      </c>
      <c r="X647" s="12" t="s">
        <v>86</v>
      </c>
      <c r="Y647" s="10"/>
      <c r="Z647" s="7" t="s">
        <v>688</v>
      </c>
      <c r="AA647" s="7" t="n">
        <v>19</v>
      </c>
      <c r="AB647" s="9" t="n">
        <v>0.15739625167336</v>
      </c>
    </row>
    <row r="648" customFormat="false" ht="23.85" hidden="false" customHeight="false" outlineLevel="0" collapsed="false">
      <c r="A648" s="7" t="n">
        <v>644</v>
      </c>
      <c r="B648" s="12" t="s">
        <v>208</v>
      </c>
      <c r="C648" s="10" t="s">
        <v>208</v>
      </c>
      <c r="D648" s="12" t="s">
        <v>35</v>
      </c>
      <c r="E648" s="12" t="s">
        <v>1241</v>
      </c>
      <c r="F648" s="10" t="s">
        <v>2070</v>
      </c>
      <c r="G648" s="12" t="s">
        <v>656</v>
      </c>
      <c r="H648" s="26" t="n">
        <v>26.32</v>
      </c>
      <c r="I648" s="7" t="n">
        <v>1</v>
      </c>
      <c r="J648" s="7" t="n">
        <v>133</v>
      </c>
      <c r="K648" s="11" t="n">
        <v>4036.55</v>
      </c>
      <c r="L648" s="10" t="s">
        <v>209</v>
      </c>
      <c r="M648" s="26" t="n">
        <v>26.32</v>
      </c>
      <c r="N648" s="12" t="s">
        <v>657</v>
      </c>
      <c r="O648" s="12" t="s">
        <v>77</v>
      </c>
      <c r="P648" s="10" t="s">
        <v>658</v>
      </c>
      <c r="Q648" s="30" t="s">
        <v>2071</v>
      </c>
      <c r="R648" s="34" t="n">
        <v>1</v>
      </c>
      <c r="S648" s="11" t="n">
        <v>4036.6</v>
      </c>
      <c r="T648" s="10" t="s">
        <v>2072</v>
      </c>
      <c r="U648" s="7" t="n">
        <v>3</v>
      </c>
      <c r="V648" s="12" t="s">
        <v>175</v>
      </c>
      <c r="W648" s="12" t="s">
        <v>172</v>
      </c>
      <c r="X648" s="12" t="s">
        <v>86</v>
      </c>
      <c r="Y648" s="10"/>
      <c r="Z648" s="7" t="s">
        <v>106</v>
      </c>
      <c r="AA648" s="7" t="n">
        <v>7</v>
      </c>
      <c r="AB648" s="9" t="n">
        <v>0.475315547905909</v>
      </c>
    </row>
    <row r="649" customFormat="false" ht="23.85" hidden="false" customHeight="false" outlineLevel="0" collapsed="false">
      <c r="A649" s="7" t="n">
        <v>645</v>
      </c>
      <c r="B649" s="12" t="s">
        <v>609</v>
      </c>
      <c r="C649" s="10" t="s">
        <v>609</v>
      </c>
      <c r="D649" s="12" t="s">
        <v>35</v>
      </c>
      <c r="E649" s="12" t="s">
        <v>2073</v>
      </c>
      <c r="F649" s="10" t="s">
        <v>2069</v>
      </c>
      <c r="G649" s="12" t="s">
        <v>656</v>
      </c>
      <c r="H649" s="26" t="n">
        <v>29.63</v>
      </c>
      <c r="I649" s="7" t="n">
        <v>1</v>
      </c>
      <c r="J649" s="7" t="n">
        <v>77</v>
      </c>
      <c r="K649" s="11" t="n">
        <v>64.81</v>
      </c>
      <c r="L649" s="10" t="s">
        <v>610</v>
      </c>
      <c r="M649" s="26" t="n">
        <v>29.63</v>
      </c>
      <c r="N649" s="12" t="s">
        <v>657</v>
      </c>
      <c r="O649" s="12" t="s">
        <v>102</v>
      </c>
      <c r="P649" s="10" t="s">
        <v>658</v>
      </c>
      <c r="Q649" s="30" t="s">
        <v>833</v>
      </c>
      <c r="R649" s="34" t="n">
        <v>0.292735042735043</v>
      </c>
      <c r="S649" s="11" t="n">
        <v>19</v>
      </c>
      <c r="T649" s="10" t="s">
        <v>175</v>
      </c>
      <c r="U649" s="7" t="n">
        <v>2</v>
      </c>
      <c r="V649" s="12" t="s">
        <v>175</v>
      </c>
      <c r="W649" s="12" t="s">
        <v>172</v>
      </c>
      <c r="X649" s="12" t="s">
        <v>86</v>
      </c>
      <c r="Y649" s="10"/>
      <c r="Z649" s="7" t="s">
        <v>688</v>
      </c>
      <c r="AA649" s="7" t="n">
        <v>15</v>
      </c>
      <c r="AB649" s="9" t="n">
        <v>0.255311723082807</v>
      </c>
    </row>
    <row r="650" customFormat="false" ht="23.85" hidden="false" customHeight="false" outlineLevel="0" collapsed="false">
      <c r="A650" s="7" t="n">
        <v>646</v>
      </c>
      <c r="B650" s="12" t="s">
        <v>214</v>
      </c>
      <c r="C650" s="10" t="s">
        <v>214</v>
      </c>
      <c r="D650" s="12" t="s">
        <v>35</v>
      </c>
      <c r="E650" s="12" t="s">
        <v>1527</v>
      </c>
      <c r="F650" s="10" t="s">
        <v>2069</v>
      </c>
      <c r="G650" s="12" t="s">
        <v>656</v>
      </c>
      <c r="H650" s="26" t="n">
        <v>8.98</v>
      </c>
      <c r="I650" s="7" t="n">
        <v>1</v>
      </c>
      <c r="J650" s="7" t="n">
        <v>669</v>
      </c>
      <c r="K650" s="11" t="n">
        <v>11022.87</v>
      </c>
      <c r="L650" s="10" t="s">
        <v>215</v>
      </c>
      <c r="M650" s="26" t="n">
        <v>8.98</v>
      </c>
      <c r="N650" s="12" t="s">
        <v>657</v>
      </c>
      <c r="O650" s="12" t="s">
        <v>77</v>
      </c>
      <c r="P650" s="10" t="s">
        <v>658</v>
      </c>
      <c r="Q650" s="30" t="s">
        <v>2074</v>
      </c>
      <c r="R650" s="34" t="n">
        <v>0.407590557590558</v>
      </c>
      <c r="S650" s="11" t="n">
        <v>4492.8</v>
      </c>
      <c r="T650" s="10" t="s">
        <v>175</v>
      </c>
      <c r="U650" s="7" t="n">
        <v>2</v>
      </c>
      <c r="V650" s="12" t="s">
        <v>175</v>
      </c>
      <c r="W650" s="12" t="s">
        <v>172</v>
      </c>
      <c r="X650" s="12" t="s">
        <v>86</v>
      </c>
      <c r="Y650" s="10"/>
      <c r="Z650" s="7" t="s">
        <v>106</v>
      </c>
      <c r="AA650" s="7" t="n">
        <v>10</v>
      </c>
      <c r="AB650" s="9" t="n">
        <v>0.35728628800918</v>
      </c>
    </row>
    <row r="651" customFormat="false" ht="23.85" hidden="false" customHeight="false" outlineLevel="0" collapsed="false">
      <c r="A651" s="7" t="n">
        <v>647</v>
      </c>
      <c r="B651" s="12" t="s">
        <v>618</v>
      </c>
      <c r="C651" s="10" t="s">
        <v>618</v>
      </c>
      <c r="D651" s="12" t="s">
        <v>35</v>
      </c>
      <c r="E651" s="12" t="s">
        <v>1305</v>
      </c>
      <c r="F651" s="10" t="s">
        <v>2075</v>
      </c>
      <c r="G651" s="12" t="s">
        <v>656</v>
      </c>
      <c r="H651" s="26" t="n">
        <v>6.74</v>
      </c>
      <c r="I651" s="7" t="n">
        <v>1</v>
      </c>
      <c r="J651" s="7" t="n">
        <v>435</v>
      </c>
      <c r="K651" s="11" t="n">
        <v>7691.34</v>
      </c>
      <c r="L651" s="10" t="s">
        <v>619</v>
      </c>
      <c r="M651" s="26" t="n">
        <v>6.74</v>
      </c>
      <c r="N651" s="12" t="s">
        <v>657</v>
      </c>
      <c r="O651" s="12" t="s">
        <v>102</v>
      </c>
      <c r="P651" s="10" t="s">
        <v>658</v>
      </c>
      <c r="Q651" s="30" t="s">
        <v>833</v>
      </c>
      <c r="R651" s="34" t="n">
        <v>0.0201374081971097</v>
      </c>
      <c r="S651" s="11" t="n">
        <v>154.9</v>
      </c>
      <c r="T651" s="10" t="s">
        <v>175</v>
      </c>
      <c r="U651" s="7" t="n">
        <v>2</v>
      </c>
      <c r="V651" s="12" t="s">
        <v>175</v>
      </c>
      <c r="W651" s="12" t="s">
        <v>172</v>
      </c>
      <c r="X651" s="12" t="s">
        <v>86</v>
      </c>
      <c r="Y651" s="10"/>
      <c r="Z651" s="7" t="s">
        <v>688</v>
      </c>
      <c r="AA651" s="7" t="n">
        <v>20</v>
      </c>
      <c r="AB651" s="9" t="n">
        <v>0.0812392426850258</v>
      </c>
    </row>
    <row r="652" customFormat="false" ht="23.85" hidden="false" customHeight="false" outlineLevel="0" collapsed="false">
      <c r="A652" s="7" t="n">
        <v>648</v>
      </c>
      <c r="B652" s="12" t="s">
        <v>201</v>
      </c>
      <c r="C652" s="10" t="s">
        <v>201</v>
      </c>
      <c r="D652" s="12" t="s">
        <v>35</v>
      </c>
      <c r="E652" s="12" t="s">
        <v>2041</v>
      </c>
      <c r="F652" s="10" t="s">
        <v>2042</v>
      </c>
      <c r="G652" s="12" t="s">
        <v>656</v>
      </c>
      <c r="H652" s="26" t="n">
        <v>25.36</v>
      </c>
      <c r="I652" s="7" t="n">
        <v>1</v>
      </c>
      <c r="J652" s="7" t="n">
        <v>3110</v>
      </c>
      <c r="K652" s="11" t="n">
        <v>93119.22</v>
      </c>
      <c r="L652" s="10" t="s">
        <v>202</v>
      </c>
      <c r="M652" s="26" t="n">
        <v>25.36</v>
      </c>
      <c r="N652" s="12" t="s">
        <v>657</v>
      </c>
      <c r="O652" s="12" t="s">
        <v>77</v>
      </c>
      <c r="P652" s="10" t="s">
        <v>658</v>
      </c>
      <c r="Q652" s="30" t="s">
        <v>2076</v>
      </c>
      <c r="R652" s="34" t="n">
        <v>1</v>
      </c>
      <c r="S652" s="11" t="n">
        <v>93119.2</v>
      </c>
      <c r="T652" s="10" t="s">
        <v>2055</v>
      </c>
      <c r="U652" s="7" t="n">
        <v>5</v>
      </c>
      <c r="V652" s="12" t="s">
        <v>186</v>
      </c>
      <c r="W652" s="12" t="s">
        <v>79</v>
      </c>
      <c r="X652" s="12" t="s">
        <v>80</v>
      </c>
      <c r="Y652" s="10" t="s">
        <v>111</v>
      </c>
      <c r="Z652" s="7" t="s">
        <v>74</v>
      </c>
      <c r="AA652" s="7" t="n">
        <v>3</v>
      </c>
      <c r="AB652" s="9" t="n">
        <v>0.638582903040734</v>
      </c>
    </row>
    <row r="653" customFormat="false" ht="23.85" hidden="false" customHeight="false" outlineLevel="0" collapsed="false">
      <c r="A653" s="7" t="n">
        <v>649</v>
      </c>
      <c r="B653" s="12" t="s">
        <v>206</v>
      </c>
      <c r="C653" s="10" t="s">
        <v>206</v>
      </c>
      <c r="D653" s="12" t="s">
        <v>35</v>
      </c>
      <c r="E653" s="12" t="s">
        <v>2041</v>
      </c>
      <c r="F653" s="10" t="s">
        <v>2042</v>
      </c>
      <c r="G653" s="12" t="s">
        <v>656</v>
      </c>
      <c r="H653" s="26" t="n">
        <v>28.93</v>
      </c>
      <c r="I653" s="7" t="n">
        <v>1</v>
      </c>
      <c r="J653" s="7" t="n">
        <v>335</v>
      </c>
      <c r="K653" s="11" t="n">
        <v>5713.56</v>
      </c>
      <c r="L653" s="10" t="s">
        <v>207</v>
      </c>
      <c r="M653" s="26" t="n">
        <v>28.93</v>
      </c>
      <c r="N653" s="12" t="s">
        <v>657</v>
      </c>
      <c r="O653" s="12" t="s">
        <v>77</v>
      </c>
      <c r="P653" s="10" t="s">
        <v>658</v>
      </c>
      <c r="Q653" s="30" t="s">
        <v>2077</v>
      </c>
      <c r="R653" s="34" t="n">
        <v>1</v>
      </c>
      <c r="S653" s="11" t="n">
        <v>5713.6</v>
      </c>
      <c r="T653" s="10" t="s">
        <v>2078</v>
      </c>
      <c r="U653" s="7" t="n">
        <v>4</v>
      </c>
      <c r="V653" s="12" t="s">
        <v>175</v>
      </c>
      <c r="W653" s="12" t="s">
        <v>79</v>
      </c>
      <c r="X653" s="12" t="s">
        <v>80</v>
      </c>
      <c r="Y653" s="10" t="s">
        <v>111</v>
      </c>
      <c r="Z653" s="7" t="s">
        <v>106</v>
      </c>
      <c r="AA653" s="7" t="n">
        <v>6</v>
      </c>
      <c r="AB653" s="9" t="n">
        <v>0.483051252629566</v>
      </c>
    </row>
    <row r="654" customFormat="false" ht="15" hidden="false" customHeight="false" outlineLevel="0" collapsed="false">
      <c r="A654" s="7" t="n">
        <v>650</v>
      </c>
      <c r="B654" s="12" t="s">
        <v>255</v>
      </c>
      <c r="C654" s="10" t="s">
        <v>2079</v>
      </c>
      <c r="D654" s="12" t="s">
        <v>35</v>
      </c>
      <c r="E654" s="12" t="s">
        <v>1305</v>
      </c>
      <c r="F654" s="10" t="s">
        <v>2069</v>
      </c>
      <c r="G654" s="12" t="s">
        <v>656</v>
      </c>
      <c r="H654" s="26" t="n">
        <v>6.45</v>
      </c>
      <c r="I654" s="7" t="n">
        <v>1</v>
      </c>
      <c r="J654" s="7" t="n">
        <v>2221</v>
      </c>
      <c r="K654" s="11" t="n">
        <v>49989.33</v>
      </c>
      <c r="L654" s="10" t="s">
        <v>256</v>
      </c>
      <c r="M654" s="26" t="n">
        <v>6.45</v>
      </c>
      <c r="N654" s="12" t="s">
        <v>657</v>
      </c>
      <c r="O654" s="12" t="s">
        <v>102</v>
      </c>
      <c r="P654" s="10" t="s">
        <v>658</v>
      </c>
      <c r="Q654" s="30" t="s">
        <v>2080</v>
      </c>
      <c r="R654" s="34" t="n">
        <v>0.0511527360425806</v>
      </c>
      <c r="S654" s="11" t="n">
        <v>2557.1</v>
      </c>
      <c r="T654" s="10" t="s">
        <v>175</v>
      </c>
      <c r="U654" s="7" t="n">
        <v>2</v>
      </c>
      <c r="V654" s="12" t="s">
        <v>175</v>
      </c>
      <c r="W654" s="12" t="s">
        <v>172</v>
      </c>
      <c r="X654" s="12" t="s">
        <v>86</v>
      </c>
      <c r="Y654" s="10"/>
      <c r="Z654" s="7" t="s">
        <v>688</v>
      </c>
      <c r="AA654" s="7" t="n">
        <v>17</v>
      </c>
      <c r="AB654" s="9" t="n">
        <v>0.211856951615988</v>
      </c>
    </row>
    <row r="655" customFormat="false" ht="23.85" hidden="false" customHeight="false" outlineLevel="0" collapsed="false">
      <c r="A655" s="7" t="n">
        <v>651</v>
      </c>
      <c r="B655" s="12" t="s">
        <v>612</v>
      </c>
      <c r="C655" s="10" t="s">
        <v>612</v>
      </c>
      <c r="D655" s="12" t="s">
        <v>35</v>
      </c>
      <c r="E655" s="12" t="s">
        <v>2081</v>
      </c>
      <c r="F655" s="10" t="s">
        <v>2082</v>
      </c>
      <c r="G655" s="12" t="s">
        <v>656</v>
      </c>
      <c r="H655" s="26" t="n">
        <v>5.88</v>
      </c>
      <c r="I655" s="7" t="n">
        <v>1</v>
      </c>
      <c r="J655" s="7" t="n">
        <v>251</v>
      </c>
      <c r="K655" s="11" t="n">
        <v>4229.67</v>
      </c>
      <c r="L655" s="10" t="s">
        <v>613</v>
      </c>
      <c r="M655" s="26" t="n">
        <v>5.88</v>
      </c>
      <c r="N655" s="12" t="s">
        <v>657</v>
      </c>
      <c r="O655" s="12" t="s">
        <v>77</v>
      </c>
      <c r="P655" s="10" t="s">
        <v>658</v>
      </c>
      <c r="Q655" s="30" t="s">
        <v>2083</v>
      </c>
      <c r="R655" s="34" t="n">
        <v>0.673942003609456</v>
      </c>
      <c r="S655" s="11" t="n">
        <v>2850.6</v>
      </c>
      <c r="T655" s="10" t="s">
        <v>175</v>
      </c>
      <c r="U655" s="7" t="n">
        <v>2</v>
      </c>
      <c r="V655" s="12" t="s">
        <v>175</v>
      </c>
      <c r="W655" s="12" t="s">
        <v>79</v>
      </c>
      <c r="X655" s="12" t="s">
        <v>86</v>
      </c>
      <c r="Y655" s="10"/>
      <c r="Z655" s="7" t="s">
        <v>688</v>
      </c>
      <c r="AA655" s="7" t="n">
        <v>16</v>
      </c>
      <c r="AB655" s="9" t="n">
        <v>0.24397112258558</v>
      </c>
    </row>
    <row r="656" customFormat="false" ht="23.85" hidden="false" customHeight="false" outlineLevel="0" collapsed="false">
      <c r="A656" s="7" t="n">
        <v>652</v>
      </c>
      <c r="B656" s="12" t="s">
        <v>612</v>
      </c>
      <c r="C656" s="10" t="s">
        <v>2084</v>
      </c>
      <c r="D656" s="12" t="s">
        <v>35</v>
      </c>
      <c r="E656" s="12" t="s">
        <v>2085</v>
      </c>
      <c r="F656" s="10" t="s">
        <v>2082</v>
      </c>
      <c r="G656" s="12" t="s">
        <v>656</v>
      </c>
      <c r="H656" s="26" t="n">
        <v>7.6953</v>
      </c>
      <c r="I656" s="7" t="n">
        <v>23</v>
      </c>
      <c r="J656" s="7" t="n">
        <v>251</v>
      </c>
      <c r="K656" s="11" t="n">
        <v>4229.67</v>
      </c>
      <c r="L656" s="10" t="s">
        <v>613</v>
      </c>
      <c r="M656" s="26" t="n">
        <v>7.6953</v>
      </c>
      <c r="N656" s="12" t="s">
        <v>657</v>
      </c>
      <c r="O656" s="12" t="s">
        <v>153</v>
      </c>
      <c r="P656" s="10" t="s">
        <v>658</v>
      </c>
      <c r="Q656" s="30" t="s">
        <v>2086</v>
      </c>
      <c r="R656" s="34" t="n">
        <v>0.673942003609456</v>
      </c>
      <c r="S656" s="11" t="n">
        <v>2850.6</v>
      </c>
      <c r="T656" s="10" t="s">
        <v>175</v>
      </c>
      <c r="U656" s="7" t="n">
        <v>2</v>
      </c>
      <c r="V656" s="12" t="s">
        <v>175</v>
      </c>
      <c r="W656" s="12" t="s">
        <v>79</v>
      </c>
      <c r="X656" s="12" t="s">
        <v>86</v>
      </c>
      <c r="Y656" s="10"/>
      <c r="Z656" s="7" t="s">
        <v>688</v>
      </c>
      <c r="AA656" s="7" t="n">
        <v>16</v>
      </c>
      <c r="AB656" s="9" t="n">
        <v>0.24397112258558</v>
      </c>
    </row>
    <row r="657" customFormat="false" ht="15" hidden="false" customHeight="false" outlineLevel="0" collapsed="false">
      <c r="A657" s="7" t="n">
        <v>653</v>
      </c>
      <c r="B657" s="12" t="s">
        <v>255</v>
      </c>
      <c r="C657" s="10" t="s">
        <v>2079</v>
      </c>
      <c r="D657" s="12" t="s">
        <v>35</v>
      </c>
      <c r="E657" s="12" t="s">
        <v>885</v>
      </c>
      <c r="F657" s="10"/>
      <c r="G657" s="12"/>
      <c r="H657" s="26"/>
      <c r="I657" s="7" t="n">
        <v>2</v>
      </c>
      <c r="J657" s="7" t="n">
        <v>2221</v>
      </c>
      <c r="K657" s="11" t="n">
        <v>49989.33</v>
      </c>
      <c r="L657" s="10" t="s">
        <v>256</v>
      </c>
      <c r="M657" s="26"/>
      <c r="N657" s="12" t="s">
        <v>701</v>
      </c>
      <c r="O657" s="12" t="s">
        <v>323</v>
      </c>
      <c r="P657" s="10" t="s">
        <v>323</v>
      </c>
      <c r="Q657" s="12"/>
      <c r="R657" s="34" t="n">
        <v>0.0511527360425806</v>
      </c>
      <c r="S657" s="11" t="n">
        <v>2557.1</v>
      </c>
      <c r="T657" s="10" t="s">
        <v>175</v>
      </c>
      <c r="U657" s="7" t="n">
        <v>2</v>
      </c>
      <c r="V657" s="12" t="s">
        <v>175</v>
      </c>
      <c r="W657" s="12" t="s">
        <v>97</v>
      </c>
      <c r="X657" s="12" t="s">
        <v>97</v>
      </c>
      <c r="Y657" s="10"/>
      <c r="Z657" s="7" t="s">
        <v>688</v>
      </c>
      <c r="AA657" s="7" t="n">
        <v>17</v>
      </c>
      <c r="AB657" s="9" t="n">
        <v>0.211856951615988</v>
      </c>
    </row>
    <row r="658" customFormat="false" ht="23.85" hidden="false" customHeight="false" outlineLevel="0" collapsed="false">
      <c r="A658" s="7" t="n">
        <v>654</v>
      </c>
      <c r="B658" s="12" t="s">
        <v>206</v>
      </c>
      <c r="C658" s="10" t="s">
        <v>2087</v>
      </c>
      <c r="D658" s="12" t="s">
        <v>35</v>
      </c>
      <c r="E658" s="12" t="s">
        <v>1872</v>
      </c>
      <c r="F658" s="10" t="s">
        <v>2042</v>
      </c>
      <c r="G658" s="12" t="s">
        <v>656</v>
      </c>
      <c r="H658" s="26" t="n">
        <v>11.6164</v>
      </c>
      <c r="I658" s="7" t="n">
        <v>30</v>
      </c>
      <c r="J658" s="7" t="n">
        <v>335</v>
      </c>
      <c r="K658" s="11" t="n">
        <v>5713.56</v>
      </c>
      <c r="L658" s="10" t="s">
        <v>207</v>
      </c>
      <c r="M658" s="26" t="n">
        <v>11.6164</v>
      </c>
      <c r="N658" s="12" t="s">
        <v>657</v>
      </c>
      <c r="O658" s="12" t="s">
        <v>153</v>
      </c>
      <c r="P658" s="10" t="s">
        <v>658</v>
      </c>
      <c r="Q658" s="30" t="s">
        <v>852</v>
      </c>
      <c r="R658" s="34" t="n">
        <v>1</v>
      </c>
      <c r="S658" s="11" t="n">
        <v>5713.6</v>
      </c>
      <c r="T658" s="10" t="s">
        <v>2078</v>
      </c>
      <c r="U658" s="7" t="n">
        <v>4</v>
      </c>
      <c r="V658" s="12" t="s">
        <v>175</v>
      </c>
      <c r="W658" s="12" t="s">
        <v>79</v>
      </c>
      <c r="X658" s="12" t="s">
        <v>80</v>
      </c>
      <c r="Y658" s="10" t="s">
        <v>111</v>
      </c>
      <c r="Z658" s="7" t="s">
        <v>106</v>
      </c>
      <c r="AA658" s="7" t="n">
        <v>6</v>
      </c>
      <c r="AB658" s="9" t="n">
        <v>0.483051252629566</v>
      </c>
    </row>
    <row r="659" customFormat="false" ht="23.85" hidden="false" customHeight="false" outlineLevel="0" collapsed="false">
      <c r="A659" s="7" t="n">
        <v>655</v>
      </c>
      <c r="B659" s="12" t="s">
        <v>107</v>
      </c>
      <c r="C659" s="10" t="s">
        <v>2088</v>
      </c>
      <c r="D659" s="12" t="s">
        <v>35</v>
      </c>
      <c r="E659" s="12" t="s">
        <v>873</v>
      </c>
      <c r="F659" s="10" t="s">
        <v>874</v>
      </c>
      <c r="G659" s="12" t="s">
        <v>656</v>
      </c>
      <c r="H659" s="26" t="n">
        <v>93.7335</v>
      </c>
      <c r="I659" s="7" t="n">
        <v>28</v>
      </c>
      <c r="J659" s="7" t="n">
        <v>312</v>
      </c>
      <c r="K659" s="11" t="n">
        <v>59827.18</v>
      </c>
      <c r="L659" s="10" t="s">
        <v>108</v>
      </c>
      <c r="M659" s="26" t="n">
        <v>93.7335</v>
      </c>
      <c r="N659" s="12" t="s">
        <v>657</v>
      </c>
      <c r="O659" s="12" t="s">
        <v>153</v>
      </c>
      <c r="P659" s="10" t="s">
        <v>658</v>
      </c>
      <c r="Q659" s="30" t="s">
        <v>852</v>
      </c>
      <c r="R659" s="34" t="n">
        <v>1</v>
      </c>
      <c r="S659" s="11" t="n">
        <v>59827.2</v>
      </c>
      <c r="T659" s="10" t="s">
        <v>2058</v>
      </c>
      <c r="U659" s="7" t="n">
        <v>3</v>
      </c>
      <c r="V659" s="12" t="s">
        <v>175</v>
      </c>
      <c r="W659" s="12" t="s">
        <v>79</v>
      </c>
      <c r="X659" s="12" t="s">
        <v>80</v>
      </c>
      <c r="Y659" s="10" t="s">
        <v>111</v>
      </c>
      <c r="Z659" s="7" t="s">
        <v>74</v>
      </c>
      <c r="AA659" s="7" t="n">
        <v>1</v>
      </c>
      <c r="AB659" s="9" t="n">
        <v>0.848756932491872</v>
      </c>
    </row>
    <row r="660" customFormat="false" ht="23.85" hidden="false" customHeight="false" outlineLevel="0" collapsed="false">
      <c r="A660" s="7" t="n">
        <v>656</v>
      </c>
      <c r="B660" s="12" t="s">
        <v>212</v>
      </c>
      <c r="C660" s="10" t="s">
        <v>2089</v>
      </c>
      <c r="D660" s="12" t="s">
        <v>35</v>
      </c>
      <c r="E660" s="12" t="s">
        <v>2090</v>
      </c>
      <c r="F660" s="10" t="s">
        <v>2091</v>
      </c>
      <c r="G660" s="12" t="s">
        <v>656</v>
      </c>
      <c r="H660" s="26" t="n">
        <v>59.1216</v>
      </c>
      <c r="I660" s="7" t="n">
        <v>6</v>
      </c>
      <c r="J660" s="7" t="n">
        <v>106</v>
      </c>
      <c r="K660" s="11" t="n">
        <v>175.06</v>
      </c>
      <c r="L660" s="10" t="s">
        <v>213</v>
      </c>
      <c r="M660" s="26" t="n">
        <v>59.1216</v>
      </c>
      <c r="N660" s="12" t="s">
        <v>657</v>
      </c>
      <c r="O660" s="12" t="s">
        <v>153</v>
      </c>
      <c r="P660" s="10" t="s">
        <v>658</v>
      </c>
      <c r="Q660" s="30" t="s">
        <v>2092</v>
      </c>
      <c r="R660" s="34" t="n">
        <v>0.934782608695652</v>
      </c>
      <c r="S660" s="11" t="n">
        <v>163.6</v>
      </c>
      <c r="T660" s="10" t="s">
        <v>2093</v>
      </c>
      <c r="U660" s="7" t="n">
        <v>3</v>
      </c>
      <c r="V660" s="12" t="s">
        <v>96</v>
      </c>
      <c r="W660" s="12" t="s">
        <v>172</v>
      </c>
      <c r="X660" s="12" t="s">
        <v>80</v>
      </c>
      <c r="Y660" s="10" t="s">
        <v>111</v>
      </c>
      <c r="Z660" s="7" t="s">
        <v>106</v>
      </c>
      <c r="AA660" s="7" t="n">
        <v>9</v>
      </c>
      <c r="AB660" s="9" t="n">
        <v>0.360523044559189</v>
      </c>
    </row>
    <row r="661" customFormat="false" ht="23.85" hidden="false" customHeight="false" outlineLevel="0" collapsed="false">
      <c r="A661" s="7" t="n">
        <v>657</v>
      </c>
      <c r="B661" s="12" t="s">
        <v>604</v>
      </c>
      <c r="C661" s="10" t="s">
        <v>2094</v>
      </c>
      <c r="D661" s="12" t="s">
        <v>35</v>
      </c>
      <c r="E661" s="12" t="s">
        <v>885</v>
      </c>
      <c r="F661" s="10" t="s">
        <v>2069</v>
      </c>
      <c r="G661" s="12" t="s">
        <v>656</v>
      </c>
      <c r="H661" s="26" t="n">
        <v>13.899</v>
      </c>
      <c r="I661" s="7" t="n">
        <v>1</v>
      </c>
      <c r="J661" s="7" t="n">
        <v>9</v>
      </c>
      <c r="K661" s="11" t="n">
        <v>1894.78</v>
      </c>
      <c r="L661" s="10" t="s">
        <v>441</v>
      </c>
      <c r="M661" s="26" t="n">
        <v>13.899</v>
      </c>
      <c r="N661" s="12" t="s">
        <v>657</v>
      </c>
      <c r="O661" s="12" t="s">
        <v>153</v>
      </c>
      <c r="P661" s="10" t="s">
        <v>658</v>
      </c>
      <c r="Q661" s="30" t="s">
        <v>2095</v>
      </c>
      <c r="R661" s="34" t="n">
        <v>1</v>
      </c>
      <c r="S661" s="11" t="n">
        <v>1894.8</v>
      </c>
      <c r="T661" s="10" t="s">
        <v>1832</v>
      </c>
      <c r="U661" s="7" t="n">
        <v>2</v>
      </c>
      <c r="V661" s="12" t="s">
        <v>96</v>
      </c>
      <c r="W661" s="12" t="s">
        <v>172</v>
      </c>
      <c r="X661" s="12" t="s">
        <v>86</v>
      </c>
      <c r="Y661" s="10"/>
      <c r="Z661" s="7" t="s">
        <v>688</v>
      </c>
      <c r="AA661" s="7" t="n">
        <v>12</v>
      </c>
      <c r="AB661" s="9" t="n">
        <v>0.285154905335628</v>
      </c>
    </row>
    <row r="662" customFormat="false" ht="23.85" hidden="false" customHeight="false" outlineLevel="0" collapsed="false">
      <c r="A662" s="7" t="n">
        <v>658</v>
      </c>
      <c r="B662" s="12" t="s">
        <v>208</v>
      </c>
      <c r="C662" s="10" t="s">
        <v>2096</v>
      </c>
      <c r="D662" s="12" t="s">
        <v>35</v>
      </c>
      <c r="E662" s="12" t="s">
        <v>1602</v>
      </c>
      <c r="F662" s="10" t="s">
        <v>2070</v>
      </c>
      <c r="G662" s="12" t="s">
        <v>656</v>
      </c>
      <c r="H662" s="26" t="n">
        <v>21.0971</v>
      </c>
      <c r="I662" s="7" t="n">
        <v>24</v>
      </c>
      <c r="J662" s="7" t="n">
        <v>133</v>
      </c>
      <c r="K662" s="11" t="n">
        <v>4036.55</v>
      </c>
      <c r="L662" s="10" t="s">
        <v>209</v>
      </c>
      <c r="M662" s="26" t="n">
        <v>21.0971</v>
      </c>
      <c r="N662" s="12" t="s">
        <v>657</v>
      </c>
      <c r="O662" s="12" t="s">
        <v>153</v>
      </c>
      <c r="P662" s="10" t="s">
        <v>658</v>
      </c>
      <c r="Q662" s="30" t="s">
        <v>1280</v>
      </c>
      <c r="R662" s="34" t="n">
        <v>1</v>
      </c>
      <c r="S662" s="11" t="n">
        <v>4036.6</v>
      </c>
      <c r="T662" s="10" t="s">
        <v>2072</v>
      </c>
      <c r="U662" s="7" t="n">
        <v>3</v>
      </c>
      <c r="V662" s="12" t="s">
        <v>175</v>
      </c>
      <c r="W662" s="12" t="s">
        <v>172</v>
      </c>
      <c r="X662" s="12" t="s">
        <v>86</v>
      </c>
      <c r="Y662" s="10"/>
      <c r="Z662" s="7" t="s">
        <v>106</v>
      </c>
      <c r="AA662" s="7" t="n">
        <v>7</v>
      </c>
      <c r="AB662" s="9" t="n">
        <v>0.475315547905909</v>
      </c>
    </row>
    <row r="663" customFormat="false" ht="23.85" hidden="false" customHeight="false" outlineLevel="0" collapsed="false">
      <c r="A663" s="7" t="n">
        <v>659</v>
      </c>
      <c r="B663" s="12" t="s">
        <v>210</v>
      </c>
      <c r="C663" s="10" t="s">
        <v>2097</v>
      </c>
      <c r="D663" s="12" t="s">
        <v>35</v>
      </c>
      <c r="E663" s="12" t="s">
        <v>907</v>
      </c>
      <c r="F663" s="10" t="s">
        <v>1282</v>
      </c>
      <c r="G663" s="12" t="s">
        <v>656</v>
      </c>
      <c r="H663" s="26" t="n">
        <v>5.3223</v>
      </c>
      <c r="I663" s="7" t="n">
        <v>28</v>
      </c>
      <c r="J663" s="7" t="n">
        <v>2546</v>
      </c>
      <c r="K663" s="11" t="n">
        <v>46507.62</v>
      </c>
      <c r="L663" s="10" t="s">
        <v>211</v>
      </c>
      <c r="M663" s="26" t="n">
        <v>5.3223</v>
      </c>
      <c r="N663" s="12" t="s">
        <v>657</v>
      </c>
      <c r="O663" s="12" t="s">
        <v>153</v>
      </c>
      <c r="P663" s="10" t="s">
        <v>658</v>
      </c>
      <c r="Q663" s="30" t="s">
        <v>852</v>
      </c>
      <c r="R663" s="34" t="n">
        <v>0.378228374732698</v>
      </c>
      <c r="S663" s="11" t="n">
        <v>17590.5</v>
      </c>
      <c r="T663" s="10" t="s">
        <v>96</v>
      </c>
      <c r="U663" s="7" t="n">
        <v>1</v>
      </c>
      <c r="V663" s="12" t="s">
        <v>96</v>
      </c>
      <c r="W663" s="12" t="s">
        <v>172</v>
      </c>
      <c r="X663" s="12" t="s">
        <v>86</v>
      </c>
      <c r="Y663" s="10"/>
      <c r="Z663" s="7" t="s">
        <v>106</v>
      </c>
      <c r="AA663" s="7" t="n">
        <v>8</v>
      </c>
      <c r="AB663" s="9" t="n">
        <v>0.386192388602027</v>
      </c>
    </row>
    <row r="664" customFormat="false" ht="23.85" hidden="false" customHeight="false" outlineLevel="0" collapsed="false">
      <c r="A664" s="7" t="n">
        <v>660</v>
      </c>
      <c r="B664" s="12" t="s">
        <v>606</v>
      </c>
      <c r="C664" s="10" t="s">
        <v>2098</v>
      </c>
      <c r="D664" s="12" t="s">
        <v>35</v>
      </c>
      <c r="E664" s="12" t="s">
        <v>885</v>
      </c>
      <c r="F664" s="10" t="s">
        <v>2099</v>
      </c>
      <c r="G664" s="12" t="s">
        <v>656</v>
      </c>
      <c r="H664" s="26" t="n">
        <v>26.0352</v>
      </c>
      <c r="I664" s="7" t="n">
        <v>27</v>
      </c>
      <c r="J664" s="7" t="n">
        <v>186</v>
      </c>
      <c r="K664" s="11" t="n">
        <v>1176.33</v>
      </c>
      <c r="L664" s="10" t="s">
        <v>607</v>
      </c>
      <c r="M664" s="26" t="n">
        <v>26.0352</v>
      </c>
      <c r="N664" s="12" t="s">
        <v>657</v>
      </c>
      <c r="O664" s="12" t="s">
        <v>153</v>
      </c>
      <c r="P664" s="10" t="s">
        <v>658</v>
      </c>
      <c r="Q664" s="30" t="s">
        <v>2100</v>
      </c>
      <c r="R664" s="34" t="n">
        <v>0.857142857142857</v>
      </c>
      <c r="S664" s="11" t="n">
        <v>1008.3</v>
      </c>
      <c r="T664" s="10" t="s">
        <v>175</v>
      </c>
      <c r="U664" s="7" t="n">
        <v>2</v>
      </c>
      <c r="V664" s="12" t="s">
        <v>175</v>
      </c>
      <c r="W664" s="12" t="s">
        <v>172</v>
      </c>
      <c r="X664" s="12" t="s">
        <v>86</v>
      </c>
      <c r="Y664" s="10"/>
      <c r="Z664" s="7" t="s">
        <v>688</v>
      </c>
      <c r="AA664" s="7" t="n">
        <v>14</v>
      </c>
      <c r="AB664" s="9" t="n">
        <v>0.256334863262574</v>
      </c>
    </row>
    <row r="665" customFormat="false" ht="23.85" hidden="false" customHeight="false" outlineLevel="0" collapsed="false">
      <c r="A665" s="7" t="n">
        <v>661</v>
      </c>
      <c r="B665" s="12" t="s">
        <v>275</v>
      </c>
      <c r="C665" s="10" t="s">
        <v>2101</v>
      </c>
      <c r="D665" s="12" t="s">
        <v>35</v>
      </c>
      <c r="E665" s="12" t="s">
        <v>2102</v>
      </c>
      <c r="F665" s="10" t="s">
        <v>2063</v>
      </c>
      <c r="G665" s="12" t="s">
        <v>656</v>
      </c>
      <c r="H665" s="26" t="n">
        <v>28.024</v>
      </c>
      <c r="I665" s="7" t="n">
        <v>22</v>
      </c>
      <c r="J665" s="7" t="n">
        <v>2</v>
      </c>
      <c r="K665" s="11" t="n">
        <v>71.73</v>
      </c>
      <c r="L665" s="10" t="s">
        <v>276</v>
      </c>
      <c r="M665" s="26" t="n">
        <v>28.024</v>
      </c>
      <c r="N665" s="12" t="s">
        <v>657</v>
      </c>
      <c r="O665" s="12" t="s">
        <v>153</v>
      </c>
      <c r="P665" s="10" t="s">
        <v>658</v>
      </c>
      <c r="Q665" s="30" t="s">
        <v>914</v>
      </c>
      <c r="R665" s="34" t="n">
        <v>0.996078431372549</v>
      </c>
      <c r="S665" s="11" t="n">
        <v>71.4</v>
      </c>
      <c r="T665" s="10" t="s">
        <v>175</v>
      </c>
      <c r="U665" s="7" t="n">
        <v>2</v>
      </c>
      <c r="V665" s="12" t="s">
        <v>175</v>
      </c>
      <c r="W665" s="12" t="s">
        <v>79</v>
      </c>
      <c r="X665" s="12" t="s">
        <v>80</v>
      </c>
      <c r="Y665" s="10" t="s">
        <v>111</v>
      </c>
      <c r="Z665" s="7" t="s">
        <v>688</v>
      </c>
      <c r="AA665" s="7" t="n">
        <v>13</v>
      </c>
      <c r="AB665" s="9" t="n">
        <v>0.285145343277873</v>
      </c>
    </row>
    <row r="666" customFormat="false" ht="23.85" hidden="false" customHeight="false" outlineLevel="0" collapsed="false">
      <c r="A666" s="7" t="n">
        <v>662</v>
      </c>
      <c r="B666" s="12" t="s">
        <v>204</v>
      </c>
      <c r="C666" s="10" t="s">
        <v>2103</v>
      </c>
      <c r="D666" s="12" t="s">
        <v>35</v>
      </c>
      <c r="E666" s="12" t="s">
        <v>2104</v>
      </c>
      <c r="F666" s="10" t="s">
        <v>2105</v>
      </c>
      <c r="G666" s="12" t="s">
        <v>656</v>
      </c>
      <c r="H666" s="26" t="n">
        <v>8.5428</v>
      </c>
      <c r="I666" s="7" t="n">
        <v>30</v>
      </c>
      <c r="J666" s="7" t="n">
        <v>780</v>
      </c>
      <c r="K666" s="11" t="n">
        <v>18439.5</v>
      </c>
      <c r="L666" s="10" t="s">
        <v>205</v>
      </c>
      <c r="M666" s="26" t="n">
        <v>8.5428</v>
      </c>
      <c r="N666" s="12" t="s">
        <v>657</v>
      </c>
      <c r="O666" s="12" t="s">
        <v>153</v>
      </c>
      <c r="P666" s="10" t="s">
        <v>658</v>
      </c>
      <c r="Q666" s="30" t="s">
        <v>852</v>
      </c>
      <c r="R666" s="34" t="n">
        <v>0.193196635159931</v>
      </c>
      <c r="S666" s="11" t="n">
        <v>3562.4</v>
      </c>
      <c r="T666" s="10" t="s">
        <v>2058</v>
      </c>
      <c r="U666" s="7" t="n">
        <v>3</v>
      </c>
      <c r="V666" s="12" t="s">
        <v>175</v>
      </c>
      <c r="W666" s="12" t="s">
        <v>79</v>
      </c>
      <c r="X666" s="12" t="s">
        <v>86</v>
      </c>
      <c r="Y666" s="10"/>
      <c r="Z666" s="7" t="s">
        <v>74</v>
      </c>
      <c r="AA666" s="7" t="n">
        <v>5</v>
      </c>
      <c r="AB666" s="9" t="n">
        <v>0.500588066551922</v>
      </c>
    </row>
    <row r="667" customFormat="false" ht="23.85" hidden="false" customHeight="false" outlineLevel="0" collapsed="false">
      <c r="A667" s="7" t="n">
        <v>663</v>
      </c>
      <c r="B667" s="12" t="s">
        <v>117</v>
      </c>
      <c r="C667" s="10" t="s">
        <v>117</v>
      </c>
      <c r="D667" s="12" t="s">
        <v>35</v>
      </c>
      <c r="E667" s="12" t="s">
        <v>1183</v>
      </c>
      <c r="F667" s="10" t="s">
        <v>1282</v>
      </c>
      <c r="G667" s="12" t="s">
        <v>656</v>
      </c>
      <c r="H667" s="26" t="n">
        <v>83.0776</v>
      </c>
      <c r="I667" s="7" t="n">
        <v>26</v>
      </c>
      <c r="J667" s="7" t="n">
        <v>346</v>
      </c>
      <c r="K667" s="11" t="n">
        <v>32830.17</v>
      </c>
      <c r="L667" s="10" t="s">
        <v>118</v>
      </c>
      <c r="M667" s="26" t="n">
        <v>83.0776</v>
      </c>
      <c r="N667" s="12" t="s">
        <v>657</v>
      </c>
      <c r="O667" s="12" t="s">
        <v>153</v>
      </c>
      <c r="P667" s="10" t="s">
        <v>658</v>
      </c>
      <c r="Q667" s="30" t="s">
        <v>852</v>
      </c>
      <c r="R667" s="34" t="n">
        <v>1</v>
      </c>
      <c r="S667" s="11" t="n">
        <v>32830.2</v>
      </c>
      <c r="T667" s="10" t="s">
        <v>175</v>
      </c>
      <c r="U667" s="7" t="n">
        <v>2</v>
      </c>
      <c r="V667" s="12" t="s">
        <v>175</v>
      </c>
      <c r="W667" s="12" t="s">
        <v>172</v>
      </c>
      <c r="X667" s="12" t="s">
        <v>86</v>
      </c>
      <c r="Y667" s="10"/>
      <c r="Z667" s="7" t="s">
        <v>74</v>
      </c>
      <c r="AA667" s="7" t="n">
        <v>2</v>
      </c>
      <c r="AB667" s="9" t="n">
        <v>0.820587110346147</v>
      </c>
    </row>
    <row r="668" customFormat="false" ht="23.85" hidden="false" customHeight="false" outlineLevel="0" collapsed="false">
      <c r="A668" s="7" t="n">
        <v>664</v>
      </c>
      <c r="B668" s="12" t="s">
        <v>203</v>
      </c>
      <c r="C668" s="10" t="s">
        <v>2106</v>
      </c>
      <c r="D668" s="12" t="s">
        <v>35</v>
      </c>
      <c r="E668" s="12" t="s">
        <v>897</v>
      </c>
      <c r="F668" s="10" t="s">
        <v>898</v>
      </c>
      <c r="G668" s="12" t="s">
        <v>656</v>
      </c>
      <c r="H668" s="26" t="n">
        <v>6.7348</v>
      </c>
      <c r="I668" s="7" t="n">
        <v>27</v>
      </c>
      <c r="J668" s="7" t="n">
        <v>1200</v>
      </c>
      <c r="K668" s="11" t="n">
        <v>53526.71</v>
      </c>
      <c r="L668" s="10" t="s">
        <v>179</v>
      </c>
      <c r="M668" s="26" t="n">
        <v>6.7348</v>
      </c>
      <c r="N668" s="12" t="s">
        <v>657</v>
      </c>
      <c r="O668" s="12" t="s">
        <v>153</v>
      </c>
      <c r="P668" s="10" t="s">
        <v>658</v>
      </c>
      <c r="Q668" s="30" t="s">
        <v>852</v>
      </c>
      <c r="R668" s="34" t="n">
        <v>0.822746602056947</v>
      </c>
      <c r="S668" s="11" t="n">
        <v>44038.9</v>
      </c>
      <c r="T668" s="10" t="s">
        <v>96</v>
      </c>
      <c r="U668" s="7" t="n">
        <v>1</v>
      </c>
      <c r="V668" s="12" t="s">
        <v>96</v>
      </c>
      <c r="W668" s="12" t="s">
        <v>79</v>
      </c>
      <c r="X668" s="12" t="s">
        <v>80</v>
      </c>
      <c r="Y668" s="10" t="s">
        <v>111</v>
      </c>
      <c r="Z668" s="7" t="s">
        <v>74</v>
      </c>
      <c r="AA668" s="7" t="n">
        <v>4</v>
      </c>
      <c r="AB668" s="9" t="n">
        <v>0.514892904953146</v>
      </c>
    </row>
    <row r="669" customFormat="false" ht="23.85" hidden="false" customHeight="false" outlineLevel="0" collapsed="false">
      <c r="A669" s="7" t="n">
        <v>665</v>
      </c>
      <c r="B669" s="12" t="s">
        <v>604</v>
      </c>
      <c r="C669" s="10" t="s">
        <v>2094</v>
      </c>
      <c r="D669" s="12" t="s">
        <v>35</v>
      </c>
      <c r="E669" s="12" t="s">
        <v>1787</v>
      </c>
      <c r="F669" s="10" t="s">
        <v>1785</v>
      </c>
      <c r="G669" s="12" t="s">
        <v>656</v>
      </c>
      <c r="H669" s="26"/>
      <c r="I669" s="7" t="n">
        <v>1</v>
      </c>
      <c r="J669" s="7" t="n">
        <v>9</v>
      </c>
      <c r="K669" s="11" t="n">
        <v>1894.78</v>
      </c>
      <c r="L669" s="10" t="s">
        <v>441</v>
      </c>
      <c r="M669" s="26"/>
      <c r="N669" s="12" t="s">
        <v>701</v>
      </c>
      <c r="O669" s="12" t="s">
        <v>323</v>
      </c>
      <c r="P669" s="10" t="s">
        <v>323</v>
      </c>
      <c r="Q669" s="12"/>
      <c r="R669" s="34" t="n">
        <v>1</v>
      </c>
      <c r="S669" s="11" t="n">
        <v>1894.8</v>
      </c>
      <c r="T669" s="10" t="s">
        <v>1832</v>
      </c>
      <c r="U669" s="7" t="n">
        <v>2</v>
      </c>
      <c r="V669" s="12" t="s">
        <v>96</v>
      </c>
      <c r="W669" s="12" t="s">
        <v>172</v>
      </c>
      <c r="X669" s="12" t="s">
        <v>86</v>
      </c>
      <c r="Y669" s="10"/>
      <c r="Z669" s="7" t="s">
        <v>688</v>
      </c>
      <c r="AA669" s="7" t="n">
        <v>12</v>
      </c>
      <c r="AB669" s="9" t="n">
        <v>0.285154905335628</v>
      </c>
    </row>
    <row r="670" customFormat="false" ht="23.85" hidden="false" customHeight="false" outlineLevel="0" collapsed="false">
      <c r="A670" s="7" t="n">
        <v>666</v>
      </c>
      <c r="B670" s="12" t="s">
        <v>604</v>
      </c>
      <c r="C670" s="10" t="s">
        <v>2094</v>
      </c>
      <c r="D670" s="12" t="s">
        <v>35</v>
      </c>
      <c r="E670" s="12" t="s">
        <v>917</v>
      </c>
      <c r="F670" s="10" t="s">
        <v>1048</v>
      </c>
      <c r="G670" s="12" t="s">
        <v>656</v>
      </c>
      <c r="H670" s="26"/>
      <c r="I670" s="7" t="n">
        <v>1</v>
      </c>
      <c r="J670" s="7" t="n">
        <v>9</v>
      </c>
      <c r="K670" s="11" t="n">
        <v>1894.78</v>
      </c>
      <c r="L670" s="10" t="s">
        <v>441</v>
      </c>
      <c r="M670" s="26"/>
      <c r="N670" s="12" t="s">
        <v>701</v>
      </c>
      <c r="O670" s="12" t="s">
        <v>323</v>
      </c>
      <c r="P670" s="10" t="s">
        <v>323</v>
      </c>
      <c r="Q670" s="12"/>
      <c r="R670" s="34" t="n">
        <v>1</v>
      </c>
      <c r="S670" s="11" t="n">
        <v>1894.8</v>
      </c>
      <c r="T670" s="10" t="s">
        <v>1832</v>
      </c>
      <c r="U670" s="7" t="n">
        <v>2</v>
      </c>
      <c r="V670" s="12" t="s">
        <v>96</v>
      </c>
      <c r="W670" s="12" t="s">
        <v>172</v>
      </c>
      <c r="X670" s="12" t="s">
        <v>86</v>
      </c>
      <c r="Y670" s="10"/>
      <c r="Z670" s="7" t="s">
        <v>688</v>
      </c>
      <c r="AA670" s="7" t="n">
        <v>12</v>
      </c>
      <c r="AB670" s="9" t="n">
        <v>0.285154905335628</v>
      </c>
    </row>
    <row r="671" customFormat="false" ht="23.85" hidden="false" customHeight="false" outlineLevel="0" collapsed="false">
      <c r="A671" s="7" t="n">
        <v>667</v>
      </c>
      <c r="B671" s="12" t="s">
        <v>107</v>
      </c>
      <c r="C671" s="10" t="s">
        <v>2107</v>
      </c>
      <c r="D671" s="12" t="s">
        <v>35</v>
      </c>
      <c r="E671" s="12" t="s">
        <v>963</v>
      </c>
      <c r="F671" s="10" t="s">
        <v>964</v>
      </c>
      <c r="G671" s="12" t="s">
        <v>656</v>
      </c>
      <c r="H671" s="26"/>
      <c r="I671" s="7" t="n">
        <v>1</v>
      </c>
      <c r="J671" s="7" t="n">
        <v>312</v>
      </c>
      <c r="K671" s="11" t="n">
        <v>59827.18</v>
      </c>
      <c r="L671" s="10" t="s">
        <v>108</v>
      </c>
      <c r="M671" s="26"/>
      <c r="N671" s="12" t="s">
        <v>701</v>
      </c>
      <c r="O671" s="12" t="s">
        <v>323</v>
      </c>
      <c r="P671" s="10" t="s">
        <v>323</v>
      </c>
      <c r="Q671" s="12"/>
      <c r="R671" s="34" t="n">
        <v>1</v>
      </c>
      <c r="S671" s="11" t="n">
        <v>59827.2</v>
      </c>
      <c r="T671" s="10" t="s">
        <v>2058</v>
      </c>
      <c r="U671" s="7" t="n">
        <v>3</v>
      </c>
      <c r="V671" s="12" t="s">
        <v>175</v>
      </c>
      <c r="W671" s="12" t="s">
        <v>79</v>
      </c>
      <c r="X671" s="12" t="s">
        <v>80</v>
      </c>
      <c r="Y671" s="10" t="s">
        <v>111</v>
      </c>
      <c r="Z671" s="7" t="s">
        <v>74</v>
      </c>
      <c r="AA671" s="7" t="n">
        <v>1</v>
      </c>
      <c r="AB671" s="9" t="n">
        <v>0.848756932491872</v>
      </c>
    </row>
    <row r="672" customFormat="false" ht="23.85" hidden="false" customHeight="false" outlineLevel="0" collapsed="false">
      <c r="A672" s="7" t="n">
        <v>668</v>
      </c>
      <c r="B672" s="12" t="s">
        <v>107</v>
      </c>
      <c r="C672" s="10" t="s">
        <v>2107</v>
      </c>
      <c r="D672" s="12" t="s">
        <v>35</v>
      </c>
      <c r="E672" s="12" t="s">
        <v>1037</v>
      </c>
      <c r="F672" s="10" t="s">
        <v>1038</v>
      </c>
      <c r="G672" s="12" t="s">
        <v>656</v>
      </c>
      <c r="H672" s="26"/>
      <c r="I672" s="7" t="n">
        <v>1</v>
      </c>
      <c r="J672" s="7" t="n">
        <v>312</v>
      </c>
      <c r="K672" s="11" t="n">
        <v>59827.18</v>
      </c>
      <c r="L672" s="10" t="s">
        <v>108</v>
      </c>
      <c r="M672" s="26"/>
      <c r="N672" s="12" t="s">
        <v>701</v>
      </c>
      <c r="O672" s="12" t="s">
        <v>323</v>
      </c>
      <c r="P672" s="10" t="s">
        <v>323</v>
      </c>
      <c r="Q672" s="12"/>
      <c r="R672" s="34" t="n">
        <v>1</v>
      </c>
      <c r="S672" s="11" t="n">
        <v>59827.2</v>
      </c>
      <c r="T672" s="10" t="s">
        <v>2058</v>
      </c>
      <c r="U672" s="7" t="n">
        <v>3</v>
      </c>
      <c r="V672" s="12" t="s">
        <v>175</v>
      </c>
      <c r="W672" s="12" t="s">
        <v>79</v>
      </c>
      <c r="X672" s="12" t="s">
        <v>80</v>
      </c>
      <c r="Y672" s="10" t="s">
        <v>111</v>
      </c>
      <c r="Z672" s="7" t="s">
        <v>74</v>
      </c>
      <c r="AA672" s="7" t="n">
        <v>1</v>
      </c>
      <c r="AB672" s="9" t="n">
        <v>0.848756932491872</v>
      </c>
    </row>
    <row r="673" customFormat="false" ht="35.05" hidden="false" customHeight="false" outlineLevel="0" collapsed="false">
      <c r="A673" s="7" t="n">
        <v>669</v>
      </c>
      <c r="B673" s="12" t="s">
        <v>134</v>
      </c>
      <c r="C673" s="10" t="s">
        <v>2108</v>
      </c>
      <c r="D673" s="12" t="s">
        <v>35</v>
      </c>
      <c r="E673" s="12" t="s">
        <v>1318</v>
      </c>
      <c r="F673" s="10" t="s">
        <v>1033</v>
      </c>
      <c r="G673" s="12" t="s">
        <v>656</v>
      </c>
      <c r="H673" s="26"/>
      <c r="I673" s="7" t="n">
        <v>1</v>
      </c>
      <c r="J673" s="7" t="n">
        <v>684</v>
      </c>
      <c r="K673" s="11" t="n">
        <v>8785.35</v>
      </c>
      <c r="L673" s="10" t="s">
        <v>135</v>
      </c>
      <c r="M673" s="35" t="n">
        <v>3.06</v>
      </c>
      <c r="N673" s="12" t="s">
        <v>664</v>
      </c>
      <c r="O673" s="12" t="s">
        <v>153</v>
      </c>
      <c r="P673" s="10" t="s">
        <v>665</v>
      </c>
      <c r="Q673" s="30" t="s">
        <v>666</v>
      </c>
      <c r="R673" s="34" t="n">
        <v>0.959959846916369</v>
      </c>
      <c r="S673" s="11" t="n">
        <v>8433.6</v>
      </c>
      <c r="T673" s="10" t="s">
        <v>1044</v>
      </c>
      <c r="U673" s="7" t="n">
        <v>1</v>
      </c>
      <c r="V673" s="12" t="s">
        <v>323</v>
      </c>
      <c r="W673" s="12" t="s">
        <v>79</v>
      </c>
      <c r="X673" s="12" t="s">
        <v>86</v>
      </c>
      <c r="Y673" s="10" t="s">
        <v>442</v>
      </c>
      <c r="Z673" s="7" t="s">
        <v>688</v>
      </c>
      <c r="AA673" s="7" t="n">
        <v>11</v>
      </c>
      <c r="AB673" s="9" t="n">
        <v>0.342111302352266</v>
      </c>
    </row>
    <row r="674" customFormat="false" ht="23.85" hidden="false" customHeight="false" outlineLevel="0" collapsed="false">
      <c r="A674" s="7" t="n">
        <v>670</v>
      </c>
      <c r="B674" s="12" t="s">
        <v>204</v>
      </c>
      <c r="C674" s="10" t="s">
        <v>2103</v>
      </c>
      <c r="D674" s="12" t="s">
        <v>35</v>
      </c>
      <c r="E674" s="12" t="s">
        <v>2109</v>
      </c>
      <c r="F674" s="10" t="s">
        <v>2110</v>
      </c>
      <c r="G674" s="12" t="s">
        <v>656</v>
      </c>
      <c r="H674" s="26" t="n">
        <v>74.284</v>
      </c>
      <c r="I674" s="7" t="n">
        <v>1</v>
      </c>
      <c r="J674" s="7" t="n">
        <v>780</v>
      </c>
      <c r="K674" s="11" t="n">
        <v>18439.5</v>
      </c>
      <c r="L674" s="10" t="s">
        <v>205</v>
      </c>
      <c r="M674" s="26" t="n">
        <v>74.284</v>
      </c>
      <c r="N674" s="12" t="s">
        <v>657</v>
      </c>
      <c r="O674" s="12" t="s">
        <v>102</v>
      </c>
      <c r="P674" s="10" t="s">
        <v>658</v>
      </c>
      <c r="Q674" s="30" t="s">
        <v>2111</v>
      </c>
      <c r="R674" s="34" t="n">
        <v>0.193196635159931</v>
      </c>
      <c r="S674" s="11" t="n">
        <v>3562.4</v>
      </c>
      <c r="T674" s="10" t="s">
        <v>2058</v>
      </c>
      <c r="U674" s="7" t="n">
        <v>3</v>
      </c>
      <c r="V674" s="12" t="s">
        <v>175</v>
      </c>
      <c r="W674" s="12" t="s">
        <v>172</v>
      </c>
      <c r="X674" s="12" t="s">
        <v>86</v>
      </c>
      <c r="Y674" s="10"/>
      <c r="Z674" s="7" t="s">
        <v>74</v>
      </c>
      <c r="AA674" s="7" t="n">
        <v>5</v>
      </c>
      <c r="AB674" s="9" t="n">
        <v>0.500588066551922</v>
      </c>
    </row>
    <row r="675" customFormat="false" ht="23.85" hidden="false" customHeight="false" outlineLevel="0" collapsed="false">
      <c r="A675" s="7" t="n">
        <v>671</v>
      </c>
      <c r="B675" s="12" t="s">
        <v>204</v>
      </c>
      <c r="C675" s="10" t="s">
        <v>2103</v>
      </c>
      <c r="D675" s="12" t="s">
        <v>35</v>
      </c>
      <c r="E675" s="12" t="s">
        <v>1698</v>
      </c>
      <c r="F675" s="10" t="s">
        <v>1785</v>
      </c>
      <c r="G675" s="12" t="s">
        <v>656</v>
      </c>
      <c r="H675" s="26"/>
      <c r="I675" s="7" t="n">
        <v>1</v>
      </c>
      <c r="J675" s="7" t="n">
        <v>780</v>
      </c>
      <c r="K675" s="11" t="n">
        <v>18439.5</v>
      </c>
      <c r="L675" s="10" t="s">
        <v>205</v>
      </c>
      <c r="M675" s="26"/>
      <c r="N675" s="12" t="s">
        <v>701</v>
      </c>
      <c r="O675" s="12" t="s">
        <v>323</v>
      </c>
      <c r="P675" s="10" t="s">
        <v>323</v>
      </c>
      <c r="Q675" s="12"/>
      <c r="R675" s="34" t="n">
        <v>0.193196635159931</v>
      </c>
      <c r="S675" s="11" t="n">
        <v>3562.4</v>
      </c>
      <c r="T675" s="10" t="s">
        <v>2058</v>
      </c>
      <c r="U675" s="7" t="n">
        <v>3</v>
      </c>
      <c r="V675" s="12" t="s">
        <v>175</v>
      </c>
      <c r="W675" s="12" t="s">
        <v>172</v>
      </c>
      <c r="X675" s="12" t="s">
        <v>86</v>
      </c>
      <c r="Y675" s="10"/>
      <c r="Z675" s="7" t="s">
        <v>74</v>
      </c>
      <c r="AA675" s="7" t="n">
        <v>5</v>
      </c>
      <c r="AB675" s="9" t="n">
        <v>0.500588066551922</v>
      </c>
    </row>
    <row r="676" customFormat="false" ht="23.85" hidden="false" customHeight="false" outlineLevel="0" collapsed="false">
      <c r="A676" s="7" t="n">
        <v>672</v>
      </c>
      <c r="B676" s="12" t="s">
        <v>480</v>
      </c>
      <c r="C676" s="10" t="s">
        <v>2112</v>
      </c>
      <c r="D676" s="12" t="s">
        <v>2113</v>
      </c>
      <c r="E676" s="12" t="s">
        <v>1926</v>
      </c>
      <c r="F676" s="10"/>
      <c r="G676" s="12"/>
      <c r="H676" s="26" t="n">
        <v>24.95</v>
      </c>
      <c r="I676" s="7" t="n">
        <v>1</v>
      </c>
      <c r="J676" s="7" t="n">
        <v>310</v>
      </c>
      <c r="K676" s="11" t="n">
        <v>8995.42</v>
      </c>
      <c r="L676" s="10" t="s">
        <v>481</v>
      </c>
      <c r="M676" s="26" t="n">
        <v>24.95</v>
      </c>
      <c r="N676" s="12" t="s">
        <v>657</v>
      </c>
      <c r="O676" s="12" t="s">
        <v>102</v>
      </c>
      <c r="P676" s="10" t="s">
        <v>658</v>
      </c>
      <c r="Q676" s="30" t="s">
        <v>2114</v>
      </c>
      <c r="R676" s="34" t="n">
        <v>0.156211180124224</v>
      </c>
      <c r="S676" s="11" t="n">
        <v>1405.2</v>
      </c>
      <c r="T676" s="10" t="s">
        <v>144</v>
      </c>
      <c r="U676" s="7" t="n">
        <v>1</v>
      </c>
      <c r="V676" s="12" t="s">
        <v>144</v>
      </c>
      <c r="W676" s="12" t="s">
        <v>97</v>
      </c>
      <c r="X676" s="12" t="s">
        <v>97</v>
      </c>
      <c r="Y676" s="10"/>
      <c r="Z676" s="7" t="s">
        <v>688</v>
      </c>
      <c r="AA676" s="7" t="n">
        <v>13</v>
      </c>
      <c r="AB676" s="9" t="n">
        <v>0.338998852553069</v>
      </c>
    </row>
    <row r="677" customFormat="false" ht="23.85" hidden="false" customHeight="false" outlineLevel="0" collapsed="false">
      <c r="A677" s="7" t="n">
        <v>673</v>
      </c>
      <c r="B677" s="12" t="s">
        <v>223</v>
      </c>
      <c r="C677" s="10" t="s">
        <v>689</v>
      </c>
      <c r="D677" s="12" t="s">
        <v>2113</v>
      </c>
      <c r="E677" s="12" t="s">
        <v>690</v>
      </c>
      <c r="F677" s="10" t="s">
        <v>2115</v>
      </c>
      <c r="G677" s="12" t="s">
        <v>656</v>
      </c>
      <c r="H677" s="26" t="n">
        <v>14.96</v>
      </c>
      <c r="I677" s="7" t="n">
        <v>1</v>
      </c>
      <c r="J677" s="7" t="n">
        <v>472</v>
      </c>
      <c r="K677" s="11" t="n">
        <v>7831.08</v>
      </c>
      <c r="L677" s="10" t="s">
        <v>224</v>
      </c>
      <c r="M677" s="26" t="n">
        <v>14.96</v>
      </c>
      <c r="N677" s="12" t="s">
        <v>657</v>
      </c>
      <c r="O677" s="12" t="s">
        <v>102</v>
      </c>
      <c r="P677" s="10" t="s">
        <v>658</v>
      </c>
      <c r="Q677" s="30" t="s">
        <v>692</v>
      </c>
      <c r="R677" s="34" t="n">
        <v>0.172727272727273</v>
      </c>
      <c r="S677" s="11" t="n">
        <v>1352.6</v>
      </c>
      <c r="T677" s="10" t="s">
        <v>144</v>
      </c>
      <c r="U677" s="7" t="n">
        <v>1</v>
      </c>
      <c r="V677" s="12" t="s">
        <v>144</v>
      </c>
      <c r="W677" s="12" t="s">
        <v>79</v>
      </c>
      <c r="X677" s="12" t="s">
        <v>86</v>
      </c>
      <c r="Y677" s="10"/>
      <c r="Z677" s="7" t="s">
        <v>688</v>
      </c>
      <c r="AA677" s="7" t="n">
        <v>15</v>
      </c>
      <c r="AB677" s="9" t="n">
        <v>0.261546184738956</v>
      </c>
    </row>
    <row r="678" customFormat="false" ht="23.85" hidden="false" customHeight="false" outlineLevel="0" collapsed="false">
      <c r="A678" s="7" t="n">
        <v>674</v>
      </c>
      <c r="B678" s="12" t="s">
        <v>245</v>
      </c>
      <c r="C678" s="10" t="s">
        <v>1874</v>
      </c>
      <c r="D678" s="12" t="s">
        <v>2113</v>
      </c>
      <c r="E678" s="12" t="s">
        <v>1422</v>
      </c>
      <c r="F678" s="10" t="s">
        <v>2116</v>
      </c>
      <c r="G678" s="12" t="s">
        <v>656</v>
      </c>
      <c r="H678" s="26" t="n">
        <v>6.66</v>
      </c>
      <c r="I678" s="7" t="n">
        <v>1</v>
      </c>
      <c r="J678" s="7" t="n">
        <v>117</v>
      </c>
      <c r="K678" s="11" t="n">
        <v>2508.09</v>
      </c>
      <c r="L678" s="10" t="s">
        <v>246</v>
      </c>
      <c r="M678" s="26" t="n">
        <v>6.66</v>
      </c>
      <c r="N678" s="12" t="s">
        <v>657</v>
      </c>
      <c r="O678" s="12" t="s">
        <v>102</v>
      </c>
      <c r="P678" s="10" t="s">
        <v>658</v>
      </c>
      <c r="Q678" s="30" t="s">
        <v>1877</v>
      </c>
      <c r="R678" s="34" t="n">
        <v>1</v>
      </c>
      <c r="S678" s="11" t="n">
        <v>2508.1</v>
      </c>
      <c r="T678" s="10" t="s">
        <v>144</v>
      </c>
      <c r="U678" s="7" t="n">
        <v>1</v>
      </c>
      <c r="V678" s="12" t="s">
        <v>144</v>
      </c>
      <c r="W678" s="12" t="s">
        <v>79</v>
      </c>
      <c r="X678" s="12" t="s">
        <v>86</v>
      </c>
      <c r="Y678" s="10"/>
      <c r="Z678" s="7" t="s">
        <v>688</v>
      </c>
      <c r="AA678" s="7" t="n">
        <v>12</v>
      </c>
      <c r="AB678" s="9" t="n">
        <v>0.369324918722509</v>
      </c>
    </row>
    <row r="679" customFormat="false" ht="23.85" hidden="false" customHeight="false" outlineLevel="0" collapsed="false">
      <c r="A679" s="7" t="n">
        <v>675</v>
      </c>
      <c r="B679" s="12" t="s">
        <v>245</v>
      </c>
      <c r="C679" s="10" t="s">
        <v>1874</v>
      </c>
      <c r="D679" s="12" t="s">
        <v>2113</v>
      </c>
      <c r="E679" s="12" t="s">
        <v>1878</v>
      </c>
      <c r="F679" s="10" t="s">
        <v>2117</v>
      </c>
      <c r="G679" s="12" t="s">
        <v>656</v>
      </c>
      <c r="H679" s="26" t="n">
        <v>38.11</v>
      </c>
      <c r="I679" s="7" t="n">
        <v>1</v>
      </c>
      <c r="J679" s="7" t="n">
        <v>117</v>
      </c>
      <c r="K679" s="11" t="n">
        <v>2508.09</v>
      </c>
      <c r="L679" s="10" t="s">
        <v>246</v>
      </c>
      <c r="M679" s="26" t="n">
        <v>38.11</v>
      </c>
      <c r="N679" s="12" t="s">
        <v>657</v>
      </c>
      <c r="O679" s="12" t="s">
        <v>102</v>
      </c>
      <c r="P679" s="10" t="s">
        <v>658</v>
      </c>
      <c r="Q679" s="30" t="s">
        <v>1877</v>
      </c>
      <c r="R679" s="34" t="n">
        <v>1</v>
      </c>
      <c r="S679" s="11" t="n">
        <v>2508.1</v>
      </c>
      <c r="T679" s="10" t="s">
        <v>144</v>
      </c>
      <c r="U679" s="7" t="n">
        <v>1</v>
      </c>
      <c r="V679" s="12" t="s">
        <v>144</v>
      </c>
      <c r="W679" s="12" t="s">
        <v>79</v>
      </c>
      <c r="X679" s="12" t="s">
        <v>671</v>
      </c>
      <c r="Y679" s="10"/>
      <c r="Z679" s="7" t="s">
        <v>688</v>
      </c>
      <c r="AA679" s="7" t="n">
        <v>12</v>
      </c>
      <c r="AB679" s="9" t="n">
        <v>0.369324918722509</v>
      </c>
    </row>
    <row r="680" customFormat="false" ht="46.25" hidden="false" customHeight="false" outlineLevel="0" collapsed="false">
      <c r="A680" s="7" t="n">
        <v>676</v>
      </c>
      <c r="B680" s="12" t="s">
        <v>235</v>
      </c>
      <c r="C680" s="10" t="s">
        <v>235</v>
      </c>
      <c r="D680" s="12" t="s">
        <v>2113</v>
      </c>
      <c r="E680" s="12" t="s">
        <v>732</v>
      </c>
      <c r="F680" s="10" t="s">
        <v>2118</v>
      </c>
      <c r="G680" s="12" t="s">
        <v>656</v>
      </c>
      <c r="H680" s="26" t="n">
        <v>31.25</v>
      </c>
      <c r="I680" s="7" t="n">
        <v>1</v>
      </c>
      <c r="J680" s="7" t="n">
        <v>445</v>
      </c>
      <c r="K680" s="11" t="n">
        <v>8796.85</v>
      </c>
      <c r="L680" s="10" t="s">
        <v>236</v>
      </c>
      <c r="M680" s="26" t="n">
        <v>31.25</v>
      </c>
      <c r="N680" s="12" t="s">
        <v>657</v>
      </c>
      <c r="O680" s="12" t="s">
        <v>102</v>
      </c>
      <c r="P680" s="10" t="s">
        <v>658</v>
      </c>
      <c r="Q680" s="30" t="s">
        <v>2119</v>
      </c>
      <c r="R680" s="34" t="n">
        <v>0.273441592608893</v>
      </c>
      <c r="S680" s="11" t="n">
        <v>2405.4</v>
      </c>
      <c r="T680" s="10" t="s">
        <v>144</v>
      </c>
      <c r="U680" s="7" t="n">
        <v>1</v>
      </c>
      <c r="V680" s="12" t="s">
        <v>144</v>
      </c>
      <c r="W680" s="12" t="s">
        <v>79</v>
      </c>
      <c r="X680" s="12" t="s">
        <v>86</v>
      </c>
      <c r="Y680" s="10"/>
      <c r="Z680" s="7" t="s">
        <v>106</v>
      </c>
      <c r="AA680" s="7" t="n">
        <v>10</v>
      </c>
      <c r="AB680" s="9" t="n">
        <v>0.409820233314209</v>
      </c>
    </row>
    <row r="681" customFormat="false" ht="23.85" hidden="false" customHeight="false" outlineLevel="0" collapsed="false">
      <c r="A681" s="7" t="n">
        <v>677</v>
      </c>
      <c r="B681" s="12" t="s">
        <v>227</v>
      </c>
      <c r="C681" s="10" t="s">
        <v>227</v>
      </c>
      <c r="D681" s="12" t="s">
        <v>2113</v>
      </c>
      <c r="E681" s="12" t="s">
        <v>2120</v>
      </c>
      <c r="F681" s="10"/>
      <c r="G681" s="12"/>
      <c r="H681" s="26" t="n">
        <v>5289.94</v>
      </c>
      <c r="I681" s="7" t="n">
        <v>1</v>
      </c>
      <c r="J681" s="7" t="n">
        <v>10</v>
      </c>
      <c r="K681" s="11" t="n">
        <v>662.47</v>
      </c>
      <c r="L681" s="10" t="s">
        <v>228</v>
      </c>
      <c r="M681" s="26" t="n">
        <v>5289.94</v>
      </c>
      <c r="N681" s="12" t="s">
        <v>657</v>
      </c>
      <c r="O681" s="12" t="s">
        <v>102</v>
      </c>
      <c r="P681" s="10" t="s">
        <v>658</v>
      </c>
      <c r="Q681" s="30" t="s">
        <v>2121</v>
      </c>
      <c r="R681" s="34" t="n">
        <v>0.222222222222222</v>
      </c>
      <c r="S681" s="11" t="n">
        <v>147.2</v>
      </c>
      <c r="T681" s="10" t="s">
        <v>144</v>
      </c>
      <c r="U681" s="7" t="n">
        <v>1</v>
      </c>
      <c r="V681" s="12" t="s">
        <v>144</v>
      </c>
      <c r="W681" s="12" t="s">
        <v>97</v>
      </c>
      <c r="X681" s="12" t="s">
        <v>97</v>
      </c>
      <c r="Y681" s="10"/>
      <c r="Z681" s="7" t="s">
        <v>74</v>
      </c>
      <c r="AA681" s="7" t="n">
        <v>5</v>
      </c>
      <c r="AB681" s="9" t="n">
        <v>0.517828456683878</v>
      </c>
    </row>
    <row r="682" customFormat="false" ht="23.85" hidden="false" customHeight="false" outlineLevel="0" collapsed="false">
      <c r="A682" s="7" t="n">
        <v>678</v>
      </c>
      <c r="B682" s="12" t="s">
        <v>280</v>
      </c>
      <c r="C682" s="10" t="s">
        <v>280</v>
      </c>
      <c r="D682" s="12" t="s">
        <v>2113</v>
      </c>
      <c r="E682" s="12" t="s">
        <v>696</v>
      </c>
      <c r="F682" s="10"/>
      <c r="G682" s="12"/>
      <c r="H682" s="26"/>
      <c r="I682" s="7" t="n">
        <v>1</v>
      </c>
      <c r="J682" s="7" t="n">
        <v>69</v>
      </c>
      <c r="K682" s="11" t="n">
        <v>1781.11</v>
      </c>
      <c r="L682" s="10" t="s">
        <v>281</v>
      </c>
      <c r="M682" s="35" t="n">
        <v>4.02</v>
      </c>
      <c r="N682" s="12" t="s">
        <v>664</v>
      </c>
      <c r="O682" s="12" t="s">
        <v>102</v>
      </c>
      <c r="P682" s="10" t="s">
        <v>1049</v>
      </c>
      <c r="Q682" s="30" t="s">
        <v>1050</v>
      </c>
      <c r="R682" s="34" t="n">
        <v>1</v>
      </c>
      <c r="S682" s="11" t="n">
        <v>1781.1</v>
      </c>
      <c r="T682" s="10" t="s">
        <v>144</v>
      </c>
      <c r="U682" s="7" t="n">
        <v>1</v>
      </c>
      <c r="V682" s="12" t="s">
        <v>144</v>
      </c>
      <c r="W682" s="12" t="s">
        <v>97</v>
      </c>
      <c r="X682" s="12" t="s">
        <v>97</v>
      </c>
      <c r="Y682" s="10"/>
      <c r="Z682" s="7" t="s">
        <v>676</v>
      </c>
      <c r="AA682" s="7"/>
      <c r="AB682" s="9" t="n">
        <v>0.228915662650602</v>
      </c>
    </row>
    <row r="683" customFormat="false" ht="23.85" hidden="false" customHeight="false" outlineLevel="0" collapsed="false">
      <c r="A683" s="7" t="n">
        <v>679</v>
      </c>
      <c r="B683" s="12" t="s">
        <v>626</v>
      </c>
      <c r="C683" s="10" t="s">
        <v>626</v>
      </c>
      <c r="D683" s="12" t="s">
        <v>2113</v>
      </c>
      <c r="E683" s="12" t="s">
        <v>2122</v>
      </c>
      <c r="F683" s="10" t="s">
        <v>2123</v>
      </c>
      <c r="G683" s="12" t="s">
        <v>656</v>
      </c>
      <c r="H683" s="26" t="n">
        <v>18.9</v>
      </c>
      <c r="I683" s="7" t="n">
        <v>1</v>
      </c>
      <c r="J683" s="7" t="n">
        <v>43</v>
      </c>
      <c r="K683" s="11" t="n">
        <v>1942.31</v>
      </c>
      <c r="L683" s="10" t="s">
        <v>218</v>
      </c>
      <c r="M683" s="26" t="n">
        <v>18.9</v>
      </c>
      <c r="N683" s="12" t="s">
        <v>657</v>
      </c>
      <c r="O683" s="12" t="s">
        <v>102</v>
      </c>
      <c r="P683" s="10" t="s">
        <v>658</v>
      </c>
      <c r="Q683" s="30" t="s">
        <v>2124</v>
      </c>
      <c r="R683" s="34" t="n">
        <v>0.833333333333333</v>
      </c>
      <c r="S683" s="11" t="n">
        <v>1618.6</v>
      </c>
      <c r="T683" s="10" t="s">
        <v>144</v>
      </c>
      <c r="U683" s="7" t="n">
        <v>1</v>
      </c>
      <c r="V683" s="12" t="s">
        <v>144</v>
      </c>
      <c r="W683" s="12" t="s">
        <v>79</v>
      </c>
      <c r="X683" s="12" t="s">
        <v>86</v>
      </c>
      <c r="Y683" s="10"/>
      <c r="Z683" s="7" t="s">
        <v>688</v>
      </c>
      <c r="AA683" s="7" t="n">
        <v>14</v>
      </c>
      <c r="AB683" s="9" t="n">
        <v>0.282955632052018</v>
      </c>
    </row>
    <row r="684" customFormat="false" ht="23.85" hidden="false" customHeight="false" outlineLevel="0" collapsed="false">
      <c r="A684" s="7" t="n">
        <v>680</v>
      </c>
      <c r="B684" s="12" t="s">
        <v>626</v>
      </c>
      <c r="C684" s="10" t="s">
        <v>626</v>
      </c>
      <c r="D684" s="12" t="s">
        <v>2113</v>
      </c>
      <c r="E684" s="12" t="s">
        <v>2125</v>
      </c>
      <c r="F684" s="10" t="s">
        <v>2123</v>
      </c>
      <c r="G684" s="12" t="s">
        <v>656</v>
      </c>
      <c r="H684" s="26" t="n">
        <v>11.08</v>
      </c>
      <c r="I684" s="7" t="n">
        <v>1</v>
      </c>
      <c r="J684" s="7" t="n">
        <v>43</v>
      </c>
      <c r="K684" s="11" t="n">
        <v>1942.31</v>
      </c>
      <c r="L684" s="10" t="s">
        <v>218</v>
      </c>
      <c r="M684" s="26" t="n">
        <v>11.08</v>
      </c>
      <c r="N684" s="12" t="s">
        <v>657</v>
      </c>
      <c r="O684" s="12" t="s">
        <v>102</v>
      </c>
      <c r="P684" s="10" t="s">
        <v>658</v>
      </c>
      <c r="Q684" s="30" t="s">
        <v>2124</v>
      </c>
      <c r="R684" s="34" t="n">
        <v>0.833333333333333</v>
      </c>
      <c r="S684" s="11" t="n">
        <v>1618.6</v>
      </c>
      <c r="T684" s="10" t="s">
        <v>144</v>
      </c>
      <c r="U684" s="7" t="n">
        <v>1</v>
      </c>
      <c r="V684" s="12" t="s">
        <v>144</v>
      </c>
      <c r="W684" s="12" t="s">
        <v>79</v>
      </c>
      <c r="X684" s="12" t="s">
        <v>86</v>
      </c>
      <c r="Y684" s="10"/>
      <c r="Z684" s="7" t="s">
        <v>688</v>
      </c>
      <c r="AA684" s="7" t="n">
        <v>14</v>
      </c>
      <c r="AB684" s="9" t="n">
        <v>0.282955632052018</v>
      </c>
    </row>
    <row r="685" customFormat="false" ht="35.05" hidden="false" customHeight="false" outlineLevel="0" collapsed="false">
      <c r="A685" s="7" t="n">
        <v>681</v>
      </c>
      <c r="B685" s="12" t="s">
        <v>229</v>
      </c>
      <c r="C685" s="10" t="s">
        <v>1000</v>
      </c>
      <c r="D685" s="12" t="s">
        <v>2113</v>
      </c>
      <c r="E685" s="12" t="s">
        <v>1001</v>
      </c>
      <c r="F685" s="10" t="s">
        <v>2126</v>
      </c>
      <c r="G685" s="12" t="s">
        <v>656</v>
      </c>
      <c r="H685" s="26"/>
      <c r="I685" s="7" t="n">
        <v>1</v>
      </c>
      <c r="J685" s="7" t="n">
        <v>2582</v>
      </c>
      <c r="K685" s="11" t="n">
        <v>38106.07</v>
      </c>
      <c r="L685" s="10" t="s">
        <v>230</v>
      </c>
      <c r="M685" s="35" t="n">
        <v>23.15</v>
      </c>
      <c r="N685" s="12" t="s">
        <v>664</v>
      </c>
      <c r="O685" s="12" t="s">
        <v>102</v>
      </c>
      <c r="P685" s="10" t="s">
        <v>665</v>
      </c>
      <c r="Q685" s="30" t="s">
        <v>666</v>
      </c>
      <c r="R685" s="34" t="n">
        <v>0.125714523309917</v>
      </c>
      <c r="S685" s="11" t="n">
        <v>4790.5</v>
      </c>
      <c r="T685" s="10" t="s">
        <v>144</v>
      </c>
      <c r="U685" s="7" t="n">
        <v>1</v>
      </c>
      <c r="V685" s="12" t="s">
        <v>144</v>
      </c>
      <c r="W685" s="12" t="s">
        <v>79</v>
      </c>
      <c r="X685" s="12" t="s">
        <v>86</v>
      </c>
      <c r="Y685" s="10"/>
      <c r="Z685" s="7" t="s">
        <v>106</v>
      </c>
      <c r="AA685" s="7" t="n">
        <v>6</v>
      </c>
      <c r="AB685" s="9" t="n">
        <v>0.487201185695162</v>
      </c>
    </row>
    <row r="686" customFormat="false" ht="23.85" hidden="false" customHeight="false" outlineLevel="0" collapsed="false">
      <c r="A686" s="7" t="n">
        <v>682</v>
      </c>
      <c r="B686" s="12" t="s">
        <v>231</v>
      </c>
      <c r="C686" s="10" t="s">
        <v>231</v>
      </c>
      <c r="D686" s="12" t="s">
        <v>2113</v>
      </c>
      <c r="E686" s="12" t="s">
        <v>2127</v>
      </c>
      <c r="F686" s="10" t="s">
        <v>2128</v>
      </c>
      <c r="G686" s="12" t="s">
        <v>656</v>
      </c>
      <c r="H686" s="26" t="n">
        <v>179.58</v>
      </c>
      <c r="I686" s="7" t="n">
        <v>1</v>
      </c>
      <c r="J686" s="7" t="n">
        <v>48</v>
      </c>
      <c r="K686" s="11" t="n">
        <v>304.87</v>
      </c>
      <c r="L686" s="10" t="s">
        <v>232</v>
      </c>
      <c r="M686" s="26" t="n">
        <v>179.58</v>
      </c>
      <c r="N686" s="12" t="s">
        <v>657</v>
      </c>
      <c r="O686" s="12" t="s">
        <v>102</v>
      </c>
      <c r="P686" s="10" t="s">
        <v>658</v>
      </c>
      <c r="Q686" s="30" t="s">
        <v>2129</v>
      </c>
      <c r="R686" s="34" t="n">
        <v>0.702380952380952</v>
      </c>
      <c r="S686" s="11" t="n">
        <v>214.1</v>
      </c>
      <c r="T686" s="10" t="s">
        <v>144</v>
      </c>
      <c r="U686" s="7" t="n">
        <v>1</v>
      </c>
      <c r="V686" s="12" t="s">
        <v>144</v>
      </c>
      <c r="W686" s="12" t="s">
        <v>97</v>
      </c>
      <c r="X686" s="12" t="s">
        <v>97</v>
      </c>
      <c r="Y686" s="10"/>
      <c r="Z686" s="7" t="s">
        <v>106</v>
      </c>
      <c r="AA686" s="7" t="n">
        <v>7</v>
      </c>
      <c r="AB686" s="9" t="n">
        <v>0.455354752342704</v>
      </c>
    </row>
    <row r="687" customFormat="false" ht="23.85" hidden="false" customHeight="false" outlineLevel="0" collapsed="false">
      <c r="A687" s="7" t="n">
        <v>683</v>
      </c>
      <c r="B687" s="12" t="s">
        <v>265</v>
      </c>
      <c r="C687" s="10" t="s">
        <v>1114</v>
      </c>
      <c r="D687" s="12" t="s">
        <v>2113</v>
      </c>
      <c r="E687" s="12" t="s">
        <v>1115</v>
      </c>
      <c r="F687" s="10" t="s">
        <v>2130</v>
      </c>
      <c r="G687" s="12" t="s">
        <v>656</v>
      </c>
      <c r="H687" s="26"/>
      <c r="I687" s="7" t="n">
        <v>1</v>
      </c>
      <c r="J687" s="7" t="n">
        <v>286</v>
      </c>
      <c r="K687" s="11" t="n">
        <v>3067.39</v>
      </c>
      <c r="L687" s="10" t="s">
        <v>266</v>
      </c>
      <c r="M687" s="35" t="n">
        <v>5.56</v>
      </c>
      <c r="N687" s="12" t="s">
        <v>664</v>
      </c>
      <c r="O687" s="12" t="s">
        <v>102</v>
      </c>
      <c r="P687" s="10" t="s">
        <v>1049</v>
      </c>
      <c r="Q687" s="30" t="s">
        <v>1050</v>
      </c>
      <c r="R687" s="34" t="n">
        <v>1</v>
      </c>
      <c r="S687" s="11" t="n">
        <v>3067.4</v>
      </c>
      <c r="T687" s="10" t="s">
        <v>144</v>
      </c>
      <c r="U687" s="7" t="n">
        <v>1</v>
      </c>
      <c r="V687" s="12" t="s">
        <v>144</v>
      </c>
      <c r="W687" s="12" t="s">
        <v>79</v>
      </c>
      <c r="X687" s="12" t="s">
        <v>86</v>
      </c>
      <c r="Y687" s="10"/>
      <c r="Z687" s="7" t="s">
        <v>688</v>
      </c>
      <c r="AA687" s="7" t="n">
        <v>16</v>
      </c>
      <c r="AB687" s="9" t="n">
        <v>0.233146873207114</v>
      </c>
    </row>
    <row r="688" customFormat="false" ht="23.85" hidden="false" customHeight="false" outlineLevel="0" collapsed="false">
      <c r="A688" s="7" t="n">
        <v>684</v>
      </c>
      <c r="B688" s="12" t="s">
        <v>261</v>
      </c>
      <c r="C688" s="10" t="s">
        <v>757</v>
      </c>
      <c r="D688" s="12" t="s">
        <v>2113</v>
      </c>
      <c r="E688" s="12" t="s">
        <v>758</v>
      </c>
      <c r="F688" s="10" t="s">
        <v>2131</v>
      </c>
      <c r="G688" s="12" t="s">
        <v>656</v>
      </c>
      <c r="H688" s="26"/>
      <c r="I688" s="7" t="n">
        <v>1</v>
      </c>
      <c r="J688" s="7" t="n">
        <v>374</v>
      </c>
      <c r="K688" s="11" t="n">
        <v>13615.47</v>
      </c>
      <c r="L688" s="10" t="s">
        <v>262</v>
      </c>
      <c r="M688" s="35" t="n">
        <v>2.67</v>
      </c>
      <c r="N688" s="12" t="s">
        <v>664</v>
      </c>
      <c r="O688" s="12" t="s">
        <v>102</v>
      </c>
      <c r="P688" s="10" t="s">
        <v>1049</v>
      </c>
      <c r="Q688" s="30" t="s">
        <v>1050</v>
      </c>
      <c r="R688" s="34" t="n">
        <v>0.18191811645244</v>
      </c>
      <c r="S688" s="11" t="n">
        <v>2476.9</v>
      </c>
      <c r="T688" s="10" t="s">
        <v>144</v>
      </c>
      <c r="U688" s="7" t="n">
        <v>1</v>
      </c>
      <c r="V688" s="12" t="s">
        <v>144</v>
      </c>
      <c r="W688" s="12" t="s">
        <v>79</v>
      </c>
      <c r="X688" s="12" t="s">
        <v>97</v>
      </c>
      <c r="Y688" s="10"/>
      <c r="Z688" s="7" t="s">
        <v>676</v>
      </c>
      <c r="AA688" s="7"/>
      <c r="AB688" s="9" t="n">
        <v>0.295180722891566</v>
      </c>
    </row>
    <row r="689" customFormat="false" ht="23.85" hidden="false" customHeight="false" outlineLevel="0" collapsed="false">
      <c r="A689" s="7" t="n">
        <v>685</v>
      </c>
      <c r="B689" s="12" t="s">
        <v>623</v>
      </c>
      <c r="C689" s="10" t="s">
        <v>623</v>
      </c>
      <c r="D689" s="12" t="s">
        <v>2113</v>
      </c>
      <c r="E689" s="12" t="s">
        <v>1154</v>
      </c>
      <c r="F689" s="10" t="s">
        <v>2132</v>
      </c>
      <c r="G689" s="12" t="s">
        <v>656</v>
      </c>
      <c r="H689" s="26" t="n">
        <v>61.13</v>
      </c>
      <c r="I689" s="7" t="n">
        <v>1</v>
      </c>
      <c r="J689" s="7" t="n">
        <v>111</v>
      </c>
      <c r="K689" s="11" t="n">
        <v>1044.77</v>
      </c>
      <c r="L689" s="10" t="s">
        <v>624</v>
      </c>
      <c r="M689" s="26" t="n">
        <v>61.13</v>
      </c>
      <c r="N689" s="12" t="s">
        <v>657</v>
      </c>
      <c r="O689" s="12" t="s">
        <v>102</v>
      </c>
      <c r="P689" s="10" t="s">
        <v>658</v>
      </c>
      <c r="Q689" s="30" t="s">
        <v>2133</v>
      </c>
      <c r="R689" s="34" t="n">
        <v>0.432465091299678</v>
      </c>
      <c r="S689" s="11" t="n">
        <v>451.8</v>
      </c>
      <c r="T689" s="10" t="s">
        <v>144</v>
      </c>
      <c r="U689" s="7" t="n">
        <v>1</v>
      </c>
      <c r="V689" s="12" t="s">
        <v>144</v>
      </c>
      <c r="W689" s="12" t="s">
        <v>79</v>
      </c>
      <c r="X689" s="12" t="s">
        <v>86</v>
      </c>
      <c r="Y689" s="10"/>
      <c r="Z689" s="7" t="s">
        <v>688</v>
      </c>
      <c r="AA689" s="7" t="n">
        <v>11</v>
      </c>
      <c r="AB689" s="9" t="n">
        <v>0.39104991394148</v>
      </c>
    </row>
    <row r="690" customFormat="false" ht="23.85" hidden="false" customHeight="false" outlineLevel="0" collapsed="false">
      <c r="A690" s="7" t="n">
        <v>686</v>
      </c>
      <c r="B690" s="12" t="s">
        <v>623</v>
      </c>
      <c r="C690" s="10" t="s">
        <v>623</v>
      </c>
      <c r="D690" s="12" t="s">
        <v>2113</v>
      </c>
      <c r="E690" s="12" t="s">
        <v>2134</v>
      </c>
      <c r="F690" s="10" t="s">
        <v>2132</v>
      </c>
      <c r="G690" s="12" t="s">
        <v>656</v>
      </c>
      <c r="H690" s="26"/>
      <c r="I690" s="7" t="n">
        <v>1</v>
      </c>
      <c r="J690" s="7" t="n">
        <v>111</v>
      </c>
      <c r="K690" s="11" t="n">
        <v>1044.77</v>
      </c>
      <c r="L690" s="10" t="s">
        <v>624</v>
      </c>
      <c r="M690" s="26"/>
      <c r="N690" s="12" t="s">
        <v>701</v>
      </c>
      <c r="O690" s="12" t="s">
        <v>323</v>
      </c>
      <c r="P690" s="10" t="s">
        <v>323</v>
      </c>
      <c r="Q690" s="12"/>
      <c r="R690" s="34" t="n">
        <v>0.432465091299678</v>
      </c>
      <c r="S690" s="11" t="n">
        <v>451.8</v>
      </c>
      <c r="T690" s="10" t="s">
        <v>144</v>
      </c>
      <c r="U690" s="7" t="n">
        <v>1</v>
      </c>
      <c r="V690" s="12" t="s">
        <v>144</v>
      </c>
      <c r="W690" s="12" t="s">
        <v>79</v>
      </c>
      <c r="X690" s="12" t="s">
        <v>86</v>
      </c>
      <c r="Y690" s="10"/>
      <c r="Z690" s="7" t="s">
        <v>688</v>
      </c>
      <c r="AA690" s="7" t="n">
        <v>11</v>
      </c>
      <c r="AB690" s="9" t="n">
        <v>0.39104991394148</v>
      </c>
    </row>
    <row r="691" customFormat="false" ht="23.85" hidden="false" customHeight="false" outlineLevel="0" collapsed="false">
      <c r="A691" s="7" t="n">
        <v>687</v>
      </c>
      <c r="B691" s="12" t="s">
        <v>89</v>
      </c>
      <c r="C691" s="10" t="s">
        <v>89</v>
      </c>
      <c r="D691" s="12" t="s">
        <v>2113</v>
      </c>
      <c r="E691" s="12" t="s">
        <v>775</v>
      </c>
      <c r="F691" s="10" t="s">
        <v>2135</v>
      </c>
      <c r="G691" s="12" t="s">
        <v>79</v>
      </c>
      <c r="H691" s="26" t="n">
        <v>22.25</v>
      </c>
      <c r="I691" s="7" t="n">
        <v>1</v>
      </c>
      <c r="J691" s="7" t="n">
        <v>905</v>
      </c>
      <c r="K691" s="11" t="n">
        <v>28093.38</v>
      </c>
      <c r="L691" s="10" t="s">
        <v>90</v>
      </c>
      <c r="M691" s="26" t="n">
        <v>22.25</v>
      </c>
      <c r="N691" s="12" t="s">
        <v>657</v>
      </c>
      <c r="O691" s="12" t="s">
        <v>102</v>
      </c>
      <c r="P691" s="10" t="s">
        <v>658</v>
      </c>
      <c r="Q691" s="30" t="s">
        <v>777</v>
      </c>
      <c r="R691" s="34" t="n">
        <v>1</v>
      </c>
      <c r="S691" s="11" t="n">
        <v>28093.4</v>
      </c>
      <c r="T691" s="10" t="s">
        <v>2136</v>
      </c>
      <c r="U691" s="7" t="n">
        <v>6</v>
      </c>
      <c r="V691" s="12" t="s">
        <v>225</v>
      </c>
      <c r="W691" s="12" t="s">
        <v>79</v>
      </c>
      <c r="X691" s="12" t="s">
        <v>80</v>
      </c>
      <c r="Y691" s="10" t="s">
        <v>81</v>
      </c>
      <c r="Z691" s="7" t="s">
        <v>74</v>
      </c>
      <c r="AA691" s="7" t="n">
        <v>1</v>
      </c>
      <c r="AB691" s="9" t="n">
        <v>0.875449416714477</v>
      </c>
    </row>
    <row r="692" customFormat="false" ht="23.85" hidden="false" customHeight="false" outlineLevel="0" collapsed="false">
      <c r="A692" s="7" t="n">
        <v>688</v>
      </c>
      <c r="B692" s="12" t="s">
        <v>114</v>
      </c>
      <c r="C692" s="10" t="s">
        <v>114</v>
      </c>
      <c r="D692" s="12" t="s">
        <v>2113</v>
      </c>
      <c r="E692" s="12" t="s">
        <v>679</v>
      </c>
      <c r="F692" s="10" t="s">
        <v>2137</v>
      </c>
      <c r="G692" s="12" t="s">
        <v>681</v>
      </c>
      <c r="H692" s="26" t="n">
        <v>29.97</v>
      </c>
      <c r="I692" s="7" t="n">
        <v>1</v>
      </c>
      <c r="J692" s="7" t="n">
        <v>146</v>
      </c>
      <c r="K692" s="11" t="n">
        <v>11366.06</v>
      </c>
      <c r="L692" s="10" t="s">
        <v>115</v>
      </c>
      <c r="M692" s="26" t="n">
        <v>29.97</v>
      </c>
      <c r="N692" s="12" t="s">
        <v>657</v>
      </c>
      <c r="O692" s="12" t="s">
        <v>102</v>
      </c>
      <c r="P692" s="10" t="s">
        <v>658</v>
      </c>
      <c r="Q692" s="30" t="s">
        <v>682</v>
      </c>
      <c r="R692" s="34" t="n">
        <v>1</v>
      </c>
      <c r="S692" s="11" t="n">
        <v>11366.1</v>
      </c>
      <c r="T692" s="10" t="s">
        <v>144</v>
      </c>
      <c r="U692" s="7" t="n">
        <v>1</v>
      </c>
      <c r="V692" s="12" t="s">
        <v>144</v>
      </c>
      <c r="W692" s="12" t="s">
        <v>85</v>
      </c>
      <c r="X692" s="12" t="s">
        <v>86</v>
      </c>
      <c r="Y692" s="10" t="s">
        <v>87</v>
      </c>
      <c r="Z692" s="7" t="s">
        <v>74</v>
      </c>
      <c r="AA692" s="7" t="n">
        <v>3</v>
      </c>
      <c r="AB692" s="9" t="n">
        <v>0.595754446356856</v>
      </c>
    </row>
    <row r="693" customFormat="false" ht="23.85" hidden="false" customHeight="false" outlineLevel="0" collapsed="false">
      <c r="A693" s="7" t="n">
        <v>689</v>
      </c>
      <c r="B693" s="12" t="s">
        <v>117</v>
      </c>
      <c r="C693" s="10" t="s">
        <v>1149</v>
      </c>
      <c r="D693" s="12" t="s">
        <v>2113</v>
      </c>
      <c r="E693" s="12" t="s">
        <v>1150</v>
      </c>
      <c r="F693" s="10" t="s">
        <v>1843</v>
      </c>
      <c r="G693" s="12" t="s">
        <v>656</v>
      </c>
      <c r="H693" s="26" t="n">
        <v>21.78</v>
      </c>
      <c r="I693" s="7" t="n">
        <v>1</v>
      </c>
      <c r="J693" s="7" t="n">
        <v>346</v>
      </c>
      <c r="K693" s="11" t="n">
        <v>32830.17</v>
      </c>
      <c r="L693" s="10" t="s">
        <v>118</v>
      </c>
      <c r="M693" s="26" t="n">
        <v>21.78</v>
      </c>
      <c r="N693" s="12" t="s">
        <v>657</v>
      </c>
      <c r="O693" s="12" t="s">
        <v>102</v>
      </c>
      <c r="P693" s="10" t="s">
        <v>658</v>
      </c>
      <c r="Q693" s="30" t="s">
        <v>1152</v>
      </c>
      <c r="R693" s="34" t="n">
        <v>1</v>
      </c>
      <c r="S693" s="11" t="n">
        <v>32830.2</v>
      </c>
      <c r="T693" s="10" t="s">
        <v>144</v>
      </c>
      <c r="U693" s="7" t="n">
        <v>1</v>
      </c>
      <c r="V693" s="12" t="s">
        <v>144</v>
      </c>
      <c r="W693" s="12" t="s">
        <v>79</v>
      </c>
      <c r="X693" s="12" t="s">
        <v>86</v>
      </c>
      <c r="Y693" s="10"/>
      <c r="Z693" s="7" t="s">
        <v>74</v>
      </c>
      <c r="AA693" s="7" t="n">
        <v>2</v>
      </c>
      <c r="AB693" s="9" t="n">
        <v>0.692015681774718</v>
      </c>
    </row>
    <row r="694" customFormat="false" ht="23.85" hidden="false" customHeight="false" outlineLevel="0" collapsed="false">
      <c r="A694" s="7" t="n">
        <v>690</v>
      </c>
      <c r="B694" s="12" t="s">
        <v>117</v>
      </c>
      <c r="C694" s="10" t="s">
        <v>1149</v>
      </c>
      <c r="D694" s="12" t="s">
        <v>2113</v>
      </c>
      <c r="E694" s="12" t="s">
        <v>1154</v>
      </c>
      <c r="F694" s="10" t="s">
        <v>1749</v>
      </c>
      <c r="G694" s="12" t="s">
        <v>656</v>
      </c>
      <c r="H694" s="26" t="n">
        <v>48.28</v>
      </c>
      <c r="I694" s="7" t="n">
        <v>1</v>
      </c>
      <c r="J694" s="7" t="n">
        <v>346</v>
      </c>
      <c r="K694" s="11" t="n">
        <v>32830.17</v>
      </c>
      <c r="L694" s="10" t="s">
        <v>118</v>
      </c>
      <c r="M694" s="26" t="n">
        <v>48.28</v>
      </c>
      <c r="N694" s="12" t="s">
        <v>657</v>
      </c>
      <c r="O694" s="12" t="s">
        <v>102</v>
      </c>
      <c r="P694" s="10" t="s">
        <v>658</v>
      </c>
      <c r="Q694" s="30" t="s">
        <v>1152</v>
      </c>
      <c r="R694" s="34" t="n">
        <v>1</v>
      </c>
      <c r="S694" s="11" t="n">
        <v>32830.2</v>
      </c>
      <c r="T694" s="10" t="s">
        <v>144</v>
      </c>
      <c r="U694" s="7" t="n">
        <v>1</v>
      </c>
      <c r="V694" s="12" t="s">
        <v>144</v>
      </c>
      <c r="W694" s="12" t="s">
        <v>79</v>
      </c>
      <c r="X694" s="12" t="s">
        <v>86</v>
      </c>
      <c r="Y694" s="10"/>
      <c r="Z694" s="7" t="s">
        <v>74</v>
      </c>
      <c r="AA694" s="7" t="n">
        <v>2</v>
      </c>
      <c r="AB694" s="9" t="n">
        <v>0.692015681774718</v>
      </c>
    </row>
    <row r="695" customFormat="false" ht="23.85" hidden="false" customHeight="false" outlineLevel="0" collapsed="false">
      <c r="A695" s="7" t="n">
        <v>691</v>
      </c>
      <c r="B695" s="12" t="s">
        <v>89</v>
      </c>
      <c r="C695" s="10" t="s">
        <v>89</v>
      </c>
      <c r="D695" s="12" t="s">
        <v>2113</v>
      </c>
      <c r="E695" s="12" t="s">
        <v>828</v>
      </c>
      <c r="F695" s="10" t="s">
        <v>843</v>
      </c>
      <c r="G695" s="12" t="s">
        <v>656</v>
      </c>
      <c r="H695" s="26" t="n">
        <v>856.68</v>
      </c>
      <c r="I695" s="7" t="n">
        <v>1</v>
      </c>
      <c r="J695" s="7" t="n">
        <v>905</v>
      </c>
      <c r="K695" s="11" t="n">
        <v>28093.38</v>
      </c>
      <c r="L695" s="10" t="s">
        <v>90</v>
      </c>
      <c r="M695" s="26" t="n">
        <v>856.68</v>
      </c>
      <c r="N695" s="12" t="s">
        <v>657</v>
      </c>
      <c r="O695" s="12" t="s">
        <v>102</v>
      </c>
      <c r="P695" s="10" t="s">
        <v>658</v>
      </c>
      <c r="Q695" s="30" t="s">
        <v>830</v>
      </c>
      <c r="R695" s="34" t="n">
        <v>1</v>
      </c>
      <c r="S695" s="11" t="n">
        <v>28093.4</v>
      </c>
      <c r="T695" s="10" t="s">
        <v>2136</v>
      </c>
      <c r="U695" s="7" t="n">
        <v>6</v>
      </c>
      <c r="V695" s="12" t="s">
        <v>225</v>
      </c>
      <c r="W695" s="12" t="s">
        <v>79</v>
      </c>
      <c r="X695" s="12" t="s">
        <v>97</v>
      </c>
      <c r="Y695" s="10" t="s">
        <v>81</v>
      </c>
      <c r="Z695" s="7" t="s">
        <v>74</v>
      </c>
      <c r="AA695" s="7" t="n">
        <v>1</v>
      </c>
      <c r="AB695" s="9" t="n">
        <v>0.875449416714477</v>
      </c>
    </row>
    <row r="696" customFormat="false" ht="23.85" hidden="false" customHeight="false" outlineLevel="0" collapsed="false">
      <c r="A696" s="7" t="n">
        <v>692</v>
      </c>
      <c r="B696" s="12" t="s">
        <v>89</v>
      </c>
      <c r="C696" s="10" t="s">
        <v>2138</v>
      </c>
      <c r="D696" s="12" t="s">
        <v>2113</v>
      </c>
      <c r="E696" s="12" t="s">
        <v>854</v>
      </c>
      <c r="F696" s="10" t="s">
        <v>829</v>
      </c>
      <c r="G696" s="12" t="s">
        <v>656</v>
      </c>
      <c r="H696" s="26" t="n">
        <v>1444.1174</v>
      </c>
      <c r="I696" s="7" t="n">
        <v>29</v>
      </c>
      <c r="J696" s="7" t="n">
        <v>905</v>
      </c>
      <c r="K696" s="11" t="n">
        <v>28093.38</v>
      </c>
      <c r="L696" s="10" t="s">
        <v>90</v>
      </c>
      <c r="M696" s="26" t="n">
        <v>1444.1174</v>
      </c>
      <c r="N696" s="12" t="s">
        <v>657</v>
      </c>
      <c r="O696" s="12" t="s">
        <v>153</v>
      </c>
      <c r="P696" s="10" t="s">
        <v>658</v>
      </c>
      <c r="Q696" s="30" t="s">
        <v>852</v>
      </c>
      <c r="R696" s="34" t="n">
        <v>1</v>
      </c>
      <c r="S696" s="11" t="n">
        <v>28093.4</v>
      </c>
      <c r="T696" s="10" t="s">
        <v>2136</v>
      </c>
      <c r="U696" s="7" t="n">
        <v>6</v>
      </c>
      <c r="V696" s="12" t="s">
        <v>225</v>
      </c>
      <c r="W696" s="12" t="s">
        <v>79</v>
      </c>
      <c r="X696" s="12" t="s">
        <v>80</v>
      </c>
      <c r="Y696" s="10" t="s">
        <v>81</v>
      </c>
      <c r="Z696" s="7" t="s">
        <v>74</v>
      </c>
      <c r="AA696" s="7" t="n">
        <v>1</v>
      </c>
      <c r="AB696" s="9" t="n">
        <v>0.875449416714477</v>
      </c>
    </row>
    <row r="697" customFormat="false" ht="23.85" hidden="false" customHeight="false" outlineLevel="0" collapsed="false">
      <c r="A697" s="7" t="n">
        <v>693</v>
      </c>
      <c r="B697" s="12" t="s">
        <v>201</v>
      </c>
      <c r="C697" s="10" t="s">
        <v>2139</v>
      </c>
      <c r="D697" s="12" t="s">
        <v>2113</v>
      </c>
      <c r="E697" s="12" t="s">
        <v>861</v>
      </c>
      <c r="F697" s="10" t="s">
        <v>866</v>
      </c>
      <c r="G697" s="12" t="s">
        <v>656</v>
      </c>
      <c r="H697" s="26" t="n">
        <v>7.8196</v>
      </c>
      <c r="I697" s="7" t="n">
        <v>30</v>
      </c>
      <c r="J697" s="7" t="n">
        <v>3110</v>
      </c>
      <c r="K697" s="11" t="n">
        <v>93119.22</v>
      </c>
      <c r="L697" s="10" t="s">
        <v>202</v>
      </c>
      <c r="M697" s="26" t="n">
        <v>7.8196</v>
      </c>
      <c r="N697" s="12" t="s">
        <v>657</v>
      </c>
      <c r="O697" s="12" t="s">
        <v>77</v>
      </c>
      <c r="P697" s="10" t="s">
        <v>658</v>
      </c>
      <c r="Q697" s="30" t="s">
        <v>2140</v>
      </c>
      <c r="R697" s="34" t="n">
        <v>1</v>
      </c>
      <c r="S697" s="11" t="n">
        <v>93119.2</v>
      </c>
      <c r="T697" s="10" t="s">
        <v>864</v>
      </c>
      <c r="U697" s="7" t="n">
        <v>1</v>
      </c>
      <c r="V697" s="12" t="s">
        <v>226</v>
      </c>
      <c r="W697" s="12" t="s">
        <v>79</v>
      </c>
      <c r="X697" s="12" t="s">
        <v>86</v>
      </c>
      <c r="Y697" s="10" t="s">
        <v>111</v>
      </c>
      <c r="Z697" s="7" t="s">
        <v>74</v>
      </c>
      <c r="AA697" s="7" t="n">
        <v>4</v>
      </c>
      <c r="AB697" s="9" t="n">
        <v>0.575090839548671</v>
      </c>
    </row>
    <row r="698" customFormat="false" ht="23.85" hidden="false" customHeight="false" outlineLevel="0" collapsed="false">
      <c r="A698" s="7" t="n">
        <v>694</v>
      </c>
      <c r="B698" s="12" t="s">
        <v>89</v>
      </c>
      <c r="C698" s="10" t="s">
        <v>2141</v>
      </c>
      <c r="D698" s="12" t="s">
        <v>2113</v>
      </c>
      <c r="E698" s="12" t="s">
        <v>1083</v>
      </c>
      <c r="F698" s="10" t="s">
        <v>1217</v>
      </c>
      <c r="G698" s="12" t="s">
        <v>656</v>
      </c>
      <c r="H698" s="26" t="n">
        <v>152.64</v>
      </c>
      <c r="I698" s="7" t="n">
        <v>1</v>
      </c>
      <c r="J698" s="7" t="n">
        <v>905</v>
      </c>
      <c r="K698" s="11" t="n">
        <v>28093.38</v>
      </c>
      <c r="L698" s="10" t="s">
        <v>90</v>
      </c>
      <c r="M698" s="26" t="n">
        <v>152.64</v>
      </c>
      <c r="N698" s="12" t="s">
        <v>657</v>
      </c>
      <c r="O698" s="12" t="s">
        <v>77</v>
      </c>
      <c r="P698" s="10" t="s">
        <v>658</v>
      </c>
      <c r="Q698" s="30" t="s">
        <v>991</v>
      </c>
      <c r="R698" s="34" t="n">
        <v>1</v>
      </c>
      <c r="S698" s="11" t="n">
        <v>28093.4</v>
      </c>
      <c r="T698" s="10" t="s">
        <v>2136</v>
      </c>
      <c r="U698" s="7" t="n">
        <v>6</v>
      </c>
      <c r="V698" s="12" t="s">
        <v>225</v>
      </c>
      <c r="W698" s="12" t="s">
        <v>79</v>
      </c>
      <c r="X698" s="12" t="s">
        <v>86</v>
      </c>
      <c r="Y698" s="10" t="s">
        <v>81</v>
      </c>
      <c r="Z698" s="7" t="s">
        <v>74</v>
      </c>
      <c r="AA698" s="7" t="n">
        <v>1</v>
      </c>
      <c r="AB698" s="9" t="n">
        <v>0.875449416714477</v>
      </c>
    </row>
    <row r="699" customFormat="false" ht="23.85" hidden="false" customHeight="false" outlineLevel="0" collapsed="false">
      <c r="A699" s="7" t="n">
        <v>695</v>
      </c>
      <c r="B699" s="12" t="s">
        <v>210</v>
      </c>
      <c r="C699" s="10" t="s">
        <v>2142</v>
      </c>
      <c r="D699" s="12" t="s">
        <v>2113</v>
      </c>
      <c r="E699" s="12" t="s">
        <v>2143</v>
      </c>
      <c r="F699" s="10" t="s">
        <v>2144</v>
      </c>
      <c r="G699" s="12" t="s">
        <v>656</v>
      </c>
      <c r="H699" s="26" t="n">
        <v>6.29</v>
      </c>
      <c r="I699" s="7" t="n">
        <v>1</v>
      </c>
      <c r="J699" s="7" t="n">
        <v>2546</v>
      </c>
      <c r="K699" s="11" t="n">
        <v>46507.62</v>
      </c>
      <c r="L699" s="10" t="s">
        <v>211</v>
      </c>
      <c r="M699" s="26" t="n">
        <v>6.29</v>
      </c>
      <c r="N699" s="12" t="s">
        <v>657</v>
      </c>
      <c r="O699" s="12" t="s">
        <v>77</v>
      </c>
      <c r="P699" s="10" t="s">
        <v>658</v>
      </c>
      <c r="Q699" s="30" t="s">
        <v>991</v>
      </c>
      <c r="R699" s="34" t="n">
        <v>0.378228374732698</v>
      </c>
      <c r="S699" s="11" t="n">
        <v>17590.5</v>
      </c>
      <c r="T699" s="10" t="s">
        <v>995</v>
      </c>
      <c r="U699" s="7" t="n">
        <v>1</v>
      </c>
      <c r="V699" s="12" t="s">
        <v>323</v>
      </c>
      <c r="W699" s="12" t="s">
        <v>79</v>
      </c>
      <c r="X699" s="12" t="s">
        <v>97</v>
      </c>
      <c r="Y699" s="10"/>
      <c r="Z699" s="7" t="s">
        <v>106</v>
      </c>
      <c r="AA699" s="7" t="n">
        <v>9</v>
      </c>
      <c r="AB699" s="9" t="n">
        <v>0.414763817173456</v>
      </c>
    </row>
    <row r="700" customFormat="false" ht="23.85" hidden="false" customHeight="false" outlineLevel="0" collapsed="false">
      <c r="A700" s="7" t="n">
        <v>696</v>
      </c>
      <c r="B700" s="12" t="s">
        <v>233</v>
      </c>
      <c r="C700" s="10" t="s">
        <v>2145</v>
      </c>
      <c r="D700" s="12" t="s">
        <v>2113</v>
      </c>
      <c r="E700" s="12" t="s">
        <v>2146</v>
      </c>
      <c r="F700" s="10" t="s">
        <v>1807</v>
      </c>
      <c r="G700" s="12" t="s">
        <v>656</v>
      </c>
      <c r="H700" s="26" t="n">
        <v>7.58</v>
      </c>
      <c r="I700" s="7" t="n">
        <v>1</v>
      </c>
      <c r="J700" s="7" t="n">
        <v>565</v>
      </c>
      <c r="K700" s="11" t="n">
        <v>12587.3</v>
      </c>
      <c r="L700" s="10" t="s">
        <v>234</v>
      </c>
      <c r="M700" s="26" t="n">
        <v>7.58</v>
      </c>
      <c r="N700" s="12" t="s">
        <v>657</v>
      </c>
      <c r="O700" s="12" t="s">
        <v>77</v>
      </c>
      <c r="P700" s="10" t="s">
        <v>658</v>
      </c>
      <c r="Q700" s="30" t="s">
        <v>991</v>
      </c>
      <c r="R700" s="34" t="n">
        <v>0.95</v>
      </c>
      <c r="S700" s="11" t="n">
        <v>11957.9</v>
      </c>
      <c r="T700" s="10" t="s">
        <v>995</v>
      </c>
      <c r="U700" s="7" t="n">
        <v>1</v>
      </c>
      <c r="V700" s="12" t="s">
        <v>323</v>
      </c>
      <c r="W700" s="12" t="s">
        <v>79</v>
      </c>
      <c r="X700" s="12" t="s">
        <v>86</v>
      </c>
      <c r="Y700" s="10"/>
      <c r="Z700" s="7" t="s">
        <v>106</v>
      </c>
      <c r="AA700" s="7" t="n">
        <v>8</v>
      </c>
      <c r="AB700" s="9" t="n">
        <v>0.436211512717537</v>
      </c>
    </row>
  </sheetData>
  <autoFilter ref="A4:AB700"/>
  <hyperlinks>
    <hyperlink ref="Q5" r:id="rId1" display="https://www.drugs.com/price-guide/carboprost"/>
    <hyperlink ref="Q6" r:id="rId2" display="https://www.cms.gov/files/zip/october-2026-medicare-part-b-payment-limit-files-final.zip"/>
    <hyperlink ref="Q7" r:id="rId3" display="https://www.drugs.com/price-guide/methotrexate"/>
    <hyperlink ref="Q8" r:id="rId4" display="https://www.drugs.com/price-guide/methotrexate"/>
    <hyperlink ref="Q9" r:id="rId5" display="https://www.cms.gov/files/zip/october-2026-medicare-part-b-payment-limit-files-final.zip"/>
    <hyperlink ref="Q10" r:id="rId6" display="https://www.cms.gov/files/zip/october-2026-medicare-part-b-payment-limit-files-final.zip"/>
    <hyperlink ref="Q11" r:id="rId7" display="https://www.drugs.com/price-guide/fulvestrant"/>
    <hyperlink ref="Q12" r:id="rId8" display="https://www.medicinpriser.dk/Default.aspx?VirksomtStof=Carboprost&amp;lng=2"/>
    <hyperlink ref="Q13" r:id="rId9" display="https://www.drugs.com/price-guide/carboprost"/>
    <hyperlink ref="Q14" r:id="rId10" display="https://www.drugs.com/price-guide/chlorpromazine"/>
    <hyperlink ref="Q15" r:id="rId11" display="https://www.drugs.com/price-guide/dactinomycin"/>
    <hyperlink ref="Q16" r:id="rId12" display="https://www.drugs.com/price-guide/eptifibatide"/>
    <hyperlink ref="Q18" r:id="rId13" display="https://www.drugs.com/price-guide/esmolol"/>
    <hyperlink ref="Q19" r:id="rId14" display="https://www.drugs.com/price-guide/fluorouracil"/>
    <hyperlink ref="Q20" r:id="rId15" display="https://www.drugs.com/price-guide/fluphenazine"/>
    <hyperlink ref="Q21" r:id="rId16" display="https://www.drugs.com/price-guide/medroxyprogesterone"/>
    <hyperlink ref="Q22" r:id="rId17" display="https://www.mountainside-medical.com/products/medroxyprogesterone-acetate-injection-prefilled-syringe-150-mg-ml"/>
    <hyperlink ref="Q23" r:id="rId18" display="https://www.drugs.com/price-guide/methotrexate"/>
    <hyperlink ref="Q24" r:id="rId19" display="https://www.drugs.com/price-guide/methotrexate"/>
    <hyperlink ref="Q25" r:id="rId20" display="https://www.drugs.com/price-guide/methotrexate"/>
    <hyperlink ref="Q26" r:id="rId21" display="https://www.cms.gov/files/zip/october-2026-medicare-part-b-payment-limit-files-final.zip"/>
    <hyperlink ref="Q27" r:id="rId22" display="https://www.cms.gov/files/zip/october-2026-medicare-part-b-payment-limit-files-final.zip"/>
    <hyperlink ref="Q28" r:id="rId23" display="https://www.drugs.com/price-guide/nafcillin"/>
    <hyperlink ref="Q29" r:id="rId24" display="https://www.drugs.com/price-guide/nafcillin"/>
    <hyperlink ref="Q31" r:id="rId25" display="https://www.drugs.com/price-guide/naloxone"/>
    <hyperlink ref="Q32" r:id="rId26" display="https://www.drugs.com/price-guide/oxacillin"/>
    <hyperlink ref="Q33" r:id="rId27" display="https://www.drugs.com/price-guide/progesterone"/>
    <hyperlink ref="Q34" r:id="rId28" display="https://www.drugs.com/price-guide/testosterone"/>
    <hyperlink ref="Q35" r:id="rId29" display="https://www.drugs.com/price-guide/testosterone"/>
    <hyperlink ref="Q36" r:id="rId30" display="https://www.drugs.com/price-guide/testosterone"/>
    <hyperlink ref="Q37" r:id="rId31" display="https://www.cms.gov/files/zip/october-2026-medicare-part-b-payment-limit-files-final.zip"/>
    <hyperlink ref="Q38" r:id="rId32" location="search:norcuron" display="https://medicineprices.org.za/#search:norcuron"/>
    <hyperlink ref="Q40" r:id="rId33" display="https://www.drugs.com/price-guide/verapamil"/>
    <hyperlink ref="Q41" r:id="rId34" display="https://www.drugs.com/price-guide/ertapenem"/>
    <hyperlink ref="Q42" r:id="rId35" display="https://www.drugs.com/price-guide/ibandronate"/>
    <hyperlink ref="Q43" r:id="rId36" display="https://www.drugs.com/price-guide/mesna"/>
    <hyperlink ref="Q44" r:id="rId37" display="https://www.drugs.com/price-guide/palonosetron"/>
    <hyperlink ref="Q45" r:id="rId38" display="https://www.drugs.com/price-guide/bortezomib"/>
    <hyperlink ref="Q46" r:id="rId39" display="https://www.drugs.com/price-guide/ropivacaine"/>
    <hyperlink ref="Q47" r:id="rId40" display="https://www.drugs.com/price-guide/ropivacaine"/>
    <hyperlink ref="Q48" r:id="rId41" display="https://www.drugs.com/price-guide/ropivacaine"/>
    <hyperlink ref="Q49" r:id="rId42" display="https://www.drugs.com/price-guide/ropivacaine"/>
    <hyperlink ref="Q50" r:id="rId43" display="https://www.drugs.com/price-guide/ropivacaine"/>
    <hyperlink ref="Q51" r:id="rId44" display="https://www.drugs.com/price-guide/ropivacaine"/>
    <hyperlink ref="Q52" r:id="rId45" display="https://www.drugs.com/price-guide/argatroban"/>
    <hyperlink ref="Q53" r:id="rId46" display="https://www.drugs.com/price-guide/cyclophosphamide"/>
    <hyperlink ref="Q54" r:id="rId47" display="https://www.drugs.com/price-guide/cyclophosphamide"/>
    <hyperlink ref="Q55" r:id="rId48" display="https://www.drugs.com/price-guide/cyclophosphamide"/>
    <hyperlink ref="Q56" r:id="rId49" display="https://www.drugs.com/price-guide/ephedrine"/>
    <hyperlink ref="Q57" r:id="rId50" display="https://www.cms.gov/files/zip/october-2026-medicare-part-b-payment-limit-files-final.zip"/>
    <hyperlink ref="Q58" r:id="rId51" display="https://www.drugs.com/price-guide/sildenafil"/>
    <hyperlink ref="Q59" r:id="rId52" display="https://www.drugs.com/price-guide/tirofiban"/>
    <hyperlink ref="Q60" r:id="rId53" display="https://www.drugs.com/price-guide/tirofiban"/>
    <hyperlink ref="Q61" r:id="rId54" display="https://www.drugs.com/price-guide/plerixafor"/>
    <hyperlink ref="Q62" r:id="rId55" display="https://dmd-browser.nhsbsa.nhs.uk/ampp/view/187562"/>
    <hyperlink ref="Q63" r:id="rId56" display="https://www.nhsbsa.nhs.uk/sites/default/files/2026-08/Part%20VIIIA%20Sep%2026.xls.xlsx"/>
    <hyperlink ref="Q64" r:id="rId57" display="https://dmd-browser.nhsbsa.nhs.uk/ampp/view/190293"/>
    <hyperlink ref="Q65" r:id="rId58" display="https://dmd-browser.nhsbsa.nhs.uk/ampp/view/185061"/>
    <hyperlink ref="Q66" r:id="rId59" display="https://dmd-browser.nhsbsa.nhs.uk/ampp/view/194984"/>
    <hyperlink ref="Q67" r:id="rId60" display="https://dmd-browser.nhsbsa.nhs.uk/ampp/view/47382"/>
    <hyperlink ref="Q68" r:id="rId61" display="https://www.aifa.gov.it/documents/20142/3815901/Classe_H_per_principio_attivo_30-04-2026.csv"/>
    <hyperlink ref="Q69" r:id="rId62" display="https://www.aifa.gov.it/documents/20142/3815901/Classe_H_per_principio_attivo_30-04-2026.csv"/>
    <hyperlink ref="Q70" r:id="rId63" display="https://www.aponeo.de/rx/12675950-bupivan-0-5-5-mg-ml-inj-l-25mg-5ml-glasamp.html"/>
    <hyperlink ref="Q71" r:id="rId64" display="https://base-donnees-publique.medicaments.gouv.fr/medicament/64318859/extrait"/>
    <hyperlink ref="Q72" r:id="rId65" display="https://www.dovesalute.it/it/farmaci/med/36138/ceftriaxone-aurobindo"/>
    <hyperlink ref="Q73" r:id="rId66" display="https://www.aifa.gov.it/documents/20142/3815901/Classe_A_per_principio_attivo_30-04-2026.csv"/>
    <hyperlink ref="Q74" r:id="rId67" display="https://www.aifa.gov.it/documents/20142/3815901/Classe_H_per_principio_attivo_30-04-2026.csv"/>
    <hyperlink ref="Q75" r:id="rId68" display="https://www.aifa.gov.it/documents/20142/3815901/Classe_H_per_principio_attivo_30-04-2026.csv"/>
    <hyperlink ref="Q76" r:id="rId69" display="https://www.aifa.gov.it/documents/20142/3815901/Classe_H_per_principio_attivo_30-04-2026.csv"/>
    <hyperlink ref="Q77" r:id="rId70" display="https://www.medicinpriser.dk/Default.aspx?id=15&amp;vnr=540548"/>
    <hyperlink ref="Q78" r:id="rId71" display="https://www.aifa.gov.it/documents/20142/3815901/Classe_H_per_principio_attivo_30-04-2026.csv"/>
    <hyperlink ref="Q79" r:id="rId72" display="https://www.aifa.gov.it/documents/20142/3815901/Classe_H_per_principio_attivo_30-04-2026.csv"/>
    <hyperlink ref="Q80" r:id="rId73" display="https://www.aifa.gov.it/documents/20142/3815901/Classe_H_per_principio_attivo_30-04-2026.csv"/>
    <hyperlink ref="Q81" r:id="rId74" display="https://www.aifa.gov.it/documents/20142/3815901/Classe_H_per_principio_attivo_30-04-2026.csv"/>
    <hyperlink ref="Q82" r:id="rId75" display="https://www.aifa.gov.it/documents/20142/3815901/Classe_H_per_principio_attivo_30-04-2026.csv"/>
    <hyperlink ref="Q83" r:id="rId76" display="https://www.aifa.gov.it/documents/20142/3815901/Classe_H_per_principio_attivo_30-04-2026.csv"/>
    <hyperlink ref="Q84" r:id="rId77" display="https://www.aifa.gov.it/documents/20142/3815901/Classe_H_per_principio_attivo_30-04-2026.csv"/>
    <hyperlink ref="Q85" r:id="rId78" display="https://www.aifa.gov.it/documents/20142/3815901/Classe_H_per_principio_attivo_30-04-2026.csv"/>
    <hyperlink ref="Q86" r:id="rId79" display="https://www.medicinpriser.dk/Default.aspx?VirksomtStof=Remifentanil"/>
    <hyperlink ref="Q87" r:id="rId80" display="https://www.aifa.gov.it/documents/20142/3815901/Classe_H_per_principio_attivo_30-04-2026.csv"/>
    <hyperlink ref="Q88" r:id="rId81" display="https://www.aifa.gov.it/documents/20142/3815901/Classe_H_per_principio_attivo_30-04-2026.csv"/>
    <hyperlink ref="Q89" r:id="rId82" display="https://www.ab.bluecross.ca/dbl/pdfs/ABCDPL_2026_03_03.pdf"/>
    <hyperlink ref="Q90" r:id="rId83" display="https://www.ab.bluecross.ca/dbl/pdfs/ABCDPL_2026_01_07.pdf"/>
    <hyperlink ref="Q91" r:id="rId84" display="https://www.ab.bluecross.ca/dbl/pdfs/ABCDPL_2024_12_05.pdf"/>
    <hyperlink ref="Q92" r:id="rId85" display="https://www.ab.bluecross.ca/dbl/pdfs/ABCDPL_2024_12_05.pdf"/>
    <hyperlink ref="Q93" r:id="rId86" display="https://www.ab.bluecross.ca/dbl/pdfs/ABCDPL_2026_04_07.pdf"/>
    <hyperlink ref="Q94" r:id="rId87" display="https://www.formulary.health.gov.on.ca/formulary/detail.xhtml?drugId=02491524"/>
    <hyperlink ref="Q95" r:id="rId88" display="https://www.formulary.health.gov.on.ca/formulary/detail.xhtml?drugId=02491532"/>
    <hyperlink ref="Q96" r:id="rId89" display="https://www.ab.bluecross.ca/dbl/pdfs/ABCDPL_2026_09_04.pdf"/>
    <hyperlink ref="Q97" r:id="rId90" display="https://www.formulary.health.gov.on.ca/formulary/detail.xhtml?drugId=02516160"/>
    <hyperlink ref="Q98" r:id="rId91" display="https://www.ab.bluecross.ca/dbl/pdfs/ABCDPL_2024_12_05.pdf"/>
    <hyperlink ref="Q99" r:id="rId92" display="https://www.ab.bluecross.ca/dbl/pdfs/ABCDPL_2024_12_05.pdf"/>
    <hyperlink ref="Q100" r:id="rId93" display="https://www.ab.bluecross.ca/dbl/pdfs/ABCDPL_2026_03_03.pdf"/>
    <hyperlink ref="Q101" r:id="rId94" display="https://www.ab.bluecross.ca/dbl/pdfs/ABCDPL_2026_01_07.pdf"/>
    <hyperlink ref="Q102" r:id="rId95" display="https://www.ab.bluecross.ca/dbl/pdfs/ABCDPL_2026_04_07.pdf"/>
    <hyperlink ref="Q103" r:id="rId96" display="https://www.ab.bluecross.ca/dbl/pdfs/ABCDPL_2026_09_04.pdf"/>
    <hyperlink ref="Q104" r:id="rId97" display="https://www.ab.bluecross.ca/dbl/pdfs/ABCDPL_2026_09_04.pdf"/>
    <hyperlink ref="Q105" r:id="rId98" display="https://www.ab.bluecross.ca/dbl/pdfs/ABCDPL_2026_09_04.pdf"/>
    <hyperlink ref="Q106" r:id="rId99" display="https://www.ab.bluecross.ca/dbl/pdfs/ABCDPL_2026_09_04.pdf"/>
    <hyperlink ref="Q107" r:id="rId100" display="https://www.ab.bluecross.ca/dbl/pdfs/ABCDPL_2026_09_04.pdf"/>
    <hyperlink ref="Q108" r:id="rId101" display="https://www.ab.bluecross.ca/dbl/pdfs/ABCDPL_2026_09_04.pdf"/>
    <hyperlink ref="Q109" r:id="rId102" display="https://dmd-browser.nhsbsa.nhs.uk/ampp/view/171701"/>
    <hyperlink ref="Q110" r:id="rId103" display="https://www.aifa.gov.it/documents/20142/3815901/Classe_H_per_principio_attivo_30-04-2026.csv"/>
    <hyperlink ref="Q112" r:id="rId104" display="https://www.pbs.gov.au/industry/pricing/ex-manufacturer-price/2026/09/ex-manufacturer-prices-non-efc-2026-09-01.XLSX"/>
    <hyperlink ref="Q113" r:id="rId105" display="https://www.pbs.gov.au/industry/pricing/ex-manufacturer-price/2026/09/ex-manufacturer-prices-non-efc-2026-09-01.XLSX"/>
    <hyperlink ref="Q114" r:id="rId106" display="https://www.pbs.gov.au/industry/pricing/ex-manufacturer-price/2026/09/ex-manufacturer-prices-efc-2026-09-01.XLSX"/>
    <hyperlink ref="Q115" r:id="rId107" display="https://www.pbs.gov.au/industry/pricing/price-disclosure-spd/current-price-disclosure-cycle"/>
    <hyperlink ref="Q116" r:id="rId108" display="https://www.health.gov.za/nhi-pee/"/>
    <hyperlink ref="Q117" r:id="rId109" display="https://www.health.gov.za/nhi-pee/"/>
    <hyperlink ref="Q118" r:id="rId110" display="https://www.health.gov.za/nhi-pee/"/>
    <hyperlink ref="Q119" r:id="rId111" display="https://www.health.gov.za/nhi-pee/"/>
    <hyperlink ref="Q120" r:id="rId112" display="https://www.health.gov.za/nhi-pee/"/>
    <hyperlink ref="Q121" r:id="rId113" display="https://www.health.gov.za/nhi-pee/"/>
    <hyperlink ref="Q122" r:id="rId114" display="https://www.health.gov.za/nhi-pee/"/>
    <hyperlink ref="Q123" r:id="rId115" display="https://www.health.gov.za/nhi-pee/"/>
    <hyperlink ref="Q124" r:id="rId116" display="https://www.cms.gov/files/zip/october-2026-medicare-part-b-payment-limit-files-final.zip"/>
    <hyperlink ref="Q125" r:id="rId117" display="https://www.cms.gov/files/zip/october-2026-medicare-part-b-payment-limit-files-final.zip"/>
    <hyperlink ref="Q126" r:id="rId118" display="https://www.cms.gov/files/zip/october-2026-medicare-part-b-payment-limit-files-final.zip"/>
    <hyperlink ref="Q127" r:id="rId119" display="https://www.drugs.com/price-guide/testosterone"/>
    <hyperlink ref="Q128" r:id="rId120" display="https://www.drugs.com/price-guide/testosterone"/>
    <hyperlink ref="Q129" r:id="rId121" display="https://www.drugs.com/price-guide/somatuline-depot"/>
    <hyperlink ref="Q130" r:id="rId122" display="https://www.drugs.com/price-guide/somatuline-depot"/>
    <hyperlink ref="Q131" r:id="rId123" display="https://www.drugs.com/price-guide/lanreotide"/>
    <hyperlink ref="Q132" r:id="rId124" display="https://dmd-browser.nhsbsa.nhs.uk/ampp/view/193506"/>
    <hyperlink ref="Q133" r:id="rId125" display="https://www.aifa.gov.it/documents/20142/3815901/Classe_H_per_principio_attivo_30-04-2026.csv"/>
    <hyperlink ref="Q134" r:id="rId126" display="https://www.aifa.gov.it/documents/20142/3815901/Classe_H_per_principio_attivo_30-04-2026.csv"/>
    <hyperlink ref="Q135" r:id="rId127" display="https://www.aponeo.de/rx/18660518-sugammadex-amarox-100-mg-ml-injektionsloesung.html"/>
    <hyperlink ref="Q140" r:id="rId128" display="https://www.pbs.gov.au/industry/pricing/ex-manufacturer-price/2026/10/ex-manufacturer-prices-efc-2026-10-01.XLSX"/>
    <hyperlink ref="Q141" r:id="rId129" display="https://www.cms.gov/files/zip/october-2026-medicare-part-b-payment-limit-files-final.zip"/>
    <hyperlink ref="Q142" r:id="rId130" display="https://department.va.gov/procurement-acquisition-and-logistics/wp-content/uploads/sites/56/2026/10/TPharmPrices2026-10-01.xlsx"/>
    <hyperlink ref="Q143" r:id="rId131" display="https://department.va.gov/procurement-acquisition-and-logistics/wp-content/uploads/sites/56/2026/10/TPharmPrices2026-10-01.xlsx"/>
    <hyperlink ref="Q144" r:id="rId132" display="https://department.va.gov/procurement-acquisition-and-logistics/wp-content/uploads/sites/56/2026/10/TPharmPrices2026-10-01.xlsx"/>
    <hyperlink ref="Q145" r:id="rId133" display="https://www.pbs.gov.au/medicine/item/14160G"/>
    <hyperlink ref="Q146" r:id="rId134" display="https://www.cms.gov/files/zip/october-2026-medicare-part-b-payment-limit-files-final.zip"/>
    <hyperlink ref="Q147" r:id="rId135" display="https://www.pbs.gov.au/industry/pricing/ex-manufacturer-price/2026/09/ex-manufacturer-prices-non-efc-2026-09-01.XLSX"/>
    <hyperlink ref="Q148" r:id="rId136" display="https://www.pbs.gov.au/industry/pricing/ex-manufacturer-price/2026/09/ex-manufacturer-prices-non-efc-2026-09-01.XLSX"/>
    <hyperlink ref="Q149" r:id="rId137" display="https://www.pbs.gov.au/industry/pricing/ex-manufacturer-price/2026/09/ex-manufacturer-prices-efc-2026-09-01.XLSX"/>
    <hyperlink ref="Q150" r:id="rId138" location="search:streptase" display="https://medicineprices.org.za/#search:streptase"/>
    <hyperlink ref="Q151" r:id="rId139" location="search:streptase" display="https://medicineprices.org.za/#search:streptase"/>
    <hyperlink ref="Q152" r:id="rId140" location="search:cefect" display="https://medicineprices.org.za/#search:cefect"/>
    <hyperlink ref="Q153" r:id="rId141" location="search:cefect" display="https://medicineprices.org.za/#search:cefect"/>
    <hyperlink ref="Q154" r:id="rId142" display="https://www.health.gov.za/nhi-pee/"/>
    <hyperlink ref="Q155" r:id="rId143" location="search:senuom" display="https://medicineprices.org.za/#search:senuom"/>
    <hyperlink ref="Q156" r:id="rId144" display="https://www.health.gov.za/nhi-pee/"/>
    <hyperlink ref="Q157" r:id="rId145" display="https://www.health.gov.za/nhi-pee/"/>
    <hyperlink ref="Q158" r:id="rId146" display="https://www.health.gov.za/nhi-pee/"/>
    <hyperlink ref="Q159" r:id="rId147" display="https://www.health.gov.za/nhi-pee/"/>
    <hyperlink ref="Q160" r:id="rId148" display="https://www.health.gov.za/nhi-pee/"/>
    <hyperlink ref="Q161" r:id="rId149" display="https://www.health.gov.za/nhi-pee/"/>
    <hyperlink ref="Q162" r:id="rId150" display="https://www.health.gov.za/nhi-pee/"/>
    <hyperlink ref="Q163" r:id="rId151" display="https://www.health.gov.za/nhi-pee/"/>
    <hyperlink ref="Q164" r:id="rId152" display="https://www.health.gov.za/nhi-pee/"/>
    <hyperlink ref="Q165" r:id="rId153" display="https://www.health.gov.za/nhi-pee/"/>
    <hyperlink ref="Q166" r:id="rId154" display="https://department.va.gov/procurement-acquisition-and-logistics/wp-content/uploads/sites/56/2026/10/TPharmPrices2026-10-01.xlsx"/>
    <hyperlink ref="Q167" r:id="rId155" display="https://www.drugs.com/price-guide/desmopressin"/>
    <hyperlink ref="Q168" r:id="rId156" display="https://www.cms.gov/files/zip/october-2026-medicare-part-b-payment-limit-files-final.zip"/>
    <hyperlink ref="Q169" r:id="rId157" display="https://department.va.gov/procurement-acquisition-and-logistics/wp-content/uploads/sites/56/2026/10/TPharmPrices2026-10-01.xlsx"/>
    <hyperlink ref="Q171" r:id="rId158" display="https://www.drugs.com/price-guide/phytonadione"/>
    <hyperlink ref="Q173" r:id="rId159" display="https://www.drugs.com/price-guide/thiotepa"/>
    <hyperlink ref="Q174" r:id="rId160" display="https://www.cms.gov/files/zip/october-2026-medicare-part-b-payment-limit-files-final.zip"/>
    <hyperlink ref="Q175" r:id="rId161" display="https://www.cms.gov/files/zip/october-2026-medicare-part-b-payment-limit-files-final.zip"/>
    <hyperlink ref="Q176" r:id="rId162" display="https://www.drugs.com/price-guide/bivalirudin"/>
    <hyperlink ref="Q177" r:id="rId163" display="https://www.drugs.com/price-guide/palonosetron"/>
    <hyperlink ref="Q178" r:id="rId164" display="https://www.drugs.com/price-guide/bortezomib"/>
    <hyperlink ref="Q179" r:id="rId165" display="https://www.drugs.com/price-guide/fulvestrant"/>
    <hyperlink ref="Q180" r:id="rId166" display="https://www.drugs.com/price-guide/cyclophosphamide"/>
    <hyperlink ref="Q181" r:id="rId167" display="https://www.drugs.com/price-guide/cyclophosphamide"/>
    <hyperlink ref="Q182" r:id="rId168" display="https://www.drugs.com/price-guide/cyclophosphamide"/>
    <hyperlink ref="Q183" r:id="rId169" display="https://www.drugs.com/price-guide/ephedrine"/>
    <hyperlink ref="Q184" r:id="rId170" display="https://www.drugs.com/price-guide/eribulin"/>
    <hyperlink ref="Q185" r:id="rId171" display="https://www.drugs.com/price-guide/neostigmine"/>
    <hyperlink ref="Q186" r:id="rId172" display="https://www.drugs.com/price-guide/neostigmine"/>
    <hyperlink ref="Q187" r:id="rId173" display="https://www.drugs.com/price-guide/neostigmine"/>
    <hyperlink ref="Q188" r:id="rId174" display="https://www.cms.gov/files/zip/october-2026-medicare-part-b-payment-limit-files-final.zip"/>
    <hyperlink ref="Q189" r:id="rId175" display="https://www.drugs.com/price-guide/sugammadex"/>
    <hyperlink ref="Q190" r:id="rId176" display="https://www.drugs.com/price-guide/sugammadex"/>
    <hyperlink ref="Q191" r:id="rId177" display="https://www.drugs.com/price-guide/plerixafor"/>
    <hyperlink ref="Q192" r:id="rId178" display="https://dmd-browser.nhsbsa.nhs.uk/ampp/view/175945"/>
    <hyperlink ref="Q193" r:id="rId179" display="https://dmd-browser.nhsbsa.nhs.uk/ampp/view/169812"/>
    <hyperlink ref="Q194" r:id="rId180" display="https://dmd-browser.nhsbsa.nhs.uk/ampp/view/183157"/>
    <hyperlink ref="Q195" r:id="rId181" display="https://dmd-browser.nhsbsa.nhs.uk/ampp/view/195075"/>
    <hyperlink ref="Q196" r:id="rId182" display="https://dmd-browser.nhsbsa.nhs.uk/ampp/view/211180"/>
    <hyperlink ref="Q197" r:id="rId183" display="https://dmd-browser.nhsbsa.nhs.uk/ampp/view/185061"/>
    <hyperlink ref="Q198" r:id="rId184" display="https://www.aifa.gov.it/documents/20142/3815901/Classe_H_per_principio_attivo_30-04-2026.csv"/>
    <hyperlink ref="Q199" r:id="rId185" display="https://www.aifa.gov.it/documents/20142/3815901/Classe_H_per_principio_attivo_30-04-2026.csv"/>
    <hyperlink ref="Q200" r:id="rId186" display="https://www.boe.es/boe/dias/2025/10/13/pdfs/BOE-A-2025-20356.pdf"/>
    <hyperlink ref="Q202" r:id="rId187" display="https://www.aifa.gov.it/documents/20142/3815901/Classe_H_per_principio_attivo_30-04-2026.csv"/>
    <hyperlink ref="Q203" r:id="rId188" display="https://www.aifa.gov.it/documents/20142/3815901/Classe_H_per_principio_attivo_30-04-2026.csv"/>
    <hyperlink ref="Q204" r:id="rId189" display="https://www.docmorris.de/ibandronsaeure-beta-3-mg-injektionslsgfertigspr/08881520"/>
    <hyperlink ref="Q205" r:id="rId190" display="https://www.aifa.gov.it/documents/20142/3815901/Classe_H_per_principio_attivo_30-04-2026.csv"/>
    <hyperlink ref="Q206" r:id="rId191" display="https://www.aifa.gov.it/documents/20142/3815901/Classe_H_per_principio_attivo_30-04-2026.csv"/>
    <hyperlink ref="Q207" r:id="rId192" display="https://www.aifa.gov.it/documents/20142/3815901/Classe_H_per_principio_attivo_30-04-2026.csv"/>
    <hyperlink ref="Q208" r:id="rId193" display="https://www.ab.bluecross.ca/dbl/pdfs/ABCDPL_2026_01_07.pdf"/>
    <hyperlink ref="Q209" r:id="rId194" display="https://www.ab.bluecross.ca/dbl/pdfs/ABCDPL_2026_01_07.pdf"/>
    <hyperlink ref="Q210" r:id="rId195" display="https://www.formulary.health.gov.on.ca/formulary/detail.xhtml?drugId=02490463"/>
    <hyperlink ref="Q211" r:id="rId196" display="https://www.ab.bluecross.ca/dbl/pdfs/ABCDPL_2026_09_04.pdf"/>
    <hyperlink ref="Q212" r:id="rId197" display="https://www.ab.bluecross.ca/dbl/pdfs/ABCDPL_2026_09_04.pdf"/>
    <hyperlink ref="Q213" r:id="rId198" display="https://www.ab.bluecross.ca/dbl/pdfs/ABCDPL_2026_09_04.pdf"/>
    <hyperlink ref="Q214" r:id="rId199" display="https://www.pbs.gov.au/industry/pricing/ex-manufacturer-price/2026/09/ex-manufacturer-prices-non-efc-2026-09-01.XLSX"/>
    <hyperlink ref="Q215" r:id="rId200" display="https://www.pbs.gov.au/industry/pricing/ex-manufacturer-price/2026/09/ex-manufacturer-prices-non-efc-2026-09-01.XLSX"/>
    <hyperlink ref="Q216" r:id="rId201" display="https://www.pbs.gov.au/publication/schedule/2026/10/2026-10-01-PBS-API-CSV-files.zip?variant=3"/>
    <hyperlink ref="Q217" r:id="rId202" display="https://www.pbs.gov.au/industry/pricing/ex-manufacturer-price/2026/09/ex-manufacturer-prices-efc-2026-09-01.XLSX"/>
    <hyperlink ref="Q218" r:id="rId203" display="https://department.va.gov/procurement-acquisition-and-logistics/wp-content/uploads/sites/56/2026/10/TPharmPrices2026-10-01.xlsx"/>
    <hyperlink ref="Q223" r:id="rId204" display="https://www.pbs.gov.au/industry/pricing/ex-manufacturer-price/2026/09/ex-manufacturer-prices-non-efc-2026-09-01.XLSX"/>
    <hyperlink ref="Q224" r:id="rId205" display="https://www.pbs.gov.au/industry/pricing/ex-manufacturer-price/2026/09/ex-manufacturer-prices-non-efc-2026-09-01.XLSX"/>
    <hyperlink ref="Q225" r:id="rId206" display="https://www.health.gov.za/nhi-pee/"/>
    <hyperlink ref="Q226" r:id="rId207" location="search:neuvysi" display="https://medicineprices.org.za/#search:neuvysi"/>
    <hyperlink ref="Q227" r:id="rId208" location="search:eranfu" display="https://medicineprices.org.za/#search:eranfu"/>
    <hyperlink ref="Q228" r:id="rId209" location="search:bertred" display="https://medicineprices.org.za/#search:bertred"/>
    <hyperlink ref="Q229" r:id="rId210" display="https://www.health.gov.za/nhi-pee/"/>
    <hyperlink ref="Q230" r:id="rId211" display="https://dmd-browser.nhsbsa.nhs.uk/ampp/view/190490"/>
    <hyperlink ref="Q231" r:id="rId212" display="https://dmd-browser.nhsbsa.nhs.uk/ampp/view/195295"/>
    <hyperlink ref="Q232" r:id="rId213" display="https://dmd-browser.nhsbsa.nhs.uk/ampp/view/194983"/>
    <hyperlink ref="Q233" r:id="rId214" display="https://dmd-browser.nhsbsa.nhs.uk/ampp/view/198696"/>
    <hyperlink ref="Q234" r:id="rId215" display="https://dmd-browser.nhsbsa.nhs.uk/ampp/view/197400"/>
    <hyperlink ref="Q235" r:id="rId216" display="https://dmd-browser.nhsbsa.nhs.uk/ampp/view/194984"/>
    <hyperlink ref="Q236" r:id="rId217" display="https://dmd-browser.nhsbsa.nhs.uk/ampp/view/190885"/>
    <hyperlink ref="Q237" r:id="rId218" display="https://dmd-browser.nhsbsa.nhs.uk/ampp/view/169622"/>
    <hyperlink ref="Q238" r:id="rId219" display="https://dmd-browser.nhsbsa.nhs.uk/ampp/view/184215"/>
    <hyperlink ref="Q239" r:id="rId220" display="https://dmd-browser.nhsbsa.nhs.uk/ampp/view/210747"/>
    <hyperlink ref="Q240" r:id="rId221" display="https://www.medicijnkosten.nl/medicijn?artikel=DIAMOX+INJECTIEPOEDER+FLACON+500MG&amp;id=eccf17da767207477dcc6b1f5efd1f4a"/>
    <hyperlink ref="Q241" r:id="rId222" display="https://www.aifa.gov.it/documents/20142/3815901/Classe_A_per_principio_attivo_30-04-2026.csv"/>
    <hyperlink ref="Q242" r:id="rId223" display="https://mediately.co/it/drugs/EW7GuNfn2hkEMxRggSwwiF1PMll/ampicillina-tillomed-1-g-polvere-per-soluzione-iniettabile-per-infusione"/>
    <hyperlink ref="Q243" r:id="rId224" display="https://www.aifa.gov.it/documents/20142/3815901/Classe_H_per_principio_attivo_30-04-2026.csv"/>
    <hyperlink ref="Q244" r:id="rId225" display="https://www.aifa.gov.it/documents/20142/3815901/Classe_H_per_principio_attivo_30-04-2026.csv"/>
    <hyperlink ref="Q245" r:id="rId226" display="https://www.aifa.gov.it/documents/20142/3815901/Classe_H_per_principio_attivo_30-04-2026.csv"/>
    <hyperlink ref="Q246" r:id="rId227" display="https://www.medicinpriser.dk/Default.aspx?VirksomtStof=Eribulin"/>
    <hyperlink ref="Q247" r:id="rId228" display="https://www.aifa.gov.it/documents/20142/3815901/Classe_H_per_principio_attivo_30-04-2026.csv"/>
    <hyperlink ref="Q248" r:id="rId229" display="https://www.aifa.gov.it/documents/20142/3815901/Classe_H_per_principio_attivo_30-04-2026.csv"/>
    <hyperlink ref="Q249" r:id="rId230" display="https://www.aifa.gov.it/documents/20142/3815901/Classe_H_per_principio_attivo_30-04-2026.csv"/>
    <hyperlink ref="Q250" r:id="rId231" display="https://mediately.co/de/drugs/2JLSD2rNCbtip2an1uWLKQBCmLc/milrinon-carinopharm-1-mg-ml-injektions-infusionslosung"/>
    <hyperlink ref="Q251" r:id="rId232" display="https://www.aifa.gov.it/documents/20142/3815901/Classe_H_per_principio_attivo_30-04-2026.csv"/>
    <hyperlink ref="Q252" r:id="rId233" display="https://base-donnees-publique.medicaments.gouv.fr/medicament/61094142/extrait"/>
    <hyperlink ref="Q253" r:id="rId234" display="https://www.aifa.gov.it/documents/20142/3815901/Classe_H_per_principio_attivo_30-04-2026.csv"/>
    <hyperlink ref="Q254" r:id="rId235" display="https://www.aifa.gov.it/documents/20142/3815901/Classe_H_per_principio_attivo_30-04-2026.csv"/>
    <hyperlink ref="Q255" r:id="rId236" display="https://www.ab.bluecross.ca/dbl/pdfs/ABCDPL_2026_09_04.pdf"/>
    <hyperlink ref="Q256" r:id="rId237" display="https://www.ab.bluecross.ca/dbl/pdfs/ABCDPL_2026_09_04.pdf"/>
    <hyperlink ref="Q257" r:id="rId238" display="https://www.ab.bluecross.ca/dbl/pdfs/ABCDPL_2026_09_04.pdf"/>
    <hyperlink ref="Q258" r:id="rId239" display="https://www.ab.bluecross.ca/dbl/pdfs/ABCDPL_2026_04_07.pdf"/>
    <hyperlink ref="Q259" r:id="rId240" display="https://www.ab.bluecross.ca/dbl/pdfs/ABCDPL_2026_09_04.pdf"/>
    <hyperlink ref="Q262" r:id="rId241" display="https://www.ab.bluecross.ca/dbl/pdfs/ABCDPL_2026_09_04.pdf"/>
    <hyperlink ref="Q263" r:id="rId242" display="https://www.ab.bluecross.ca/dbl/pdfs/ABCDPL_2026_09_04.pdf"/>
    <hyperlink ref="Q264" r:id="rId243" display="https://www.ab.bluecross.ca/dbl/pdfs/ABCDPL_2026_09_04.pdf"/>
    <hyperlink ref="Q265" r:id="rId244" display="https://www.ab.bluecross.ca/dbl/pdfs/ABCDPL_2026_09_04.pdf"/>
    <hyperlink ref="Q266" r:id="rId245" display="https://www.ab.bluecross.ca/dbl/pdfs/ABCDPL_2026_09_04.pdf"/>
    <hyperlink ref="Q270" r:id="rId246" display="https://www.drugs.com/price-guide/fulvestrant"/>
    <hyperlink ref="Q271" r:id="rId247" display="https://www.drugs.com/price-guide/eribulin"/>
    <hyperlink ref="Q272" r:id="rId248" display="https://www.nhsbsa.nhs.uk/sites/default/files/2026-08/Part%20VIIIA%20Sep%2026.xls.xlsx"/>
    <hyperlink ref="Q273" r:id="rId249" display="https://dmd-browser.nhsbsa.nhs.uk/ampp/view/195045"/>
    <hyperlink ref="Q274" r:id="rId250" display="https://dmd-browser.nhsbsa.nhs.uk/ampp/view/204041"/>
    <hyperlink ref="Q275" r:id="rId251" display="https://www.aifa.gov.it/documents/20142/3815901/Classe_H_per_principio_attivo_30-04-2026.csv"/>
    <hyperlink ref="Q276" r:id="rId252" display="https://www.boe.es/boe/dias/2025/10/13/pdfs/BOE-A-2025-20356.pdf"/>
    <hyperlink ref="Q277" r:id="rId253" display="https://www.aifa.gov.it/documents/20142/3815901/Classe_H_per_principio_attivo_30-04-2026.csv"/>
    <hyperlink ref="Q278" r:id="rId254" display="https://www.aifa.gov.it/documents/20142/3815901/Classe_H_per_principio_attivo_30-04-2026.csv"/>
    <hyperlink ref="Q279" r:id="rId255" display="https://www.aifa.gov.it/documents/20142/3815901/Classe_H_per_principio_attivo_30-04-2026.csv"/>
    <hyperlink ref="Q280" r:id="rId256" display="https://www.aifa.gov.it/documents/20142/3815901/Classe_H_per_principio_attivo_30-04-2026.csv"/>
    <hyperlink ref="Q281" r:id="rId257" display="https://www.pbs.gov.au/industry/pricing/ex-manufacturer-price/2026/09/ex-manufacturer-prices-efc-2026-09-01.XLSX"/>
    <hyperlink ref="Q282" r:id="rId258" display="https://www.pbs.gov.au/industry/pricing/ex-manufacturer-price/2026/09/ex-manufacturer-prices-efc-2026-09-01.XLSX"/>
    <hyperlink ref="Q283" r:id="rId259" display="https://www.drugs.com/price-guide/chlorpromazine"/>
    <hyperlink ref="Q284" r:id="rId260" display="https://www.cms.gov/files/zip/october-2026-medicare-part-b-payment-limit-files-final.zip"/>
    <hyperlink ref="Q285" r:id="rId261" display="https://department.va.gov/procurement-acquisition-and-logistics/wp-content/uploads/sites/56/2026/10/TPharmPrices2026-10-01.xlsx"/>
    <hyperlink ref="Q286" r:id="rId262" display="https://department.va.gov/procurement-acquisition-and-logistics/wp-content/uploads/sites/56/2026/10/TPharmPrices2026-10-01.xlsx"/>
    <hyperlink ref="Q287" r:id="rId263" display="https://www.drugs.com/price-guide/methotrexate"/>
    <hyperlink ref="Q288" r:id="rId264" display="https://www.cms.gov/files/zip/october-2026-medicare-part-b-payment-limit-files-final.zip"/>
    <hyperlink ref="Q289" r:id="rId265" display="https://department.va.gov/procurement-acquisition-and-logistics/wp-content/uploads/sites/56/2026/10/TPharmPrices2026-10-01.xlsx"/>
    <hyperlink ref="Q290" r:id="rId266" display="https://department.va.gov/procurement-acquisition-and-logistics/wp-content/uploads/sites/56/2026/10/TPharmPrices2026-10-01.xlsx"/>
    <hyperlink ref="Q291" r:id="rId267" display="https://www.drugs.com/price-guide/bortezomib"/>
    <hyperlink ref="Q292" r:id="rId268" display="https://www.drugs.com/price-guide/magnesium-sulfate"/>
    <hyperlink ref="Q293" r:id="rId269" display="https://www.drugs.com/price-guide/sodium-bicarbonate"/>
    <hyperlink ref="Q294" r:id="rId270" display="https://www.drugs.com/price-guide/sugammadex"/>
    <hyperlink ref="Q295" r:id="rId271" display="https://www.drugs.com/price-guide/sugammadex"/>
    <hyperlink ref="Q296" r:id="rId272" display="https://www.drugs.com/price-guide/plerixafor"/>
    <hyperlink ref="Q297" r:id="rId273" display="https://dmd-browser.nhsbsa.nhs.uk/ampp/view/195045"/>
    <hyperlink ref="Q298" r:id="rId274" display="https://dmd-browser.nhsbsa.nhs.uk/ampp/view/185061"/>
    <hyperlink ref="Q299" r:id="rId275" display="https://dmd-browser.nhsbsa.nhs.uk/ampp/view/210375"/>
    <hyperlink ref="Q300" r:id="rId276" display="https://dmd-browser.nhsbsa.nhs.uk/ampp/view/190293"/>
    <hyperlink ref="Q301" r:id="rId277" display="https://dmd-browser.nhsbsa.nhs.uk/ampp/view/148217"/>
    <hyperlink ref="Q302" r:id="rId278" display="https://dmd-browser.nhsbsa.nhs.uk/ampp/view/174545"/>
    <hyperlink ref="Q303" r:id="rId279" display="https://www.nhsbsa.nhs.uk/sites/default/files/2026-08/Part%20VIIIA%20Sep%2026.xls.xlsx"/>
    <hyperlink ref="Q304" r:id="rId280" display="https://dmd-browser.nhsbsa.nhs.uk/ampp/view/194984"/>
    <hyperlink ref="Q305" r:id="rId281" display="https://dmd-browser.nhsbsa.nhs.uk/ampp/view/101360"/>
    <hyperlink ref="Q307" r:id="rId282" display="https://www.aifa.gov.it/documents/20142/3815901/Classe_H_per_principio_attivo_30-04-2026.csv"/>
    <hyperlink ref="Q308" r:id="rId283" display="https://www.medicijnkosten.nl/medicijn?artikel=BRIVIACT+INF%2FINJVLST+10MG%2FML+FLACON+5ML&amp;id=8aa63cad90cad7246d95c19b8f6d410d"/>
    <hyperlink ref="Q309" r:id="rId284" display="https://www.aifa.gov.it/documents/20142/3815901/Classe_H_per_principio_attivo_30-04-2026.csv"/>
    <hyperlink ref="Q310" r:id="rId285" display="https://www.medicijnkosten.nl/medicijn?artikel=MELFALAN+AMAROX+INJ%2FINFUSIEPOEDER+FL50MG%2BSV+10ML&amp;id=35352a89252a9fdd69fd915f3d070528"/>
    <hyperlink ref="Q311" r:id="rId286" display="https://www.aifa.gov.it/documents/20142/3815901/Classe_H_per_principio_attivo_30-04-2026.csv"/>
    <hyperlink ref="Q312" r:id="rId287" display="https://www.aifa.gov.it/documents/20142/3815901/Classe_H_per_principio_attivo_30-04-2026.csv"/>
    <hyperlink ref="Q313" r:id="rId288" display="https://www.aifa.gov.it/documents/20142/3815901/Classe_H_per_principio_attivo_30-04-2026.csv"/>
    <hyperlink ref="Q314" r:id="rId289" display="https://www.aifa.gov.it/documents/20142/3815901/Classe_H_per_principio_attivo_30-04-2026.csv"/>
    <hyperlink ref="Q315" r:id="rId290" display="https://www.aponeo.de/rx/18660518-sugammadex-amarox-100-mg-ml-injektionsloesung.html"/>
    <hyperlink ref="Q316" r:id="rId291" display="https://www.aifa.gov.it/documents/20142/3815901/Classe_H_per_principio_attivo_30-04-2026.csv"/>
    <hyperlink ref="Q319" r:id="rId292" location="search:bortiv" display="https://medicineprices.org.za/#search:bortiv"/>
    <hyperlink ref="Q320" r:id="rId293" location="search:bortiv" display="https://medicineprices.org.za/#search:bortiv"/>
    <hyperlink ref="Q321" r:id="rId294" location="search:bortiv" display="https://medicineprices.org.za/#search:bortiv"/>
    <hyperlink ref="Q322" r:id="rId295" display="https://www.health.gov.za/nhi-pee/"/>
    <hyperlink ref="Q323" r:id="rId296" location="search:sugmasol" display="https://medicineprices.org.za/#search:sugmasol"/>
    <hyperlink ref="Q324" r:id="rId297" location="search:heterix" display="https://medicineprices.org.za/#search:heterix"/>
    <hyperlink ref="Q325" r:id="rId298" display="https://www.health.gov.za/nhi-pee/"/>
    <hyperlink ref="Q328" r:id="rId299" display="https://www.drugs.com/price-guide/ondansetron"/>
    <hyperlink ref="Q329" r:id="rId300" display="https://www.cms.gov/files/zip/october-2026-medicare-part-b-payment-limit-files-final.zip"/>
    <hyperlink ref="Q330" r:id="rId301" display="https://www.drugs.com/price-guide/bivalirudin"/>
    <hyperlink ref="Q331" r:id="rId302" display="https://www.drugs.com/price-guide/ibandronate"/>
    <hyperlink ref="Q332" r:id="rId303" display="https://www.drugs.com/price-guide/fulvestrant"/>
    <hyperlink ref="Q333" r:id="rId304" display="https://www.drugs.com/price-guide/argatroban"/>
    <hyperlink ref="Q334" r:id="rId305" display="https://www.drugs.com/price-guide/atropine"/>
    <hyperlink ref="Q335" r:id="rId306" display="https://www.drugs.com/price-guide/atropine"/>
    <hyperlink ref="Q336" r:id="rId307" display="https://www.drugs.com/price-guide/atropine"/>
    <hyperlink ref="Q337" r:id="rId308" display="https://www.drugs.com/price-guide/atropine"/>
    <hyperlink ref="Q338" r:id="rId309" display="https://www.drugs.com/price-guide/atropine"/>
    <hyperlink ref="Q339" r:id="rId310" display="https://www.drugs.com/price-guide/paricalcitol"/>
    <hyperlink ref="Q340" r:id="rId311" display="https://www.drugs.com/price-guide/paricalcitol"/>
    <hyperlink ref="Q341" r:id="rId312" display="https://www.cms.gov/files/zip/october-2026-medicare-part-b-payment-limit-files-final.zip"/>
    <hyperlink ref="Q342" r:id="rId313" display="https://dmd-browser.nhsbsa.nhs.uk/ampp/view/163290"/>
    <hyperlink ref="Q343" r:id="rId314" display="https://dmd-browser.nhsbsa.nhs.uk/ampp/view/173756"/>
    <hyperlink ref="Q344" r:id="rId315" display="https://www.nhsbsa.nhs.uk/sites/default/files/2026-08/Part%20VIIIA%20Sep%2026.xls.xlsx"/>
    <hyperlink ref="Q346" r:id="rId316" display="https://dmd-browser.nhsbsa.nhs.uk/ampp/view/195045"/>
    <hyperlink ref="Q349" r:id="rId317" display="https://dmd-browser.nhsbsa.nhs.uk/amp/view/140839?ref=bmFtZT1sZXZvdGh5cm94aW5lK3NvZGl1bSZzaG93SW52YWxpZEl0ZW1zPWZhbHNlJnNvcnRPcmRlcj1hbHBoYSZwYWdlPTExOCZzaXplPTEwMA%3D%3D"/>
    <hyperlink ref="Q350" r:id="rId318" display="https://dmd-browser.nhsbsa.nhs.uk/ampp/view/161756"/>
    <hyperlink ref="Q352" r:id="rId319" display="https://dmd-browser.nhsbsa.nhs.uk/ampp/view/185061"/>
    <hyperlink ref="Q353" r:id="rId320" display="https://dmd-browser.nhsbsa.nhs.uk/ampp/view/198886"/>
    <hyperlink ref="Q354" r:id="rId321" display="https://dmd-browser.nhsbsa.nhs.uk/ampp/view/208291"/>
    <hyperlink ref="Q356" r:id="rId322" display="https://dmd-browser.nhsbsa.nhs.uk/ampp/view/194984"/>
    <hyperlink ref="Q357" r:id="rId323" display="https://dmd-browser.nhsbsa.nhs.uk/ampp/view/197033"/>
    <hyperlink ref="Q358" r:id="rId324" display="https://dmd-browser.nhsbsa.nhs.uk/ampp/view/47446"/>
    <hyperlink ref="Q359" r:id="rId325" display="https://dmd-browser.nhsbsa.nhs.uk/ampp/view/180360"/>
    <hyperlink ref="Q360" r:id="rId326" display="https://dmd-browser.nhsbsa.nhs.uk/ampp/view/133567"/>
    <hyperlink ref="Q362" r:id="rId327" display="https://dmd-browser.nhsbsa.nhs.uk/ampp/view/90576"/>
    <hyperlink ref="Q363" r:id="rId328" display="https://dmd-browser.nhsbsa.nhs.uk/ampp/view/105990"/>
    <hyperlink ref="Q364" r:id="rId329" display="https://dmd-browser.nhsbsa.nhs.uk/ampp/view/189948"/>
    <hyperlink ref="Q365" r:id="rId330" display="https://dmd-browser.nhsbsa.nhs.uk/ampp/view/90547"/>
    <hyperlink ref="Q366" r:id="rId331" display="https://dmd-browser.nhsbsa.nhs.uk/ampp/view/183004\"/>
    <hyperlink ref="Q367" r:id="rId332" display="https://dmd-browser.nhsbsa.nhs.uk/ampp/view/209804"/>
    <hyperlink ref="Q368" r:id="rId333" display="https://www.nhsbsa.nhs.uk/sites/default/files/2026-08/Part%20VIIIA%20Sep%2026.xls.xlsx"/>
    <hyperlink ref="Q369" r:id="rId334" display="https://dmd-browser.nhsbsa.nhs.uk/ampp/view/161747"/>
    <hyperlink ref="Q370" r:id="rId335" display="https://dmd-browser.nhsbsa.nhs.uk/ampp/view/197277"/>
    <hyperlink ref="Q371" r:id="rId336" display="https://dmd-browser.nhsbsa.nhs.uk/ampp/view/190887"/>
    <hyperlink ref="Q373" r:id="rId337" display="https://www.my-marien-apotheke.de/produkt/adrenalin-1-10-000-aguettant-inj-lsg-i-e-fert-s-11587497"/>
    <hyperlink ref="Q376" r:id="rId338" display="https://www.aponeo.de/rx/04262642-atracurium-hikma-25-mg-2-5-ml-ampullen.html"/>
    <hyperlink ref="Q377" r:id="rId339" display="https://www.aponeo.de/rx/17518273-atropin-accord-100-ug-ml-inj-lsg-i-e-fertigspr.html"/>
    <hyperlink ref="Q378" r:id="rId340" display="https://www.aponeo.de/rx/17518273-atropin-accord-100-ug-ml-inj-lsg-i-e-fertigspr.html"/>
    <hyperlink ref="Q379" r:id="rId341" display="https://www.aifa.gov.it/documents/20142/3815901/Classe_H_per_principio_attivo_30-04-2026.csv"/>
    <hyperlink ref="Q380" r:id="rId342" display="https://www.aifa.gov.it/documents/20142/3815901/Classe_H_per_principio_attivo_30-04-2026.csv"/>
    <hyperlink ref="Q381" r:id="rId343" display="https://www.kuchler-apotheken.de/bleomycin-accord-15.000-i.e.-p.z.h.e.inj.-inf.-l./15883146"/>
    <hyperlink ref="Q382" r:id="rId344" display="https://www.aifa.gov.it/documents/20142/3815901/Classe_H_per_principio_attivo_30-04-2026.csv"/>
    <hyperlink ref="Q383" r:id="rId345" display="https://www.aponeo.de/rx/17518209-camcevi-21-mg-3-monats-depot-inj-susp-fertigspr.html"/>
    <hyperlink ref="Q384" r:id="rId346" display="https://www.aifa.gov.it/documents/20142/3815901/Classe_H_per_principio_attivo_30-04-2026.csv"/>
    <hyperlink ref="Q385" r:id="rId347" display="https://www.aifa.gov.it/documents/20142/3815901/Classe_H_per_principio_attivo_30-04-2026.csv"/>
    <hyperlink ref="Q386" r:id="rId348" display="https://www.cms.gov/files/zip/october-2026-medicare-part-b-payment-limit-files-final.zip"/>
    <hyperlink ref="Q387" r:id="rId349" display="https://www.medicinpriser.dk/Default.aspx?VirksomtStof=Colistin"/>
    <hyperlink ref="Q388" r:id="rId350" display="https://www.aifa.gov.it/documents/20142/3815901/Classe_H_per_principio_attivo_30-04-2026.csv"/>
    <hyperlink ref="Q389" r:id="rId351" display="https://base-donnees-publique.medicaments.gouv.fr/medicament/65505947/extrait"/>
    <hyperlink ref="Q390" r:id="rId352" display="https://www.aifa.gov.it/documents/20142/3815901/Classe_H_per_principio_attivo_30-04-2026.csv"/>
    <hyperlink ref="Q391" r:id="rId353" display="https://www.aifa.gov.it/documents/20142/3815901/Classe_H_per_principio_attivo_30-04-2026.csv"/>
    <hyperlink ref="Q392" r:id="rId354" display="https://www.medicinpriser.dk/Default.aspx?VirksomtStof=Eptifibatid"/>
    <hyperlink ref="Q393" r:id="rId355" display="https://www.aifa.gov.it/documents/20142/3815901/Classe_H_per_principio_attivo_30-04-2026.csv"/>
    <hyperlink ref="Q394" r:id="rId356" display="https://www.aifa.gov.it/documents/20142/3815901/Classe_H_per_principio_attivo_30-04-2026.csv"/>
    <hyperlink ref="Q395" r:id="rId357" display="https://www.aponeo.de/rx/08630485-staphylex-injektion-500-mg-plv-z-h-e-inj-inf-l.html"/>
    <hyperlink ref="Q396" r:id="rId358" display="https://www.aifa.gov.it/documents/20142/3815901/Classe_H_per_principio_attivo_30-04-2026.csv"/>
    <hyperlink ref="Q397" r:id="rId359" display="https://www.aifa.gov.it/documents/20142/3815901/Classe_H_per_principio_attivo_30-04-2026.csv"/>
    <hyperlink ref="Q398" r:id="rId360" display="https://www.apoteket.dk/medicin/laegemidler/hydroxocobalamin-alternova"/>
    <hyperlink ref="Q399" r:id="rId361" display="https://www.aifa.gov.it/documents/20142/3815901/Classe_H_per_principio_attivo_30-04-2026.csv"/>
    <hyperlink ref="Q400" r:id="rId362" display="https://www.aifa.gov.it/documents/20142/3815901/Classe_H_per_principio_attivo_30-04-2026.csv"/>
    <hyperlink ref="Q401" r:id="rId363" display="https://www.medicijnkosten.nl/medicijn?artikel=MELFALAN+AMAROX+INJ%2FINFUSIEPOEDER+FL50MG%2BSV+10ML&amp;id=35352a89252a9fdd69fd915f3d070528"/>
    <hyperlink ref="Q402" r:id="rId364" display="https://www.aifa.gov.it/documents/20142/3815901/Classe_H_per_principio_attivo_30-04-2026.csv"/>
    <hyperlink ref="Q403" r:id="rId365" display="https://www.aifa.gov.it/documents/20142/3815901/Classe_H_per_principio_attivo_30-04-2026.csv"/>
    <hyperlink ref="Q404" r:id="rId366" display="https://www.aifa.gov.it/documents/20142/3815901/Classe_H_per_principio_attivo_30-04-2026.csv"/>
    <hyperlink ref="Q405" r:id="rId367" display="https://www.aifa.gov.it/documents/20142/3815901/Classe_H_per_principio_attivo_30-04-2026.csv"/>
    <hyperlink ref="Q406" r:id="rId368" display="https://www.aifa.gov.it/documents/20142/3815901/Classe_H_per_principio_attivo_30-04-2026.csv"/>
    <hyperlink ref="Q407" r:id="rId369" display="https://www.aifa.gov.it/documents/20142/3815901/Classe_H_per_principio_attivo_30-04-2026.csv"/>
    <hyperlink ref="Q408" r:id="rId370" display="https://openprescribing.net/dmd/ampp/23595411000001105"/>
    <hyperlink ref="Q409" r:id="rId371" display="https://www.aifa.gov.it/documents/20142/3815901/Classe_H_per_principio_attivo_30-04-2026.csv"/>
    <hyperlink ref="Q410" r:id="rId372" display="https://www.aifa.gov.it/documents/20142/3815901/Classe_H_per_principio_attivo_30-04-2026.csv"/>
    <hyperlink ref="Q411" r:id="rId373" display="https://www.aifa.gov.it/documents/20142/3815901/Classe_H_per_principio_attivo_30-04-2026.csv"/>
    <hyperlink ref="Q412" r:id="rId374" display="https://www.aifa.gov.it/documents/20142/3815901/Classe_A_per_principio_attivo_30-04-2026.csv"/>
    <hyperlink ref="Q413" r:id="rId375" display="https://www.aifa.gov.it/documents/20142/3815901/Classe_H_per_principio_attivo_30-04-2026.csv"/>
    <hyperlink ref="Q414" r:id="rId376" display="https://www.aifa.gov.it/documents/20142/3815901/Classe_H_per_principio_attivo_30-04-2026.csv"/>
    <hyperlink ref="Q415" r:id="rId377" display="https://www.ab.bluecross.ca/dbl/pdfs/ABCDPL_2026_01_07.pdf"/>
    <hyperlink ref="Q416" r:id="rId378" display="https://www.ncbi.nlm.nih.gov/books/NBK611313/table/tr8269868067037182_ch02_t09/"/>
    <hyperlink ref="Q417" r:id="rId379" display="https://www.ab.bluecross.ca/dbl/pdfs/ABCDPL_2026_04_07.pdf"/>
    <hyperlink ref="Q418" r:id="rId380" display="https://www.ncbi.nlm.nih.gov/books/NBK601789/table/tr826986112990278_ch02_t06/"/>
    <hyperlink ref="Q419" r:id="rId381" display="https://www.formulary.health.gov.on.ca/formulary/detail.xhtml?drugId=02464365"/>
    <hyperlink ref="Q420" r:id="rId382" display="https://www.ab.bluecross.ca/dbl/pdfs/ABCDPL_2026_04_07.pdf"/>
    <hyperlink ref="Q421" r:id="rId383" display="https://www.ab.bluecross.ca/dbl/pdfs/ABCDPL_2026_09_04.pdf"/>
    <hyperlink ref="Q422" r:id="rId384" display="https://www.ab.bluecross.ca/dbl/pdfs/ABCDPL_2026_09_04.pdf"/>
    <hyperlink ref="Q423" r:id="rId385" display="https://www.formulary.health.gov.on.ca/formulary/detail.xhtml?drugId=02491281"/>
    <hyperlink ref="Q424" r:id="rId386" display="https://www.formulary.health.gov.on.ca/formulary/detail.xhtml?drugId=02491303"/>
    <hyperlink ref="Q425" r:id="rId387" display="https://www.pbs.gov.au/industry/pricing/price-disclosure-spd/current-price-disclosure-cycle"/>
    <hyperlink ref="Q426" r:id="rId388" display="https://www.pbs.gov.au/industry/pricing/price-disclosure-spd/current-price-disclosure-cycle"/>
    <hyperlink ref="Q427" r:id="rId389" display="https://www.pbs.gov.au/industry/pricing/ex-manufacturer-price/2026/09/ex-manufacturer-prices-efc-2026-09-01.XLSX"/>
    <hyperlink ref="Q435" r:id="rId390" display="https://department.va.gov/procurement-acquisition-and-logistics/wp-content/uploads/sites/56/2026/10/TPharmPrices2026-10-01.xlsx"/>
    <hyperlink ref="Q436" r:id="rId391" display="https://www.cms.gov/files/zip/october-2026-medicare-part-b-payment-limit-files-final.zip"/>
    <hyperlink ref="Q442" r:id="rId392" display="https://www.chemistwarehouse.com.au/buy/90218/midazolam-5mg-ml-injection-10-midazolam"/>
    <hyperlink ref="Q446" r:id="rId393" display="https://www.nhsbsa.nhs.uk/sites/default/files/2026-09/Part%20VIIIA%20Oct%202026.xlsx"/>
    <hyperlink ref="Q447" r:id="rId394" display="https://www.nhsbsa.nhs.uk/sites/default/files/2026-09/Part%20VIIIA%20Oct%202026.xlsx"/>
    <hyperlink ref="Q448" r:id="rId395" display="https://www.nhsbsa.nhs.uk/sites/default/files/2026-09/Part%20VIIIA%20Oct%202026.xlsx"/>
    <hyperlink ref="Q449" r:id="rId396" display="https://www.nhsbsa.nhs.uk/sites/default/files/2026-09/Part%20VIIIA%20Oct%202026.xlsx"/>
    <hyperlink ref="Q451" r:id="rId397" display="https://www.pbs.gov.au/industry/pricing/ex-manufacturer-price/2026/09/ex-manufacturer-prices-efc-2026-09-01.XLSX"/>
    <hyperlink ref="Q457" r:id="rId398" display="https://www.pbs.gov.au/industry/pricing/ex-manufacturer-price/2026/09/ex-manufacturer-prices-non-efc-2026-09-01.XLSX"/>
    <hyperlink ref="Q458" r:id="rId399" display="https://www.nhsbsa.nhs.uk/sites/default/files/2026-09/Part%20VIIIA%20Oct%202026.xlsx"/>
    <hyperlink ref="Q464" r:id="rId400" display="https://www.pbs.gov.au/industry/pricing/ex-manufacturer-price/2026/09/ex-manufacturer-prices-efc-2026-09-01.XLSX"/>
    <hyperlink ref="Q465" r:id="rId401" display="https://www.pbs.gov.au/industry/pricing/ex-manufacturer-price/2026/09/ex-manufacturer-prices-efc-2026-09-01.XLSX"/>
    <hyperlink ref="Q466" r:id="rId402" display="https://www.pbs.gov.au/industry/pricing/ex-manufacturer-price/2026/09/ex-manufacturer-prices-efc-2026-09-01.XLSX"/>
    <hyperlink ref="Q467" r:id="rId403" display="https://www.pbs.gov.au/industry/pricing/ex-manufacturer-price/2026/09/ex-manufacturer-prices-efc-2026-09-01.XLSX"/>
    <hyperlink ref="Q468" r:id="rId404" display="https://www.pbs.gov.au/industry/pricing/ex-manufacturer-price/2026/09/ex-manufacturer-prices-non-efc-2026-09-01.XLSX"/>
    <hyperlink ref="Q469" r:id="rId405" display="https://www.pbs.gov.au/industry/pricing/ex-manufacturer-price/2026/09/ex-manufacturer-prices-efc-2026-09-01.XLSX"/>
    <hyperlink ref="Q470" r:id="rId406" display="https://www.health.gov.za/nhi-pee/"/>
    <hyperlink ref="Q471" r:id="rId407" location="search:phenylcord" display="https://medicineprices.org.za/#search:phenylcord"/>
    <hyperlink ref="Q472" r:id="rId408" location="search:dabucor" display="https://medicineprices.org.za/#search:dabucor"/>
    <hyperlink ref="Q473" r:id="rId409" display="https://www.health.gov.za/nhi-pee/"/>
    <hyperlink ref="Q474" r:id="rId410" display="https://www.health.gov.za/nhi-pee/"/>
    <hyperlink ref="Q475" r:id="rId411" location="search:valtib" display="https://medicineprices.org.za/#search:valtib"/>
    <hyperlink ref="Q476" r:id="rId412" display="https://www.health.gov.za/nhi-pee/"/>
    <hyperlink ref="Q477" r:id="rId413" display="https://www.health.gov.za/nhi-pee/"/>
    <hyperlink ref="Q478" r:id="rId414" display="https://www.health.gov.za/nhi-pee/"/>
    <hyperlink ref="Q479" r:id="rId415" display="https://www.health.gov.za/nhi-pee/"/>
    <hyperlink ref="Q480" r:id="rId416" display="https://www.health.gov.za/nhi-pee/"/>
    <hyperlink ref="Q481" r:id="rId417" location="search:rubexet" display="https://medicineprices.org.za/#search:rubexet"/>
    <hyperlink ref="Q482" r:id="rId418" location="search:rubexet" display="https://medicineprices.org.za/#search:rubexet"/>
    <hyperlink ref="Q483" r:id="rId419" display="https://www.health.gov.za/nhi-pee/"/>
    <hyperlink ref="Q484" r:id="rId420" display="https://www.health.gov.za/nhi-pee/"/>
    <hyperlink ref="Q485" r:id="rId421" display="https://www.cms.gov/files/zip/october-2026-medicare-part-b-payment-limit-files-final.zip"/>
    <hyperlink ref="Q486" r:id="rId422" display="https://www.cms.gov/files/zip/october-2026-medicare-part-b-payment-limit-files-final.zip"/>
    <hyperlink ref="Q487" r:id="rId423" display="https://www.drugs.com/price-guide/sugammadex"/>
    <hyperlink ref="Q488" r:id="rId424" display="https://www.drugs.com/price-guide/sugammadex"/>
    <hyperlink ref="Q489" r:id="rId425" display="https://michaelschemist.com.au/products/zyprexavl10mg1"/>
    <hyperlink ref="Q492" r:id="rId426" display="https://www.cms.gov/files/zip/october-2026-medicare-part-b-payment-limit-files-final.zip"/>
    <hyperlink ref="Q493" r:id="rId427" display="https://www.cms.gov/files/zip/october-2026-medicare-part-b-payment-limit-files-final.zip"/>
    <hyperlink ref="Q494" r:id="rId428" display="https://www.pbs.gov.au/industry/pricing/ex-manufacturer-price/2026/10/ex-manufacturer-prices-non-efc-2026-10-01.XLSX"/>
    <hyperlink ref="Q495" r:id="rId429" display="https://michaelschemist.com.au/products/teicoplaninpwdrforinj400mg1"/>
    <hyperlink ref="Q496" r:id="rId430" display="https://www.cms.gov/files/zip/october-2026-medicare-part-b-payment-limit-files-final.zip"/>
    <hyperlink ref="Q497" r:id="rId431" display="https://www.cms.gov/files/zip/october-2026-medicare-part-b-payment-limit-files-final.zip"/>
    <hyperlink ref="Q498" r:id="rId432" display="https://department.va.gov/procurement-acquisition-and-logistics/wp-content/uploads/sites/56/2026/10/TPharmPrices2026-10-01.xlsx"/>
    <hyperlink ref="Q499" r:id="rId433" display="https://michaelschemist.com.au/products/meropenemran500mginj5"/>
    <hyperlink ref="Q500" r:id="rId434" display="https://www.medshop.com.au/products/meropenem-ranbaxy-1g-vial-5-meropenem-1000mg-vial"/>
    <hyperlink ref="Q501" r:id="rId435" display="https://www.cms.gov/files/zip/october-2026-medicare-part-b-payment-limit-files-final.zip"/>
    <hyperlink ref="Q502" r:id="rId436" display="https://www.cms.gov/files/zip/october-2026-medicare-part-b-payment-limit-files-final.zip"/>
    <hyperlink ref="Q503" r:id="rId437" display="https://www.healthylife.com.au/products/oxytocin-generic-10iu1ml-x-5-ampoules"/>
    <hyperlink ref="Q504" r:id="rId438" display="https://www.cms.gov/files/zip/october-2026-medicare-part-b-payment-limit-files-final.zip"/>
    <hyperlink ref="Q505" r:id="rId439" display="https://michaelschemist.com.au/products/rapifenalfentanil1mg2f2mlampx5"/>
    <hyperlink ref="Q506" r:id="rId440" display="https://department.va.gov/procurement-acquisition-and-logistics/wp-content/uploads/sites/56/2026/10/TPharmPrices2026-10-01.xlsx"/>
    <hyperlink ref="Q507" r:id="rId441" location="search:cistrax" display="https://medicineprices.org.za/#search:cistrax"/>
    <hyperlink ref="Q508" r:id="rId442" display="https://www.health.gov.za/nhi-pee/"/>
    <hyperlink ref="Q509" r:id="rId443" display="https://www.health.gov.za/nhi-pee/"/>
    <hyperlink ref="Q510" r:id="rId444" location="search:altirem" display="https://medicineprices.org.za/#search:altirem"/>
    <hyperlink ref="Q511" r:id="rId445" location="search:altirem" display="https://medicineprices.org.za/#search:altirem"/>
    <hyperlink ref="Q512" r:id="rId446" location="search:meroject" display="https://medicineprices.org.za/#search:meroject"/>
    <hyperlink ref="Q513" r:id="rId447" location="search:meroject" display="https://medicineprices.org.za/#search:meroject"/>
    <hyperlink ref="Q514" r:id="rId448" display="https://www.health.gov.za/nhi-pee/"/>
    <hyperlink ref="Q515" r:id="rId449" display="https://www.health.gov.za/nhi-pee/"/>
    <hyperlink ref="Q516" r:id="rId450" display="https://www.health.gov.za/nhi-pee/"/>
    <hyperlink ref="Q517" r:id="rId451" display="https://www.drugs.com/price-guide/carboprost"/>
    <hyperlink ref="Q518" r:id="rId452" display="https://www.mountainside-medical.com/products/diphenhydramine-injection-50-mg-ml-single-dose-vials-1-ml-x-25-pack"/>
    <hyperlink ref="Q519" r:id="rId453" display="https://www.drugs.com/price-guide/isoproterenol"/>
    <hyperlink ref="Q520" r:id="rId454" display="https://www.drugs.com/price-guide/lincomycin"/>
    <hyperlink ref="Q521" r:id="rId455" display="https://department.va.gov/procurement-acquisition-and-logistics/wp-content/uploads/sites/56/2026/10/TPharmPrices2026-10-01.xlsx"/>
    <hyperlink ref="Q522" r:id="rId456" display="https://www.drugs.com/price-guide/brivaracetam"/>
    <hyperlink ref="Q523" r:id="rId457" display="https://www.drugs.com/price-guide/verapamil"/>
    <hyperlink ref="Q524" r:id="rId458" display="https://www.drugs.com/price-guide/verapamil"/>
    <hyperlink ref="Q525" r:id="rId459" display="https://www.medicinpriser.dk/Default.aspx?VirksomtStof=Caffein&amp;lng=2"/>
    <hyperlink ref="Q526" r:id="rId460" display="https://www.medicinpriser.dk/Default.aspx?VirksomtStof=Caffein&amp;lng=2"/>
    <hyperlink ref="Q527" r:id="rId461" display="https://michaelschemist.com.au/products/valoidinj50mg2f1ml5"/>
    <hyperlink ref="Q528" r:id="rId462" display="https://www.medshop.com.au/products/levetiracetam-500mg5ml-vial-10-levetiracetam-500mg5ml-vial"/>
    <hyperlink ref="Q531" r:id="rId463" display="https://www.drugs.com/price-guide/chlorpromazine"/>
    <hyperlink ref="Q532" r:id="rId464" display="https://www.drugs.com/price-guide/fluphenazine"/>
    <hyperlink ref="Q533" r:id="rId465" display="https://www.drugs.com/price-guide/bortezomib"/>
    <hyperlink ref="Q534" r:id="rId466" display="https://www.drugs.com/price-guide/brivaracetam"/>
    <hyperlink ref="Q535" r:id="rId467" display="https://www.drugs.com/price-guide/sugammadex"/>
    <hyperlink ref="Q536" r:id="rId468" display="https://www.drugs.com/price-guide/sugammadex"/>
    <hyperlink ref="Q537" r:id="rId469" display="https://www.drugs.com/price-guide/plerixafor"/>
    <hyperlink ref="Q538" r:id="rId470" display="https://dmd-browser.nhsbsa.nhs.uk/ampp/view/208635"/>
    <hyperlink ref="Q539" r:id="rId471" display="https://dmd-browser.nhsbsa.nhs.uk/ampp/view/203257"/>
    <hyperlink ref="Q540" r:id="rId472" display="https://dmd-browser.nhsbsa.nhs.uk/ampp/view/204692"/>
    <hyperlink ref="Q541" r:id="rId473" display="https://zoek.officielebekendmakingen.nl/stcrt-2026-7257.html"/>
    <hyperlink ref="Q545" r:id="rId474" display="https://www.pbs.gov.au/industry/pricing/ex-manufacturer-price/2026/09/ex-manufacturer-prices-efc-2026-09-01.XLSX"/>
    <hyperlink ref="Q546" r:id="rId475" display="https://www.drugs.com/price-guide/bupivacaine"/>
    <hyperlink ref="Q547" r:id="rId476" display="https://www.drugs.com/price-guide/bupivacaine"/>
    <hyperlink ref="Q548" r:id="rId477" display="https://www.drugs.com/price-guide/carboprost"/>
    <hyperlink ref="Q549" r:id="rId478" display="https://department.va.gov/procurement-acquisition-and-logistics/wp-content/uploads/sites/56/2026/10/TPharmPrices2026-10-01.xlsx"/>
    <hyperlink ref="Q550" r:id="rId479" display="https://www.drugs.com/price-guide/nafcillin"/>
    <hyperlink ref="Q551" r:id="rId480" display="https://www.drugs.com/price-guide/nafcillin"/>
    <hyperlink ref="Q552" r:id="rId481" display="https://www.aponeo.de/rx/19949801-meropenem-hexal-500-mg-plv-z-her-e-inj-o-inf-lsg.html"/>
    <hyperlink ref="Q553" r:id="rId482" display="https://www.aifa.gov.it/documents/20142/3815901/Classe_H_per_principio_attivo_30-04-2026.csv"/>
    <hyperlink ref="Q554" r:id="rId483" display="https://www.aponeo.de/rx/19949801-meropenem-hexal-500-mg-plv-z-her-e-inj-o-inf-lsg.html"/>
    <hyperlink ref="Q555" r:id="rId484" display="https://www.drugs.com/price-guide/cisatracurium"/>
    <hyperlink ref="Q556" r:id="rId485" display="https://www.drugs.com/price-guide/cisatracurium"/>
    <hyperlink ref="Q557" r:id="rId486" display="https://department.va.gov/procurement-acquisition-and-logistics/wp-content/uploads/sites/56/2026/10/TPharmPrices2026-10-01.xlsx"/>
    <hyperlink ref="Q558" r:id="rId487" display="https://dmd-browser.nhsbsa.nhs.uk/ampp/view/195045"/>
    <hyperlink ref="Q559" r:id="rId488" location="search:rapifen" display="https://medicineprices.org.za/#search:rapifen"/>
    <hyperlink ref="Q561" r:id="rId489" display="https://mediately.co/it/drugs/3ytjMRFtaIbVwcIRVFvxl1oiBXA/alfentanil-piramal-5-fiale-ev-10-ml-0-5-mg-ml"/>
    <hyperlink ref="Q562" r:id="rId490" display="https://www.shop-apotheke.com/arzneimittel/1854738/hypnomidate-2-mg-ml.htm"/>
    <hyperlink ref="Q563" r:id="rId491" display="https://department.va.gov/procurement-acquisition-and-logistics/wp-content/uploads/sites/56/2026/10/TPharmPrices2026-10-01.xlsx"/>
    <hyperlink ref="Q564" r:id="rId492" display="https://www.aifa.gov.it/documents/20142/3815901/Classe_H_per_principio_attivo_30-04-2026.csv"/>
    <hyperlink ref="Q565" r:id="rId493" display="https://michaelschemist.com.au/products/rapifenalfentanil1mg2f2mlampx5"/>
    <hyperlink ref="Q566" r:id="rId494" display="https://www.health.gov.za/nhi-pee/"/>
    <hyperlink ref="Q567" r:id="rId495" location="search:rapifen" display="https://medicineprices.org.za/#search:rapifen"/>
    <hyperlink ref="Q568" r:id="rId496" location="search:sublimaze" display="https://medicineprices.org.za/#search:sublimaze"/>
    <hyperlink ref="Q569" r:id="rId497" location="search:sublimaze" display="https://medicineprices.org.za/#search:sublimaze"/>
    <hyperlink ref="Q570" r:id="rId498" display="https://dmd-browser.nhsbsa.nhs.uk/ampp/view/175452"/>
    <hyperlink ref="Q571" r:id="rId499" display="https://www.aifa.gov.it/documents/20142/3815901/Classe_H_per_principio_attivo_30-04-2026.csv"/>
    <hyperlink ref="Q572" r:id="rId500" display="https://www.aifa.gov.it/documents/20142/3815901/Classe_H_per_principio_attivo_30-04-2026.csv"/>
    <hyperlink ref="Q573" r:id="rId501" display="https://www.healthylife.com.au/products/ceftazidime-1g-x-1-vial"/>
    <hyperlink ref="Q574" r:id="rId502" display="https://www.healthylife.com.au/products/ceftazidime-1g-x-1-vial"/>
    <hyperlink ref="Q575" r:id="rId503" display="https://michaelschemist.com.au/products/cefepimepwdrforinj1gvial1"/>
    <hyperlink ref="Q576" r:id="rId504" display="https://michaelschemist.com.au/collections/prescriptions/products/cefepimepwdrforinj2gvial1"/>
    <hyperlink ref="Q577" r:id="rId505" display="https://michaelschemist.com.au/products/piperacillinsodium4gtazobactamsodium05gvial"/>
    <hyperlink ref="Q578" r:id="rId506" display="https://michaelschemist.com.au/products/piperacillinsodium4gtazobactamsodium05gvial"/>
    <hyperlink ref="Q579" r:id="rId507" location="search:cortaject" display="https://medicineprices.org.za/#search:cortaject"/>
    <hyperlink ref="Q580" r:id="rId508" display="https://www.drugs.com/price-guide/chlorothiazide"/>
    <hyperlink ref="Q581" r:id="rId509" display="https://www.drugs.com/price-guide/doxorubicin"/>
    <hyperlink ref="Q582" r:id="rId510" display="https://www.drugs.com/price-guide/sugammadex"/>
    <hyperlink ref="Q583" r:id="rId511" display="https://www.drugs.com/price-guide/sugammadex"/>
    <hyperlink ref="Q584" r:id="rId512" display="https://dmd-browser.nhsbsa.nhs.uk/ampp/view/195579"/>
    <hyperlink ref="Q586" r:id="rId513" display="https://www.nhsbsa.nhs.uk/sites/default/files/2022-06/Drug%20Tariff%20Part%20VIIIA%20July%202022.pdf"/>
    <hyperlink ref="Q587" r:id="rId514" display="https://dmd-browser.nhsbsa.nhs.uk/ampp/view/193706"/>
    <hyperlink ref="Q588" r:id="rId515" display="https://dmd-browser.nhsbsa.nhs.uk/ampp/view/211689"/>
    <hyperlink ref="Q589" r:id="rId516" display="https://www.nhsbsa.nhs.uk/sites/default/files/2026-08/Part%20VIIIA%20Sep%2026.xls.xlsx"/>
    <hyperlink ref="Q590" r:id="rId517" display="https://dmd-browser.nhsbsa.nhs.uk/ampp/view/212956"/>
    <hyperlink ref="Q591" r:id="rId518" display="https://dmd-browser.nhsbsa.nhs.uk/ampp/view/198278"/>
    <hyperlink ref="Q592" r:id="rId519" display="https://dmd-browser.nhsbsa.nhs.uk/ampp/view/96481"/>
    <hyperlink ref="Q593" r:id="rId520" display="https://dmd-browser.nhsbsa.nhs.uk/ampp/view/175452"/>
    <hyperlink ref="Q594" r:id="rId521" display="https://www.aifa.gov.it/documents/20142/3815901/Classe_H_per_principio_attivo_30-04-2026.csv"/>
    <hyperlink ref="Q595" r:id="rId522" display="https://www.aifa.gov.it/documents/20142/3815901/Classe_H_per_principio_attivo_30-04-2026.csv"/>
    <hyperlink ref="Q596" r:id="rId523" display="https://www.aifa.gov.it/documents/20142/3815901/Classe_H_per_principio_attivo_30-04-2026.csv"/>
    <hyperlink ref="Q597" r:id="rId524" display="https://www.aifa.gov.it/documents/20142/3815901/Classe_H_per_principio_attivo_30-04-2026.csv"/>
    <hyperlink ref="Q598" r:id="rId525" display="https://www.aifa.gov.it/documents/20142/3815901/Classe_H_per_principio_attivo_30-04-2026.csv"/>
    <hyperlink ref="Q599" r:id="rId526" display="https://www.aifa.gov.it/documents/20142/3815901/Classe_H_per_principio_attivo_30-04-2026.csv"/>
    <hyperlink ref="Q600" r:id="rId527" display="https://www.aifa.gov.it/documents/20142/3815901/Classe_H_per_principio_attivo_30-04-2026.csv"/>
    <hyperlink ref="Q601" r:id="rId528" display="https://www.aponeo.de/rx/10735547-paricalcitol-hexal-2-mikrogramm-ml-injektionslsg.html"/>
    <hyperlink ref="Q602" r:id="rId529" display="https://www.aifa.gov.it/documents/20142/3815901/Classe_H_per_principio_attivo_30-04-2026.csv"/>
    <hyperlink ref="Q603" r:id="rId530" display="https://www.aifa.gov.it/documents/20142/3815901/Classe_H_per_principio_attivo_30-04-2026.csv"/>
    <hyperlink ref="Q604" r:id="rId531" display="https://base-donnees-publique.medicaments.gouv.fr/medicament/61614600/extrait"/>
    <hyperlink ref="Q605" r:id="rId532" display="https://www.aliva.de/p/vecuronium-inresa-10-mg-pulver-z-herst-e-inj-lsg-10-pulver-zur-herstellung-einer-injektionsloesung-03379371"/>
    <hyperlink ref="Q606" r:id="rId533" display="https://idbl.ab.bluecross.ca/idbl/drugsList?ptc=08120708"/>
    <hyperlink ref="Q607" r:id="rId534" display="https://idbl.ab.bluecross.ca/idbl/drugsList?ptc=08120708"/>
    <hyperlink ref="Q608" r:id="rId535" display="https://www.ab.bluecross.ca/dbl/pdfs/ABCDPL_2026_09_04.pdf"/>
    <hyperlink ref="Q609" r:id="rId536" display="https://www.formulary.health.gov.on.ca/formulary/detail.xhtml?drugId=02496003"/>
    <hyperlink ref="Q610" r:id="rId537" display="https://www.ab.bluecross.ca/dbl/pdfs/ABCDPL_2026_09_04.pdf"/>
    <hyperlink ref="Q611" r:id="rId538" display="https://www.pbs.gov.au/industry/pricing/ex-manufacturer-price/2026/09/ex-manufacturer-prices-non-efc-2026-09-01.XLSX"/>
    <hyperlink ref="Q612" r:id="rId539" display="https://www.pbs.gov.au/industry/pricing/ex-manufacturer-price/2026/09/ex-manufacturer-prices-non-efc-2026-09-01.XLSX"/>
    <hyperlink ref="Q613" r:id="rId540" display="https://www.pbs.gov.au/industry/pricing/ex-manufacturer-price/2026/09/ex-manufacturer-prices-non-efc-2026-09-01.XLSX"/>
    <hyperlink ref="Q614" r:id="rId541" display="https://www.pbs.gov.au/industry/pricing/ex-manufacturer-price/2026/09/ex-manufacturer-prices-non-efc-2026-09-01.XLSX"/>
    <hyperlink ref="Q617" r:id="rId542" display="https://www.medshop.com.au/products/meropenem-ranbaxy-1g-vial-5-meropenem-1000mg-vial"/>
    <hyperlink ref="Q618" r:id="rId543" display="https://michaelschemist.com.au/products/meropenemran500mginj5"/>
    <hyperlink ref="Q619" r:id="rId544" location="search:sumabid" display="https://medicineprices.org.za/#search:sumabid"/>
    <hyperlink ref="Q620" r:id="rId545" location="search:botigen" display="https://medicineprices.org.za/#search:botigen"/>
    <hyperlink ref="Q621" r:id="rId546" display="https://www.health.gov.za/nhi-pee/"/>
    <hyperlink ref="Q622" r:id="rId547" display="https://www.health.gov.za/nhi-pee/"/>
    <hyperlink ref="Q623" r:id="rId548" location="search:mercide" display="https://medicineprices.org.za/#search:mercide"/>
    <hyperlink ref="Q624" r:id="rId549" display="https://dmd-browser.nhsbsa.nhs.uk/ampp/view/168374"/>
    <hyperlink ref="Q625" r:id="rId550" display="https://www.aifa.gov.it/documents/20142/3815901/Classe_H_per_principio_attivo_30-04-2026.csv"/>
    <hyperlink ref="Q626" r:id="rId551" display="https://www.aifa.gov.it/documents/20142/3815901/Classe_H_per_principio_attivo_30-04-2026.csv"/>
    <hyperlink ref="Q627" r:id="rId552" display="https://www.mycare.de/online-kaufen/levetiracetam-till100mgml-infusionsloesungs--konzentrat-15576734"/>
    <hyperlink ref="Q628" r:id="rId553" display="https://www.aifa.gov.it/documents/20142/3815901/Classe_H_per_principio_attivo_30-04-2026.csv"/>
    <hyperlink ref="Q629" r:id="rId554" display="https://www.sanidad.gob.es/profesionales/nomenclator.do?metodo=buscarProductos&amp;especialidad=XEPLION%25"/>
    <hyperlink ref="Q630" r:id="rId555" display="https://www.cms.gov/files/zip/october-2026-medicare-part-b-payment-limit-files-final.zip"/>
    <hyperlink ref="Q631" r:id="rId556" display="https://www.health.gov.za/nhi-pee/"/>
    <hyperlink ref="Q632" r:id="rId557" display="https://dmd-browser.nhsbsa.nhs.uk/ampp/view/175452"/>
    <hyperlink ref="Q633" r:id="rId558" display="https://dmd-browser.nhsbsa.nhs.uk/ampp/view/190496"/>
    <hyperlink ref="Q634" r:id="rId559" display="https://dmd-browser.nhsbsa.nhs.uk/ampp/view/170191"/>
    <hyperlink ref="Q635" r:id="rId560" display="https://dmd-browser.nhsbsa.nhs.uk/ampp/view/208581"/>
    <hyperlink ref="Q636" r:id="rId561" display="https://www.aifa.gov.it/documents/20142/3815901/Classe_H_per_principio_attivo_30-04-2026.csv"/>
    <hyperlink ref="Q637" r:id="rId562" display="https://www.aifa.gov.it/documents/20142/3815901/Classe_H_per_principio_attivo_30-04-2026.csv"/>
    <hyperlink ref="Q638" r:id="rId563" display="https://www.drugs.com/price-guide/oxacillin"/>
    <hyperlink ref="Q640" r:id="rId564" display="https://www.drugs.com/price-guide/ceftriaxone"/>
    <hyperlink ref="Q641" r:id="rId565" display="https://www.drugs.com/price-guide/ceftriaxone"/>
    <hyperlink ref="Q642" r:id="rId566" display="https://dmd-browser.nhsbsa.nhs.uk/ampp/view/197707"/>
    <hyperlink ref="Q643" r:id="rId567" display="https://dmd-browser.nhsbsa.nhs.uk/ampp/view/197725"/>
    <hyperlink ref="Q644" r:id="rId568" display="https://dmd-browser.nhsbsa.nhs.uk/ampp/view/102025"/>
    <hyperlink ref="Q645" r:id="rId569" display="https://dmd-browser.nhsbsa.nhs.uk/ampp/view/87654"/>
    <hyperlink ref="Q646" r:id="rId570" display="https://dmd-browser.nhsbsa.nhs.uk/ampp/view/64125"/>
    <hyperlink ref="Q647" r:id="rId571" display="https://www.nhsbsa.nhs.uk/sites/default/files/2026-08/Part%20VIIIA%20Sep%2026.xls.xlsx"/>
    <hyperlink ref="Q648" r:id="rId572" display="https://dmd-browser.nhsbsa.nhs.uk/ampp/view/162030"/>
    <hyperlink ref="Q649" r:id="rId573" display="https://www.nhsbsa.nhs.uk/sites/default/files/2026-08/Part%20VIIIA%20Sep%2026.xls.xlsx"/>
    <hyperlink ref="Q650" r:id="rId574" display="https://dmd-browser.nhsbsa.nhs.uk/ampp/view/210923"/>
    <hyperlink ref="Q651" r:id="rId575" display="https://www.nhsbsa.nhs.uk/sites/default/files/2026-08/Part%20VIIIA%20Sep%2026.xls.xlsx"/>
    <hyperlink ref="Q652" r:id="rId576" display="https://dmd-browser.nhsbsa.nhs.uk/ampp/view/110861"/>
    <hyperlink ref="Q653" r:id="rId577" display="https://dmd-browser.nhsbsa.nhs.uk/ampp/view/110863"/>
    <hyperlink ref="Q654" r:id="rId578" display="https://dmd-browser.nhsbsa.nhs.uk/ampp/view/59566"/>
    <hyperlink ref="Q655" r:id="rId579" display="https://dmd-browser.nhsbsa.nhs.uk/ampp/view/87667"/>
    <hyperlink ref="Q656" r:id="rId580" display="https://www.aponeo.de/rx/17923772-adenosin-baxter-6-mg-2-ml-injektionsloesung.html"/>
    <hyperlink ref="Q658" r:id="rId581" display="https://www.aifa.gov.it/documents/20142/3815901/Classe_H_per_principio_attivo_30-04-2026.csv"/>
    <hyperlink ref="Q659" r:id="rId582" display="https://www.aifa.gov.it/documents/20142/3815901/Classe_H_per_principio_attivo_30-04-2026.csv"/>
    <hyperlink ref="Q660" r:id="rId583" display="https://www.medicijnkosten.nl/medicijn?artikel=HYALURONIDASE+INJ%2FINFUSIEPOEDER+AMPUL+1500IE&amp;id=b89726bfa881dc7b75ae7c2517d4b5b7"/>
    <hyperlink ref="Q661" r:id="rId584" display="https://mediately.co/gr/drugs/YCsx3j2n2qawnnaJDmFwug8Ahhz/metaraminol-so-inj-inf-10mg-ml"/>
    <hyperlink ref="Q662" r:id="rId585" display="https://mediately.co/de/drugs/2JLSD2rNCbtip2an1uWLKQBCmLc/milrinon-carinopharm-1-mg-ml-injektions-infusionslosung"/>
    <hyperlink ref="Q663" r:id="rId586" display="https://www.aifa.gov.it/documents/20142/3815901/Classe_H_per_principio_attivo_30-04-2026.csv"/>
    <hyperlink ref="Q664" r:id="rId587" display="https://www.medicinpriser.dk/Default.aspx?VirksomtStof=Protamin"/>
    <hyperlink ref="Q665" r:id="rId588" display="https://www.medicinpriser.dk/Default.aspx?VirksomtStof=Remifentanil"/>
    <hyperlink ref="Q666" r:id="rId589" display="https://www.aifa.gov.it/documents/20142/3815901/Classe_H_per_principio_attivo_30-04-2026.csv"/>
    <hyperlink ref="Q667" r:id="rId590" display="https://www.aifa.gov.it/documents/20142/3815901/Classe_H_per_principio_attivo_30-04-2026.csv"/>
    <hyperlink ref="Q668" r:id="rId591" display="https://www.aifa.gov.it/documents/20142/3815901/Classe_H_per_principio_attivo_30-04-2026.csv"/>
    <hyperlink ref="Q673" r:id="rId592" display="https://www.cms.gov/files/zip/october-2026-medicare-part-b-payment-limit-files-final.zip"/>
    <hyperlink ref="Q674" r:id="rId593" display="https://www.medshop.com.au/products/sodium-valproate-juno-400mg-4ml"/>
    <hyperlink ref="Q676" r:id="rId594" display="https://www.drugs.com/price-guide/acetazolamide"/>
    <hyperlink ref="Q677" r:id="rId595" display="https://www.drugs.com/price-guide/chlorpromazine"/>
    <hyperlink ref="Q678" r:id="rId596" display="https://www.drugs.com/price-guide/cisatracurium"/>
    <hyperlink ref="Q679" r:id="rId597" display="https://www.drugs.com/price-guide/cisatracurium"/>
    <hyperlink ref="Q680" r:id="rId598" display="https://www.drugs.com/price-guide/cyanocobalamin"/>
    <hyperlink ref="Q681" r:id="rId599" display="https://www.drugs.com/price-guide/sodium-edecrin"/>
    <hyperlink ref="Q682" r:id="rId600" display="https://department.va.gov/procurement-acquisition-and-logistics/wp-content/uploads/sites/56/2026/10/TPharmPrices2026-10-01.xlsx"/>
    <hyperlink ref="Q683" r:id="rId601" display="https://www.drugs.com/price-guide/haloperidol"/>
    <hyperlink ref="Q684" r:id="rId602" display="https://www.drugs.com/price-guide/haloperidol"/>
    <hyperlink ref="Q685" r:id="rId603" display="https://www.cms.gov/files/zip/october-2026-medicare-part-b-payment-limit-files-final.zip"/>
    <hyperlink ref="Q686" r:id="rId604" display="https://www.drugs.com/price-guide/indocyanine-green"/>
    <hyperlink ref="Q687" r:id="rId605" display="https://department.va.gov/procurement-acquisition-and-logistics/wp-content/uploads/sites/56/2026/10/TPharmPrices2026-10-01.xlsx"/>
    <hyperlink ref="Q688" r:id="rId606" display="https://department.va.gov/procurement-acquisition-and-logistics/wp-content/uploads/sites/56/2026/10/TPharmPrices2026-10-01.xlsx"/>
    <hyperlink ref="Q689" r:id="rId607" display="https://www.drugs.com/price-guide/fluorescein"/>
    <hyperlink ref="Q691" r:id="rId608" display="https://www.drugs.com/price-guide/bortezomib"/>
    <hyperlink ref="Q692" r:id="rId609" display="https://www.drugs.com/price-guide/fulvestrant"/>
    <hyperlink ref="Q693" r:id="rId610" display="https://www.drugs.com/price-guide/sugammadex"/>
    <hyperlink ref="Q694" r:id="rId611" display="https://www.drugs.com/price-guide/sugammadex"/>
    <hyperlink ref="Q695" r:id="rId612" display="https://dmd-browser.nhsbsa.nhs.uk/ampp/view/187562"/>
    <hyperlink ref="Q696" r:id="rId613" display="https://www.aifa.gov.it/documents/20142/3815901/Classe_H_per_principio_attivo_30-04-2026.csv"/>
    <hyperlink ref="Q697" r:id="rId614" display="https://base-donnees-publique.medicaments.gouv.fr/medicament/66127233/extrait"/>
    <hyperlink ref="Q698" r:id="rId615" display="https://www.health.gov.za/nhi-pee/"/>
    <hyperlink ref="Q699" r:id="rId616" display="https://www.health.gov.za/nhi-pee/"/>
    <hyperlink ref="Q700" r:id="rId617" display="https://www.health.gov.za/nhi-pe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1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AA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2"/>
    <col collapsed="false" customWidth="true" hidden="false" outlineLevel="0" max="24" min="4" style="0" width="7"/>
    <col collapsed="false" customWidth="true" hidden="false" outlineLevel="0" max="25" min="25" style="0" width="9"/>
    <col collapsed="false" customWidth="true" hidden="false" outlineLevel="0" max="26" min="26" style="0" width="10"/>
    <col collapsed="false" customWidth="true" hidden="false" outlineLevel="0" max="27" min="27" style="0" width="12"/>
  </cols>
  <sheetData>
    <row r="1" customFormat="false" ht="17.35" hidden="false" customHeight="false" outlineLevel="0" collapsed="false">
      <c r="A1" s="1" t="s">
        <v>2147</v>
      </c>
    </row>
    <row r="2" customFormat="false" ht="15" hidden="false" customHeight="false" outlineLevel="0" collapsed="false">
      <c r="A2" s="2" t="s">
        <v>2148</v>
      </c>
    </row>
    <row r="3" customFormat="false" ht="15" hidden="false" customHeight="false" outlineLevel="0" collapsed="false">
      <c r="A3" s="27" t="s">
        <v>2149</v>
      </c>
      <c r="C3" s="36" t="n">
        <v>3</v>
      </c>
    </row>
    <row r="5" customFormat="false" ht="15" hidden="false" customHeight="false" outlineLevel="0" collapsed="false">
      <c r="A5" s="3" t="s">
        <v>2150</v>
      </c>
    </row>
    <row r="6" customFormat="false" ht="30" hidden="false" customHeight="true" outlineLevel="0" collapsed="false">
      <c r="A6" s="37" t="s">
        <v>2151</v>
      </c>
      <c r="B6" s="10" t="s">
        <v>2152</v>
      </c>
      <c r="C6" s="10"/>
      <c r="D6" s="10"/>
      <c r="E6" s="10"/>
      <c r="F6" s="10"/>
      <c r="G6" s="10"/>
      <c r="H6" s="10"/>
      <c r="I6" s="10"/>
      <c r="J6" s="10"/>
      <c r="K6" s="10"/>
      <c r="L6" s="10"/>
      <c r="M6" s="10"/>
      <c r="N6" s="10"/>
      <c r="O6" s="10"/>
      <c r="P6" s="10"/>
      <c r="Q6" s="10"/>
      <c r="R6" s="10"/>
      <c r="S6" s="10"/>
      <c r="T6" s="10"/>
      <c r="U6" s="10"/>
      <c r="V6" s="10"/>
      <c r="W6" s="10"/>
      <c r="X6" s="10"/>
      <c r="Y6" s="10"/>
      <c r="Z6" s="10"/>
      <c r="AA6" s="10"/>
    </row>
    <row r="7" customFormat="false" ht="30" hidden="false" customHeight="true" outlineLevel="0" collapsed="false">
      <c r="A7" s="37" t="s">
        <v>2153</v>
      </c>
      <c r="B7" s="10" t="s">
        <v>2154</v>
      </c>
      <c r="C7" s="10"/>
      <c r="D7" s="10"/>
      <c r="E7" s="10"/>
      <c r="F7" s="10"/>
      <c r="G7" s="10"/>
      <c r="H7" s="10"/>
      <c r="I7" s="10"/>
      <c r="J7" s="10"/>
      <c r="K7" s="10"/>
      <c r="L7" s="10"/>
      <c r="M7" s="10"/>
      <c r="N7" s="10"/>
      <c r="O7" s="10"/>
      <c r="P7" s="10"/>
      <c r="Q7" s="10"/>
      <c r="R7" s="10"/>
      <c r="S7" s="10"/>
      <c r="T7" s="10"/>
      <c r="U7" s="10"/>
      <c r="V7" s="10"/>
      <c r="W7" s="10"/>
      <c r="X7" s="10"/>
      <c r="Y7" s="10"/>
      <c r="Z7" s="10"/>
      <c r="AA7" s="10"/>
    </row>
    <row r="8" customFormat="false" ht="15.75" hidden="false" customHeight="true" outlineLevel="0" collapsed="false">
      <c r="A8" s="37" t="s">
        <v>2155</v>
      </c>
      <c r="B8" s="10" t="s">
        <v>2156</v>
      </c>
      <c r="C8" s="10"/>
      <c r="D8" s="10"/>
      <c r="E8" s="10"/>
      <c r="F8" s="10"/>
      <c r="G8" s="10"/>
      <c r="H8" s="10"/>
      <c r="I8" s="10"/>
      <c r="J8" s="10"/>
      <c r="K8" s="10"/>
      <c r="L8" s="10"/>
      <c r="M8" s="10"/>
      <c r="N8" s="10"/>
      <c r="O8" s="10"/>
      <c r="P8" s="10"/>
      <c r="Q8" s="10"/>
      <c r="R8" s="10"/>
      <c r="S8" s="10"/>
      <c r="T8" s="10"/>
      <c r="U8" s="10"/>
      <c r="V8" s="10"/>
      <c r="W8" s="10"/>
      <c r="X8" s="10"/>
      <c r="Y8" s="10"/>
      <c r="Z8" s="10"/>
      <c r="AA8" s="10"/>
    </row>
    <row r="9" customFormat="false" ht="15.75" hidden="false" customHeight="true" outlineLevel="0" collapsed="false">
      <c r="A9" s="37" t="s">
        <v>2157</v>
      </c>
      <c r="B9" s="10" t="s">
        <v>2158</v>
      </c>
      <c r="C9" s="10"/>
      <c r="D9" s="10"/>
      <c r="E9" s="10"/>
      <c r="F9" s="10"/>
      <c r="G9" s="10"/>
      <c r="H9" s="10"/>
      <c r="I9" s="10"/>
      <c r="J9" s="10"/>
      <c r="K9" s="10"/>
      <c r="L9" s="10"/>
      <c r="M9" s="10"/>
      <c r="N9" s="10"/>
      <c r="O9" s="10"/>
      <c r="P9" s="10"/>
      <c r="Q9" s="10"/>
      <c r="R9" s="10"/>
      <c r="S9" s="10"/>
      <c r="T9" s="10"/>
      <c r="U9" s="10"/>
      <c r="V9" s="10"/>
      <c r="W9" s="10"/>
      <c r="X9" s="10"/>
      <c r="Y9" s="10"/>
      <c r="Z9" s="10"/>
      <c r="AA9" s="10"/>
    </row>
    <row r="10" customFormat="false" ht="15.75" hidden="false" customHeight="true" outlineLevel="0" collapsed="false">
      <c r="A10" s="37" t="s">
        <v>2159</v>
      </c>
      <c r="B10" s="10" t="s">
        <v>2160</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customFormat="false" ht="30" hidden="false" customHeight="true" outlineLevel="0" collapsed="false">
      <c r="A11" s="37" t="s">
        <v>2161</v>
      </c>
      <c r="B11" s="10" t="s">
        <v>2162</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customFormat="false" ht="30" hidden="false" customHeight="true" outlineLevel="0" collapsed="false">
      <c r="A12" s="37" t="s">
        <v>2163</v>
      </c>
      <c r="B12" s="10" t="s">
        <v>2164</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customFormat="false" ht="30" hidden="false" customHeight="true" outlineLevel="0" collapsed="false">
      <c r="A13" s="37" t="s">
        <v>2165</v>
      </c>
      <c r="B13" s="10" t="s">
        <v>2166</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5" customFormat="false" ht="15" hidden="false" customHeight="false" outlineLevel="0" collapsed="false">
      <c r="A15" s="3" t="s">
        <v>2167</v>
      </c>
    </row>
    <row r="16" customFormat="false" ht="15" hidden="false" customHeight="false" outlineLevel="0" collapsed="false">
      <c r="A16" s="38" t="s">
        <v>2168</v>
      </c>
      <c r="B16" s="39" t="s">
        <v>2169</v>
      </c>
      <c r="C16" s="39"/>
      <c r="D16" s="39"/>
      <c r="E16" s="39" t="s">
        <v>2170</v>
      </c>
      <c r="F16" s="39"/>
      <c r="G16" s="39"/>
      <c r="H16" s="39"/>
      <c r="I16" s="39"/>
      <c r="J16" s="39" t="s">
        <v>2171</v>
      </c>
      <c r="K16" s="39"/>
      <c r="L16" s="39"/>
      <c r="M16" s="39"/>
      <c r="N16" s="39"/>
      <c r="O16" s="39"/>
      <c r="P16" s="39"/>
      <c r="Q16" s="39"/>
      <c r="R16" s="39"/>
      <c r="S16" s="39" t="s">
        <v>2172</v>
      </c>
      <c r="T16" s="39"/>
      <c r="U16" s="39"/>
      <c r="V16" s="39"/>
      <c r="W16" s="39"/>
      <c r="X16" s="39"/>
      <c r="Y16" s="39"/>
      <c r="Z16" s="39"/>
      <c r="AA16" s="39"/>
    </row>
    <row r="17" customFormat="false" ht="30" hidden="false" customHeight="true" outlineLevel="0" collapsed="false">
      <c r="A17" s="40" t="s">
        <v>2173</v>
      </c>
      <c r="B17" s="10" t="s">
        <v>2174</v>
      </c>
      <c r="C17" s="10"/>
      <c r="D17" s="10"/>
      <c r="E17" s="10" t="s">
        <v>2175</v>
      </c>
      <c r="F17" s="10"/>
      <c r="G17" s="10"/>
      <c r="H17" s="10"/>
      <c r="I17" s="10"/>
      <c r="J17" s="10" t="s">
        <v>2176</v>
      </c>
      <c r="K17" s="10"/>
      <c r="L17" s="10"/>
      <c r="M17" s="10"/>
      <c r="N17" s="10"/>
      <c r="O17" s="10"/>
      <c r="P17" s="10"/>
      <c r="Q17" s="10"/>
      <c r="R17" s="10"/>
      <c r="S17" s="41" t="s">
        <v>2177</v>
      </c>
      <c r="T17" s="41"/>
      <c r="U17" s="41"/>
      <c r="V17" s="41"/>
      <c r="W17" s="41"/>
      <c r="X17" s="41"/>
      <c r="Y17" s="41"/>
      <c r="Z17" s="41"/>
      <c r="AA17" s="41"/>
    </row>
    <row r="18" customFormat="false" ht="30" hidden="false" customHeight="true" outlineLevel="0" collapsed="false">
      <c r="A18" s="40" t="s">
        <v>2178</v>
      </c>
      <c r="B18" s="10" t="s">
        <v>2179</v>
      </c>
      <c r="C18" s="10"/>
      <c r="D18" s="10"/>
      <c r="E18" s="10" t="s">
        <v>2180</v>
      </c>
      <c r="F18" s="10"/>
      <c r="G18" s="10"/>
      <c r="H18" s="10"/>
      <c r="I18" s="10"/>
      <c r="J18" s="10" t="s">
        <v>2181</v>
      </c>
      <c r="K18" s="10"/>
      <c r="L18" s="10"/>
      <c r="M18" s="10"/>
      <c r="N18" s="10"/>
      <c r="O18" s="10"/>
      <c r="P18" s="10"/>
      <c r="Q18" s="10"/>
      <c r="R18" s="10"/>
      <c r="S18" s="42" t="s">
        <v>2182</v>
      </c>
      <c r="T18" s="42"/>
      <c r="U18" s="42"/>
      <c r="V18" s="42"/>
      <c r="W18" s="42"/>
      <c r="X18" s="42"/>
      <c r="Y18" s="42"/>
      <c r="Z18" s="42"/>
      <c r="AA18" s="42"/>
    </row>
    <row r="19" customFormat="false" ht="30" hidden="false" customHeight="true" outlineLevel="0" collapsed="false">
      <c r="A19" s="40" t="s">
        <v>194</v>
      </c>
      <c r="B19" s="10" t="s">
        <v>2183</v>
      </c>
      <c r="C19" s="10"/>
      <c r="D19" s="10"/>
      <c r="E19" s="10" t="s">
        <v>2184</v>
      </c>
      <c r="F19" s="10"/>
      <c r="G19" s="10"/>
      <c r="H19" s="10"/>
      <c r="I19" s="10"/>
      <c r="J19" s="10" t="s">
        <v>2185</v>
      </c>
      <c r="K19" s="10"/>
      <c r="L19" s="10"/>
      <c r="M19" s="10"/>
      <c r="N19" s="10"/>
      <c r="O19" s="10"/>
      <c r="P19" s="10"/>
      <c r="Q19" s="10"/>
      <c r="R19" s="10"/>
      <c r="S19" s="42" t="s">
        <v>2186</v>
      </c>
      <c r="T19" s="42"/>
      <c r="U19" s="42"/>
      <c r="V19" s="42"/>
      <c r="W19" s="42"/>
      <c r="X19" s="42"/>
      <c r="Y19" s="42"/>
      <c r="Z19" s="42"/>
      <c r="AA19" s="42"/>
    </row>
    <row r="20" customFormat="false" ht="30" hidden="false" customHeight="true" outlineLevel="0" collapsed="false">
      <c r="A20" s="40" t="s">
        <v>948</v>
      </c>
      <c r="B20" s="10" t="s">
        <v>2187</v>
      </c>
      <c r="C20" s="10"/>
      <c r="D20" s="10"/>
      <c r="E20" s="10" t="s">
        <v>2188</v>
      </c>
      <c r="F20" s="10"/>
      <c r="G20" s="10"/>
      <c r="H20" s="10"/>
      <c r="I20" s="10"/>
      <c r="J20" s="10" t="s">
        <v>2189</v>
      </c>
      <c r="K20" s="10"/>
      <c r="L20" s="10"/>
      <c r="M20" s="10"/>
      <c r="N20" s="10"/>
      <c r="O20" s="10"/>
      <c r="P20" s="10"/>
      <c r="Q20" s="10"/>
      <c r="R20" s="10"/>
      <c r="S20" s="42" t="s">
        <v>2190</v>
      </c>
      <c r="T20" s="42"/>
      <c r="U20" s="42"/>
      <c r="V20" s="42"/>
      <c r="W20" s="42"/>
      <c r="X20" s="42"/>
      <c r="Y20" s="42"/>
      <c r="Z20" s="42"/>
      <c r="AA20" s="42"/>
    </row>
    <row r="21" customFormat="false" ht="30" hidden="false" customHeight="true" outlineLevel="0" collapsed="false">
      <c r="A21" s="40" t="s">
        <v>1044</v>
      </c>
      <c r="B21" s="10" t="s">
        <v>2191</v>
      </c>
      <c r="C21" s="10"/>
      <c r="D21" s="10"/>
      <c r="E21" s="10" t="s">
        <v>2192</v>
      </c>
      <c r="F21" s="10"/>
      <c r="G21" s="10"/>
      <c r="H21" s="10"/>
      <c r="I21" s="10"/>
      <c r="J21" s="10" t="s">
        <v>2193</v>
      </c>
      <c r="K21" s="10"/>
      <c r="L21" s="10"/>
      <c r="M21" s="10"/>
      <c r="N21" s="10"/>
      <c r="O21" s="10"/>
      <c r="P21" s="10"/>
      <c r="Q21" s="10"/>
      <c r="R21" s="10"/>
      <c r="S21" s="42" t="s">
        <v>2194</v>
      </c>
      <c r="T21" s="42"/>
      <c r="U21" s="42"/>
      <c r="V21" s="42"/>
      <c r="W21" s="42"/>
      <c r="X21" s="42"/>
      <c r="Y21" s="42"/>
      <c r="Z21" s="42"/>
      <c r="AA21" s="42"/>
    </row>
    <row r="22" customFormat="false" ht="30" hidden="false" customHeight="true" outlineLevel="0" collapsed="false">
      <c r="A22" s="40" t="s">
        <v>995</v>
      </c>
      <c r="B22" s="10" t="s">
        <v>2195</v>
      </c>
      <c r="C22" s="10"/>
      <c r="D22" s="10"/>
      <c r="E22" s="10" t="s">
        <v>2196</v>
      </c>
      <c r="F22" s="10"/>
      <c r="G22" s="10"/>
      <c r="H22" s="10"/>
      <c r="I22" s="10"/>
      <c r="J22" s="10" t="s">
        <v>2197</v>
      </c>
      <c r="K22" s="10"/>
      <c r="L22" s="10"/>
      <c r="M22" s="10"/>
      <c r="N22" s="10"/>
      <c r="O22" s="10"/>
      <c r="P22" s="10"/>
      <c r="Q22" s="10"/>
      <c r="R22" s="10"/>
      <c r="S22" s="42" t="s">
        <v>2198</v>
      </c>
      <c r="T22" s="42"/>
      <c r="U22" s="42"/>
      <c r="V22" s="42"/>
      <c r="W22" s="42"/>
      <c r="X22" s="42"/>
      <c r="Y22" s="42"/>
      <c r="Z22" s="42"/>
      <c r="AA22" s="42"/>
    </row>
    <row r="23" customFormat="false" ht="30" hidden="false" customHeight="true" outlineLevel="0" collapsed="false">
      <c r="A23" s="40" t="s">
        <v>2199</v>
      </c>
      <c r="B23" s="10" t="s">
        <v>2200</v>
      </c>
      <c r="C23" s="10"/>
      <c r="D23" s="10"/>
      <c r="E23" s="10" t="s">
        <v>2201</v>
      </c>
      <c r="F23" s="10"/>
      <c r="G23" s="10"/>
      <c r="H23" s="10"/>
      <c r="I23" s="10"/>
      <c r="J23" s="10" t="s">
        <v>2202</v>
      </c>
      <c r="K23" s="10"/>
      <c r="L23" s="10"/>
      <c r="M23" s="10"/>
      <c r="N23" s="10"/>
      <c r="O23" s="10"/>
      <c r="P23" s="10"/>
      <c r="Q23" s="10"/>
      <c r="R23" s="10"/>
      <c r="S23" s="41" t="s">
        <v>2177</v>
      </c>
      <c r="T23" s="41"/>
      <c r="U23" s="41"/>
      <c r="V23" s="41"/>
      <c r="W23" s="41"/>
      <c r="X23" s="41"/>
      <c r="Y23" s="41"/>
      <c r="Z23" s="41"/>
      <c r="AA23" s="41"/>
    </row>
    <row r="24" customFormat="false" ht="30" hidden="false" customHeight="true" outlineLevel="0" collapsed="false">
      <c r="A24" s="40" t="s">
        <v>2203</v>
      </c>
      <c r="B24" s="10" t="s">
        <v>2204</v>
      </c>
      <c r="C24" s="10"/>
      <c r="D24" s="10"/>
      <c r="E24" s="10" t="s">
        <v>2205</v>
      </c>
      <c r="F24" s="10"/>
      <c r="G24" s="10"/>
      <c r="H24" s="10"/>
      <c r="I24" s="10"/>
      <c r="J24" s="10" t="s">
        <v>2206</v>
      </c>
      <c r="K24" s="10"/>
      <c r="L24" s="10"/>
      <c r="M24" s="10"/>
      <c r="N24" s="10"/>
      <c r="O24" s="10"/>
      <c r="P24" s="10"/>
      <c r="Q24" s="10"/>
      <c r="R24" s="10"/>
      <c r="S24" s="42" t="s">
        <v>2207</v>
      </c>
      <c r="T24" s="42"/>
      <c r="U24" s="42"/>
      <c r="V24" s="42"/>
      <c r="W24" s="42"/>
      <c r="X24" s="42"/>
      <c r="Y24" s="42"/>
      <c r="Z24" s="42"/>
      <c r="AA24" s="42"/>
    </row>
    <row r="25" customFormat="false" ht="15" hidden="false" customHeight="false" outlineLevel="0" collapsed="false">
      <c r="A25" s="3" t="s">
        <v>2208</v>
      </c>
    </row>
    <row r="26" customFormat="false" ht="15" hidden="false" customHeight="false" outlineLevel="0" collapsed="false">
      <c r="D26" s="43" t="s">
        <v>2178</v>
      </c>
      <c r="E26" s="43"/>
      <c r="F26" s="43"/>
      <c r="G26" s="43" t="s">
        <v>194</v>
      </c>
      <c r="H26" s="43"/>
      <c r="I26" s="43"/>
      <c r="J26" s="43" t="s">
        <v>948</v>
      </c>
      <c r="K26" s="43"/>
      <c r="L26" s="43"/>
      <c r="M26" s="43" t="s">
        <v>1044</v>
      </c>
      <c r="N26" s="43"/>
      <c r="O26" s="43"/>
      <c r="P26" s="43" t="s">
        <v>995</v>
      </c>
      <c r="Q26" s="43"/>
      <c r="R26" s="43"/>
      <c r="S26" s="43" t="s">
        <v>2199</v>
      </c>
      <c r="T26" s="43"/>
      <c r="U26" s="43"/>
      <c r="V26" s="43" t="s">
        <v>2203</v>
      </c>
      <c r="W26" s="43"/>
      <c r="X26" s="43"/>
      <c r="Y26" s="43" t="s">
        <v>2209</v>
      </c>
      <c r="Z26" s="43"/>
      <c r="AA26" s="43"/>
    </row>
    <row r="27" customFormat="false" ht="42" hidden="false" customHeight="true" outlineLevel="0" collapsed="false">
      <c r="A27" s="6" t="s">
        <v>62</v>
      </c>
      <c r="B27" s="6" t="s">
        <v>63</v>
      </c>
      <c r="C27" s="6" t="s">
        <v>2210</v>
      </c>
      <c r="D27" s="6" t="s">
        <v>2211</v>
      </c>
      <c r="E27" s="6" t="s">
        <v>2212</v>
      </c>
      <c r="F27" s="6" t="s">
        <v>2213</v>
      </c>
      <c r="G27" s="6" t="s">
        <v>2211</v>
      </c>
      <c r="H27" s="6" t="s">
        <v>2212</v>
      </c>
      <c r="I27" s="6" t="s">
        <v>2213</v>
      </c>
      <c r="J27" s="6" t="s">
        <v>2211</v>
      </c>
      <c r="K27" s="6" t="s">
        <v>2212</v>
      </c>
      <c r="L27" s="6" t="s">
        <v>2213</v>
      </c>
      <c r="M27" s="6" t="s">
        <v>2211</v>
      </c>
      <c r="N27" s="6" t="s">
        <v>2212</v>
      </c>
      <c r="O27" s="6" t="s">
        <v>2213</v>
      </c>
      <c r="P27" s="6" t="s">
        <v>2211</v>
      </c>
      <c r="Q27" s="6" t="s">
        <v>2212</v>
      </c>
      <c r="R27" s="6" t="s">
        <v>2213</v>
      </c>
      <c r="S27" s="6" t="s">
        <v>2211</v>
      </c>
      <c r="T27" s="6" t="s">
        <v>2212</v>
      </c>
      <c r="U27" s="6" t="s">
        <v>2213</v>
      </c>
      <c r="V27" s="6" t="s">
        <v>2211</v>
      </c>
      <c r="W27" s="6" t="s">
        <v>2212</v>
      </c>
      <c r="X27" s="6" t="s">
        <v>2213</v>
      </c>
      <c r="Y27" s="6" t="s">
        <v>2214</v>
      </c>
      <c r="Z27" s="6" t="s">
        <v>2215</v>
      </c>
      <c r="AA27" s="6" t="s">
        <v>67</v>
      </c>
    </row>
    <row r="28" customFormat="false" ht="15" hidden="false" customHeight="false" outlineLevel="0" collapsed="false">
      <c r="A28" s="12" t="s">
        <v>480</v>
      </c>
      <c r="B28" s="10" t="s">
        <v>2216</v>
      </c>
      <c r="C28" s="44" t="n">
        <v>8995.42</v>
      </c>
      <c r="D28" s="45" t="n">
        <v>46</v>
      </c>
      <c r="E28" s="45" t="n">
        <v>11</v>
      </c>
      <c r="F28" s="46" t="n">
        <f aca="false">IF(D28&gt;=$C$3,E28/D28,"")</f>
        <v>0.239130434782609</v>
      </c>
      <c r="G28" s="45" t="n">
        <v>14</v>
      </c>
      <c r="H28" s="45" t="n">
        <v>3</v>
      </c>
      <c r="I28" s="46" t="n">
        <f aca="false">IF(G28&gt;=$C$3,H28/G28,"")</f>
        <v>0.214285714285714</v>
      </c>
      <c r="J28" s="45" t="n">
        <v>2</v>
      </c>
      <c r="K28" s="45" t="n">
        <v>1</v>
      </c>
      <c r="L28" s="46" t="str">
        <f aca="false">IF(J28&gt;=$C$3,K28/J28,"")</f>
        <v/>
      </c>
      <c r="M28" s="45" t="n">
        <v>2</v>
      </c>
      <c r="N28" s="45" t="n">
        <v>1</v>
      </c>
      <c r="O28" s="46" t="str">
        <f aca="false">IF(M28&gt;=$C$3,N28/M28,"")</f>
        <v/>
      </c>
      <c r="P28" s="45" t="n">
        <v>1</v>
      </c>
      <c r="Q28" s="45" t="n">
        <v>0</v>
      </c>
      <c r="R28" s="46" t="str">
        <f aca="false">IF(P28&gt;=$C$3,Q28/P28,"")</f>
        <v/>
      </c>
      <c r="S28" s="45" t="n">
        <v>3</v>
      </c>
      <c r="T28" s="45" t="n">
        <v>0</v>
      </c>
      <c r="U28" s="46" t="n">
        <f aca="false">IF(S28&gt;=$C$3,T28/S28,"")</f>
        <v>0</v>
      </c>
      <c r="V28" s="45" t="n">
        <v>35</v>
      </c>
      <c r="W28" s="45" t="n">
        <v>6</v>
      </c>
      <c r="X28" s="46" t="n">
        <f aca="false">IF(V28&gt;=$C$3,W28/V28,"")</f>
        <v>0.171428571428571</v>
      </c>
      <c r="Y28" s="7" t="n">
        <f aca="false">COUNT(F28,I28,L28,O28,R28,U28,X28)</f>
        <v>4</v>
      </c>
      <c r="Z28" s="34" t="n">
        <f aca="false">IF(Y28=0,"",AVERAGE(F28,I28,L28,O28,R28,U28,X28))</f>
        <v>0.156211180124224</v>
      </c>
      <c r="AA28" s="47" t="n">
        <f aca="false">IF(ISNUMBER(Z28),C28*Z28,"")</f>
        <v>1405.18517391304</v>
      </c>
    </row>
    <row r="29" customFormat="false" ht="15" hidden="false" customHeight="false" outlineLevel="0" collapsed="false">
      <c r="A29" s="12" t="s">
        <v>612</v>
      </c>
      <c r="B29" s="10" t="s">
        <v>2217</v>
      </c>
      <c r="C29" s="44" t="n">
        <v>4229.67</v>
      </c>
      <c r="D29" s="45" t="n">
        <v>67</v>
      </c>
      <c r="E29" s="45" t="n">
        <v>64</v>
      </c>
      <c r="F29" s="46" t="n">
        <f aca="false">IF(D29&gt;=$C$3,E29/D29,"")</f>
        <v>0.955223880597015</v>
      </c>
      <c r="G29" s="45" t="n">
        <v>10</v>
      </c>
      <c r="H29" s="45" t="n">
        <v>10</v>
      </c>
      <c r="I29" s="46" t="n">
        <f aca="false">IF(G29&gt;=$C$3,H29/G29,"")</f>
        <v>1</v>
      </c>
      <c r="J29" s="45" t="n">
        <v>3</v>
      </c>
      <c r="K29" s="45" t="n">
        <v>3</v>
      </c>
      <c r="L29" s="46" t="n">
        <f aca="false">IF(J29&gt;=$C$3,K29/J29,"")</f>
        <v>1</v>
      </c>
      <c r="M29" s="45" t="n">
        <v>11</v>
      </c>
      <c r="N29" s="45" t="n">
        <v>10</v>
      </c>
      <c r="O29" s="46" t="n">
        <f aca="false">IF(M29&gt;=$C$3,N29/M29,"")</f>
        <v>0.909090909090909</v>
      </c>
      <c r="P29" s="45" t="n">
        <v>2</v>
      </c>
      <c r="Q29" s="45" t="n">
        <v>2</v>
      </c>
      <c r="R29" s="46" t="str">
        <f aca="false">IF(P29&gt;=$C$3,Q29/P29,"")</f>
        <v/>
      </c>
      <c r="S29" s="45" t="n">
        <v>27</v>
      </c>
      <c r="T29" s="45" t="n">
        <v>2</v>
      </c>
      <c r="U29" s="46" t="n">
        <f aca="false">IF(S29&gt;=$C$3,T29/S29,"")</f>
        <v>0.0740740740740741</v>
      </c>
      <c r="V29" s="45" t="n">
        <v>114</v>
      </c>
      <c r="W29" s="45" t="n">
        <v>12</v>
      </c>
      <c r="X29" s="46" t="n">
        <f aca="false">IF(V29&gt;=$C$3,W29/V29,"")</f>
        <v>0.105263157894737</v>
      </c>
      <c r="Y29" s="7" t="n">
        <f aca="false">COUNT(F29,I29,L29,O29,R29,U29,X29)</f>
        <v>6</v>
      </c>
      <c r="Z29" s="34" t="n">
        <f aca="false">IF(Y29=0,"",AVERAGE(F29,I29,L29,O29,R29,U29,X29))</f>
        <v>0.673942003609456</v>
      </c>
      <c r="AA29" s="47" t="n">
        <f aca="false">IF(ISNUMBER(Z29),C29*Z29,"")</f>
        <v>2850.55227440681</v>
      </c>
    </row>
    <row r="30" customFormat="false" ht="15" hidden="false" customHeight="false" outlineLevel="0" collapsed="false">
      <c r="A30" s="12" t="s">
        <v>273</v>
      </c>
      <c r="B30" s="10" t="s">
        <v>2218</v>
      </c>
      <c r="C30" s="44" t="n">
        <v>15.02</v>
      </c>
      <c r="D30" s="45" t="n">
        <v>40</v>
      </c>
      <c r="E30" s="45" t="n">
        <v>40</v>
      </c>
      <c r="F30" s="46" t="n">
        <f aca="false">IF(D30&gt;=$C$3,E30/D30,"")</f>
        <v>1</v>
      </c>
      <c r="G30" s="45" t="n">
        <v>7</v>
      </c>
      <c r="H30" s="45" t="n">
        <v>6</v>
      </c>
      <c r="I30" s="46" t="n">
        <f aca="false">IF(G30&gt;=$C$3,H30/G30,"")</f>
        <v>0.857142857142857</v>
      </c>
      <c r="J30" s="45" t="n">
        <v>0</v>
      </c>
      <c r="K30" s="45" t="n">
        <v>0</v>
      </c>
      <c r="L30" s="46" t="str">
        <f aca="false">IF(J30&gt;=$C$3,K30/J30,"")</f>
        <v/>
      </c>
      <c r="M30" s="45" t="n">
        <v>10</v>
      </c>
      <c r="N30" s="45" t="n">
        <v>10</v>
      </c>
      <c r="O30" s="46" t="n">
        <f aca="false">IF(M30&gt;=$C$3,N30/M30,"")</f>
        <v>1</v>
      </c>
      <c r="P30" s="45" t="n">
        <v>1</v>
      </c>
      <c r="Q30" s="45" t="n">
        <v>1</v>
      </c>
      <c r="R30" s="46" t="str">
        <f aca="false">IF(P30&gt;=$C$3,Q30/P30,"")</f>
        <v/>
      </c>
      <c r="S30" s="45" t="n">
        <v>2</v>
      </c>
      <c r="T30" s="45" t="n">
        <v>2</v>
      </c>
      <c r="U30" s="46" t="str">
        <f aca="false">IF(S30&gt;=$C$3,T30/S30,"")</f>
        <v/>
      </c>
      <c r="V30" s="45" t="n">
        <v>0</v>
      </c>
      <c r="W30" s="45" t="n">
        <v>0</v>
      </c>
      <c r="X30" s="46" t="str">
        <f aca="false">IF(V30&gt;=$C$3,W30/V30,"")</f>
        <v/>
      </c>
      <c r="Y30" s="7" t="n">
        <f aca="false">COUNT(F30,I30,L30,O30,R30,U30,X30)</f>
        <v>3</v>
      </c>
      <c r="Z30" s="34" t="n">
        <f aca="false">IF(Y30=0,"",AVERAGE(F30,I30,L30,O30,R30,U30,X30))</f>
        <v>0.952380952380952</v>
      </c>
      <c r="AA30" s="47" t="n">
        <f aca="false">IF(ISNUMBER(Z30),C30*Z30,"")</f>
        <v>14.3047619047619</v>
      </c>
    </row>
    <row r="31" customFormat="false" ht="15" hidden="false" customHeight="false" outlineLevel="0" collapsed="false">
      <c r="A31" s="12" t="s">
        <v>134</v>
      </c>
      <c r="B31" s="10" t="s">
        <v>2219</v>
      </c>
      <c r="C31" s="44" t="n">
        <v>8785.35</v>
      </c>
      <c r="D31" s="45" t="n">
        <v>115</v>
      </c>
      <c r="E31" s="45" t="n">
        <v>106</v>
      </c>
      <c r="F31" s="46" t="n">
        <f aca="false">IF(D31&gt;=$C$3,E31/D31,"")</f>
        <v>0.921739130434783</v>
      </c>
      <c r="G31" s="45" t="n">
        <v>11</v>
      </c>
      <c r="H31" s="45" t="n">
        <v>10</v>
      </c>
      <c r="I31" s="46" t="n">
        <f aca="false">IF(G31&gt;=$C$3,H31/G31,"")</f>
        <v>0.909090909090909</v>
      </c>
      <c r="J31" s="45" t="n">
        <v>4</v>
      </c>
      <c r="K31" s="45" t="n">
        <v>4</v>
      </c>
      <c r="L31" s="46" t="n">
        <f aca="false">IF(J31&gt;=$C$3,K31/J31,"")</f>
        <v>1</v>
      </c>
      <c r="M31" s="45" t="n">
        <v>15</v>
      </c>
      <c r="N31" s="45" t="n">
        <v>15</v>
      </c>
      <c r="O31" s="46" t="n">
        <f aca="false">IF(M31&gt;=$C$3,N31/M31,"")</f>
        <v>1</v>
      </c>
      <c r="P31" s="45" t="n">
        <v>7</v>
      </c>
      <c r="Q31" s="45" t="n">
        <v>7</v>
      </c>
      <c r="R31" s="46" t="n">
        <f aca="false">IF(P31&gt;=$C$3,Q31/P31,"")</f>
        <v>1</v>
      </c>
      <c r="S31" s="45" t="n">
        <v>4</v>
      </c>
      <c r="T31" s="45" t="n">
        <v>4</v>
      </c>
      <c r="U31" s="46" t="n">
        <f aca="false">IF(S31&gt;=$C$3,T31/S31,"")</f>
        <v>1</v>
      </c>
      <c r="V31" s="45" t="n">
        <v>9</v>
      </c>
      <c r="W31" s="45" t="n">
        <v>8</v>
      </c>
      <c r="X31" s="46" t="n">
        <f aca="false">IF(V31&gt;=$C$3,W31/V31,"")</f>
        <v>0.888888888888889</v>
      </c>
      <c r="Y31" s="7" t="n">
        <f aca="false">COUNT(F31,I31,L31,O31,R31,U31,X31)</f>
        <v>7</v>
      </c>
      <c r="Z31" s="34" t="n">
        <f aca="false">IF(Y31=0,"",AVERAGE(F31,I31,L31,O31,R31,U31,X31))</f>
        <v>0.959959846916369</v>
      </c>
      <c r="AA31" s="47" t="n">
        <f aca="false">IF(ISNUMBER(Z31),C31*Z31,"")</f>
        <v>8433.58324110672</v>
      </c>
    </row>
    <row r="32" customFormat="false" ht="15" hidden="false" customHeight="false" outlineLevel="0" collapsed="false">
      <c r="A32" s="12" t="s">
        <v>535</v>
      </c>
      <c r="B32" s="10" t="s">
        <v>2217</v>
      </c>
      <c r="C32" s="44" t="n">
        <v>19089.13</v>
      </c>
      <c r="D32" s="45" t="n">
        <v>139</v>
      </c>
      <c r="E32" s="45" t="n">
        <v>52</v>
      </c>
      <c r="F32" s="46" t="n">
        <f aca="false">IF(D32&gt;=$C$3,E32/D32,"")</f>
        <v>0.37410071942446</v>
      </c>
      <c r="G32" s="45" t="n">
        <v>27</v>
      </c>
      <c r="H32" s="45" t="n">
        <v>5</v>
      </c>
      <c r="I32" s="46" t="n">
        <f aca="false">IF(G32&gt;=$C$3,H32/G32,"")</f>
        <v>0.185185185185185</v>
      </c>
      <c r="J32" s="45" t="n">
        <v>12</v>
      </c>
      <c r="K32" s="45" t="n">
        <v>2</v>
      </c>
      <c r="L32" s="46" t="n">
        <f aca="false">IF(J32&gt;=$C$3,K32/J32,"")</f>
        <v>0.166666666666667</v>
      </c>
      <c r="M32" s="45" t="n">
        <v>8</v>
      </c>
      <c r="N32" s="45" t="n">
        <v>2</v>
      </c>
      <c r="O32" s="46" t="n">
        <f aca="false">IF(M32&gt;=$C$3,N32/M32,"")</f>
        <v>0.25</v>
      </c>
      <c r="P32" s="45" t="n">
        <v>13</v>
      </c>
      <c r="Q32" s="45" t="n">
        <v>6</v>
      </c>
      <c r="R32" s="46" t="n">
        <f aca="false">IF(P32&gt;=$C$3,Q32/P32,"")</f>
        <v>0.461538461538462</v>
      </c>
      <c r="S32" s="45" t="n">
        <v>2</v>
      </c>
      <c r="T32" s="45" t="n">
        <v>1</v>
      </c>
      <c r="U32" s="46" t="str">
        <f aca="false">IF(S32&gt;=$C$3,T32/S32,"")</f>
        <v/>
      </c>
      <c r="V32" s="45" t="n">
        <v>30</v>
      </c>
      <c r="W32" s="45" t="n">
        <v>10</v>
      </c>
      <c r="X32" s="46" t="n">
        <f aca="false">IF(V32&gt;=$C$3,W32/V32,"")</f>
        <v>0.333333333333333</v>
      </c>
      <c r="Y32" s="7" t="n">
        <f aca="false">COUNT(F32,I32,L32,O32,R32,U32,X32)</f>
        <v>6</v>
      </c>
      <c r="Z32" s="34" t="n">
        <f aca="false">IF(Y32=0,"",AVERAGE(F32,I32,L32,O32,R32,U32,X32))</f>
        <v>0.295137394358018</v>
      </c>
      <c r="AA32" s="47" t="n">
        <f aca="false">IF(ISNUMBER(Z32),C32*Z32,"")</f>
        <v>5633.91608876147</v>
      </c>
    </row>
    <row r="33" customFormat="false" ht="15" hidden="false" customHeight="false" outlineLevel="0" collapsed="false">
      <c r="A33" s="12" t="s">
        <v>93</v>
      </c>
      <c r="B33" s="10" t="s">
        <v>2219</v>
      </c>
      <c r="C33" s="44" t="n">
        <v>433588.09</v>
      </c>
      <c r="D33" s="45" t="n">
        <v>876</v>
      </c>
      <c r="E33" s="45" t="n">
        <v>133</v>
      </c>
      <c r="F33" s="46" t="n">
        <f aca="false">IF(D33&gt;=$C$3,E33/D33,"")</f>
        <v>0.151826484018265</v>
      </c>
      <c r="G33" s="45" t="n">
        <v>150</v>
      </c>
      <c r="H33" s="45" t="n">
        <v>22</v>
      </c>
      <c r="I33" s="46" t="n">
        <f aca="false">IF(G33&gt;=$C$3,H33/G33,"")</f>
        <v>0.146666666666667</v>
      </c>
      <c r="J33" s="45" t="n">
        <v>60</v>
      </c>
      <c r="K33" s="45" t="n">
        <v>3</v>
      </c>
      <c r="L33" s="46" t="n">
        <f aca="false">IF(J33&gt;=$C$3,K33/J33,"")</f>
        <v>0.05</v>
      </c>
      <c r="M33" s="45" t="n">
        <v>117</v>
      </c>
      <c r="N33" s="45" t="n">
        <v>9</v>
      </c>
      <c r="O33" s="46" t="n">
        <f aca="false">IF(M33&gt;=$C$3,N33/M33,"")</f>
        <v>0.0769230769230769</v>
      </c>
      <c r="P33" s="45" t="n">
        <v>126</v>
      </c>
      <c r="Q33" s="45" t="n">
        <v>10</v>
      </c>
      <c r="R33" s="46" t="n">
        <f aca="false">IF(P33&gt;=$C$3,Q33/P33,"")</f>
        <v>0.0793650793650794</v>
      </c>
      <c r="S33" s="45" t="n">
        <v>98</v>
      </c>
      <c r="T33" s="45" t="n">
        <v>4</v>
      </c>
      <c r="U33" s="46" t="n">
        <f aca="false">IF(S33&gt;=$C$3,T33/S33,"")</f>
        <v>0.0408163265306122</v>
      </c>
      <c r="V33" s="45" t="n">
        <v>95</v>
      </c>
      <c r="W33" s="45" t="n">
        <v>0</v>
      </c>
      <c r="X33" s="46" t="n">
        <f aca="false">IF(V33&gt;=$C$3,W33/V33,"")</f>
        <v>0</v>
      </c>
      <c r="Y33" s="7" t="n">
        <f aca="false">COUNT(F33,I33,L33,O33,R33,U33,X33)</f>
        <v>7</v>
      </c>
      <c r="Z33" s="34" t="n">
        <f aca="false">IF(Y33=0,"",AVERAGE(F33,I33,L33,O33,R33,U33,X33))</f>
        <v>0.0779425190719572</v>
      </c>
      <c r="AA33" s="47" t="n">
        <f aca="false">IF(ISNUMBER(Z33),C33*Z33,"")</f>
        <v>33794.9479741985</v>
      </c>
    </row>
    <row r="34" customFormat="false" ht="15" hidden="false" customHeight="false" outlineLevel="0" collapsed="false">
      <c r="A34" s="12" t="s">
        <v>352</v>
      </c>
      <c r="B34" s="10" t="s">
        <v>2219</v>
      </c>
      <c r="C34" s="44" t="n">
        <v>52401.4</v>
      </c>
      <c r="D34" s="45" t="n">
        <v>124</v>
      </c>
      <c r="E34" s="45" t="n">
        <v>110</v>
      </c>
      <c r="F34" s="46" t="n">
        <f aca="false">IF(D34&gt;=$C$3,E34/D34,"")</f>
        <v>0.887096774193548</v>
      </c>
      <c r="G34" s="45" t="n">
        <v>25</v>
      </c>
      <c r="H34" s="45" t="n">
        <v>1</v>
      </c>
      <c r="I34" s="46" t="n">
        <f aca="false">IF(G34&gt;=$C$3,H34/G34,"")</f>
        <v>0.04</v>
      </c>
      <c r="J34" s="45" t="n">
        <v>17</v>
      </c>
      <c r="K34" s="45" t="n">
        <v>15</v>
      </c>
      <c r="L34" s="46" t="n">
        <f aca="false">IF(J34&gt;=$C$3,K34/J34,"")</f>
        <v>0.882352941176471</v>
      </c>
      <c r="M34" s="45" t="n">
        <v>3</v>
      </c>
      <c r="N34" s="45" t="n">
        <v>3</v>
      </c>
      <c r="O34" s="46" t="n">
        <f aca="false">IF(M34&gt;=$C$3,N34/M34,"")</f>
        <v>1</v>
      </c>
      <c r="P34" s="45" t="n">
        <v>30</v>
      </c>
      <c r="Q34" s="45" t="n">
        <v>13</v>
      </c>
      <c r="R34" s="46" t="n">
        <f aca="false">IF(P34&gt;=$C$3,Q34/P34,"")</f>
        <v>0.433333333333333</v>
      </c>
      <c r="S34" s="45" t="n">
        <v>6</v>
      </c>
      <c r="T34" s="45" t="n">
        <v>3</v>
      </c>
      <c r="U34" s="46" t="n">
        <f aca="false">IF(S34&gt;=$C$3,T34/S34,"")</f>
        <v>0.5</v>
      </c>
      <c r="V34" s="45" t="n">
        <v>60</v>
      </c>
      <c r="W34" s="45" t="n">
        <v>57</v>
      </c>
      <c r="X34" s="46" t="n">
        <f aca="false">IF(V34&gt;=$C$3,W34/V34,"")</f>
        <v>0.95</v>
      </c>
      <c r="Y34" s="7" t="n">
        <f aca="false">COUNT(F34,I34,L34,O34,R34,U34,X34)</f>
        <v>7</v>
      </c>
      <c r="Z34" s="34" t="n">
        <f aca="false">IF(Y34=0,"",AVERAGE(F34,I34,L34,O34,R34,U34,X34))</f>
        <v>0.670397578386193</v>
      </c>
      <c r="AA34" s="47" t="n">
        <f aca="false">IF(ISNUMBER(Z34),C34*Z34,"")</f>
        <v>35129.7716640463</v>
      </c>
    </row>
    <row r="35" customFormat="false" ht="15" hidden="false" customHeight="false" outlineLevel="0" collapsed="false">
      <c r="A35" s="12" t="s">
        <v>357</v>
      </c>
      <c r="B35" s="10" t="s">
        <v>2220</v>
      </c>
      <c r="C35" s="44" t="n">
        <v>2127.31</v>
      </c>
      <c r="D35" s="45" t="n">
        <v>19</v>
      </c>
      <c r="E35" s="45" t="n">
        <v>19</v>
      </c>
      <c r="F35" s="46" t="n">
        <f aca="false">IF(D35&gt;=$C$3,E35/D35,"")</f>
        <v>1</v>
      </c>
      <c r="G35" s="45" t="n">
        <v>3</v>
      </c>
      <c r="H35" s="45" t="n">
        <v>3</v>
      </c>
      <c r="I35" s="46" t="n">
        <f aca="false">IF(G35&gt;=$C$3,H35/G35,"")</f>
        <v>1</v>
      </c>
      <c r="J35" s="45" t="n">
        <v>2</v>
      </c>
      <c r="K35" s="45" t="n">
        <v>2</v>
      </c>
      <c r="L35" s="46" t="str">
        <f aca="false">IF(J35&gt;=$C$3,K35/J35,"")</f>
        <v/>
      </c>
      <c r="M35" s="45" t="n">
        <v>0</v>
      </c>
      <c r="N35" s="45" t="n">
        <v>0</v>
      </c>
      <c r="O35" s="46" t="str">
        <f aca="false">IF(M35&gt;=$C$3,N35/M35,"")</f>
        <v/>
      </c>
      <c r="P35" s="45" t="n">
        <v>0</v>
      </c>
      <c r="Q35" s="45" t="n">
        <v>0</v>
      </c>
      <c r="R35" s="46" t="str">
        <f aca="false">IF(P35&gt;=$C$3,Q35/P35,"")</f>
        <v/>
      </c>
      <c r="S35" s="45" t="n">
        <v>0</v>
      </c>
      <c r="T35" s="45" t="n">
        <v>0</v>
      </c>
      <c r="U35" s="46" t="str">
        <f aca="false">IF(S35&gt;=$C$3,T35/S35,"")</f>
        <v/>
      </c>
      <c r="V35" s="45" t="n">
        <v>13</v>
      </c>
      <c r="W35" s="45" t="n">
        <v>13</v>
      </c>
      <c r="X35" s="46" t="n">
        <f aca="false">IF(V35&gt;=$C$3,W35/V35,"")</f>
        <v>1</v>
      </c>
      <c r="Y35" s="7" t="n">
        <f aca="false">COUNT(F35,I35,L35,O35,R35,U35,X35)</f>
        <v>3</v>
      </c>
      <c r="Z35" s="34" t="n">
        <f aca="false">IF(Y35=0,"",AVERAGE(F35,I35,L35,O35,R35,U35,X35))</f>
        <v>1</v>
      </c>
      <c r="AA35" s="47" t="n">
        <f aca="false">IF(ISNUMBER(Z35),C35*Z35,"")</f>
        <v>2127.31</v>
      </c>
    </row>
    <row r="36" customFormat="false" ht="15" hidden="false" customHeight="false" outlineLevel="0" collapsed="false">
      <c r="A36" s="12" t="s">
        <v>192</v>
      </c>
      <c r="B36" s="10" t="s">
        <v>2221</v>
      </c>
      <c r="C36" s="44" t="n">
        <v>23317.34</v>
      </c>
      <c r="D36" s="45" t="n">
        <v>363</v>
      </c>
      <c r="E36" s="45" t="n">
        <v>51</v>
      </c>
      <c r="F36" s="46" t="n">
        <f aca="false">IF(D36&gt;=$C$3,E36/D36,"")</f>
        <v>0.140495867768595</v>
      </c>
      <c r="G36" s="45" t="n">
        <v>142</v>
      </c>
      <c r="H36" s="45" t="n">
        <v>11</v>
      </c>
      <c r="I36" s="46" t="n">
        <f aca="false">IF(G36&gt;=$C$3,H36/G36,"")</f>
        <v>0.0774647887323944</v>
      </c>
      <c r="J36" s="45" t="n">
        <v>84</v>
      </c>
      <c r="K36" s="45" t="n">
        <v>4</v>
      </c>
      <c r="L36" s="46" t="n">
        <f aca="false">IF(J36&gt;=$C$3,K36/J36,"")</f>
        <v>0.0476190476190476</v>
      </c>
      <c r="M36" s="45" t="n">
        <v>107</v>
      </c>
      <c r="N36" s="45" t="n">
        <v>14</v>
      </c>
      <c r="O36" s="46" t="n">
        <f aca="false">IF(M36&gt;=$C$3,N36/M36,"")</f>
        <v>0.130841121495327</v>
      </c>
      <c r="P36" s="45" t="n">
        <v>45</v>
      </c>
      <c r="Q36" s="45" t="n">
        <v>3</v>
      </c>
      <c r="R36" s="46" t="n">
        <f aca="false">IF(P36&gt;=$C$3,Q36/P36,"")</f>
        <v>0.0666666666666667</v>
      </c>
      <c r="S36" s="45" t="n">
        <v>30</v>
      </c>
      <c r="T36" s="45" t="n">
        <v>2</v>
      </c>
      <c r="U36" s="46" t="n">
        <f aca="false">IF(S36&gt;=$C$3,T36/S36,"")</f>
        <v>0.0666666666666667</v>
      </c>
      <c r="V36" s="45" t="n">
        <v>110</v>
      </c>
      <c r="W36" s="45" t="n">
        <v>7</v>
      </c>
      <c r="X36" s="46" t="n">
        <f aca="false">IF(V36&gt;=$C$3,W36/V36,"")</f>
        <v>0.0636363636363636</v>
      </c>
      <c r="Y36" s="7" t="n">
        <f aca="false">COUNT(F36,I36,L36,O36,R36,U36,X36)</f>
        <v>7</v>
      </c>
      <c r="Z36" s="34" t="n">
        <f aca="false">IF(Y36=0,"",AVERAGE(F36,I36,L36,O36,R36,U36,X36))</f>
        <v>0.0847700746550087</v>
      </c>
      <c r="AA36" s="47" t="n">
        <f aca="false">IF(ISNUMBER(Z36),C36*Z36,"")</f>
        <v>1976.61265255622</v>
      </c>
    </row>
    <row r="37" customFormat="false" ht="15" hidden="false" customHeight="false" outlineLevel="0" collapsed="false">
      <c r="A37" s="12" t="s">
        <v>553</v>
      </c>
      <c r="B37" s="10" t="s">
        <v>2218</v>
      </c>
      <c r="C37" s="44" t="n">
        <v>3257.58</v>
      </c>
      <c r="D37" s="45" t="n">
        <v>48</v>
      </c>
      <c r="E37" s="45" t="n">
        <v>48</v>
      </c>
      <c r="F37" s="46" t="n">
        <f aca="false">IF(D37&gt;=$C$3,E37/D37,"")</f>
        <v>1</v>
      </c>
      <c r="G37" s="45" t="n">
        <v>7</v>
      </c>
      <c r="H37" s="45" t="n">
        <v>7</v>
      </c>
      <c r="I37" s="46" t="n">
        <f aca="false">IF(G37&gt;=$C$3,H37/G37,"")</f>
        <v>1</v>
      </c>
      <c r="J37" s="45" t="n">
        <v>0</v>
      </c>
      <c r="K37" s="45" t="n">
        <v>0</v>
      </c>
      <c r="L37" s="46" t="str">
        <f aca="false">IF(J37&gt;=$C$3,K37/J37,"")</f>
        <v/>
      </c>
      <c r="M37" s="45" t="n">
        <v>6</v>
      </c>
      <c r="N37" s="45" t="n">
        <v>6</v>
      </c>
      <c r="O37" s="46" t="n">
        <f aca="false">IF(M37&gt;=$C$3,N37/M37,"")</f>
        <v>1</v>
      </c>
      <c r="P37" s="45" t="n">
        <v>2</v>
      </c>
      <c r="Q37" s="45" t="n">
        <v>2</v>
      </c>
      <c r="R37" s="46" t="str">
        <f aca="false">IF(P37&gt;=$C$3,Q37/P37,"")</f>
        <v/>
      </c>
      <c r="S37" s="45" t="n">
        <v>0</v>
      </c>
      <c r="T37" s="45" t="n">
        <v>0</v>
      </c>
      <c r="U37" s="46" t="str">
        <f aca="false">IF(S37&gt;=$C$3,T37/S37,"")</f>
        <v/>
      </c>
      <c r="V37" s="45" t="n">
        <v>6</v>
      </c>
      <c r="W37" s="45" t="n">
        <v>6</v>
      </c>
      <c r="X37" s="46" t="n">
        <f aca="false">IF(V37&gt;=$C$3,W37/V37,"")</f>
        <v>1</v>
      </c>
      <c r="Y37" s="7" t="n">
        <f aca="false">COUNT(F37,I37,L37,O37,R37,U37,X37)</f>
        <v>4</v>
      </c>
      <c r="Z37" s="34" t="n">
        <f aca="false">IF(Y37=0,"",AVERAGE(F37,I37,L37,O37,R37,U37,X37))</f>
        <v>1</v>
      </c>
      <c r="AA37" s="47" t="n">
        <f aca="false">IF(ISNUMBER(Z37),C37*Z37,"")</f>
        <v>3257.58</v>
      </c>
    </row>
    <row r="38" customFormat="false" ht="15" hidden="false" customHeight="false" outlineLevel="0" collapsed="false">
      <c r="A38" s="12" t="s">
        <v>526</v>
      </c>
      <c r="B38" s="10" t="s">
        <v>2222</v>
      </c>
      <c r="C38" s="44" t="n">
        <v>9295.14</v>
      </c>
      <c r="D38" s="45" t="n">
        <v>302</v>
      </c>
      <c r="E38" s="45" t="n">
        <v>235</v>
      </c>
      <c r="F38" s="46" t="n">
        <f aca="false">IF(D38&gt;=$C$3,E38/D38,"")</f>
        <v>0.778145695364238</v>
      </c>
      <c r="G38" s="45" t="n">
        <v>58</v>
      </c>
      <c r="H38" s="45" t="n">
        <v>41</v>
      </c>
      <c r="I38" s="46" t="n">
        <f aca="false">IF(G38&gt;=$C$3,H38/G38,"")</f>
        <v>0.706896551724138</v>
      </c>
      <c r="J38" s="45" t="n">
        <v>32</v>
      </c>
      <c r="K38" s="45" t="n">
        <v>28</v>
      </c>
      <c r="L38" s="46" t="n">
        <f aca="false">IF(J38&gt;=$C$3,K38/J38,"")</f>
        <v>0.875</v>
      </c>
      <c r="M38" s="45" t="n">
        <v>61</v>
      </c>
      <c r="N38" s="45" t="n">
        <v>46</v>
      </c>
      <c r="O38" s="46" t="n">
        <f aca="false">IF(M38&gt;=$C$3,N38/M38,"")</f>
        <v>0.754098360655738</v>
      </c>
      <c r="P38" s="45" t="n">
        <v>24</v>
      </c>
      <c r="Q38" s="45" t="n">
        <v>13</v>
      </c>
      <c r="R38" s="46" t="n">
        <f aca="false">IF(P38&gt;=$C$3,Q38/P38,"")</f>
        <v>0.541666666666667</v>
      </c>
      <c r="S38" s="45" t="n">
        <v>15</v>
      </c>
      <c r="T38" s="45" t="n">
        <v>13</v>
      </c>
      <c r="U38" s="46" t="n">
        <f aca="false">IF(S38&gt;=$C$3,T38/S38,"")</f>
        <v>0.866666666666667</v>
      </c>
      <c r="V38" s="45" t="n">
        <v>135</v>
      </c>
      <c r="W38" s="45" t="n">
        <v>53</v>
      </c>
      <c r="X38" s="46" t="n">
        <f aca="false">IF(V38&gt;=$C$3,W38/V38,"")</f>
        <v>0.392592592592593</v>
      </c>
      <c r="Y38" s="7" t="n">
        <f aca="false">COUNT(F38,I38,L38,O38,R38,U38,X38)</f>
        <v>7</v>
      </c>
      <c r="Z38" s="34" t="n">
        <f aca="false">IF(Y38=0,"",AVERAGE(F38,I38,L38,O38,R38,U38,X38))</f>
        <v>0.702152361952863</v>
      </c>
      <c r="AA38" s="47" t="n">
        <f aca="false">IF(ISNUMBER(Z38),C38*Z38,"")</f>
        <v>6526.60450568253</v>
      </c>
    </row>
    <row r="39" customFormat="false" ht="15" hidden="false" customHeight="false" outlineLevel="0" collapsed="false">
      <c r="A39" s="12" t="s">
        <v>75</v>
      </c>
      <c r="B39" s="10" t="s">
        <v>2223</v>
      </c>
      <c r="C39" s="44" t="n">
        <v>50865.56</v>
      </c>
      <c r="D39" s="45" t="n">
        <v>218</v>
      </c>
      <c r="E39" s="45" t="n">
        <v>194</v>
      </c>
      <c r="F39" s="46" t="n">
        <f aca="false">IF(D39&gt;=$C$3,E39/D39,"")</f>
        <v>0.889908256880734</v>
      </c>
      <c r="G39" s="45" t="n">
        <v>24</v>
      </c>
      <c r="H39" s="45" t="n">
        <v>16</v>
      </c>
      <c r="I39" s="46" t="n">
        <f aca="false">IF(G39&gt;=$C$3,H39/G39,"")</f>
        <v>0.666666666666667</v>
      </c>
      <c r="J39" s="45" t="n">
        <v>7</v>
      </c>
      <c r="K39" s="45" t="n">
        <v>5</v>
      </c>
      <c r="L39" s="46" t="n">
        <f aca="false">IF(J39&gt;=$C$3,K39/J39,"")</f>
        <v>0.714285714285714</v>
      </c>
      <c r="M39" s="45" t="n">
        <v>22</v>
      </c>
      <c r="N39" s="45" t="n">
        <v>20</v>
      </c>
      <c r="O39" s="46" t="n">
        <f aca="false">IF(M39&gt;=$C$3,N39/M39,"")</f>
        <v>0.909090909090909</v>
      </c>
      <c r="P39" s="45" t="n">
        <v>4</v>
      </c>
      <c r="Q39" s="45" t="n">
        <v>3</v>
      </c>
      <c r="R39" s="46" t="n">
        <f aca="false">IF(P39&gt;=$C$3,Q39/P39,"")</f>
        <v>0.75</v>
      </c>
      <c r="S39" s="45" t="n">
        <v>4</v>
      </c>
      <c r="T39" s="45" t="n">
        <v>4</v>
      </c>
      <c r="U39" s="46" t="n">
        <f aca="false">IF(S39&gt;=$C$3,T39/S39,"")</f>
        <v>1</v>
      </c>
      <c r="V39" s="45" t="n">
        <v>16</v>
      </c>
      <c r="W39" s="45" t="n">
        <v>14</v>
      </c>
      <c r="X39" s="46" t="n">
        <f aca="false">IF(V39&gt;=$C$3,W39/V39,"")</f>
        <v>0.875</v>
      </c>
      <c r="Y39" s="7" t="n">
        <f aca="false">COUNT(F39,I39,L39,O39,R39,U39,X39)</f>
        <v>7</v>
      </c>
      <c r="Z39" s="34" t="n">
        <f aca="false">IF(Y39=0,"",AVERAGE(F39,I39,L39,O39,R39,U39,X39))</f>
        <v>0.829278792417718</v>
      </c>
      <c r="AA39" s="47" t="n">
        <f aca="false">IF(ISNUMBER(Z39),C39*Z39,"")</f>
        <v>42181.730172451</v>
      </c>
    </row>
    <row r="40" customFormat="false" ht="15" hidden="false" customHeight="false" outlineLevel="0" collapsed="false">
      <c r="A40" s="12" t="s">
        <v>271</v>
      </c>
      <c r="B40" s="10" t="s">
        <v>2224</v>
      </c>
      <c r="C40" s="44" t="n">
        <v>13738.53</v>
      </c>
      <c r="D40" s="45" t="n">
        <v>147</v>
      </c>
      <c r="E40" s="45" t="n">
        <v>52</v>
      </c>
      <c r="F40" s="46" t="n">
        <f aca="false">IF(D40&gt;=$C$3,E40/D40,"")</f>
        <v>0.353741496598639</v>
      </c>
      <c r="G40" s="45" t="n">
        <v>50</v>
      </c>
      <c r="H40" s="45" t="n">
        <v>17</v>
      </c>
      <c r="I40" s="46" t="n">
        <f aca="false">IF(G40&gt;=$C$3,H40/G40,"")</f>
        <v>0.34</v>
      </c>
      <c r="J40" s="45" t="n">
        <v>23</v>
      </c>
      <c r="K40" s="45" t="n">
        <v>7</v>
      </c>
      <c r="L40" s="46" t="n">
        <f aca="false">IF(J40&gt;=$C$3,K40/J40,"")</f>
        <v>0.304347826086957</v>
      </c>
      <c r="M40" s="45" t="n">
        <v>25</v>
      </c>
      <c r="N40" s="45" t="n">
        <v>10</v>
      </c>
      <c r="O40" s="46" t="n">
        <f aca="false">IF(M40&gt;=$C$3,N40/M40,"")</f>
        <v>0.4</v>
      </c>
      <c r="P40" s="45" t="n">
        <v>13</v>
      </c>
      <c r="Q40" s="45" t="n">
        <v>4</v>
      </c>
      <c r="R40" s="46" t="n">
        <f aca="false">IF(P40&gt;=$C$3,Q40/P40,"")</f>
        <v>0.307692307692308</v>
      </c>
      <c r="S40" s="45" t="n">
        <v>11</v>
      </c>
      <c r="T40" s="45" t="n">
        <v>7</v>
      </c>
      <c r="U40" s="46" t="n">
        <f aca="false">IF(S40&gt;=$C$3,T40/S40,"")</f>
        <v>0.636363636363636</v>
      </c>
      <c r="V40" s="45" t="n">
        <v>64</v>
      </c>
      <c r="W40" s="45" t="n">
        <v>17</v>
      </c>
      <c r="X40" s="46" t="n">
        <f aca="false">IF(V40&gt;=$C$3,W40/V40,"")</f>
        <v>0.265625</v>
      </c>
      <c r="Y40" s="7" t="n">
        <f aca="false">COUNT(F40,I40,L40,O40,R40,U40,X40)</f>
        <v>7</v>
      </c>
      <c r="Z40" s="34" t="n">
        <f aca="false">IF(Y40=0,"",AVERAGE(F40,I40,L40,O40,R40,U40,X40))</f>
        <v>0.372538609534506</v>
      </c>
      <c r="AA40" s="47" t="n">
        <f aca="false">IF(ISNUMBER(Z40),C40*Z40,"")</f>
        <v>5118.13286324809</v>
      </c>
    </row>
    <row r="41" customFormat="false" ht="15" hidden="false" customHeight="false" outlineLevel="0" collapsed="false">
      <c r="A41" s="12" t="s">
        <v>455</v>
      </c>
      <c r="B41" s="10" t="s">
        <v>2217</v>
      </c>
      <c r="C41" s="44" t="n">
        <v>806.34</v>
      </c>
      <c r="D41" s="45" t="n">
        <v>22</v>
      </c>
      <c r="E41" s="45" t="n">
        <v>22</v>
      </c>
      <c r="F41" s="46" t="n">
        <f aca="false">IF(D41&gt;=$C$3,E41/D41,"")</f>
        <v>1</v>
      </c>
      <c r="G41" s="45" t="n">
        <v>3</v>
      </c>
      <c r="H41" s="45" t="n">
        <v>3</v>
      </c>
      <c r="I41" s="46" t="n">
        <f aca="false">IF(G41&gt;=$C$3,H41/G41,"")</f>
        <v>1</v>
      </c>
      <c r="J41" s="45" t="n">
        <v>5</v>
      </c>
      <c r="K41" s="45" t="n">
        <v>5</v>
      </c>
      <c r="L41" s="46" t="n">
        <f aca="false">IF(J41&gt;=$C$3,K41/J41,"")</f>
        <v>1</v>
      </c>
      <c r="M41" s="45" t="n">
        <v>10</v>
      </c>
      <c r="N41" s="45" t="n">
        <v>10</v>
      </c>
      <c r="O41" s="46" t="n">
        <f aca="false">IF(M41&gt;=$C$3,N41/M41,"")</f>
        <v>1</v>
      </c>
      <c r="P41" s="45" t="n">
        <v>0</v>
      </c>
      <c r="Q41" s="45" t="n">
        <v>0</v>
      </c>
      <c r="R41" s="46" t="str">
        <f aca="false">IF(P41&gt;=$C$3,Q41/P41,"")</f>
        <v/>
      </c>
      <c r="S41" s="45" t="n">
        <v>1</v>
      </c>
      <c r="T41" s="45" t="n">
        <v>1</v>
      </c>
      <c r="U41" s="46" t="str">
        <f aca="false">IF(S41&gt;=$C$3,T41/S41,"")</f>
        <v/>
      </c>
      <c r="V41" s="45" t="n">
        <v>10</v>
      </c>
      <c r="W41" s="45" t="n">
        <v>10</v>
      </c>
      <c r="X41" s="46" t="n">
        <f aca="false">IF(V41&gt;=$C$3,W41/V41,"")</f>
        <v>1</v>
      </c>
      <c r="Y41" s="7" t="n">
        <f aca="false">COUNT(F41,I41,L41,O41,R41,U41,X41)</f>
        <v>5</v>
      </c>
      <c r="Z41" s="34" t="n">
        <f aca="false">IF(Y41=0,"",AVERAGE(F41,I41,L41,O41,R41,U41,X41))</f>
        <v>1</v>
      </c>
      <c r="AA41" s="47" t="n">
        <f aca="false">IF(ISNUMBER(Z41),C41*Z41,"")</f>
        <v>806.34</v>
      </c>
    </row>
    <row r="42" customFormat="false" ht="15" hidden="false" customHeight="false" outlineLevel="0" collapsed="false">
      <c r="A42" s="12" t="s">
        <v>173</v>
      </c>
      <c r="B42" s="10" t="s">
        <v>2223</v>
      </c>
      <c r="C42" s="44" t="n">
        <v>3973.65</v>
      </c>
      <c r="D42" s="45" t="n">
        <v>39</v>
      </c>
      <c r="E42" s="45" t="n">
        <v>39</v>
      </c>
      <c r="F42" s="46" t="n">
        <f aca="false">IF(D42&gt;=$C$3,E42/D42,"")</f>
        <v>1</v>
      </c>
      <c r="G42" s="45" t="n">
        <v>3</v>
      </c>
      <c r="H42" s="45" t="n">
        <v>3</v>
      </c>
      <c r="I42" s="46" t="n">
        <f aca="false">IF(G42&gt;=$C$3,H42/G42,"")</f>
        <v>1</v>
      </c>
      <c r="J42" s="45" t="n">
        <v>2</v>
      </c>
      <c r="K42" s="45" t="n">
        <v>2</v>
      </c>
      <c r="L42" s="46" t="str">
        <f aca="false">IF(J42&gt;=$C$3,K42/J42,"")</f>
        <v/>
      </c>
      <c r="M42" s="45" t="n">
        <v>5</v>
      </c>
      <c r="N42" s="45" t="n">
        <v>5</v>
      </c>
      <c r="O42" s="46" t="n">
        <f aca="false">IF(M42&gt;=$C$3,N42/M42,"")</f>
        <v>1</v>
      </c>
      <c r="P42" s="45" t="n">
        <v>3</v>
      </c>
      <c r="Q42" s="45" t="n">
        <v>3</v>
      </c>
      <c r="R42" s="46" t="n">
        <f aca="false">IF(P42&gt;=$C$3,Q42/P42,"")</f>
        <v>1</v>
      </c>
      <c r="S42" s="45" t="n">
        <v>0</v>
      </c>
      <c r="T42" s="45" t="n">
        <v>0</v>
      </c>
      <c r="U42" s="46" t="str">
        <f aca="false">IF(S42&gt;=$C$3,T42/S42,"")</f>
        <v/>
      </c>
      <c r="V42" s="45" t="n">
        <v>8</v>
      </c>
      <c r="W42" s="45" t="n">
        <v>8</v>
      </c>
      <c r="X42" s="46" t="n">
        <f aca="false">IF(V42&gt;=$C$3,W42/V42,"")</f>
        <v>1</v>
      </c>
      <c r="Y42" s="7" t="n">
        <f aca="false">COUNT(F42,I42,L42,O42,R42,U42,X42)</f>
        <v>5</v>
      </c>
      <c r="Z42" s="34" t="n">
        <f aca="false">IF(Y42=0,"",AVERAGE(F42,I42,L42,O42,R42,U42,X42))</f>
        <v>1</v>
      </c>
      <c r="AA42" s="47" t="n">
        <f aca="false">IF(ISNUMBER(Z42),C42*Z42,"")</f>
        <v>3973.65</v>
      </c>
    </row>
    <row r="43" customFormat="false" ht="15" hidden="false" customHeight="false" outlineLevel="0" collapsed="false">
      <c r="A43" s="12" t="s">
        <v>89</v>
      </c>
      <c r="B43" s="10" t="s">
        <v>2223</v>
      </c>
      <c r="C43" s="44" t="n">
        <v>28093.38</v>
      </c>
      <c r="D43" s="45" t="n">
        <v>228</v>
      </c>
      <c r="E43" s="45" t="n">
        <v>228</v>
      </c>
      <c r="F43" s="46" t="n">
        <f aca="false">IF(D43&gt;=$C$3,E43/D43,"")</f>
        <v>1</v>
      </c>
      <c r="G43" s="45" t="n">
        <v>35</v>
      </c>
      <c r="H43" s="45" t="n">
        <v>35</v>
      </c>
      <c r="I43" s="46" t="n">
        <f aca="false">IF(G43&gt;=$C$3,H43/G43,"")</f>
        <v>1</v>
      </c>
      <c r="J43" s="45" t="n">
        <v>12</v>
      </c>
      <c r="K43" s="45" t="n">
        <v>12</v>
      </c>
      <c r="L43" s="46" t="n">
        <f aca="false">IF(J43&gt;=$C$3,K43/J43,"")</f>
        <v>1</v>
      </c>
      <c r="M43" s="45" t="n">
        <v>41</v>
      </c>
      <c r="N43" s="45" t="n">
        <v>41</v>
      </c>
      <c r="O43" s="46" t="n">
        <f aca="false">IF(M43&gt;=$C$3,N43/M43,"")</f>
        <v>1</v>
      </c>
      <c r="P43" s="45" t="n">
        <v>23</v>
      </c>
      <c r="Q43" s="45" t="n">
        <v>23</v>
      </c>
      <c r="R43" s="46" t="n">
        <f aca="false">IF(P43&gt;=$C$3,Q43/P43,"")</f>
        <v>1</v>
      </c>
      <c r="S43" s="45" t="n">
        <v>9</v>
      </c>
      <c r="T43" s="45" t="n">
        <v>9</v>
      </c>
      <c r="U43" s="46" t="n">
        <f aca="false">IF(S43&gt;=$C$3,T43/S43,"")</f>
        <v>1</v>
      </c>
      <c r="V43" s="45" t="n">
        <v>22</v>
      </c>
      <c r="W43" s="45" t="n">
        <v>22</v>
      </c>
      <c r="X43" s="46" t="n">
        <f aca="false">IF(V43&gt;=$C$3,W43/V43,"")</f>
        <v>1</v>
      </c>
      <c r="Y43" s="7" t="n">
        <f aca="false">COUNT(F43,I43,L43,O43,R43,U43,X43)</f>
        <v>7</v>
      </c>
      <c r="Z43" s="34" t="n">
        <f aca="false">IF(Y43=0,"",AVERAGE(F43,I43,L43,O43,R43,U43,X43))</f>
        <v>1</v>
      </c>
      <c r="AA43" s="47" t="n">
        <f aca="false">IF(ISNUMBER(Z43),C43*Z43,"")</f>
        <v>28093.38</v>
      </c>
    </row>
    <row r="44" customFormat="false" ht="15" hidden="false" customHeight="false" outlineLevel="0" collapsed="false">
      <c r="A44" s="12" t="s">
        <v>221</v>
      </c>
      <c r="B44" s="10" t="s">
        <v>2224</v>
      </c>
      <c r="C44" s="44" t="n">
        <v>263.65</v>
      </c>
      <c r="D44" s="45" t="n">
        <v>184</v>
      </c>
      <c r="E44" s="45" t="n">
        <v>12</v>
      </c>
      <c r="F44" s="46" t="n">
        <f aca="false">IF(D44&gt;=$C$3,E44/D44,"")</f>
        <v>0.0652173913043478</v>
      </c>
      <c r="G44" s="45" t="n">
        <v>77</v>
      </c>
      <c r="H44" s="45" t="n">
        <v>2</v>
      </c>
      <c r="I44" s="46" t="n">
        <f aca="false">IF(G44&gt;=$C$3,H44/G44,"")</f>
        <v>0.025974025974026</v>
      </c>
      <c r="J44" s="45" t="n">
        <v>14</v>
      </c>
      <c r="K44" s="45" t="n">
        <v>1</v>
      </c>
      <c r="L44" s="46" t="n">
        <f aca="false">IF(J44&gt;=$C$3,K44/J44,"")</f>
        <v>0.0714285714285714</v>
      </c>
      <c r="M44" s="45" t="n">
        <v>21</v>
      </c>
      <c r="N44" s="45" t="n">
        <v>1</v>
      </c>
      <c r="O44" s="46" t="n">
        <f aca="false">IF(M44&gt;=$C$3,N44/M44,"")</f>
        <v>0.0476190476190476</v>
      </c>
      <c r="P44" s="45" t="n">
        <v>0</v>
      </c>
      <c r="Q44" s="45" t="n">
        <v>0</v>
      </c>
      <c r="R44" s="46" t="str">
        <f aca="false">IF(P44&gt;=$C$3,Q44/P44,"")</f>
        <v/>
      </c>
      <c r="S44" s="45" t="n">
        <v>5</v>
      </c>
      <c r="T44" s="45" t="n">
        <v>1</v>
      </c>
      <c r="U44" s="46" t="n">
        <f aca="false">IF(S44&gt;=$C$3,T44/S44,"")</f>
        <v>0.2</v>
      </c>
      <c r="V44" s="45" t="n">
        <v>46</v>
      </c>
      <c r="W44" s="45" t="n">
        <v>4</v>
      </c>
      <c r="X44" s="46" t="n">
        <f aca="false">IF(V44&gt;=$C$3,W44/V44,"")</f>
        <v>0.0869565217391304</v>
      </c>
      <c r="Y44" s="7" t="n">
        <f aca="false">COUNT(F44,I44,L44,O44,R44,U44,X44)</f>
        <v>6</v>
      </c>
      <c r="Z44" s="34" t="n">
        <f aca="false">IF(Y44=0,"",AVERAGE(F44,I44,L44,O44,R44,U44,X44))</f>
        <v>0.0828659263441872</v>
      </c>
      <c r="AA44" s="47" t="n">
        <f aca="false">IF(ISNUMBER(Z44),C44*Z44,"")</f>
        <v>21.847601480645</v>
      </c>
    </row>
    <row r="45" customFormat="false" ht="15" hidden="false" customHeight="false" outlineLevel="0" collapsed="false">
      <c r="A45" s="12" t="s">
        <v>283</v>
      </c>
      <c r="B45" s="10" t="s">
        <v>2218</v>
      </c>
      <c r="C45" s="44" t="n">
        <v>16840.43</v>
      </c>
      <c r="D45" s="45" t="n">
        <v>216</v>
      </c>
      <c r="E45" s="45" t="n">
        <v>216</v>
      </c>
      <c r="F45" s="46" t="n">
        <f aca="false">IF(D45&gt;=$C$3,E45/D45,"")</f>
        <v>1</v>
      </c>
      <c r="G45" s="45" t="n">
        <v>28</v>
      </c>
      <c r="H45" s="45" t="n">
        <v>28</v>
      </c>
      <c r="I45" s="46" t="n">
        <f aca="false">IF(G45&gt;=$C$3,H45/G45,"")</f>
        <v>1</v>
      </c>
      <c r="J45" s="45" t="n">
        <v>15</v>
      </c>
      <c r="K45" s="45" t="n">
        <v>12</v>
      </c>
      <c r="L45" s="46" t="n">
        <f aca="false">IF(J45&gt;=$C$3,K45/J45,"")</f>
        <v>0.8</v>
      </c>
      <c r="M45" s="45" t="n">
        <v>28</v>
      </c>
      <c r="N45" s="45" t="n">
        <v>28</v>
      </c>
      <c r="O45" s="46" t="n">
        <f aca="false">IF(M45&gt;=$C$3,N45/M45,"")</f>
        <v>1</v>
      </c>
      <c r="P45" s="45" t="n">
        <v>10</v>
      </c>
      <c r="Q45" s="45" t="n">
        <v>10</v>
      </c>
      <c r="R45" s="46" t="n">
        <f aca="false">IF(P45&gt;=$C$3,Q45/P45,"")</f>
        <v>1</v>
      </c>
      <c r="S45" s="45" t="n">
        <v>6</v>
      </c>
      <c r="T45" s="45" t="n">
        <v>6</v>
      </c>
      <c r="U45" s="46" t="n">
        <f aca="false">IF(S45&gt;=$C$3,T45/S45,"")</f>
        <v>1</v>
      </c>
      <c r="V45" s="45" t="n">
        <v>83</v>
      </c>
      <c r="W45" s="45" t="n">
        <v>83</v>
      </c>
      <c r="X45" s="46" t="n">
        <f aca="false">IF(V45&gt;=$C$3,W45/V45,"")</f>
        <v>1</v>
      </c>
      <c r="Y45" s="7" t="n">
        <f aca="false">COUNT(F45,I45,L45,O45,R45,U45,X45)</f>
        <v>7</v>
      </c>
      <c r="Z45" s="34" t="n">
        <f aca="false">IF(Y45=0,"",AVERAGE(F45,I45,L45,O45,R45,U45,X45))</f>
        <v>0.971428571428571</v>
      </c>
      <c r="AA45" s="47" t="n">
        <f aca="false">IF(ISNUMBER(Z45),C45*Z45,"")</f>
        <v>16359.2748571429</v>
      </c>
    </row>
    <row r="46" customFormat="false" ht="15" hidden="false" customHeight="false" outlineLevel="0" collapsed="false">
      <c r="A46" s="12" t="s">
        <v>255</v>
      </c>
      <c r="B46" s="10" t="s">
        <v>2225</v>
      </c>
      <c r="C46" s="44" t="n">
        <v>49989.33</v>
      </c>
      <c r="D46" s="45" t="n">
        <v>623</v>
      </c>
      <c r="E46" s="45" t="n">
        <v>14</v>
      </c>
      <c r="F46" s="46" t="n">
        <f aca="false">IF(D46&gt;=$C$3,E46/D46,"")</f>
        <v>0.0224719101123596</v>
      </c>
      <c r="G46" s="45" t="n">
        <v>205</v>
      </c>
      <c r="H46" s="45" t="n">
        <v>6</v>
      </c>
      <c r="I46" s="46" t="n">
        <f aca="false">IF(G46&gt;=$C$3,H46/G46,"")</f>
        <v>0.0292682926829268</v>
      </c>
      <c r="J46" s="45" t="n">
        <v>23</v>
      </c>
      <c r="K46" s="45" t="n">
        <v>2</v>
      </c>
      <c r="L46" s="46" t="n">
        <f aca="false">IF(J46&gt;=$C$3,K46/J46,"")</f>
        <v>0.0869565217391304</v>
      </c>
      <c r="M46" s="45" t="n">
        <v>354</v>
      </c>
      <c r="N46" s="45" t="n">
        <v>1</v>
      </c>
      <c r="O46" s="46" t="n">
        <f aca="false">IF(M46&gt;=$C$3,N46/M46,"")</f>
        <v>0.00282485875706215</v>
      </c>
      <c r="P46" s="45" t="n">
        <v>122</v>
      </c>
      <c r="Q46" s="45" t="n">
        <v>4</v>
      </c>
      <c r="R46" s="46" t="n">
        <f aca="false">IF(P46&gt;=$C$3,Q46/P46,"")</f>
        <v>0.0327868852459016</v>
      </c>
      <c r="S46" s="45" t="n">
        <v>39</v>
      </c>
      <c r="T46" s="45" t="n">
        <v>5</v>
      </c>
      <c r="U46" s="46" t="n">
        <f aca="false">IF(S46&gt;=$C$3,T46/S46,"")</f>
        <v>0.128205128205128</v>
      </c>
      <c r="V46" s="45" t="n">
        <v>162</v>
      </c>
      <c r="W46" s="45" t="n">
        <v>9</v>
      </c>
      <c r="X46" s="46" t="n">
        <f aca="false">IF(V46&gt;=$C$3,W46/V46,"")</f>
        <v>0.0555555555555556</v>
      </c>
      <c r="Y46" s="7" t="n">
        <f aca="false">COUNT(F46,I46,L46,O46,R46,U46,X46)</f>
        <v>7</v>
      </c>
      <c r="Z46" s="34" t="n">
        <f aca="false">IF(Y46=0,"",AVERAGE(F46,I46,L46,O46,R46,U46,X46))</f>
        <v>0.0511527360425806</v>
      </c>
      <c r="AA46" s="47" t="n">
        <f aca="false">IF(ISNUMBER(Z46),C46*Z46,"")</f>
        <v>2557.09100243546</v>
      </c>
    </row>
    <row r="47" customFormat="false" ht="15" hidden="false" customHeight="false" outlineLevel="0" collapsed="false">
      <c r="A47" s="12" t="s">
        <v>162</v>
      </c>
      <c r="B47" s="10" t="s">
        <v>2226</v>
      </c>
      <c r="C47" s="44" t="n">
        <v>3954.83</v>
      </c>
      <c r="D47" s="45" t="n">
        <v>13</v>
      </c>
      <c r="E47" s="45" t="n">
        <v>13</v>
      </c>
      <c r="F47" s="46" t="n">
        <f aca="false">IF(D47&gt;=$C$3,E47/D47,"")</f>
        <v>1</v>
      </c>
      <c r="G47" s="45" t="n">
        <v>3</v>
      </c>
      <c r="H47" s="45" t="n">
        <v>2</v>
      </c>
      <c r="I47" s="46" t="n">
        <f aca="false">IF(G47&gt;=$C$3,H47/G47,"")</f>
        <v>0.666666666666667</v>
      </c>
      <c r="J47" s="45" t="n">
        <v>4</v>
      </c>
      <c r="K47" s="45" t="n">
        <v>4</v>
      </c>
      <c r="L47" s="46" t="n">
        <f aca="false">IF(J47&gt;=$C$3,K47/J47,"")</f>
        <v>1</v>
      </c>
      <c r="M47" s="45" t="n">
        <v>2</v>
      </c>
      <c r="N47" s="45" t="n">
        <v>2</v>
      </c>
      <c r="O47" s="46" t="str">
        <f aca="false">IF(M47&gt;=$C$3,N47/M47,"")</f>
        <v/>
      </c>
      <c r="P47" s="45" t="n">
        <v>0</v>
      </c>
      <c r="Q47" s="45" t="n">
        <v>0</v>
      </c>
      <c r="R47" s="46" t="str">
        <f aca="false">IF(P47&gt;=$C$3,Q47/P47,"")</f>
        <v/>
      </c>
      <c r="S47" s="45" t="n">
        <v>1</v>
      </c>
      <c r="T47" s="45" t="n">
        <v>1</v>
      </c>
      <c r="U47" s="46" t="str">
        <f aca="false">IF(S47&gt;=$C$3,T47/S47,"")</f>
        <v/>
      </c>
      <c r="V47" s="45" t="n">
        <v>15</v>
      </c>
      <c r="W47" s="45" t="n">
        <v>15</v>
      </c>
      <c r="X47" s="46" t="n">
        <f aca="false">IF(V47&gt;=$C$3,W47/V47,"")</f>
        <v>1</v>
      </c>
      <c r="Y47" s="7" t="n">
        <f aca="false">COUNT(F47,I47,L47,O47,R47,U47,X47)</f>
        <v>4</v>
      </c>
      <c r="Z47" s="34" t="n">
        <f aca="false">IF(Y47=0,"",AVERAGE(F47,I47,L47,O47,R47,U47,X47))</f>
        <v>0.916666666666667</v>
      </c>
      <c r="AA47" s="47" t="n">
        <f aca="false">IF(ISNUMBER(Z47),C47*Z47,"")</f>
        <v>3625.26083333333</v>
      </c>
    </row>
    <row r="48" customFormat="false" ht="15" hidden="false" customHeight="false" outlineLevel="0" collapsed="false">
      <c r="A48" s="12" t="s">
        <v>572</v>
      </c>
      <c r="B48" s="10" t="s">
        <v>2219</v>
      </c>
      <c r="C48" s="44" t="n">
        <v>1929.98</v>
      </c>
      <c r="D48" s="45" t="n">
        <v>129</v>
      </c>
      <c r="E48" s="45" t="n">
        <v>129</v>
      </c>
      <c r="F48" s="46" t="n">
        <f aca="false">IF(D48&gt;=$C$3,E48/D48,"")</f>
        <v>1</v>
      </c>
      <c r="G48" s="45" t="n">
        <v>4</v>
      </c>
      <c r="H48" s="45" t="n">
        <v>4</v>
      </c>
      <c r="I48" s="46" t="n">
        <f aca="false">IF(G48&gt;=$C$3,H48/G48,"")</f>
        <v>1</v>
      </c>
      <c r="J48" s="45" t="n">
        <v>15</v>
      </c>
      <c r="K48" s="45" t="n">
        <v>15</v>
      </c>
      <c r="L48" s="46" t="n">
        <f aca="false">IF(J48&gt;=$C$3,K48/J48,"")</f>
        <v>1</v>
      </c>
      <c r="M48" s="45" t="n">
        <v>19</v>
      </c>
      <c r="N48" s="45" t="n">
        <v>19</v>
      </c>
      <c r="O48" s="46" t="n">
        <f aca="false">IF(M48&gt;=$C$3,N48/M48,"")</f>
        <v>1</v>
      </c>
      <c r="P48" s="45" t="n">
        <v>16</v>
      </c>
      <c r="Q48" s="45" t="n">
        <v>16</v>
      </c>
      <c r="R48" s="46" t="n">
        <f aca="false">IF(P48&gt;=$C$3,Q48/P48,"")</f>
        <v>1</v>
      </c>
      <c r="S48" s="45" t="n">
        <v>3</v>
      </c>
      <c r="T48" s="45" t="n">
        <v>3</v>
      </c>
      <c r="U48" s="46" t="n">
        <f aca="false">IF(S48&gt;=$C$3,T48/S48,"")</f>
        <v>1</v>
      </c>
      <c r="V48" s="45" t="n">
        <v>30</v>
      </c>
      <c r="W48" s="45" t="n">
        <v>30</v>
      </c>
      <c r="X48" s="46" t="n">
        <f aca="false">IF(V48&gt;=$C$3,W48/V48,"")</f>
        <v>1</v>
      </c>
      <c r="Y48" s="7" t="n">
        <f aca="false">COUNT(F48,I48,L48,O48,R48,U48,X48)</f>
        <v>7</v>
      </c>
      <c r="Z48" s="34" t="n">
        <f aca="false">IF(Y48=0,"",AVERAGE(F48,I48,L48,O48,R48,U48,X48))</f>
        <v>1</v>
      </c>
      <c r="AA48" s="47" t="n">
        <f aca="false">IF(ISNUMBER(Z48),C48*Z48,"")</f>
        <v>1929.98</v>
      </c>
    </row>
    <row r="49" customFormat="false" ht="15" hidden="false" customHeight="false" outlineLevel="0" collapsed="false">
      <c r="A49" s="12" t="s">
        <v>269</v>
      </c>
      <c r="B49" s="10" t="s">
        <v>2219</v>
      </c>
      <c r="C49" s="44" t="n">
        <v>6348.25</v>
      </c>
      <c r="D49" s="45" t="n">
        <v>97</v>
      </c>
      <c r="E49" s="45" t="n">
        <v>97</v>
      </c>
      <c r="F49" s="46" t="n">
        <f aca="false">IF(D49&gt;=$C$3,E49/D49,"")</f>
        <v>1</v>
      </c>
      <c r="G49" s="45" t="n">
        <v>3</v>
      </c>
      <c r="H49" s="45" t="n">
        <v>3</v>
      </c>
      <c r="I49" s="46" t="n">
        <f aca="false">IF(G49&gt;=$C$3,H49/G49,"")</f>
        <v>1</v>
      </c>
      <c r="J49" s="45" t="n">
        <v>3</v>
      </c>
      <c r="K49" s="45" t="n">
        <v>3</v>
      </c>
      <c r="L49" s="46" t="n">
        <f aca="false">IF(J49&gt;=$C$3,K49/J49,"")</f>
        <v>1</v>
      </c>
      <c r="M49" s="45" t="n">
        <v>11</v>
      </c>
      <c r="N49" s="45" t="n">
        <v>11</v>
      </c>
      <c r="O49" s="46" t="n">
        <f aca="false">IF(M49&gt;=$C$3,N49/M49,"")</f>
        <v>1</v>
      </c>
      <c r="P49" s="45" t="n">
        <v>17</v>
      </c>
      <c r="Q49" s="45" t="n">
        <v>16</v>
      </c>
      <c r="R49" s="46" t="n">
        <f aca="false">IF(P49&gt;=$C$3,Q49/P49,"")</f>
        <v>0.941176470588235</v>
      </c>
      <c r="S49" s="45" t="n">
        <v>9</v>
      </c>
      <c r="T49" s="45" t="n">
        <v>9</v>
      </c>
      <c r="U49" s="46" t="n">
        <f aca="false">IF(S49&gt;=$C$3,T49/S49,"")</f>
        <v>1</v>
      </c>
      <c r="V49" s="45" t="n">
        <v>12</v>
      </c>
      <c r="W49" s="45" t="n">
        <v>12</v>
      </c>
      <c r="X49" s="46" t="n">
        <f aca="false">IF(V49&gt;=$C$3,W49/V49,"")</f>
        <v>1</v>
      </c>
      <c r="Y49" s="7" t="n">
        <f aca="false">COUNT(F49,I49,L49,O49,R49,U49,X49)</f>
        <v>7</v>
      </c>
      <c r="Z49" s="34" t="n">
        <f aca="false">IF(Y49=0,"",AVERAGE(F49,I49,L49,O49,R49,U49,X49))</f>
        <v>0.991596638655462</v>
      </c>
      <c r="AA49" s="47" t="n">
        <f aca="false">IF(ISNUMBER(Z49),C49*Z49,"")</f>
        <v>6294.90336134454</v>
      </c>
    </row>
    <row r="50" customFormat="false" ht="15" hidden="false" customHeight="false" outlineLevel="0" collapsed="false">
      <c r="A50" s="12" t="s">
        <v>206</v>
      </c>
      <c r="B50" s="10" t="s">
        <v>2219</v>
      </c>
      <c r="C50" s="44" t="n">
        <v>5713.56</v>
      </c>
      <c r="D50" s="45" t="n">
        <v>174</v>
      </c>
      <c r="E50" s="45" t="n">
        <v>174</v>
      </c>
      <c r="F50" s="46" t="n">
        <f aca="false">IF(D50&gt;=$C$3,E50/D50,"")</f>
        <v>1</v>
      </c>
      <c r="G50" s="45" t="n">
        <v>30</v>
      </c>
      <c r="H50" s="45" t="n">
        <v>30</v>
      </c>
      <c r="I50" s="46" t="n">
        <f aca="false">IF(G50&gt;=$C$3,H50/G50,"")</f>
        <v>1</v>
      </c>
      <c r="J50" s="45" t="n">
        <v>6</v>
      </c>
      <c r="K50" s="45" t="n">
        <v>6</v>
      </c>
      <c r="L50" s="46" t="n">
        <f aca="false">IF(J50&gt;=$C$3,K50/J50,"")</f>
        <v>1</v>
      </c>
      <c r="M50" s="45" t="n">
        <v>18</v>
      </c>
      <c r="N50" s="45" t="n">
        <v>18</v>
      </c>
      <c r="O50" s="46" t="n">
        <f aca="false">IF(M50&gt;=$C$3,N50/M50,"")</f>
        <v>1</v>
      </c>
      <c r="P50" s="45" t="n">
        <v>16</v>
      </c>
      <c r="Q50" s="45" t="n">
        <v>16</v>
      </c>
      <c r="R50" s="46" t="n">
        <f aca="false">IF(P50&gt;=$C$3,Q50/P50,"")</f>
        <v>1</v>
      </c>
      <c r="S50" s="45" t="n">
        <v>11</v>
      </c>
      <c r="T50" s="45" t="n">
        <v>11</v>
      </c>
      <c r="U50" s="46" t="n">
        <f aca="false">IF(S50&gt;=$C$3,T50/S50,"")</f>
        <v>1</v>
      </c>
      <c r="V50" s="45" t="n">
        <v>7</v>
      </c>
      <c r="W50" s="45" t="n">
        <v>7</v>
      </c>
      <c r="X50" s="46" t="n">
        <f aca="false">IF(V50&gt;=$C$3,W50/V50,"")</f>
        <v>1</v>
      </c>
      <c r="Y50" s="7" t="n">
        <f aca="false">COUNT(F50,I50,L50,O50,R50,U50,X50)</f>
        <v>7</v>
      </c>
      <c r="Z50" s="34" t="n">
        <f aca="false">IF(Y50=0,"",AVERAGE(F50,I50,L50,O50,R50,U50,X50))</f>
        <v>1</v>
      </c>
      <c r="AA50" s="47" t="n">
        <f aca="false">IF(ISNUMBER(Z50),C50*Z50,"")</f>
        <v>5713.56</v>
      </c>
    </row>
    <row r="51" customFormat="false" ht="15" hidden="false" customHeight="false" outlineLevel="0" collapsed="false">
      <c r="A51" s="12" t="s">
        <v>201</v>
      </c>
      <c r="B51" s="10" t="s">
        <v>2219</v>
      </c>
      <c r="C51" s="44" t="n">
        <v>93119.22</v>
      </c>
      <c r="D51" s="45" t="n">
        <v>277</v>
      </c>
      <c r="E51" s="45" t="n">
        <v>277</v>
      </c>
      <c r="F51" s="46" t="n">
        <f aca="false">IF(D51&gt;=$C$3,E51/D51,"")</f>
        <v>1</v>
      </c>
      <c r="G51" s="45" t="n">
        <v>35</v>
      </c>
      <c r="H51" s="45" t="n">
        <v>35</v>
      </c>
      <c r="I51" s="46" t="n">
        <f aca="false">IF(G51&gt;=$C$3,H51/G51,"")</f>
        <v>1</v>
      </c>
      <c r="J51" s="45" t="n">
        <v>13</v>
      </c>
      <c r="K51" s="45" t="n">
        <v>13</v>
      </c>
      <c r="L51" s="46" t="n">
        <f aca="false">IF(J51&gt;=$C$3,K51/J51,"")</f>
        <v>1</v>
      </c>
      <c r="M51" s="45" t="n">
        <v>18</v>
      </c>
      <c r="N51" s="45" t="n">
        <v>18</v>
      </c>
      <c r="O51" s="46" t="n">
        <f aca="false">IF(M51&gt;=$C$3,N51/M51,"")</f>
        <v>1</v>
      </c>
      <c r="P51" s="45" t="n">
        <v>59</v>
      </c>
      <c r="Q51" s="45" t="n">
        <v>59</v>
      </c>
      <c r="R51" s="46" t="n">
        <f aca="false">IF(P51&gt;=$C$3,Q51/P51,"")</f>
        <v>1</v>
      </c>
      <c r="S51" s="45" t="n">
        <v>37</v>
      </c>
      <c r="T51" s="45" t="n">
        <v>37</v>
      </c>
      <c r="U51" s="46" t="n">
        <f aca="false">IF(S51&gt;=$C$3,T51/S51,"")</f>
        <v>1</v>
      </c>
      <c r="V51" s="45" t="n">
        <v>26</v>
      </c>
      <c r="W51" s="45" t="n">
        <v>26</v>
      </c>
      <c r="X51" s="46" t="n">
        <f aca="false">IF(V51&gt;=$C$3,W51/V51,"")</f>
        <v>1</v>
      </c>
      <c r="Y51" s="7" t="n">
        <f aca="false">COUNT(F51,I51,L51,O51,R51,U51,X51)</f>
        <v>7</v>
      </c>
      <c r="Z51" s="34" t="n">
        <f aca="false">IF(Y51=0,"",AVERAGE(F51,I51,L51,O51,R51,U51,X51))</f>
        <v>1</v>
      </c>
      <c r="AA51" s="47" t="n">
        <f aca="false">IF(ISNUMBER(Z51),C51*Z51,"")</f>
        <v>93119.22</v>
      </c>
    </row>
    <row r="52" customFormat="false" ht="15" hidden="false" customHeight="false" outlineLevel="0" collapsed="false">
      <c r="A52" s="12" t="s">
        <v>590</v>
      </c>
      <c r="B52" s="10" t="s">
        <v>2227</v>
      </c>
      <c r="C52" s="44" t="n">
        <v>3589.61</v>
      </c>
      <c r="D52" s="45" t="n">
        <v>0</v>
      </c>
      <c r="E52" s="45" t="n">
        <v>0</v>
      </c>
      <c r="F52" s="46" t="str">
        <f aca="false">IF(D52&gt;=$C$3,E52/D52,"")</f>
        <v/>
      </c>
      <c r="G52" s="45" t="n">
        <v>0</v>
      </c>
      <c r="H52" s="45" t="n">
        <v>0</v>
      </c>
      <c r="I52" s="46" t="str">
        <f aca="false">IF(G52&gt;=$C$3,H52/G52,"")</f>
        <v/>
      </c>
      <c r="J52" s="45" t="n">
        <v>0</v>
      </c>
      <c r="K52" s="45" t="n">
        <v>0</v>
      </c>
      <c r="L52" s="46" t="str">
        <f aca="false">IF(J52&gt;=$C$3,K52/J52,"")</f>
        <v/>
      </c>
      <c r="M52" s="45" t="n">
        <v>0</v>
      </c>
      <c r="N52" s="45" t="n">
        <v>0</v>
      </c>
      <c r="O52" s="46" t="str">
        <f aca="false">IF(M52&gt;=$C$3,N52/M52,"")</f>
        <v/>
      </c>
      <c r="P52" s="45" t="n">
        <v>0</v>
      </c>
      <c r="Q52" s="45" t="n">
        <v>0</v>
      </c>
      <c r="R52" s="46" t="str">
        <f aca="false">IF(P52&gt;=$C$3,Q52/P52,"")</f>
        <v/>
      </c>
      <c r="S52" s="45" t="n">
        <v>0</v>
      </c>
      <c r="T52" s="45" t="n">
        <v>0</v>
      </c>
      <c r="U52" s="46" t="str">
        <f aca="false">IF(S52&gt;=$C$3,T52/S52,"")</f>
        <v/>
      </c>
      <c r="V52" s="45" t="n">
        <v>6</v>
      </c>
      <c r="W52" s="45" t="n">
        <v>5</v>
      </c>
      <c r="X52" s="46" t="n">
        <f aca="false">IF(V52&gt;=$C$3,W52/V52,"")</f>
        <v>0.833333333333333</v>
      </c>
      <c r="Y52" s="7" t="n">
        <f aca="false">COUNT(F52,I52,L52,O52,R52,U52,X52)</f>
        <v>1</v>
      </c>
      <c r="Z52" s="34" t="n">
        <f aca="false">IF(Y52=0,"",AVERAGE(F52,I52,L52,O52,R52,U52,X52))</f>
        <v>0.833333333333333</v>
      </c>
      <c r="AA52" s="47" t="n">
        <f aca="false">IF(ISNUMBER(Z52),C52*Z52,"")</f>
        <v>2991.34166666667</v>
      </c>
    </row>
    <row r="53" customFormat="false" ht="15" hidden="false" customHeight="false" outlineLevel="0" collapsed="false">
      <c r="A53" s="12" t="s">
        <v>618</v>
      </c>
      <c r="B53" s="10" t="s">
        <v>2228</v>
      </c>
      <c r="C53" s="44" t="n">
        <v>7691.34</v>
      </c>
      <c r="D53" s="45" t="n">
        <v>201</v>
      </c>
      <c r="E53" s="45" t="n">
        <v>6</v>
      </c>
      <c r="F53" s="46" t="n">
        <f aca="false">IF(D53&gt;=$C$3,E53/D53,"")</f>
        <v>0.0298507462686567</v>
      </c>
      <c r="G53" s="45" t="n">
        <v>36</v>
      </c>
      <c r="H53" s="45" t="n">
        <v>4</v>
      </c>
      <c r="I53" s="46" t="n">
        <f aca="false">IF(G53&gt;=$C$3,H53/G53,"")</f>
        <v>0.111111111111111</v>
      </c>
      <c r="J53" s="45" t="n">
        <v>38</v>
      </c>
      <c r="K53" s="45" t="n">
        <v>0</v>
      </c>
      <c r="L53" s="46" t="n">
        <f aca="false">IF(J53&gt;=$C$3,K53/J53,"")</f>
        <v>0</v>
      </c>
      <c r="M53" s="45" t="n">
        <v>101</v>
      </c>
      <c r="N53" s="45" t="n">
        <v>0</v>
      </c>
      <c r="O53" s="46" t="n">
        <f aca="false">IF(M53&gt;=$C$3,N53/M53,"")</f>
        <v>0</v>
      </c>
      <c r="P53" s="45" t="n">
        <v>72</v>
      </c>
      <c r="Q53" s="45" t="n">
        <v>0</v>
      </c>
      <c r="R53" s="46" t="n">
        <f aca="false">IF(P53&gt;=$C$3,Q53/P53,"")</f>
        <v>0</v>
      </c>
      <c r="S53" s="45" t="n">
        <v>14</v>
      </c>
      <c r="T53" s="45" t="n">
        <v>0</v>
      </c>
      <c r="U53" s="46" t="n">
        <f aca="false">IF(S53&gt;=$C$3,T53/S53,"")</f>
        <v>0</v>
      </c>
      <c r="V53" s="45" t="n">
        <v>118</v>
      </c>
      <c r="W53" s="45" t="n">
        <v>0</v>
      </c>
      <c r="X53" s="46" t="n">
        <f aca="false">IF(V53&gt;=$C$3,W53/V53,"")</f>
        <v>0</v>
      </c>
      <c r="Y53" s="7" t="n">
        <f aca="false">COUNT(F53,I53,L53,O53,R53,U53,X53)</f>
        <v>7</v>
      </c>
      <c r="Z53" s="34" t="n">
        <f aca="false">IF(Y53=0,"",AVERAGE(F53,I53,L53,O53,R53,U53,X53))</f>
        <v>0.0201374081971097</v>
      </c>
      <c r="AA53" s="47" t="n">
        <f aca="false">IF(ISNUMBER(Z53),C53*Z53,"")</f>
        <v>154.883653162758</v>
      </c>
    </row>
    <row r="54" customFormat="false" ht="15" hidden="false" customHeight="false" outlineLevel="0" collapsed="false">
      <c r="A54" s="12" t="s">
        <v>223</v>
      </c>
      <c r="B54" s="10" t="s">
        <v>2221</v>
      </c>
      <c r="C54" s="44" t="n">
        <v>7831.08</v>
      </c>
      <c r="D54" s="45" t="n">
        <v>24</v>
      </c>
      <c r="E54" s="45" t="n">
        <v>6</v>
      </c>
      <c r="F54" s="46" t="n">
        <f aca="false">IF(D54&gt;=$C$3,E54/D54,"")</f>
        <v>0.25</v>
      </c>
      <c r="G54" s="45" t="n">
        <v>21</v>
      </c>
      <c r="H54" s="45" t="n">
        <v>0</v>
      </c>
      <c r="I54" s="46" t="n">
        <f aca="false">IF(G54&gt;=$C$3,H54/G54,"")</f>
        <v>0</v>
      </c>
      <c r="J54" s="45" t="n">
        <v>3</v>
      </c>
      <c r="K54" s="45" t="n">
        <v>0</v>
      </c>
      <c r="L54" s="46" t="n">
        <f aca="false">IF(J54&gt;=$C$3,K54/J54,"")</f>
        <v>0</v>
      </c>
      <c r="M54" s="45" t="n">
        <v>4</v>
      </c>
      <c r="N54" s="45" t="n">
        <v>1</v>
      </c>
      <c r="O54" s="46" t="n">
        <f aca="false">IF(M54&gt;=$C$3,N54/M54,"")</f>
        <v>0.25</v>
      </c>
      <c r="P54" s="45" t="n">
        <v>5</v>
      </c>
      <c r="Q54" s="45" t="n">
        <v>2</v>
      </c>
      <c r="R54" s="46" t="n">
        <f aca="false">IF(P54&gt;=$C$3,Q54/P54,"")</f>
        <v>0.4</v>
      </c>
      <c r="S54" s="45" t="n">
        <v>0</v>
      </c>
      <c r="T54" s="45" t="n">
        <v>0</v>
      </c>
      <c r="U54" s="46" t="str">
        <f aca="false">IF(S54&gt;=$C$3,T54/S54,"")</f>
        <v/>
      </c>
      <c r="V54" s="45" t="n">
        <v>66</v>
      </c>
      <c r="W54" s="45" t="n">
        <v>9</v>
      </c>
      <c r="X54" s="46" t="n">
        <f aca="false">IF(V54&gt;=$C$3,W54/V54,"")</f>
        <v>0.136363636363636</v>
      </c>
      <c r="Y54" s="7" t="n">
        <f aca="false">COUNT(F54,I54,L54,O54,R54,U54,X54)</f>
        <v>6</v>
      </c>
      <c r="Z54" s="34" t="n">
        <f aca="false">IF(Y54=0,"",AVERAGE(F54,I54,L54,O54,R54,U54,X54))</f>
        <v>0.172727272727273</v>
      </c>
      <c r="AA54" s="47" t="n">
        <f aca="false">IF(ISNUMBER(Z54),C54*Z54,"")</f>
        <v>1352.64109090909</v>
      </c>
    </row>
    <row r="55" customFormat="false" ht="15" hidden="false" customHeight="false" outlineLevel="0" collapsed="false">
      <c r="A55" s="12" t="s">
        <v>245</v>
      </c>
      <c r="B55" s="10" t="s">
        <v>2218</v>
      </c>
      <c r="C55" s="44" t="n">
        <v>2508.09</v>
      </c>
      <c r="D55" s="45" t="n">
        <v>96</v>
      </c>
      <c r="E55" s="45" t="n">
        <v>96</v>
      </c>
      <c r="F55" s="46" t="n">
        <f aca="false">IF(D55&gt;=$C$3,E55/D55,"")</f>
        <v>1</v>
      </c>
      <c r="G55" s="45" t="n">
        <v>15</v>
      </c>
      <c r="H55" s="45" t="n">
        <v>15</v>
      </c>
      <c r="I55" s="46" t="n">
        <f aca="false">IF(G55&gt;=$C$3,H55/G55,"")</f>
        <v>1</v>
      </c>
      <c r="J55" s="45" t="n">
        <v>2</v>
      </c>
      <c r="K55" s="45" t="n">
        <v>2</v>
      </c>
      <c r="L55" s="46" t="str">
        <f aca="false">IF(J55&gt;=$C$3,K55/J55,"")</f>
        <v/>
      </c>
      <c r="M55" s="45" t="n">
        <v>35</v>
      </c>
      <c r="N55" s="45" t="n">
        <v>35</v>
      </c>
      <c r="O55" s="46" t="n">
        <f aca="false">IF(M55&gt;=$C$3,N55/M55,"")</f>
        <v>1</v>
      </c>
      <c r="P55" s="45" t="n">
        <v>11</v>
      </c>
      <c r="Q55" s="45" t="n">
        <v>11</v>
      </c>
      <c r="R55" s="46" t="n">
        <f aca="false">IF(P55&gt;=$C$3,Q55/P55,"")</f>
        <v>1</v>
      </c>
      <c r="S55" s="45" t="n">
        <v>7</v>
      </c>
      <c r="T55" s="45" t="n">
        <v>7</v>
      </c>
      <c r="U55" s="46" t="n">
        <f aca="false">IF(S55&gt;=$C$3,T55/S55,"")</f>
        <v>1</v>
      </c>
      <c r="V55" s="45" t="n">
        <v>33</v>
      </c>
      <c r="W55" s="45" t="n">
        <v>33</v>
      </c>
      <c r="X55" s="46" t="n">
        <f aca="false">IF(V55&gt;=$C$3,W55/V55,"")</f>
        <v>1</v>
      </c>
      <c r="Y55" s="7" t="n">
        <f aca="false">COUNT(F55,I55,L55,O55,R55,U55,X55)</f>
        <v>6</v>
      </c>
      <c r="Z55" s="34" t="n">
        <f aca="false">IF(Y55=0,"",AVERAGE(F55,I55,L55,O55,R55,U55,X55))</f>
        <v>1</v>
      </c>
      <c r="AA55" s="47" t="n">
        <f aca="false">IF(ISNUMBER(Z55),C55*Z55,"")</f>
        <v>2508.09</v>
      </c>
    </row>
    <row r="56" customFormat="false" ht="15" hidden="false" customHeight="false" outlineLevel="0" collapsed="false">
      <c r="A56" s="12" t="s">
        <v>477</v>
      </c>
      <c r="B56" s="10" t="s">
        <v>2219</v>
      </c>
      <c r="C56" s="44" t="n">
        <v>3010.2</v>
      </c>
      <c r="D56" s="45" t="n">
        <v>131</v>
      </c>
      <c r="E56" s="45" t="n">
        <v>101</v>
      </c>
      <c r="F56" s="46" t="n">
        <f aca="false">IF(D56&gt;=$C$3,E56/D56,"")</f>
        <v>0.770992366412214</v>
      </c>
      <c r="G56" s="45" t="n">
        <v>19</v>
      </c>
      <c r="H56" s="45" t="n">
        <v>9</v>
      </c>
      <c r="I56" s="46" t="n">
        <f aca="false">IF(G56&gt;=$C$3,H56/G56,"")</f>
        <v>0.473684210526316</v>
      </c>
      <c r="J56" s="45" t="n">
        <v>4</v>
      </c>
      <c r="K56" s="45" t="n">
        <v>4</v>
      </c>
      <c r="L56" s="46" t="n">
        <f aca="false">IF(J56&gt;=$C$3,K56/J56,"")</f>
        <v>1</v>
      </c>
      <c r="M56" s="45" t="n">
        <v>3</v>
      </c>
      <c r="N56" s="45" t="n">
        <v>1</v>
      </c>
      <c r="O56" s="46" t="n">
        <f aca="false">IF(M56&gt;=$C$3,N56/M56,"")</f>
        <v>0.333333333333333</v>
      </c>
      <c r="P56" s="45" t="n">
        <v>0</v>
      </c>
      <c r="Q56" s="45" t="n">
        <v>0</v>
      </c>
      <c r="R56" s="46" t="str">
        <f aca="false">IF(P56&gt;=$C$3,Q56/P56,"")</f>
        <v/>
      </c>
      <c r="S56" s="45" t="n">
        <v>2</v>
      </c>
      <c r="T56" s="45" t="n">
        <v>2</v>
      </c>
      <c r="U56" s="46" t="str">
        <f aca="false">IF(S56&gt;=$C$3,T56/S56,"")</f>
        <v/>
      </c>
      <c r="V56" s="45" t="n">
        <v>5</v>
      </c>
      <c r="W56" s="45" t="n">
        <v>4</v>
      </c>
      <c r="X56" s="46" t="n">
        <f aca="false">IF(V56&gt;=$C$3,W56/V56,"")</f>
        <v>0.8</v>
      </c>
      <c r="Y56" s="7" t="n">
        <f aca="false">COUNT(F56,I56,L56,O56,R56,U56,X56)</f>
        <v>5</v>
      </c>
      <c r="Z56" s="34" t="n">
        <f aca="false">IF(Y56=0,"",AVERAGE(F56,I56,L56,O56,R56,U56,X56))</f>
        <v>0.675601982054373</v>
      </c>
      <c r="AA56" s="47" t="n">
        <f aca="false">IF(ISNUMBER(Z56),C56*Z56,"")</f>
        <v>2033.69708638007</v>
      </c>
    </row>
    <row r="57" customFormat="false" ht="15" hidden="false" customHeight="false" outlineLevel="0" collapsed="false">
      <c r="A57" s="12" t="s">
        <v>235</v>
      </c>
      <c r="B57" s="10" t="s">
        <v>2229</v>
      </c>
      <c r="C57" s="44" t="n">
        <v>8796.85</v>
      </c>
      <c r="D57" s="45" t="n">
        <v>356</v>
      </c>
      <c r="E57" s="45" t="n">
        <v>166</v>
      </c>
      <c r="F57" s="46" t="n">
        <f aca="false">IF(D57&gt;=$C$3,E57/D57,"")</f>
        <v>0.466292134831461</v>
      </c>
      <c r="G57" s="45" t="n">
        <v>16</v>
      </c>
      <c r="H57" s="45" t="n">
        <v>5</v>
      </c>
      <c r="I57" s="46" t="n">
        <f aca="false">IF(G57&gt;=$C$3,H57/G57,"")</f>
        <v>0.3125</v>
      </c>
      <c r="J57" s="45" t="n">
        <v>4</v>
      </c>
      <c r="K57" s="45" t="n">
        <v>1</v>
      </c>
      <c r="L57" s="46" t="n">
        <f aca="false">IF(J57&gt;=$C$3,K57/J57,"")</f>
        <v>0.25</v>
      </c>
      <c r="M57" s="45" t="n">
        <v>868</v>
      </c>
      <c r="N57" s="45" t="n">
        <v>12</v>
      </c>
      <c r="O57" s="46" t="n">
        <f aca="false">IF(M57&gt;=$C$3,N57/M57,"")</f>
        <v>0.0138248847926267</v>
      </c>
      <c r="P57" s="45" t="n">
        <v>32</v>
      </c>
      <c r="Q57" s="45" t="n">
        <v>22</v>
      </c>
      <c r="R57" s="46" t="n">
        <f aca="false">IF(P57&gt;=$C$3,Q57/P57,"")</f>
        <v>0.6875</v>
      </c>
      <c r="S57" s="45" t="n">
        <v>276</v>
      </c>
      <c r="T57" s="45" t="n">
        <v>12</v>
      </c>
      <c r="U57" s="46" t="n">
        <f aca="false">IF(S57&gt;=$C$3,T57/S57,"")</f>
        <v>0.0434782608695652</v>
      </c>
      <c r="V57" s="45" t="n">
        <v>121</v>
      </c>
      <c r="W57" s="45" t="n">
        <v>17</v>
      </c>
      <c r="X57" s="46" t="n">
        <f aca="false">IF(V57&gt;=$C$3,W57/V57,"")</f>
        <v>0.140495867768595</v>
      </c>
      <c r="Y57" s="7" t="n">
        <f aca="false">COUNT(F57,I57,L57,O57,R57,U57,X57)</f>
        <v>7</v>
      </c>
      <c r="Z57" s="34" t="n">
        <f aca="false">IF(Y57=0,"",AVERAGE(F57,I57,L57,O57,R57,U57,X57))</f>
        <v>0.273441592608893</v>
      </c>
      <c r="AA57" s="47" t="n">
        <f aca="false">IF(ISNUMBER(Z57),C57*Z57,"")</f>
        <v>2405.42467394154</v>
      </c>
    </row>
    <row r="58" customFormat="false" ht="15" hidden="false" customHeight="false" outlineLevel="0" collapsed="false">
      <c r="A58" s="12" t="s">
        <v>257</v>
      </c>
      <c r="B58" s="10" t="s">
        <v>2230</v>
      </c>
      <c r="C58" s="44" t="n">
        <v>2375.17</v>
      </c>
      <c r="D58" s="45" t="n">
        <v>28</v>
      </c>
      <c r="E58" s="45" t="n">
        <v>16</v>
      </c>
      <c r="F58" s="46" t="n">
        <f aca="false">IF(D58&gt;=$C$3,E58/D58,"")</f>
        <v>0.571428571428571</v>
      </c>
      <c r="G58" s="45" t="n">
        <v>26</v>
      </c>
      <c r="H58" s="45" t="n">
        <v>16</v>
      </c>
      <c r="I58" s="46" t="n">
        <f aca="false">IF(G58&gt;=$C$3,H58/G58,"")</f>
        <v>0.615384615384615</v>
      </c>
      <c r="J58" s="45" t="n">
        <v>0</v>
      </c>
      <c r="K58" s="45" t="n">
        <v>0</v>
      </c>
      <c r="L58" s="46" t="str">
        <f aca="false">IF(J58&gt;=$C$3,K58/J58,"")</f>
        <v/>
      </c>
      <c r="M58" s="45" t="n">
        <v>13</v>
      </c>
      <c r="N58" s="45" t="n">
        <v>12</v>
      </c>
      <c r="O58" s="46" t="n">
        <f aca="false">IF(M58&gt;=$C$3,N58/M58,"")</f>
        <v>0.923076923076923</v>
      </c>
      <c r="P58" s="45" t="n">
        <v>27</v>
      </c>
      <c r="Q58" s="45" t="n">
        <v>2</v>
      </c>
      <c r="R58" s="46" t="n">
        <f aca="false">IF(P58&gt;=$C$3,Q58/P58,"")</f>
        <v>0.0740740740740741</v>
      </c>
      <c r="S58" s="45" t="n">
        <v>0</v>
      </c>
      <c r="T58" s="45" t="n">
        <v>0</v>
      </c>
      <c r="U58" s="46" t="str">
        <f aca="false">IF(S58&gt;=$C$3,T58/S58,"")</f>
        <v/>
      </c>
      <c r="V58" s="45" t="n">
        <v>0</v>
      </c>
      <c r="W58" s="45" t="n">
        <v>0</v>
      </c>
      <c r="X58" s="46" t="str">
        <f aca="false">IF(V58&gt;=$C$3,W58/V58,"")</f>
        <v/>
      </c>
      <c r="Y58" s="7" t="n">
        <f aca="false">COUNT(F58,I58,L58,O58,R58,U58,X58)</f>
        <v>4</v>
      </c>
      <c r="Z58" s="34" t="n">
        <f aca="false">IF(Y58=0,"",AVERAGE(F58,I58,L58,O58,R58,U58,X58))</f>
        <v>0.545991045991046</v>
      </c>
      <c r="AA58" s="47" t="n">
        <f aca="false">IF(ISNUMBER(Z58),C58*Z58,"")</f>
        <v>1296.82155270655</v>
      </c>
    </row>
    <row r="59" customFormat="false" ht="15" hidden="false" customHeight="false" outlineLevel="0" collapsed="false">
      <c r="A59" s="12" t="s">
        <v>124</v>
      </c>
      <c r="B59" s="10" t="s">
        <v>2223</v>
      </c>
      <c r="C59" s="44" t="n">
        <v>4508</v>
      </c>
      <c r="D59" s="45" t="n">
        <v>83</v>
      </c>
      <c r="E59" s="45" t="n">
        <v>81</v>
      </c>
      <c r="F59" s="46" t="n">
        <f aca="false">IF(D59&gt;=$C$3,E59/D59,"")</f>
        <v>0.975903614457831</v>
      </c>
      <c r="G59" s="45" t="n">
        <v>11</v>
      </c>
      <c r="H59" s="45" t="n">
        <v>10</v>
      </c>
      <c r="I59" s="46" t="n">
        <f aca="false">IF(G59&gt;=$C$3,H59/G59,"")</f>
        <v>0.909090909090909</v>
      </c>
      <c r="J59" s="45" t="n">
        <v>12</v>
      </c>
      <c r="K59" s="45" t="n">
        <v>10</v>
      </c>
      <c r="L59" s="46" t="n">
        <f aca="false">IF(J59&gt;=$C$3,K59/J59,"")</f>
        <v>0.833333333333333</v>
      </c>
      <c r="M59" s="45" t="n">
        <v>12</v>
      </c>
      <c r="N59" s="45" t="n">
        <v>11</v>
      </c>
      <c r="O59" s="46" t="n">
        <f aca="false">IF(M59&gt;=$C$3,N59/M59,"")</f>
        <v>0.916666666666667</v>
      </c>
      <c r="P59" s="45" t="n">
        <v>4</v>
      </c>
      <c r="Q59" s="45" t="n">
        <v>3</v>
      </c>
      <c r="R59" s="46" t="n">
        <f aca="false">IF(P59&gt;=$C$3,Q59/P59,"")</f>
        <v>0.75</v>
      </c>
      <c r="S59" s="45" t="n">
        <v>0</v>
      </c>
      <c r="T59" s="45" t="n">
        <v>0</v>
      </c>
      <c r="U59" s="46" t="str">
        <f aca="false">IF(S59&gt;=$C$3,T59/S59,"")</f>
        <v/>
      </c>
      <c r="V59" s="45" t="n">
        <v>43</v>
      </c>
      <c r="W59" s="45" t="n">
        <v>33</v>
      </c>
      <c r="X59" s="46" t="n">
        <f aca="false">IF(V59&gt;=$C$3,W59/V59,"")</f>
        <v>0.767441860465116</v>
      </c>
      <c r="Y59" s="7" t="n">
        <f aca="false">COUNT(F59,I59,L59,O59,R59,U59,X59)</f>
        <v>6</v>
      </c>
      <c r="Z59" s="34" t="n">
        <f aca="false">IF(Y59=0,"",AVERAGE(F59,I59,L59,O59,R59,U59,X59))</f>
        <v>0.858739397335643</v>
      </c>
      <c r="AA59" s="47" t="n">
        <f aca="false">IF(ISNUMBER(Z59),C59*Z59,"")</f>
        <v>3871.19720318908</v>
      </c>
    </row>
    <row r="60" customFormat="false" ht="15" hidden="false" customHeight="false" outlineLevel="0" collapsed="false">
      <c r="A60" s="12" t="s">
        <v>546</v>
      </c>
      <c r="B60" s="10" t="s">
        <v>2223</v>
      </c>
      <c r="C60" s="44" t="n">
        <v>7738.99</v>
      </c>
      <c r="D60" s="45" t="n">
        <v>77</v>
      </c>
      <c r="E60" s="45" t="n">
        <v>77</v>
      </c>
      <c r="F60" s="46" t="n">
        <f aca="false">IF(D60&gt;=$C$3,E60/D60,"")</f>
        <v>1</v>
      </c>
      <c r="G60" s="45" t="n">
        <v>6</v>
      </c>
      <c r="H60" s="45" t="n">
        <v>6</v>
      </c>
      <c r="I60" s="46" t="n">
        <f aca="false">IF(G60&gt;=$C$3,H60/G60,"")</f>
        <v>1</v>
      </c>
      <c r="J60" s="45" t="n">
        <v>4</v>
      </c>
      <c r="K60" s="45" t="n">
        <v>4</v>
      </c>
      <c r="L60" s="46" t="n">
        <f aca="false">IF(J60&gt;=$C$3,K60/J60,"")</f>
        <v>1</v>
      </c>
      <c r="M60" s="45" t="n">
        <v>19</v>
      </c>
      <c r="N60" s="45" t="n">
        <v>19</v>
      </c>
      <c r="O60" s="46" t="n">
        <f aca="false">IF(M60&gt;=$C$3,N60/M60,"")</f>
        <v>1</v>
      </c>
      <c r="P60" s="45" t="n">
        <v>8</v>
      </c>
      <c r="Q60" s="45" t="n">
        <v>8</v>
      </c>
      <c r="R60" s="46" t="n">
        <f aca="false">IF(P60&gt;=$C$3,Q60/P60,"")</f>
        <v>1</v>
      </c>
      <c r="S60" s="45" t="n">
        <v>1</v>
      </c>
      <c r="T60" s="45" t="n">
        <v>1</v>
      </c>
      <c r="U60" s="46" t="str">
        <f aca="false">IF(S60&gt;=$C$3,T60/S60,"")</f>
        <v/>
      </c>
      <c r="V60" s="45" t="n">
        <v>12</v>
      </c>
      <c r="W60" s="45" t="n">
        <v>12</v>
      </c>
      <c r="X60" s="46" t="n">
        <f aca="false">IF(V60&gt;=$C$3,W60/V60,"")</f>
        <v>1</v>
      </c>
      <c r="Y60" s="7" t="n">
        <f aca="false">COUNT(F60,I60,L60,O60,R60,U60,X60)</f>
        <v>6</v>
      </c>
      <c r="Z60" s="34" t="n">
        <f aca="false">IF(Y60=0,"",AVERAGE(F60,I60,L60,O60,R60,U60,X60))</f>
        <v>1</v>
      </c>
      <c r="AA60" s="47" t="n">
        <f aca="false">IF(ISNUMBER(Z60),C60*Z60,"")</f>
        <v>7738.99</v>
      </c>
    </row>
    <row r="61" customFormat="false" ht="15" hidden="false" customHeight="false" outlineLevel="0" collapsed="false">
      <c r="A61" s="12" t="s">
        <v>330</v>
      </c>
      <c r="B61" s="10" t="s">
        <v>2223</v>
      </c>
      <c r="C61" s="44" t="n">
        <v>2151.51</v>
      </c>
      <c r="D61" s="45" t="n">
        <v>3</v>
      </c>
      <c r="E61" s="45" t="n">
        <v>3</v>
      </c>
      <c r="F61" s="46" t="n">
        <f aca="false">IF(D61&gt;=$C$3,E61/D61,"")</f>
        <v>1</v>
      </c>
      <c r="G61" s="45" t="n">
        <v>1</v>
      </c>
      <c r="H61" s="45" t="n">
        <v>1</v>
      </c>
      <c r="I61" s="46" t="str">
        <f aca="false">IF(G61&gt;=$C$3,H61/G61,"")</f>
        <v/>
      </c>
      <c r="J61" s="45" t="n">
        <v>1</v>
      </c>
      <c r="K61" s="45" t="n">
        <v>1</v>
      </c>
      <c r="L61" s="46" t="str">
        <f aca="false">IF(J61&gt;=$C$3,K61/J61,"")</f>
        <v/>
      </c>
      <c r="M61" s="45" t="n">
        <v>1</v>
      </c>
      <c r="N61" s="45" t="n">
        <v>1</v>
      </c>
      <c r="O61" s="46" t="str">
        <f aca="false">IF(M61&gt;=$C$3,N61/M61,"")</f>
        <v/>
      </c>
      <c r="P61" s="45" t="n">
        <v>1</v>
      </c>
      <c r="Q61" s="45" t="n">
        <v>1</v>
      </c>
      <c r="R61" s="46" t="str">
        <f aca="false">IF(P61&gt;=$C$3,Q61/P61,"")</f>
        <v/>
      </c>
      <c r="S61" s="45" t="n">
        <v>1</v>
      </c>
      <c r="T61" s="45" t="n">
        <v>1</v>
      </c>
      <c r="U61" s="46" t="str">
        <f aca="false">IF(S61&gt;=$C$3,T61/S61,"")</f>
        <v/>
      </c>
      <c r="V61" s="45" t="n">
        <v>4</v>
      </c>
      <c r="W61" s="45" t="n">
        <v>4</v>
      </c>
      <c r="X61" s="46" t="n">
        <f aca="false">IF(V61&gt;=$C$3,W61/V61,"")</f>
        <v>1</v>
      </c>
      <c r="Y61" s="7" t="n">
        <f aca="false">COUNT(F61,I61,L61,O61,R61,U61,X61)</f>
        <v>2</v>
      </c>
      <c r="Z61" s="34" t="n">
        <f aca="false">IF(Y61=0,"",AVERAGE(F61,I61,L61,O61,R61,U61,X61))</f>
        <v>1</v>
      </c>
      <c r="AA61" s="47" t="n">
        <f aca="false">IF(ISNUMBER(Z61),C61*Z61,"")</f>
        <v>2151.51</v>
      </c>
    </row>
    <row r="62" customFormat="false" ht="15" hidden="false" customHeight="false" outlineLevel="0" collapsed="false">
      <c r="A62" s="12" t="s">
        <v>107</v>
      </c>
      <c r="B62" s="10" t="s">
        <v>2219</v>
      </c>
      <c r="C62" s="44" t="n">
        <v>59827.18</v>
      </c>
      <c r="D62" s="45" t="n">
        <v>175</v>
      </c>
      <c r="E62" s="45" t="n">
        <v>175</v>
      </c>
      <c r="F62" s="46" t="n">
        <f aca="false">IF(D62&gt;=$C$3,E62/D62,"")</f>
        <v>1</v>
      </c>
      <c r="G62" s="45" t="n">
        <v>42</v>
      </c>
      <c r="H62" s="45" t="n">
        <v>42</v>
      </c>
      <c r="I62" s="46" t="n">
        <f aca="false">IF(G62&gt;=$C$3,H62/G62,"")</f>
        <v>1</v>
      </c>
      <c r="J62" s="45" t="n">
        <v>3</v>
      </c>
      <c r="K62" s="45" t="n">
        <v>3</v>
      </c>
      <c r="L62" s="46" t="n">
        <f aca="false">IF(J62&gt;=$C$3,K62/J62,"")</f>
        <v>1</v>
      </c>
      <c r="M62" s="45" t="n">
        <v>29</v>
      </c>
      <c r="N62" s="45" t="n">
        <v>29</v>
      </c>
      <c r="O62" s="46" t="n">
        <f aca="false">IF(M62&gt;=$C$3,N62/M62,"")</f>
        <v>1</v>
      </c>
      <c r="P62" s="45" t="n">
        <v>8</v>
      </c>
      <c r="Q62" s="45" t="n">
        <v>8</v>
      </c>
      <c r="R62" s="46" t="n">
        <f aca="false">IF(P62&gt;=$C$3,Q62/P62,"")</f>
        <v>1</v>
      </c>
      <c r="S62" s="45" t="n">
        <v>6</v>
      </c>
      <c r="T62" s="45" t="n">
        <v>6</v>
      </c>
      <c r="U62" s="46" t="n">
        <f aca="false">IF(S62&gt;=$C$3,T62/S62,"")</f>
        <v>1</v>
      </c>
      <c r="V62" s="45" t="n">
        <v>31</v>
      </c>
      <c r="W62" s="45" t="n">
        <v>31</v>
      </c>
      <c r="X62" s="46" t="n">
        <f aca="false">IF(V62&gt;=$C$3,W62/V62,"")</f>
        <v>1</v>
      </c>
      <c r="Y62" s="7" t="n">
        <f aca="false">COUNT(F62,I62,L62,O62,R62,U62,X62)</f>
        <v>7</v>
      </c>
      <c r="Z62" s="34" t="n">
        <f aca="false">IF(Y62=0,"",AVERAGE(F62,I62,L62,O62,R62,U62,X62))</f>
        <v>1</v>
      </c>
      <c r="AA62" s="47" t="n">
        <f aca="false">IF(ISNUMBER(Z62),C62*Z62,"")</f>
        <v>59827.18</v>
      </c>
    </row>
    <row r="63" customFormat="false" ht="15" hidden="false" customHeight="false" outlineLevel="0" collapsed="false">
      <c r="A63" s="12" t="s">
        <v>540</v>
      </c>
      <c r="B63" s="10" t="s">
        <v>2223</v>
      </c>
      <c r="C63" s="44" t="n">
        <v>140.86</v>
      </c>
      <c r="D63" s="45" t="n">
        <v>8</v>
      </c>
      <c r="E63" s="45" t="n">
        <v>8</v>
      </c>
      <c r="F63" s="46" t="n">
        <f aca="false">IF(D63&gt;=$C$3,E63/D63,"")</f>
        <v>1</v>
      </c>
      <c r="G63" s="45" t="n">
        <v>8</v>
      </c>
      <c r="H63" s="45" t="n">
        <v>8</v>
      </c>
      <c r="I63" s="46" t="n">
        <f aca="false">IF(G63&gt;=$C$3,H63/G63,"")</f>
        <v>1</v>
      </c>
      <c r="J63" s="45" t="n">
        <v>2</v>
      </c>
      <c r="K63" s="45" t="n">
        <v>2</v>
      </c>
      <c r="L63" s="46" t="str">
        <f aca="false">IF(J63&gt;=$C$3,K63/J63,"")</f>
        <v/>
      </c>
      <c r="M63" s="45" t="n">
        <v>2</v>
      </c>
      <c r="N63" s="45" t="n">
        <v>2</v>
      </c>
      <c r="O63" s="46" t="str">
        <f aca="false">IF(M63&gt;=$C$3,N63/M63,"")</f>
        <v/>
      </c>
      <c r="P63" s="45" t="n">
        <v>2</v>
      </c>
      <c r="Q63" s="45" t="n">
        <v>2</v>
      </c>
      <c r="R63" s="46" t="str">
        <f aca="false">IF(P63&gt;=$C$3,Q63/P63,"")</f>
        <v/>
      </c>
      <c r="S63" s="45" t="n">
        <v>2</v>
      </c>
      <c r="T63" s="45" t="n">
        <v>2</v>
      </c>
      <c r="U63" s="46" t="str">
        <f aca="false">IF(S63&gt;=$C$3,T63/S63,"")</f>
        <v/>
      </c>
      <c r="V63" s="45" t="n">
        <v>1</v>
      </c>
      <c r="W63" s="45" t="n">
        <v>0</v>
      </c>
      <c r="X63" s="46" t="str">
        <f aca="false">IF(V63&gt;=$C$3,W63/V63,"")</f>
        <v/>
      </c>
      <c r="Y63" s="7" t="n">
        <f aca="false">COUNT(F63,I63,L63,O63,R63,U63,X63)</f>
        <v>2</v>
      </c>
      <c r="Z63" s="34" t="n">
        <f aca="false">IF(Y63=0,"",AVERAGE(F63,I63,L63,O63,R63,U63,X63))</f>
        <v>1</v>
      </c>
      <c r="AA63" s="47" t="n">
        <f aca="false">IF(ISNUMBER(Z63),C63*Z63,"")</f>
        <v>140.86</v>
      </c>
    </row>
    <row r="64" customFormat="false" ht="15" hidden="false" customHeight="false" outlineLevel="0" collapsed="false">
      <c r="A64" s="12" t="s">
        <v>505</v>
      </c>
      <c r="B64" s="10" t="s">
        <v>2231</v>
      </c>
      <c r="C64" s="44" t="n">
        <v>3429.51</v>
      </c>
      <c r="D64" s="45" t="n">
        <v>114</v>
      </c>
      <c r="E64" s="45" t="n">
        <v>114</v>
      </c>
      <c r="F64" s="46" t="n">
        <f aca="false">IF(D64&gt;=$C$3,E64/D64,"")</f>
        <v>1</v>
      </c>
      <c r="G64" s="45" t="n">
        <v>29</v>
      </c>
      <c r="H64" s="45" t="n">
        <v>29</v>
      </c>
      <c r="I64" s="46" t="n">
        <f aca="false">IF(G64&gt;=$C$3,H64/G64,"")</f>
        <v>1</v>
      </c>
      <c r="J64" s="45" t="n">
        <v>9</v>
      </c>
      <c r="K64" s="45" t="n">
        <v>9</v>
      </c>
      <c r="L64" s="46" t="n">
        <f aca="false">IF(J64&gt;=$C$3,K64/J64,"")</f>
        <v>1</v>
      </c>
      <c r="M64" s="45" t="n">
        <v>19</v>
      </c>
      <c r="N64" s="45" t="n">
        <v>19</v>
      </c>
      <c r="O64" s="46" t="n">
        <f aca="false">IF(M64&gt;=$C$3,N64/M64,"")</f>
        <v>1</v>
      </c>
      <c r="P64" s="45" t="n">
        <v>1</v>
      </c>
      <c r="Q64" s="45" t="n">
        <v>1</v>
      </c>
      <c r="R64" s="46" t="str">
        <f aca="false">IF(P64&gt;=$C$3,Q64/P64,"")</f>
        <v/>
      </c>
      <c r="S64" s="45" t="n">
        <v>8</v>
      </c>
      <c r="T64" s="45" t="n">
        <v>8</v>
      </c>
      <c r="U64" s="46" t="n">
        <f aca="false">IF(S64&gt;=$C$3,T64/S64,"")</f>
        <v>1</v>
      </c>
      <c r="V64" s="45" t="n">
        <v>19</v>
      </c>
      <c r="W64" s="45" t="n">
        <v>19</v>
      </c>
      <c r="X64" s="46" t="n">
        <f aca="false">IF(V64&gt;=$C$3,W64/V64,"")</f>
        <v>1</v>
      </c>
      <c r="Y64" s="7" t="n">
        <f aca="false">COUNT(F64,I64,L64,O64,R64,U64,X64)</f>
        <v>6</v>
      </c>
      <c r="Z64" s="34" t="n">
        <f aca="false">IF(Y64=0,"",AVERAGE(F64,I64,L64,O64,R64,U64,X64))</f>
        <v>1</v>
      </c>
      <c r="AA64" s="47" t="n">
        <f aca="false">IF(ISNUMBER(Z64),C64*Z64,"")</f>
        <v>3429.51</v>
      </c>
    </row>
    <row r="65" customFormat="false" ht="15" hidden="false" customHeight="false" outlineLevel="0" collapsed="false">
      <c r="A65" s="12" t="s">
        <v>451</v>
      </c>
      <c r="B65" s="10" t="s">
        <v>2232</v>
      </c>
      <c r="C65" s="44" t="n">
        <v>2827.35</v>
      </c>
      <c r="D65" s="45" t="n">
        <v>228</v>
      </c>
      <c r="E65" s="45" t="n">
        <v>26</v>
      </c>
      <c r="F65" s="46" t="n">
        <f aca="false">IF(D65&gt;=$C$3,E65/D65,"")</f>
        <v>0.114035087719298</v>
      </c>
      <c r="G65" s="45" t="n">
        <v>48</v>
      </c>
      <c r="H65" s="45" t="n">
        <v>2</v>
      </c>
      <c r="I65" s="46" t="n">
        <f aca="false">IF(G65&gt;=$C$3,H65/G65,"")</f>
        <v>0.0416666666666667</v>
      </c>
      <c r="J65" s="45" t="n">
        <v>10</v>
      </c>
      <c r="K65" s="45" t="n">
        <v>3</v>
      </c>
      <c r="L65" s="46" t="n">
        <f aca="false">IF(J65&gt;=$C$3,K65/J65,"")</f>
        <v>0.3</v>
      </c>
      <c r="M65" s="45" t="n">
        <v>21</v>
      </c>
      <c r="N65" s="45" t="n">
        <v>2</v>
      </c>
      <c r="O65" s="46" t="n">
        <f aca="false">IF(M65&gt;=$C$3,N65/M65,"")</f>
        <v>0.0952380952380952</v>
      </c>
      <c r="P65" s="45" t="n">
        <v>7</v>
      </c>
      <c r="Q65" s="45" t="n">
        <v>1</v>
      </c>
      <c r="R65" s="46" t="n">
        <f aca="false">IF(P65&gt;=$C$3,Q65/P65,"")</f>
        <v>0.142857142857143</v>
      </c>
      <c r="S65" s="45" t="n">
        <v>6</v>
      </c>
      <c r="T65" s="45" t="n">
        <v>1</v>
      </c>
      <c r="U65" s="46" t="n">
        <f aca="false">IF(S65&gt;=$C$3,T65/S65,"")</f>
        <v>0.166666666666667</v>
      </c>
      <c r="V65" s="45" t="n">
        <v>31</v>
      </c>
      <c r="W65" s="45" t="n">
        <v>15</v>
      </c>
      <c r="X65" s="46" t="n">
        <f aca="false">IF(V65&gt;=$C$3,W65/V65,"")</f>
        <v>0.483870967741936</v>
      </c>
      <c r="Y65" s="7" t="n">
        <f aca="false">COUNT(F65,I65,L65,O65,R65,U65,X65)</f>
        <v>7</v>
      </c>
      <c r="Z65" s="34" t="n">
        <f aca="false">IF(Y65=0,"",AVERAGE(F65,I65,L65,O65,R65,U65,X65))</f>
        <v>0.192047803841401</v>
      </c>
      <c r="AA65" s="47" t="n">
        <f aca="false">IF(ISNUMBER(Z65),C65*Z65,"")</f>
        <v>542.986358190984</v>
      </c>
    </row>
    <row r="66" customFormat="false" ht="15" hidden="false" customHeight="false" outlineLevel="0" collapsed="false">
      <c r="A66" s="12" t="s">
        <v>291</v>
      </c>
      <c r="B66" s="10" t="s">
        <v>2224</v>
      </c>
      <c r="C66" s="44" t="n">
        <v>5403.25</v>
      </c>
      <c r="D66" s="45" t="n">
        <v>187</v>
      </c>
      <c r="E66" s="45" t="n">
        <v>57</v>
      </c>
      <c r="F66" s="46" t="n">
        <f aca="false">IF(D66&gt;=$C$3,E66/D66,"")</f>
        <v>0.304812834224599</v>
      </c>
      <c r="G66" s="45" t="n">
        <v>52</v>
      </c>
      <c r="H66" s="45" t="n">
        <v>5</v>
      </c>
      <c r="I66" s="46" t="n">
        <f aca="false">IF(G66&gt;=$C$3,H66/G66,"")</f>
        <v>0.0961538461538462</v>
      </c>
      <c r="J66" s="45" t="n">
        <v>8</v>
      </c>
      <c r="K66" s="45" t="n">
        <v>1</v>
      </c>
      <c r="L66" s="46" t="n">
        <f aca="false">IF(J66&gt;=$C$3,K66/J66,"")</f>
        <v>0.125</v>
      </c>
      <c r="M66" s="45" t="n">
        <v>26</v>
      </c>
      <c r="N66" s="45" t="n">
        <v>1</v>
      </c>
      <c r="O66" s="46" t="n">
        <f aca="false">IF(M66&gt;=$C$3,N66/M66,"")</f>
        <v>0.0384615384615385</v>
      </c>
      <c r="P66" s="45" t="n">
        <v>13</v>
      </c>
      <c r="Q66" s="45" t="n">
        <v>4</v>
      </c>
      <c r="R66" s="46" t="n">
        <f aca="false">IF(P66&gt;=$C$3,Q66/P66,"")</f>
        <v>0.307692307692308</v>
      </c>
      <c r="S66" s="45" t="n">
        <v>1</v>
      </c>
      <c r="T66" s="45" t="n">
        <v>0</v>
      </c>
      <c r="U66" s="46" t="str">
        <f aca="false">IF(S66&gt;=$C$3,T66/S66,"")</f>
        <v/>
      </c>
      <c r="V66" s="45" t="n">
        <v>47</v>
      </c>
      <c r="W66" s="45" t="n">
        <v>14</v>
      </c>
      <c r="X66" s="46" t="n">
        <f aca="false">IF(V66&gt;=$C$3,W66/V66,"")</f>
        <v>0.297872340425532</v>
      </c>
      <c r="Y66" s="7" t="n">
        <f aca="false">COUNT(F66,I66,L66,O66,R66,U66,X66)</f>
        <v>6</v>
      </c>
      <c r="Z66" s="34" t="n">
        <f aca="false">IF(Y66=0,"",AVERAGE(F66,I66,L66,O66,R66,U66,X66))</f>
        <v>0.194998811159637</v>
      </c>
      <c r="AA66" s="47" t="n">
        <f aca="false">IF(ISNUMBER(Z66),C66*Z66,"")</f>
        <v>1053.62732639831</v>
      </c>
    </row>
    <row r="67" customFormat="false" ht="15" hidden="false" customHeight="false" outlineLevel="0" collapsed="false">
      <c r="A67" s="12" t="s">
        <v>263</v>
      </c>
      <c r="B67" s="10" t="s">
        <v>2228</v>
      </c>
      <c r="C67" s="44" t="n">
        <v>21989.37</v>
      </c>
      <c r="D67" s="45" t="n">
        <v>153</v>
      </c>
      <c r="E67" s="45" t="n">
        <v>3</v>
      </c>
      <c r="F67" s="46" t="n">
        <f aca="false">IF(D67&gt;=$C$3,E67/D67,"")</f>
        <v>0.0196078431372549</v>
      </c>
      <c r="G67" s="45" t="n">
        <v>65</v>
      </c>
      <c r="H67" s="45" t="n">
        <v>0</v>
      </c>
      <c r="I67" s="46" t="n">
        <f aca="false">IF(G67&gt;=$C$3,H67/G67,"")</f>
        <v>0</v>
      </c>
      <c r="J67" s="45" t="n">
        <v>85</v>
      </c>
      <c r="K67" s="45" t="n">
        <v>3</v>
      </c>
      <c r="L67" s="46" t="n">
        <f aca="false">IF(J67&gt;=$C$3,K67/J67,"")</f>
        <v>0.0352941176470588</v>
      </c>
      <c r="M67" s="45" t="n">
        <v>17</v>
      </c>
      <c r="N67" s="45" t="n">
        <v>0</v>
      </c>
      <c r="O67" s="46" t="n">
        <f aca="false">IF(M67&gt;=$C$3,N67/M67,"")</f>
        <v>0</v>
      </c>
      <c r="P67" s="45" t="n">
        <v>75</v>
      </c>
      <c r="Q67" s="45" t="n">
        <v>1</v>
      </c>
      <c r="R67" s="46" t="n">
        <f aca="false">IF(P67&gt;=$C$3,Q67/P67,"")</f>
        <v>0.0133333333333333</v>
      </c>
      <c r="S67" s="45" t="n">
        <v>24</v>
      </c>
      <c r="T67" s="45" t="n">
        <v>1</v>
      </c>
      <c r="U67" s="46" t="n">
        <f aca="false">IF(S67&gt;=$C$3,T67/S67,"")</f>
        <v>0.0416666666666667</v>
      </c>
      <c r="V67" s="45" t="n">
        <v>187</v>
      </c>
      <c r="W67" s="45" t="n">
        <v>10</v>
      </c>
      <c r="X67" s="46" t="n">
        <f aca="false">IF(V67&gt;=$C$3,W67/V67,"")</f>
        <v>0.053475935828877</v>
      </c>
      <c r="Y67" s="7" t="n">
        <f aca="false">COUNT(F67,I67,L67,O67,R67,U67,X67)</f>
        <v>7</v>
      </c>
      <c r="Z67" s="34" t="n">
        <f aca="false">IF(Y67=0,"",AVERAGE(F67,I67,L67,O67,R67,U67,X67))</f>
        <v>0.0233396995161701</v>
      </c>
      <c r="AA67" s="47" t="n">
        <f aca="false">IF(ISNUMBER(Z67),C67*Z67,"")</f>
        <v>513.225288349885</v>
      </c>
    </row>
    <row r="68" customFormat="false" ht="15" hidden="false" customHeight="false" outlineLevel="0" collapsed="false">
      <c r="A68" s="12" t="s">
        <v>120</v>
      </c>
      <c r="B68" s="10" t="s">
        <v>2223</v>
      </c>
      <c r="C68" s="44" t="n">
        <v>41889.23</v>
      </c>
      <c r="D68" s="45" t="n">
        <v>109</v>
      </c>
      <c r="E68" s="45" t="n">
        <v>109</v>
      </c>
      <c r="F68" s="46" t="n">
        <f aca="false">IF(D68&gt;=$C$3,E68/D68,"")</f>
        <v>1</v>
      </c>
      <c r="G68" s="45" t="n">
        <v>9</v>
      </c>
      <c r="H68" s="45" t="n">
        <v>9</v>
      </c>
      <c r="I68" s="46" t="n">
        <f aca="false">IF(G68&gt;=$C$3,H68/G68,"")</f>
        <v>1</v>
      </c>
      <c r="J68" s="45" t="n">
        <v>7</v>
      </c>
      <c r="K68" s="45" t="n">
        <v>7</v>
      </c>
      <c r="L68" s="46" t="n">
        <f aca="false">IF(J68&gt;=$C$3,K68/J68,"")</f>
        <v>1</v>
      </c>
      <c r="M68" s="45" t="n">
        <v>9</v>
      </c>
      <c r="N68" s="45" t="n">
        <v>9</v>
      </c>
      <c r="O68" s="46" t="n">
        <f aca="false">IF(M68&gt;=$C$3,N68/M68,"")</f>
        <v>1</v>
      </c>
      <c r="P68" s="45" t="n">
        <v>31</v>
      </c>
      <c r="Q68" s="45" t="n">
        <v>29</v>
      </c>
      <c r="R68" s="46" t="n">
        <f aca="false">IF(P68&gt;=$C$3,Q68/P68,"")</f>
        <v>0.935483870967742</v>
      </c>
      <c r="S68" s="45" t="n">
        <v>3</v>
      </c>
      <c r="T68" s="45" t="n">
        <v>3</v>
      </c>
      <c r="U68" s="46" t="n">
        <f aca="false">IF(S68&gt;=$C$3,T68/S68,"")</f>
        <v>1</v>
      </c>
      <c r="V68" s="45" t="n">
        <v>18</v>
      </c>
      <c r="W68" s="45" t="n">
        <v>18</v>
      </c>
      <c r="X68" s="46" t="n">
        <f aca="false">IF(V68&gt;=$C$3,W68/V68,"")</f>
        <v>1</v>
      </c>
      <c r="Y68" s="7" t="n">
        <f aca="false">COUNT(F68,I68,L68,O68,R68,U68,X68)</f>
        <v>7</v>
      </c>
      <c r="Z68" s="34" t="n">
        <f aca="false">IF(Y68=0,"",AVERAGE(F68,I68,L68,O68,R68,U68,X68))</f>
        <v>0.990783410138249</v>
      </c>
      <c r="AA68" s="47" t="n">
        <f aca="false">IF(ISNUMBER(Z68),C68*Z68,"")</f>
        <v>41503.1541474654</v>
      </c>
    </row>
    <row r="69" customFormat="false" ht="15" hidden="false" customHeight="false" outlineLevel="0" collapsed="false">
      <c r="A69" s="12" t="s">
        <v>569</v>
      </c>
      <c r="B69" s="10" t="s">
        <v>2218</v>
      </c>
      <c r="C69" s="44" t="n">
        <v>170.54</v>
      </c>
      <c r="D69" s="45" t="n">
        <v>62</v>
      </c>
      <c r="E69" s="45" t="n">
        <v>62</v>
      </c>
      <c r="F69" s="46" t="n">
        <f aca="false">IF(D69&gt;=$C$3,E69/D69,"")</f>
        <v>1</v>
      </c>
      <c r="G69" s="45" t="n">
        <v>2</v>
      </c>
      <c r="H69" s="45" t="n">
        <v>2</v>
      </c>
      <c r="I69" s="46" t="str">
        <f aca="false">IF(G69&gt;=$C$3,H69/G69,"")</f>
        <v/>
      </c>
      <c r="J69" s="45" t="n">
        <v>0</v>
      </c>
      <c r="K69" s="45" t="n">
        <v>0</v>
      </c>
      <c r="L69" s="46" t="str">
        <f aca="false">IF(J69&gt;=$C$3,K69/J69,"")</f>
        <v/>
      </c>
      <c r="M69" s="45" t="n">
        <v>9</v>
      </c>
      <c r="N69" s="45" t="n">
        <v>9</v>
      </c>
      <c r="O69" s="46" t="n">
        <f aca="false">IF(M69&gt;=$C$3,N69/M69,"")</f>
        <v>1</v>
      </c>
      <c r="P69" s="45" t="n">
        <v>2</v>
      </c>
      <c r="Q69" s="45" t="n">
        <v>2</v>
      </c>
      <c r="R69" s="46" t="str">
        <f aca="false">IF(P69&gt;=$C$3,Q69/P69,"")</f>
        <v/>
      </c>
      <c r="S69" s="45" t="n">
        <v>0</v>
      </c>
      <c r="T69" s="45" t="n">
        <v>0</v>
      </c>
      <c r="U69" s="46" t="str">
        <f aca="false">IF(S69&gt;=$C$3,T69/S69,"")</f>
        <v/>
      </c>
      <c r="V69" s="45" t="n">
        <v>2</v>
      </c>
      <c r="W69" s="45" t="n">
        <v>2</v>
      </c>
      <c r="X69" s="46" t="str">
        <f aca="false">IF(V69&gt;=$C$3,W69/V69,"")</f>
        <v/>
      </c>
      <c r="Y69" s="7" t="n">
        <f aca="false">COUNT(F69,I69,L69,O69,R69,U69,X69)</f>
        <v>2</v>
      </c>
      <c r="Z69" s="34" t="n">
        <f aca="false">IF(Y69=0,"",AVERAGE(F69,I69,L69,O69,R69,U69,X69))</f>
        <v>1</v>
      </c>
      <c r="AA69" s="47" t="n">
        <f aca="false">IF(ISNUMBER(Z69),C69*Z69,"")</f>
        <v>170.54</v>
      </c>
    </row>
    <row r="70" customFormat="false" ht="15" hidden="false" customHeight="false" outlineLevel="0" collapsed="false">
      <c r="A70" s="12" t="s">
        <v>251</v>
      </c>
      <c r="B70" s="10" t="s">
        <v>2233</v>
      </c>
      <c r="C70" s="44" t="n">
        <v>5190.07</v>
      </c>
      <c r="D70" s="45" t="n">
        <v>36</v>
      </c>
      <c r="E70" s="45" t="n">
        <v>36</v>
      </c>
      <c r="F70" s="46" t="n">
        <f aca="false">IF(D70&gt;=$C$3,E70/D70,"")</f>
        <v>1</v>
      </c>
      <c r="G70" s="45" t="n">
        <v>0</v>
      </c>
      <c r="H70" s="45" t="n">
        <v>0</v>
      </c>
      <c r="I70" s="46" t="str">
        <f aca="false">IF(G70&gt;=$C$3,H70/G70,"")</f>
        <v/>
      </c>
      <c r="J70" s="45" t="n">
        <v>2</v>
      </c>
      <c r="K70" s="45" t="n">
        <v>2</v>
      </c>
      <c r="L70" s="46" t="str">
        <f aca="false">IF(J70&gt;=$C$3,K70/J70,"")</f>
        <v/>
      </c>
      <c r="M70" s="45" t="n">
        <v>1</v>
      </c>
      <c r="N70" s="45" t="n">
        <v>1</v>
      </c>
      <c r="O70" s="46" t="str">
        <f aca="false">IF(M70&gt;=$C$3,N70/M70,"")</f>
        <v/>
      </c>
      <c r="P70" s="45" t="n">
        <v>5</v>
      </c>
      <c r="Q70" s="45" t="n">
        <v>4</v>
      </c>
      <c r="R70" s="46" t="n">
        <f aca="false">IF(P70&gt;=$C$3,Q70/P70,"")</f>
        <v>0.8</v>
      </c>
      <c r="S70" s="45" t="n">
        <v>3</v>
      </c>
      <c r="T70" s="45" t="n">
        <v>3</v>
      </c>
      <c r="U70" s="46" t="n">
        <f aca="false">IF(S70&gt;=$C$3,T70/S70,"")</f>
        <v>1</v>
      </c>
      <c r="V70" s="45" t="n">
        <v>8</v>
      </c>
      <c r="W70" s="45" t="n">
        <v>8</v>
      </c>
      <c r="X70" s="46" t="n">
        <f aca="false">IF(V70&gt;=$C$3,W70/V70,"")</f>
        <v>1</v>
      </c>
      <c r="Y70" s="7" t="n">
        <f aca="false">COUNT(F70,I70,L70,O70,R70,U70,X70)</f>
        <v>4</v>
      </c>
      <c r="Z70" s="34" t="n">
        <f aca="false">IF(Y70=0,"",AVERAGE(F70,I70,L70,O70,R70,U70,X70))</f>
        <v>0.95</v>
      </c>
      <c r="AA70" s="47" t="n">
        <f aca="false">IF(ISNUMBER(Z70),C70*Z70,"")</f>
        <v>4930.5665</v>
      </c>
    </row>
    <row r="71" customFormat="false" ht="15" hidden="false" customHeight="false" outlineLevel="0" collapsed="false">
      <c r="A71" s="12" t="s">
        <v>411</v>
      </c>
      <c r="B71" s="10" t="s">
        <v>2218</v>
      </c>
      <c r="C71" s="44" t="n">
        <v>4714.67</v>
      </c>
      <c r="D71" s="45" t="n">
        <v>136</v>
      </c>
      <c r="E71" s="45" t="n">
        <v>90</v>
      </c>
      <c r="F71" s="46" t="n">
        <f aca="false">IF(D71&gt;=$C$3,E71/D71,"")</f>
        <v>0.661764705882353</v>
      </c>
      <c r="G71" s="45" t="n">
        <v>17</v>
      </c>
      <c r="H71" s="45" t="n">
        <v>9</v>
      </c>
      <c r="I71" s="46" t="n">
        <f aca="false">IF(G71&gt;=$C$3,H71/G71,"")</f>
        <v>0.529411764705882</v>
      </c>
      <c r="J71" s="45" t="n">
        <v>1</v>
      </c>
      <c r="K71" s="45" t="n">
        <v>1</v>
      </c>
      <c r="L71" s="46" t="str">
        <f aca="false">IF(J71&gt;=$C$3,K71/J71,"")</f>
        <v/>
      </c>
      <c r="M71" s="45" t="n">
        <v>9</v>
      </c>
      <c r="N71" s="45" t="n">
        <v>8</v>
      </c>
      <c r="O71" s="46" t="n">
        <f aca="false">IF(M71&gt;=$C$3,N71/M71,"")</f>
        <v>0.888888888888889</v>
      </c>
      <c r="P71" s="45" t="n">
        <v>26</v>
      </c>
      <c r="Q71" s="45" t="n">
        <v>1</v>
      </c>
      <c r="R71" s="46" t="n">
        <f aca="false">IF(P71&gt;=$C$3,Q71/P71,"")</f>
        <v>0.0384615384615385</v>
      </c>
      <c r="S71" s="45" t="n">
        <v>4</v>
      </c>
      <c r="T71" s="45" t="n">
        <v>3</v>
      </c>
      <c r="U71" s="46" t="n">
        <f aca="false">IF(S71&gt;=$C$3,T71/S71,"")</f>
        <v>0.75</v>
      </c>
      <c r="V71" s="45" t="n">
        <v>23</v>
      </c>
      <c r="W71" s="45" t="n">
        <v>20</v>
      </c>
      <c r="X71" s="46" t="n">
        <f aca="false">IF(V71&gt;=$C$3,W71/V71,"")</f>
        <v>0.869565217391304</v>
      </c>
      <c r="Y71" s="7" t="n">
        <f aca="false">COUNT(F71,I71,L71,O71,R71,U71,X71)</f>
        <v>6</v>
      </c>
      <c r="Z71" s="34" t="n">
        <f aca="false">IF(Y71=0,"",AVERAGE(F71,I71,L71,O71,R71,U71,X71))</f>
        <v>0.623015352554995</v>
      </c>
      <c r="AA71" s="47" t="n">
        <f aca="false">IF(ISNUMBER(Z71),C71*Z71,"")</f>
        <v>2937.31179223046</v>
      </c>
    </row>
    <row r="72" customFormat="false" ht="15" hidden="false" customHeight="false" outlineLevel="0" collapsed="false">
      <c r="A72" s="12" t="s">
        <v>523</v>
      </c>
      <c r="B72" s="10" t="s">
        <v>2222</v>
      </c>
      <c r="C72" s="44" t="n">
        <v>4620.39</v>
      </c>
      <c r="D72" s="45" t="n">
        <v>534</v>
      </c>
      <c r="E72" s="45" t="n">
        <v>501</v>
      </c>
      <c r="F72" s="46" t="n">
        <f aca="false">IF(D72&gt;=$C$3,E72/D72,"")</f>
        <v>0.938202247191011</v>
      </c>
      <c r="G72" s="45" t="n">
        <v>44</v>
      </c>
      <c r="H72" s="45" t="n">
        <v>25</v>
      </c>
      <c r="I72" s="46" t="n">
        <f aca="false">IF(G72&gt;=$C$3,H72/G72,"")</f>
        <v>0.568181818181818</v>
      </c>
      <c r="J72" s="45" t="n">
        <v>44</v>
      </c>
      <c r="K72" s="45" t="n">
        <v>41</v>
      </c>
      <c r="L72" s="46" t="n">
        <f aca="false">IF(J72&gt;=$C$3,K72/J72,"")</f>
        <v>0.931818181818182</v>
      </c>
      <c r="M72" s="45" t="n">
        <v>53</v>
      </c>
      <c r="N72" s="45" t="n">
        <v>50</v>
      </c>
      <c r="O72" s="46" t="n">
        <f aca="false">IF(M72&gt;=$C$3,N72/M72,"")</f>
        <v>0.943396226415094</v>
      </c>
      <c r="P72" s="45" t="n">
        <v>14</v>
      </c>
      <c r="Q72" s="45" t="n">
        <v>14</v>
      </c>
      <c r="R72" s="46" t="n">
        <f aca="false">IF(P72&gt;=$C$3,Q72/P72,"")</f>
        <v>1</v>
      </c>
      <c r="S72" s="45" t="n">
        <v>22</v>
      </c>
      <c r="T72" s="45" t="n">
        <v>20</v>
      </c>
      <c r="U72" s="46" t="n">
        <f aca="false">IF(S72&gt;=$C$3,T72/S72,"")</f>
        <v>0.909090909090909</v>
      </c>
      <c r="V72" s="45" t="n">
        <v>218</v>
      </c>
      <c r="W72" s="45" t="n">
        <v>76</v>
      </c>
      <c r="X72" s="46" t="n">
        <f aca="false">IF(V72&gt;=$C$3,W72/V72,"")</f>
        <v>0.348623853211009</v>
      </c>
      <c r="Y72" s="7" t="n">
        <f aca="false">COUNT(F72,I72,L72,O72,R72,U72,X72)</f>
        <v>7</v>
      </c>
      <c r="Z72" s="34" t="n">
        <f aca="false">IF(Y72=0,"",AVERAGE(F72,I72,L72,O72,R72,U72,X72))</f>
        <v>0.805616176558289</v>
      </c>
      <c r="AA72" s="47" t="n">
        <f aca="false">IF(ISNUMBER(Z72),C72*Z72,"")</f>
        <v>3722.26092600815</v>
      </c>
    </row>
    <row r="73" customFormat="false" ht="15" hidden="false" customHeight="false" outlineLevel="0" collapsed="false">
      <c r="A73" s="12" t="s">
        <v>342</v>
      </c>
      <c r="B73" s="10" t="s">
        <v>2223</v>
      </c>
      <c r="C73" s="44" t="n">
        <v>2783.28</v>
      </c>
      <c r="D73" s="45" t="n">
        <v>106</v>
      </c>
      <c r="E73" s="45" t="n">
        <v>104</v>
      </c>
      <c r="F73" s="46" t="n">
        <f aca="false">IF(D73&gt;=$C$3,E73/D73,"")</f>
        <v>0.981132075471698</v>
      </c>
      <c r="G73" s="45" t="n">
        <v>10</v>
      </c>
      <c r="H73" s="45" t="n">
        <v>10</v>
      </c>
      <c r="I73" s="46" t="n">
        <f aca="false">IF(G73&gt;=$C$3,H73/G73,"")</f>
        <v>1</v>
      </c>
      <c r="J73" s="45" t="n">
        <v>1</v>
      </c>
      <c r="K73" s="45" t="n">
        <v>1</v>
      </c>
      <c r="L73" s="46" t="str">
        <f aca="false">IF(J73&gt;=$C$3,K73/J73,"")</f>
        <v/>
      </c>
      <c r="M73" s="45" t="n">
        <v>5</v>
      </c>
      <c r="N73" s="45" t="n">
        <v>5</v>
      </c>
      <c r="O73" s="46" t="n">
        <f aca="false">IF(M73&gt;=$C$3,N73/M73,"")</f>
        <v>1</v>
      </c>
      <c r="P73" s="45" t="n">
        <v>8</v>
      </c>
      <c r="Q73" s="45" t="n">
        <v>8</v>
      </c>
      <c r="R73" s="46" t="n">
        <f aca="false">IF(P73&gt;=$C$3,Q73/P73,"")</f>
        <v>1</v>
      </c>
      <c r="S73" s="45" t="n">
        <v>0</v>
      </c>
      <c r="T73" s="45" t="n">
        <v>0</v>
      </c>
      <c r="U73" s="46" t="str">
        <f aca="false">IF(S73&gt;=$C$3,T73/S73,"")</f>
        <v/>
      </c>
      <c r="V73" s="45" t="n">
        <v>1</v>
      </c>
      <c r="W73" s="45" t="n">
        <v>1</v>
      </c>
      <c r="X73" s="46" t="str">
        <f aca="false">IF(V73&gt;=$C$3,W73/V73,"")</f>
        <v/>
      </c>
      <c r="Y73" s="7" t="n">
        <f aca="false">COUNT(F73,I73,L73,O73,R73,U73,X73)</f>
        <v>4</v>
      </c>
      <c r="Z73" s="34" t="n">
        <f aca="false">IF(Y73=0,"",AVERAGE(F73,I73,L73,O73,R73,U73,X73))</f>
        <v>0.995283018867925</v>
      </c>
      <c r="AA73" s="47" t="n">
        <f aca="false">IF(ISNUMBER(Z73),C73*Z73,"")</f>
        <v>2770.15132075472</v>
      </c>
    </row>
    <row r="74" customFormat="false" ht="15" hidden="false" customHeight="false" outlineLevel="0" collapsed="false">
      <c r="A74" s="12" t="s">
        <v>142</v>
      </c>
      <c r="B74" s="10" t="s">
        <v>2217</v>
      </c>
      <c r="C74" s="44" t="n">
        <v>5255.61</v>
      </c>
      <c r="D74" s="45" t="n">
        <v>17</v>
      </c>
      <c r="E74" s="45" t="n">
        <v>16</v>
      </c>
      <c r="F74" s="46" t="n">
        <f aca="false">IF(D74&gt;=$C$3,E74/D74,"")</f>
        <v>0.941176470588235</v>
      </c>
      <c r="G74" s="45" t="n">
        <v>4</v>
      </c>
      <c r="H74" s="45" t="n">
        <v>4</v>
      </c>
      <c r="I74" s="46" t="n">
        <f aca="false">IF(G74&gt;=$C$3,H74/G74,"")</f>
        <v>1</v>
      </c>
      <c r="J74" s="45" t="n">
        <v>2</v>
      </c>
      <c r="K74" s="45" t="n">
        <v>2</v>
      </c>
      <c r="L74" s="46" t="str">
        <f aca="false">IF(J74&gt;=$C$3,K74/J74,"")</f>
        <v/>
      </c>
      <c r="M74" s="45" t="n">
        <v>4</v>
      </c>
      <c r="N74" s="45" t="n">
        <v>4</v>
      </c>
      <c r="O74" s="46" t="n">
        <f aca="false">IF(M74&gt;=$C$3,N74/M74,"")</f>
        <v>1</v>
      </c>
      <c r="P74" s="45" t="n">
        <v>2</v>
      </c>
      <c r="Q74" s="45" t="n">
        <v>2</v>
      </c>
      <c r="R74" s="46" t="str">
        <f aca="false">IF(P74&gt;=$C$3,Q74/P74,"")</f>
        <v/>
      </c>
      <c r="S74" s="45" t="n">
        <v>0</v>
      </c>
      <c r="T74" s="45" t="n">
        <v>0</v>
      </c>
      <c r="U74" s="46" t="str">
        <f aca="false">IF(S74&gt;=$C$3,T74/S74,"")</f>
        <v/>
      </c>
      <c r="V74" s="45" t="n">
        <v>13</v>
      </c>
      <c r="W74" s="45" t="n">
        <v>13</v>
      </c>
      <c r="X74" s="46" t="n">
        <f aca="false">IF(V74&gt;=$C$3,W74/V74,"")</f>
        <v>1</v>
      </c>
      <c r="Y74" s="7" t="n">
        <f aca="false">COUNT(F74,I74,L74,O74,R74,U74,X74)</f>
        <v>4</v>
      </c>
      <c r="Z74" s="34" t="n">
        <f aca="false">IF(Y74=0,"",AVERAGE(F74,I74,L74,O74,R74,U74,X74))</f>
        <v>0.985294117647059</v>
      </c>
      <c r="AA74" s="47" t="n">
        <f aca="false">IF(ISNUMBER(Z74),C74*Z74,"")</f>
        <v>5178.32161764706</v>
      </c>
    </row>
    <row r="75" customFormat="false" ht="15" hidden="false" customHeight="false" outlineLevel="0" collapsed="false">
      <c r="A75" s="12" t="s">
        <v>131</v>
      </c>
      <c r="B75" s="10" t="s">
        <v>2223</v>
      </c>
      <c r="C75" s="44" t="n">
        <v>1874.63</v>
      </c>
      <c r="D75" s="45" t="n">
        <v>127</v>
      </c>
      <c r="E75" s="45" t="n">
        <v>127</v>
      </c>
      <c r="F75" s="46" t="n">
        <f aca="false">IF(D75&gt;=$C$3,E75/D75,"")</f>
        <v>1</v>
      </c>
      <c r="G75" s="45" t="n">
        <v>9</v>
      </c>
      <c r="H75" s="45" t="n">
        <v>9</v>
      </c>
      <c r="I75" s="46" t="n">
        <f aca="false">IF(G75&gt;=$C$3,H75/G75,"")</f>
        <v>1</v>
      </c>
      <c r="J75" s="45" t="n">
        <v>2</v>
      </c>
      <c r="K75" s="45" t="n">
        <v>2</v>
      </c>
      <c r="L75" s="46" t="str">
        <f aca="false">IF(J75&gt;=$C$3,K75/J75,"")</f>
        <v/>
      </c>
      <c r="M75" s="45" t="n">
        <v>5</v>
      </c>
      <c r="N75" s="45" t="n">
        <v>5</v>
      </c>
      <c r="O75" s="46" t="n">
        <f aca="false">IF(M75&gt;=$C$3,N75/M75,"")</f>
        <v>1</v>
      </c>
      <c r="P75" s="45" t="n">
        <v>2</v>
      </c>
      <c r="Q75" s="45" t="n">
        <v>2</v>
      </c>
      <c r="R75" s="46" t="str">
        <f aca="false">IF(P75&gt;=$C$3,Q75/P75,"")</f>
        <v/>
      </c>
      <c r="S75" s="45" t="n">
        <v>2</v>
      </c>
      <c r="T75" s="45" t="n">
        <v>2</v>
      </c>
      <c r="U75" s="46" t="str">
        <f aca="false">IF(S75&gt;=$C$3,T75/S75,"")</f>
        <v/>
      </c>
      <c r="V75" s="45" t="n">
        <v>11</v>
      </c>
      <c r="W75" s="45" t="n">
        <v>11</v>
      </c>
      <c r="X75" s="46" t="n">
        <f aca="false">IF(V75&gt;=$C$3,W75/V75,"")</f>
        <v>1</v>
      </c>
      <c r="Y75" s="7" t="n">
        <f aca="false">COUNT(F75,I75,L75,O75,R75,U75,X75)</f>
        <v>4</v>
      </c>
      <c r="Z75" s="34" t="n">
        <f aca="false">IF(Y75=0,"",AVERAGE(F75,I75,L75,O75,R75,U75,X75))</f>
        <v>1</v>
      </c>
      <c r="AA75" s="47" t="n">
        <f aca="false">IF(ISNUMBER(Z75),C75*Z75,"")</f>
        <v>1874.63</v>
      </c>
    </row>
    <row r="76" customFormat="false" ht="15" hidden="false" customHeight="false" outlineLevel="0" collapsed="false">
      <c r="A76" s="12" t="s">
        <v>145</v>
      </c>
      <c r="B76" s="10" t="s">
        <v>2219</v>
      </c>
      <c r="C76" s="44" t="n">
        <v>53539.87</v>
      </c>
      <c r="D76" s="45" t="n">
        <v>92</v>
      </c>
      <c r="E76" s="45" t="n">
        <v>92</v>
      </c>
      <c r="F76" s="46" t="n">
        <f aca="false">IF(D76&gt;=$C$3,E76/D76,"")</f>
        <v>1</v>
      </c>
      <c r="G76" s="45" t="n">
        <v>11</v>
      </c>
      <c r="H76" s="45" t="n">
        <v>11</v>
      </c>
      <c r="I76" s="46" t="n">
        <f aca="false">IF(G76&gt;=$C$3,H76/G76,"")</f>
        <v>1</v>
      </c>
      <c r="J76" s="45" t="n">
        <v>6</v>
      </c>
      <c r="K76" s="45" t="n">
        <v>6</v>
      </c>
      <c r="L76" s="46" t="n">
        <f aca="false">IF(J76&gt;=$C$3,K76/J76,"")</f>
        <v>1</v>
      </c>
      <c r="M76" s="45" t="n">
        <v>5</v>
      </c>
      <c r="N76" s="45" t="n">
        <v>5</v>
      </c>
      <c r="O76" s="46" t="n">
        <f aca="false">IF(M76&gt;=$C$3,N76/M76,"")</f>
        <v>1</v>
      </c>
      <c r="P76" s="45" t="n">
        <v>11</v>
      </c>
      <c r="Q76" s="45" t="n">
        <v>11</v>
      </c>
      <c r="R76" s="46" t="n">
        <f aca="false">IF(P76&gt;=$C$3,Q76/P76,"")</f>
        <v>1</v>
      </c>
      <c r="S76" s="45" t="n">
        <v>3</v>
      </c>
      <c r="T76" s="45" t="n">
        <v>3</v>
      </c>
      <c r="U76" s="46" t="n">
        <f aca="false">IF(S76&gt;=$C$3,T76/S76,"")</f>
        <v>1</v>
      </c>
      <c r="V76" s="45" t="n">
        <v>6</v>
      </c>
      <c r="W76" s="45" t="n">
        <v>6</v>
      </c>
      <c r="X76" s="46" t="n">
        <f aca="false">IF(V76&gt;=$C$3,W76/V76,"")</f>
        <v>1</v>
      </c>
      <c r="Y76" s="7" t="n">
        <f aca="false">COUNT(F76,I76,L76,O76,R76,U76,X76)</f>
        <v>7</v>
      </c>
      <c r="Z76" s="34" t="n">
        <f aca="false">IF(Y76=0,"",AVERAGE(F76,I76,L76,O76,R76,U76,X76))</f>
        <v>1</v>
      </c>
      <c r="AA76" s="47" t="n">
        <f aca="false">IF(ISNUMBER(Z76),C76*Z76,"")</f>
        <v>53539.87</v>
      </c>
    </row>
    <row r="77" customFormat="false" ht="15" hidden="false" customHeight="false" outlineLevel="0" collapsed="false">
      <c r="A77" s="12" t="s">
        <v>326</v>
      </c>
      <c r="B77" s="10" t="s">
        <v>2217</v>
      </c>
      <c r="C77" s="44" t="n">
        <v>5896.49</v>
      </c>
      <c r="D77" s="45" t="n">
        <v>48</v>
      </c>
      <c r="E77" s="45" t="n">
        <v>48</v>
      </c>
      <c r="F77" s="46" t="n">
        <f aca="false">IF(D77&gt;=$C$3,E77/D77,"")</f>
        <v>1</v>
      </c>
      <c r="G77" s="45" t="n">
        <v>8</v>
      </c>
      <c r="H77" s="45" t="n">
        <v>8</v>
      </c>
      <c r="I77" s="46" t="n">
        <f aca="false">IF(G77&gt;=$C$3,H77/G77,"")</f>
        <v>1</v>
      </c>
      <c r="J77" s="45" t="n">
        <v>2</v>
      </c>
      <c r="K77" s="45" t="n">
        <v>2</v>
      </c>
      <c r="L77" s="46" t="str">
        <f aca="false">IF(J77&gt;=$C$3,K77/J77,"")</f>
        <v/>
      </c>
      <c r="M77" s="45" t="n">
        <v>6</v>
      </c>
      <c r="N77" s="45" t="n">
        <v>6</v>
      </c>
      <c r="O77" s="46" t="n">
        <f aca="false">IF(M77&gt;=$C$3,N77/M77,"")</f>
        <v>1</v>
      </c>
      <c r="P77" s="45" t="n">
        <v>1</v>
      </c>
      <c r="Q77" s="45" t="n">
        <v>1</v>
      </c>
      <c r="R77" s="46" t="str">
        <f aca="false">IF(P77&gt;=$C$3,Q77/P77,"")</f>
        <v/>
      </c>
      <c r="S77" s="45" t="n">
        <v>0</v>
      </c>
      <c r="T77" s="45" t="n">
        <v>0</v>
      </c>
      <c r="U77" s="46" t="str">
        <f aca="false">IF(S77&gt;=$C$3,T77/S77,"")</f>
        <v/>
      </c>
      <c r="V77" s="45" t="n">
        <v>18</v>
      </c>
      <c r="W77" s="45" t="n">
        <v>18</v>
      </c>
      <c r="X77" s="46" t="n">
        <f aca="false">IF(V77&gt;=$C$3,W77/V77,"")</f>
        <v>1</v>
      </c>
      <c r="Y77" s="7" t="n">
        <f aca="false">COUNT(F77,I77,L77,O77,R77,U77,X77)</f>
        <v>4</v>
      </c>
      <c r="Z77" s="34" t="n">
        <f aca="false">IF(Y77=0,"",AVERAGE(F77,I77,L77,O77,R77,U77,X77))</f>
        <v>1</v>
      </c>
      <c r="AA77" s="47" t="n">
        <f aca="false">IF(ISNUMBER(Z77),C77*Z77,"")</f>
        <v>5896.49</v>
      </c>
    </row>
    <row r="78" customFormat="false" ht="15" hidden="false" customHeight="false" outlineLevel="0" collapsed="false">
      <c r="A78" s="12" t="s">
        <v>473</v>
      </c>
      <c r="B78" s="10" t="s">
        <v>2230</v>
      </c>
      <c r="C78" s="44" t="n">
        <v>130453.11</v>
      </c>
      <c r="D78" s="45" t="n">
        <v>557</v>
      </c>
      <c r="E78" s="45" t="n">
        <v>113</v>
      </c>
      <c r="F78" s="46" t="n">
        <f aca="false">IF(D78&gt;=$C$3,E78/D78,"")</f>
        <v>0.202872531418312</v>
      </c>
      <c r="G78" s="45" t="n">
        <v>91</v>
      </c>
      <c r="H78" s="45" t="n">
        <v>8</v>
      </c>
      <c r="I78" s="46" t="n">
        <f aca="false">IF(G78&gt;=$C$3,H78/G78,"")</f>
        <v>0.0879120879120879</v>
      </c>
      <c r="J78" s="45" t="n">
        <v>32</v>
      </c>
      <c r="K78" s="45" t="n">
        <v>0</v>
      </c>
      <c r="L78" s="46" t="n">
        <f aca="false">IF(J78&gt;=$C$3,K78/J78,"")</f>
        <v>0</v>
      </c>
      <c r="M78" s="45" t="n">
        <v>126</v>
      </c>
      <c r="N78" s="45" t="n">
        <v>5</v>
      </c>
      <c r="O78" s="46" t="n">
        <f aca="false">IF(M78&gt;=$C$3,N78/M78,"")</f>
        <v>0.0396825396825397</v>
      </c>
      <c r="P78" s="45" t="n">
        <v>76</v>
      </c>
      <c r="Q78" s="45" t="n">
        <v>11</v>
      </c>
      <c r="R78" s="46" t="n">
        <f aca="false">IF(P78&gt;=$C$3,Q78/P78,"")</f>
        <v>0.144736842105263</v>
      </c>
      <c r="S78" s="45" t="n">
        <v>49</v>
      </c>
      <c r="T78" s="45" t="n">
        <v>10</v>
      </c>
      <c r="U78" s="46" t="n">
        <f aca="false">IF(S78&gt;=$C$3,T78/S78,"")</f>
        <v>0.204081632653061</v>
      </c>
      <c r="V78" s="45" t="n">
        <v>87</v>
      </c>
      <c r="W78" s="45" t="n">
        <v>4</v>
      </c>
      <c r="X78" s="46" t="n">
        <f aca="false">IF(V78&gt;=$C$3,W78/V78,"")</f>
        <v>0.0459770114942529</v>
      </c>
      <c r="Y78" s="7" t="n">
        <f aca="false">COUNT(F78,I78,L78,O78,R78,U78,X78)</f>
        <v>7</v>
      </c>
      <c r="Z78" s="34" t="n">
        <f aca="false">IF(Y78=0,"",AVERAGE(F78,I78,L78,O78,R78,U78,X78))</f>
        <v>0.103608949323645</v>
      </c>
      <c r="AA78" s="47" t="n">
        <f aca="false">IF(ISNUMBER(Z78),C78*Z78,"")</f>
        <v>13516.1096631019</v>
      </c>
    </row>
    <row r="79" customFormat="false" ht="15" hidden="false" customHeight="false" outlineLevel="0" collapsed="false">
      <c r="A79" s="12" t="s">
        <v>227</v>
      </c>
      <c r="B79" s="10" t="s">
        <v>2227</v>
      </c>
      <c r="C79" s="44" t="n">
        <v>662.47</v>
      </c>
      <c r="D79" s="45" t="n">
        <v>2</v>
      </c>
      <c r="E79" s="45" t="n">
        <v>1</v>
      </c>
      <c r="F79" s="46" t="str">
        <f aca="false">IF(D79&gt;=$C$3,E79/D79,"")</f>
        <v/>
      </c>
      <c r="G79" s="45" t="n">
        <v>0</v>
      </c>
      <c r="H79" s="45" t="n">
        <v>0</v>
      </c>
      <c r="I79" s="46" t="str">
        <f aca="false">IF(G79&gt;=$C$3,H79/G79,"")</f>
        <v/>
      </c>
      <c r="J79" s="45" t="n">
        <v>2</v>
      </c>
      <c r="K79" s="45" t="n">
        <v>1</v>
      </c>
      <c r="L79" s="46" t="str">
        <f aca="false">IF(J79&gt;=$C$3,K79/J79,"")</f>
        <v/>
      </c>
      <c r="M79" s="45" t="n">
        <v>0</v>
      </c>
      <c r="N79" s="45" t="n">
        <v>0</v>
      </c>
      <c r="O79" s="46" t="str">
        <f aca="false">IF(M79&gt;=$C$3,N79/M79,"")</f>
        <v/>
      </c>
      <c r="P79" s="45" t="n">
        <v>0</v>
      </c>
      <c r="Q79" s="45" t="n">
        <v>0</v>
      </c>
      <c r="R79" s="46" t="str">
        <f aca="false">IF(P79&gt;=$C$3,Q79/P79,"")</f>
        <v/>
      </c>
      <c r="S79" s="45" t="n">
        <v>0</v>
      </c>
      <c r="T79" s="45" t="n">
        <v>0</v>
      </c>
      <c r="U79" s="46" t="str">
        <f aca="false">IF(S79&gt;=$C$3,T79/S79,"")</f>
        <v/>
      </c>
      <c r="V79" s="45" t="n">
        <v>9</v>
      </c>
      <c r="W79" s="45" t="n">
        <v>2</v>
      </c>
      <c r="X79" s="46" t="n">
        <f aca="false">IF(V79&gt;=$C$3,W79/V79,"")</f>
        <v>0.222222222222222</v>
      </c>
      <c r="Y79" s="7" t="n">
        <f aca="false">COUNT(F79,I79,L79,O79,R79,U79,X79)</f>
        <v>1</v>
      </c>
      <c r="Z79" s="34" t="n">
        <f aca="false">IF(Y79=0,"",AVERAGE(F79,I79,L79,O79,R79,U79,X79))</f>
        <v>0.222222222222222</v>
      </c>
      <c r="AA79" s="47" t="n">
        <f aca="false">IF(ISNUMBER(Z79),C79*Z79,"")</f>
        <v>147.215555555556</v>
      </c>
    </row>
    <row r="80" customFormat="false" ht="15" hidden="false" customHeight="false" outlineLevel="0" collapsed="false">
      <c r="A80" s="12" t="s">
        <v>280</v>
      </c>
      <c r="B80" s="10" t="s">
        <v>2218</v>
      </c>
      <c r="C80" s="44" t="n">
        <v>1781.11</v>
      </c>
      <c r="D80" s="45" t="n">
        <v>24</v>
      </c>
      <c r="E80" s="45" t="n">
        <v>24</v>
      </c>
      <c r="F80" s="46" t="n">
        <f aca="false">IF(D80&gt;=$C$3,E80/D80,"")</f>
        <v>1</v>
      </c>
      <c r="G80" s="45" t="n">
        <v>2</v>
      </c>
      <c r="H80" s="45" t="n">
        <v>2</v>
      </c>
      <c r="I80" s="46" t="str">
        <f aca="false">IF(G80&gt;=$C$3,H80/G80,"")</f>
        <v/>
      </c>
      <c r="J80" s="45" t="n">
        <v>2</v>
      </c>
      <c r="K80" s="45" t="n">
        <v>2</v>
      </c>
      <c r="L80" s="46" t="str">
        <f aca="false">IF(J80&gt;=$C$3,K80/J80,"")</f>
        <v/>
      </c>
      <c r="M80" s="45" t="n">
        <v>0</v>
      </c>
      <c r="N80" s="45" t="n">
        <v>0</v>
      </c>
      <c r="O80" s="46" t="str">
        <f aca="false">IF(M80&gt;=$C$3,N80/M80,"")</f>
        <v/>
      </c>
      <c r="P80" s="45" t="n">
        <v>2</v>
      </c>
      <c r="Q80" s="45" t="n">
        <v>2</v>
      </c>
      <c r="R80" s="46" t="str">
        <f aca="false">IF(P80&gt;=$C$3,Q80/P80,"")</f>
        <v/>
      </c>
      <c r="S80" s="45" t="n">
        <v>1</v>
      </c>
      <c r="T80" s="45" t="n">
        <v>1</v>
      </c>
      <c r="U80" s="46" t="str">
        <f aca="false">IF(S80&gt;=$C$3,T80/S80,"")</f>
        <v/>
      </c>
      <c r="V80" s="45" t="n">
        <v>7</v>
      </c>
      <c r="W80" s="45" t="n">
        <v>7</v>
      </c>
      <c r="X80" s="46" t="n">
        <f aca="false">IF(V80&gt;=$C$3,W80/V80,"")</f>
        <v>1</v>
      </c>
      <c r="Y80" s="7" t="n">
        <f aca="false">COUNT(F80,I80,L80,O80,R80,U80,X80)</f>
        <v>2</v>
      </c>
      <c r="Z80" s="34" t="n">
        <f aca="false">IF(Y80=0,"",AVERAGE(F80,I80,L80,O80,R80,U80,X80))</f>
        <v>1</v>
      </c>
      <c r="AA80" s="47" t="n">
        <f aca="false">IF(ISNUMBER(Z80),C80*Z80,"")</f>
        <v>1781.11</v>
      </c>
    </row>
    <row r="81" customFormat="false" ht="15" hidden="false" customHeight="false" outlineLevel="0" collapsed="false">
      <c r="A81" s="12" t="s">
        <v>575</v>
      </c>
      <c r="B81" s="10" t="s">
        <v>2230</v>
      </c>
      <c r="C81" s="44" t="n">
        <v>34008.96</v>
      </c>
      <c r="D81" s="45" t="n">
        <v>97</v>
      </c>
      <c r="E81" s="45" t="n">
        <v>7</v>
      </c>
      <c r="F81" s="46" t="n">
        <f aca="false">IF(D81&gt;=$C$3,E81/D81,"")</f>
        <v>0.0721649484536082</v>
      </c>
      <c r="G81" s="45" t="n">
        <v>26</v>
      </c>
      <c r="H81" s="45" t="n">
        <v>0</v>
      </c>
      <c r="I81" s="46" t="n">
        <f aca="false">IF(G81&gt;=$C$3,H81/G81,"")</f>
        <v>0</v>
      </c>
      <c r="J81" s="45" t="n">
        <v>20</v>
      </c>
      <c r="K81" s="45" t="n">
        <v>2</v>
      </c>
      <c r="L81" s="46" t="n">
        <f aca="false">IF(J81&gt;=$C$3,K81/J81,"")</f>
        <v>0.1</v>
      </c>
      <c r="M81" s="45" t="n">
        <v>16</v>
      </c>
      <c r="N81" s="45" t="n">
        <v>0</v>
      </c>
      <c r="O81" s="46" t="n">
        <f aca="false">IF(M81&gt;=$C$3,N81/M81,"")</f>
        <v>0</v>
      </c>
      <c r="P81" s="45" t="n">
        <v>0</v>
      </c>
      <c r="Q81" s="45" t="n">
        <v>0</v>
      </c>
      <c r="R81" s="46" t="str">
        <f aca="false">IF(P81&gt;=$C$3,Q81/P81,"")</f>
        <v/>
      </c>
      <c r="S81" s="45" t="n">
        <v>5</v>
      </c>
      <c r="T81" s="45" t="n">
        <v>0</v>
      </c>
      <c r="U81" s="46" t="n">
        <f aca="false">IF(S81&gt;=$C$3,T81/S81,"")</f>
        <v>0</v>
      </c>
      <c r="V81" s="45" t="n">
        <v>94</v>
      </c>
      <c r="W81" s="45" t="n">
        <v>10</v>
      </c>
      <c r="X81" s="46" t="n">
        <f aca="false">IF(V81&gt;=$C$3,W81/V81,"")</f>
        <v>0.106382978723404</v>
      </c>
      <c r="Y81" s="7" t="n">
        <f aca="false">COUNT(F81,I81,L81,O81,R81,U81,X81)</f>
        <v>6</v>
      </c>
      <c r="Z81" s="34" t="n">
        <f aca="false">IF(Y81=0,"",AVERAGE(F81,I81,L81,O81,R81,U81,X81))</f>
        <v>0.0464246545295021</v>
      </c>
      <c r="AA81" s="47" t="n">
        <f aca="false">IF(ISNUMBER(Z81),C81*Z81,"")</f>
        <v>1578.85421890766</v>
      </c>
    </row>
    <row r="82" customFormat="false" ht="15" hidden="false" customHeight="false" outlineLevel="0" collapsed="false">
      <c r="A82" s="12" t="s">
        <v>277</v>
      </c>
      <c r="B82" s="10" t="s">
        <v>2234</v>
      </c>
      <c r="C82" s="44" t="n">
        <v>1115.28</v>
      </c>
      <c r="D82" s="45" t="n">
        <v>376</v>
      </c>
      <c r="E82" s="45" t="n">
        <v>94</v>
      </c>
      <c r="F82" s="46" t="n">
        <f aca="false">IF(D82&gt;=$C$3,E82/D82,"")</f>
        <v>0.25</v>
      </c>
      <c r="G82" s="45" t="n">
        <v>110</v>
      </c>
      <c r="H82" s="45" t="n">
        <v>13</v>
      </c>
      <c r="I82" s="46" t="n">
        <f aca="false">IF(G82&gt;=$C$3,H82/G82,"")</f>
        <v>0.118181818181818</v>
      </c>
      <c r="J82" s="45" t="n">
        <v>24</v>
      </c>
      <c r="K82" s="45" t="n">
        <v>8</v>
      </c>
      <c r="L82" s="46" t="n">
        <f aca="false">IF(J82&gt;=$C$3,K82/J82,"")</f>
        <v>0.333333333333333</v>
      </c>
      <c r="M82" s="45" t="n">
        <v>59</v>
      </c>
      <c r="N82" s="45" t="n">
        <v>26</v>
      </c>
      <c r="O82" s="46" t="n">
        <f aca="false">IF(M82&gt;=$C$3,N82/M82,"")</f>
        <v>0.440677966101695</v>
      </c>
      <c r="P82" s="45" t="n">
        <v>22</v>
      </c>
      <c r="Q82" s="45" t="n">
        <v>6</v>
      </c>
      <c r="R82" s="46" t="n">
        <f aca="false">IF(P82&gt;=$C$3,Q82/P82,"")</f>
        <v>0.272727272727273</v>
      </c>
      <c r="S82" s="45" t="n">
        <v>21</v>
      </c>
      <c r="T82" s="45" t="n">
        <v>5</v>
      </c>
      <c r="U82" s="46" t="n">
        <f aca="false">IF(S82&gt;=$C$3,T82/S82,"")</f>
        <v>0.238095238095238</v>
      </c>
      <c r="V82" s="45" t="n">
        <v>33</v>
      </c>
      <c r="W82" s="45" t="n">
        <v>5</v>
      </c>
      <c r="X82" s="46" t="n">
        <f aca="false">IF(V82&gt;=$C$3,W82/V82,"")</f>
        <v>0.151515151515152</v>
      </c>
      <c r="Y82" s="7" t="n">
        <f aca="false">COUNT(F82,I82,L82,O82,R82,U82,X82)</f>
        <v>7</v>
      </c>
      <c r="Z82" s="34" t="n">
        <f aca="false">IF(Y82=0,"",AVERAGE(F82,I82,L82,O82,R82,U82,X82))</f>
        <v>0.257790111422073</v>
      </c>
      <c r="AA82" s="47" t="n">
        <f aca="false">IF(ISNUMBER(Z82),C82*Z82,"")</f>
        <v>287.508155466809</v>
      </c>
    </row>
    <row r="83" customFormat="false" ht="15" hidden="false" customHeight="false" outlineLevel="0" collapsed="false">
      <c r="A83" s="12" t="s">
        <v>458</v>
      </c>
      <c r="B83" s="10" t="s">
        <v>2233</v>
      </c>
      <c r="C83" s="44" t="n">
        <v>376.39</v>
      </c>
      <c r="D83" s="45" t="n">
        <v>60</v>
      </c>
      <c r="E83" s="45" t="n">
        <v>58</v>
      </c>
      <c r="F83" s="46" t="n">
        <f aca="false">IF(D83&gt;=$C$3,E83/D83,"")</f>
        <v>0.966666666666667</v>
      </c>
      <c r="G83" s="45" t="n">
        <v>3</v>
      </c>
      <c r="H83" s="45" t="n">
        <v>3</v>
      </c>
      <c r="I83" s="46" t="n">
        <f aca="false">IF(G83&gt;=$C$3,H83/G83,"")</f>
        <v>1</v>
      </c>
      <c r="J83" s="45" t="n">
        <v>1</v>
      </c>
      <c r="K83" s="45" t="n">
        <v>1</v>
      </c>
      <c r="L83" s="46" t="str">
        <f aca="false">IF(J83&gt;=$C$3,K83/J83,"")</f>
        <v/>
      </c>
      <c r="M83" s="45" t="n">
        <v>30</v>
      </c>
      <c r="N83" s="45" t="n">
        <v>30</v>
      </c>
      <c r="O83" s="46" t="n">
        <f aca="false">IF(M83&gt;=$C$3,N83/M83,"")</f>
        <v>1</v>
      </c>
      <c r="P83" s="45" t="n">
        <v>1</v>
      </c>
      <c r="Q83" s="45" t="n">
        <v>1</v>
      </c>
      <c r="R83" s="46" t="str">
        <f aca="false">IF(P83&gt;=$C$3,Q83/P83,"")</f>
        <v/>
      </c>
      <c r="S83" s="45" t="n">
        <v>5</v>
      </c>
      <c r="T83" s="45" t="n">
        <v>5</v>
      </c>
      <c r="U83" s="46" t="n">
        <f aca="false">IF(S83&gt;=$C$3,T83/S83,"")</f>
        <v>1</v>
      </c>
      <c r="V83" s="45" t="n">
        <v>4</v>
      </c>
      <c r="W83" s="45" t="n">
        <v>4</v>
      </c>
      <c r="X83" s="46" t="n">
        <f aca="false">IF(V83&gt;=$C$3,W83/V83,"")</f>
        <v>1</v>
      </c>
      <c r="Y83" s="7" t="n">
        <f aca="false">COUNT(F83,I83,L83,O83,R83,U83,X83)</f>
        <v>5</v>
      </c>
      <c r="Z83" s="34" t="n">
        <f aca="false">IF(Y83=0,"",AVERAGE(F83,I83,L83,O83,R83,U83,X83))</f>
        <v>0.993333333333333</v>
      </c>
      <c r="AA83" s="47" t="n">
        <f aca="false">IF(ISNUMBER(Z83),C83*Z83,"")</f>
        <v>373.880733333333</v>
      </c>
    </row>
    <row r="84" customFormat="false" ht="15" hidden="false" customHeight="false" outlineLevel="0" collapsed="false">
      <c r="A84" s="12" t="s">
        <v>423</v>
      </c>
      <c r="B84" s="10" t="s">
        <v>2219</v>
      </c>
      <c r="C84" s="44" t="n">
        <v>18803.98</v>
      </c>
      <c r="D84" s="45" t="n">
        <v>130</v>
      </c>
      <c r="E84" s="45" t="n">
        <v>70</v>
      </c>
      <c r="F84" s="46" t="n">
        <f aca="false">IF(D84&gt;=$C$3,E84/D84,"")</f>
        <v>0.538461538461538</v>
      </c>
      <c r="G84" s="45" t="n">
        <v>88</v>
      </c>
      <c r="H84" s="45" t="n">
        <v>24</v>
      </c>
      <c r="I84" s="46" t="n">
        <f aca="false">IF(G84&gt;=$C$3,H84/G84,"")</f>
        <v>0.272727272727273</v>
      </c>
      <c r="J84" s="45" t="n">
        <v>0</v>
      </c>
      <c r="K84" s="45" t="n">
        <v>0</v>
      </c>
      <c r="L84" s="46" t="str">
        <f aca="false">IF(J84&gt;=$C$3,K84/J84,"")</f>
        <v/>
      </c>
      <c r="M84" s="45" t="n">
        <v>38</v>
      </c>
      <c r="N84" s="45" t="n">
        <v>20</v>
      </c>
      <c r="O84" s="46" t="n">
        <f aca="false">IF(M84&gt;=$C$3,N84/M84,"")</f>
        <v>0.526315789473684</v>
      </c>
      <c r="P84" s="45" t="n">
        <v>12</v>
      </c>
      <c r="Q84" s="45" t="n">
        <v>0</v>
      </c>
      <c r="R84" s="46" t="n">
        <f aca="false">IF(P84&gt;=$C$3,Q84/P84,"")</f>
        <v>0</v>
      </c>
      <c r="S84" s="45" t="n">
        <v>2</v>
      </c>
      <c r="T84" s="45" t="n">
        <v>2</v>
      </c>
      <c r="U84" s="46" t="str">
        <f aca="false">IF(S84&gt;=$C$3,T84/S84,"")</f>
        <v/>
      </c>
      <c r="V84" s="45" t="n">
        <v>0</v>
      </c>
      <c r="W84" s="45" t="n">
        <v>0</v>
      </c>
      <c r="X84" s="46" t="str">
        <f aca="false">IF(V84&gt;=$C$3,W84/V84,"")</f>
        <v/>
      </c>
      <c r="Y84" s="7" t="n">
        <f aca="false">COUNT(F84,I84,L84,O84,R84,U84,X84)</f>
        <v>4</v>
      </c>
      <c r="Z84" s="34" t="n">
        <f aca="false">IF(Y84=0,"",AVERAGE(F84,I84,L84,O84,R84,U84,X84))</f>
        <v>0.334376150165624</v>
      </c>
      <c r="AA84" s="47" t="n">
        <f aca="false">IF(ISNUMBER(Z84),C84*Z84,"")</f>
        <v>6287.60244019139</v>
      </c>
    </row>
    <row r="85" customFormat="false" ht="15" hidden="false" customHeight="false" outlineLevel="0" collapsed="false">
      <c r="A85" s="12" t="s">
        <v>499</v>
      </c>
      <c r="B85" s="10" t="s">
        <v>2223</v>
      </c>
      <c r="C85" s="44" t="n">
        <v>5234.47</v>
      </c>
      <c r="D85" s="45" t="n">
        <v>70</v>
      </c>
      <c r="E85" s="45" t="n">
        <v>59</v>
      </c>
      <c r="F85" s="46" t="n">
        <f aca="false">IF(D85&gt;=$C$3,E85/D85,"")</f>
        <v>0.842857142857143</v>
      </c>
      <c r="G85" s="45" t="n">
        <v>7</v>
      </c>
      <c r="H85" s="45" t="n">
        <v>6</v>
      </c>
      <c r="I85" s="46" t="n">
        <f aca="false">IF(G85&gt;=$C$3,H85/G85,"")</f>
        <v>0.857142857142857</v>
      </c>
      <c r="J85" s="45" t="n">
        <v>3</v>
      </c>
      <c r="K85" s="45" t="n">
        <v>2</v>
      </c>
      <c r="L85" s="46" t="n">
        <f aca="false">IF(J85&gt;=$C$3,K85/J85,"")</f>
        <v>0.666666666666667</v>
      </c>
      <c r="M85" s="45" t="n">
        <v>5</v>
      </c>
      <c r="N85" s="45" t="n">
        <v>4</v>
      </c>
      <c r="O85" s="46" t="n">
        <f aca="false">IF(M85&gt;=$C$3,N85/M85,"")</f>
        <v>0.8</v>
      </c>
      <c r="P85" s="45" t="n">
        <v>2</v>
      </c>
      <c r="Q85" s="45" t="n">
        <v>2</v>
      </c>
      <c r="R85" s="46" t="str">
        <f aca="false">IF(P85&gt;=$C$3,Q85/P85,"")</f>
        <v/>
      </c>
      <c r="S85" s="45" t="n">
        <v>0</v>
      </c>
      <c r="T85" s="45" t="n">
        <v>0</v>
      </c>
      <c r="U85" s="46" t="str">
        <f aca="false">IF(S85&gt;=$C$3,T85/S85,"")</f>
        <v/>
      </c>
      <c r="V85" s="45" t="n">
        <v>5</v>
      </c>
      <c r="W85" s="45" t="n">
        <v>5</v>
      </c>
      <c r="X85" s="46" t="n">
        <f aca="false">IF(V85&gt;=$C$3,W85/V85,"")</f>
        <v>1</v>
      </c>
      <c r="Y85" s="7" t="n">
        <f aca="false">COUNT(F85,I85,L85,O85,R85,U85,X85)</f>
        <v>5</v>
      </c>
      <c r="Z85" s="34" t="n">
        <f aca="false">IF(Y85=0,"",AVERAGE(F85,I85,L85,O85,R85,U85,X85))</f>
        <v>0.833333333333333</v>
      </c>
      <c r="AA85" s="47" t="n">
        <f aca="false">IF(ISNUMBER(Z85),C85*Z85,"")</f>
        <v>4362.05833333333</v>
      </c>
    </row>
    <row r="86" customFormat="false" ht="15" hidden="false" customHeight="false" outlineLevel="0" collapsed="false">
      <c r="A86" s="12" t="s">
        <v>623</v>
      </c>
      <c r="B86" s="10" t="s">
        <v>2216</v>
      </c>
      <c r="C86" s="44" t="n">
        <v>1044.77</v>
      </c>
      <c r="D86" s="45" t="n">
        <v>57</v>
      </c>
      <c r="E86" s="45" t="n">
        <v>27</v>
      </c>
      <c r="F86" s="46" t="n">
        <f aca="false">IF(D86&gt;=$C$3,E86/D86,"")</f>
        <v>0.473684210526316</v>
      </c>
      <c r="G86" s="45" t="n">
        <v>7</v>
      </c>
      <c r="H86" s="45" t="n">
        <v>3</v>
      </c>
      <c r="I86" s="46" t="n">
        <f aca="false">IF(G86&gt;=$C$3,H86/G86,"")</f>
        <v>0.428571428571429</v>
      </c>
      <c r="J86" s="45" t="n">
        <v>3</v>
      </c>
      <c r="K86" s="45" t="n">
        <v>1</v>
      </c>
      <c r="L86" s="46" t="n">
        <f aca="false">IF(J86&gt;=$C$3,K86/J86,"")</f>
        <v>0.333333333333333</v>
      </c>
      <c r="M86" s="45" t="n">
        <v>8</v>
      </c>
      <c r="N86" s="45" t="n">
        <v>5</v>
      </c>
      <c r="O86" s="46" t="n">
        <f aca="false">IF(M86&gt;=$C$3,N86/M86,"")</f>
        <v>0.625</v>
      </c>
      <c r="P86" s="45" t="n">
        <v>3</v>
      </c>
      <c r="Q86" s="45" t="n">
        <v>1</v>
      </c>
      <c r="R86" s="46" t="n">
        <f aca="false">IF(P86&gt;=$C$3,Q86/P86,"")</f>
        <v>0.333333333333333</v>
      </c>
      <c r="S86" s="45" t="n">
        <v>3</v>
      </c>
      <c r="T86" s="45" t="n">
        <v>1</v>
      </c>
      <c r="U86" s="46" t="n">
        <f aca="false">IF(S86&gt;=$C$3,T86/S86,"")</f>
        <v>0.333333333333333</v>
      </c>
      <c r="V86" s="45" t="n">
        <v>14</v>
      </c>
      <c r="W86" s="45" t="n">
        <v>7</v>
      </c>
      <c r="X86" s="46" t="n">
        <f aca="false">IF(V86&gt;=$C$3,W86/V86,"")</f>
        <v>0.5</v>
      </c>
      <c r="Y86" s="7" t="n">
        <f aca="false">COUNT(F86,I86,L86,O86,R86,U86,X86)</f>
        <v>7</v>
      </c>
      <c r="Z86" s="34" t="n">
        <f aca="false">IF(Y86=0,"",AVERAGE(F86,I86,L86,O86,R86,U86,X86))</f>
        <v>0.432465091299678</v>
      </c>
      <c r="AA86" s="47" t="n">
        <f aca="false">IF(ISNUMBER(Z86),C86*Z86,"")</f>
        <v>451.826553437164</v>
      </c>
    </row>
    <row r="87" customFormat="false" ht="15" hidden="false" customHeight="false" outlineLevel="0" collapsed="false">
      <c r="A87" s="12" t="s">
        <v>394</v>
      </c>
      <c r="B87" s="10" t="s">
        <v>2223</v>
      </c>
      <c r="C87" s="44" t="n">
        <v>7496</v>
      </c>
      <c r="D87" s="45" t="n">
        <v>130</v>
      </c>
      <c r="E87" s="45" t="n">
        <v>68</v>
      </c>
      <c r="F87" s="46" t="n">
        <f aca="false">IF(D87&gt;=$C$3,E87/D87,"")</f>
        <v>0.523076923076923</v>
      </c>
      <c r="G87" s="45" t="n">
        <v>10</v>
      </c>
      <c r="H87" s="45" t="n">
        <v>6</v>
      </c>
      <c r="I87" s="46" t="n">
        <f aca="false">IF(G87&gt;=$C$3,H87/G87,"")</f>
        <v>0.6</v>
      </c>
      <c r="J87" s="45" t="n">
        <v>7</v>
      </c>
      <c r="K87" s="45" t="n">
        <v>4</v>
      </c>
      <c r="L87" s="46" t="n">
        <f aca="false">IF(J87&gt;=$C$3,K87/J87,"")</f>
        <v>0.571428571428571</v>
      </c>
      <c r="M87" s="45" t="n">
        <v>40</v>
      </c>
      <c r="N87" s="45" t="n">
        <v>29</v>
      </c>
      <c r="O87" s="46" t="n">
        <f aca="false">IF(M87&gt;=$C$3,N87/M87,"")</f>
        <v>0.725</v>
      </c>
      <c r="P87" s="45" t="n">
        <v>11</v>
      </c>
      <c r="Q87" s="45" t="n">
        <v>10</v>
      </c>
      <c r="R87" s="46" t="n">
        <f aca="false">IF(P87&gt;=$C$3,Q87/P87,"")</f>
        <v>0.909090909090909</v>
      </c>
      <c r="S87" s="45" t="n">
        <v>3</v>
      </c>
      <c r="T87" s="45" t="n">
        <v>2</v>
      </c>
      <c r="U87" s="46" t="n">
        <f aca="false">IF(S87&gt;=$C$3,T87/S87,"")</f>
        <v>0.666666666666667</v>
      </c>
      <c r="V87" s="45" t="n">
        <v>25</v>
      </c>
      <c r="W87" s="45" t="n">
        <v>14</v>
      </c>
      <c r="X87" s="46" t="n">
        <f aca="false">IF(V87&gt;=$C$3,W87/V87,"")</f>
        <v>0.56</v>
      </c>
      <c r="Y87" s="7" t="n">
        <f aca="false">COUNT(F87,I87,L87,O87,R87,U87,X87)</f>
        <v>7</v>
      </c>
      <c r="Z87" s="34" t="n">
        <f aca="false">IF(Y87=0,"",AVERAGE(F87,I87,L87,O87,R87,U87,X87))</f>
        <v>0.650751867180439</v>
      </c>
      <c r="AA87" s="47" t="n">
        <f aca="false">IF(ISNUMBER(Z87),C87*Z87,"")</f>
        <v>4878.03599638457</v>
      </c>
    </row>
    <row r="88" customFormat="false" ht="15" hidden="false" customHeight="false" outlineLevel="0" collapsed="false">
      <c r="A88" s="12" t="s">
        <v>217</v>
      </c>
      <c r="B88" s="10" t="s">
        <v>2221</v>
      </c>
      <c r="C88" s="44" t="n">
        <v>3407.51</v>
      </c>
      <c r="D88" s="45" t="n">
        <v>6</v>
      </c>
      <c r="E88" s="45" t="n">
        <v>6</v>
      </c>
      <c r="F88" s="46" t="n">
        <f aca="false">IF(D88&gt;=$C$3,E88/D88,"")</f>
        <v>1</v>
      </c>
      <c r="G88" s="45" t="n">
        <v>0</v>
      </c>
      <c r="H88" s="45" t="n">
        <v>0</v>
      </c>
      <c r="I88" s="46" t="str">
        <f aca="false">IF(G88&gt;=$C$3,H88/G88,"")</f>
        <v/>
      </c>
      <c r="J88" s="45" t="n">
        <v>0</v>
      </c>
      <c r="K88" s="45" t="n">
        <v>0</v>
      </c>
      <c r="L88" s="46" t="str">
        <f aca="false">IF(J88&gt;=$C$3,K88/J88,"")</f>
        <v/>
      </c>
      <c r="M88" s="45" t="n">
        <v>0</v>
      </c>
      <c r="N88" s="45" t="n">
        <v>0</v>
      </c>
      <c r="O88" s="46" t="str">
        <f aca="false">IF(M88&gt;=$C$3,N88/M88,"")</f>
        <v/>
      </c>
      <c r="P88" s="45" t="n">
        <v>0</v>
      </c>
      <c r="Q88" s="45" t="n">
        <v>0</v>
      </c>
      <c r="R88" s="46" t="str">
        <f aca="false">IF(P88&gt;=$C$3,Q88/P88,"")</f>
        <v/>
      </c>
      <c r="S88" s="45" t="n">
        <v>0</v>
      </c>
      <c r="T88" s="45" t="n">
        <v>0</v>
      </c>
      <c r="U88" s="46" t="str">
        <f aca="false">IF(S88&gt;=$C$3,T88/S88,"")</f>
        <v/>
      </c>
      <c r="V88" s="45" t="n">
        <v>7</v>
      </c>
      <c r="W88" s="45" t="n">
        <v>7</v>
      </c>
      <c r="X88" s="46" t="n">
        <f aca="false">IF(V88&gt;=$C$3,W88/V88,"")</f>
        <v>1</v>
      </c>
      <c r="Y88" s="7" t="n">
        <f aca="false">COUNT(F88,I88,L88,O88,R88,U88,X88)</f>
        <v>2</v>
      </c>
      <c r="Z88" s="34" t="n">
        <f aca="false">IF(Y88=0,"",AVERAGE(F88,I88,L88,O88,R88,U88,X88))</f>
        <v>1</v>
      </c>
      <c r="AA88" s="47" t="n">
        <f aca="false">IF(ISNUMBER(Z88),C88*Z88,"")</f>
        <v>3407.51</v>
      </c>
    </row>
    <row r="89" customFormat="false" ht="15" hidden="false" customHeight="false" outlineLevel="0" collapsed="false">
      <c r="A89" s="12" t="s">
        <v>337</v>
      </c>
      <c r="B89" s="10" t="s">
        <v>2235</v>
      </c>
      <c r="C89" s="44" t="n">
        <v>5357.19</v>
      </c>
      <c r="D89" s="45" t="n">
        <v>175</v>
      </c>
      <c r="E89" s="45" t="n">
        <v>128</v>
      </c>
      <c r="F89" s="46" t="n">
        <f aca="false">IF(D89&gt;=$C$3,E89/D89,"")</f>
        <v>0.731428571428571</v>
      </c>
      <c r="G89" s="45" t="n">
        <v>14</v>
      </c>
      <c r="H89" s="45" t="n">
        <v>10</v>
      </c>
      <c r="I89" s="46" t="n">
        <f aca="false">IF(G89&gt;=$C$3,H89/G89,"")</f>
        <v>0.714285714285714</v>
      </c>
      <c r="J89" s="45" t="n">
        <v>9</v>
      </c>
      <c r="K89" s="45" t="n">
        <v>5</v>
      </c>
      <c r="L89" s="46" t="n">
        <f aca="false">IF(J89&gt;=$C$3,K89/J89,"")</f>
        <v>0.555555555555556</v>
      </c>
      <c r="M89" s="45" t="n">
        <v>152</v>
      </c>
      <c r="N89" s="45" t="n">
        <v>16</v>
      </c>
      <c r="O89" s="46" t="n">
        <f aca="false">IF(M89&gt;=$C$3,N89/M89,"")</f>
        <v>0.105263157894737</v>
      </c>
      <c r="P89" s="45" t="n">
        <v>11</v>
      </c>
      <c r="Q89" s="45" t="n">
        <v>10</v>
      </c>
      <c r="R89" s="46" t="n">
        <f aca="false">IF(P89&gt;=$C$3,Q89/P89,"")</f>
        <v>0.909090909090909</v>
      </c>
      <c r="S89" s="45" t="n">
        <v>6</v>
      </c>
      <c r="T89" s="45" t="n">
        <v>6</v>
      </c>
      <c r="U89" s="46" t="n">
        <f aca="false">IF(S89&gt;=$C$3,T89/S89,"")</f>
        <v>1</v>
      </c>
      <c r="V89" s="45" t="n">
        <v>61</v>
      </c>
      <c r="W89" s="45" t="n">
        <v>39</v>
      </c>
      <c r="X89" s="46" t="n">
        <f aca="false">IF(V89&gt;=$C$3,W89/V89,"")</f>
        <v>0.639344262295082</v>
      </c>
      <c r="Y89" s="7" t="n">
        <f aca="false">COUNT(F89,I89,L89,O89,R89,U89,X89)</f>
        <v>7</v>
      </c>
      <c r="Z89" s="34" t="n">
        <f aca="false">IF(Y89=0,"",AVERAGE(F89,I89,L89,O89,R89,U89,X89))</f>
        <v>0.664995452935796</v>
      </c>
      <c r="AA89" s="47" t="n">
        <f aca="false">IF(ISNUMBER(Z89),C89*Z89,"")</f>
        <v>3562.50699051312</v>
      </c>
    </row>
    <row r="90" customFormat="false" ht="15" hidden="false" customHeight="false" outlineLevel="0" collapsed="false">
      <c r="A90" s="12" t="s">
        <v>114</v>
      </c>
      <c r="B90" s="10" t="s">
        <v>2223</v>
      </c>
      <c r="C90" s="44" t="n">
        <v>11366.06</v>
      </c>
      <c r="D90" s="45" t="n">
        <v>229</v>
      </c>
      <c r="E90" s="45" t="n">
        <v>229</v>
      </c>
      <c r="F90" s="46" t="n">
        <f aca="false">IF(D90&gt;=$C$3,E90/D90,"")</f>
        <v>1</v>
      </c>
      <c r="G90" s="45" t="n">
        <v>14</v>
      </c>
      <c r="H90" s="45" t="n">
        <v>14</v>
      </c>
      <c r="I90" s="46" t="n">
        <f aca="false">IF(G90&gt;=$C$3,H90/G90,"")</f>
        <v>1</v>
      </c>
      <c r="J90" s="45" t="n">
        <v>6</v>
      </c>
      <c r="K90" s="45" t="n">
        <v>6</v>
      </c>
      <c r="L90" s="46" t="n">
        <f aca="false">IF(J90&gt;=$C$3,K90/J90,"")</f>
        <v>1</v>
      </c>
      <c r="M90" s="45" t="n">
        <v>11</v>
      </c>
      <c r="N90" s="45" t="n">
        <v>11</v>
      </c>
      <c r="O90" s="46" t="n">
        <f aca="false">IF(M90&gt;=$C$3,N90/M90,"")</f>
        <v>1</v>
      </c>
      <c r="P90" s="45" t="n">
        <v>7</v>
      </c>
      <c r="Q90" s="45" t="n">
        <v>7</v>
      </c>
      <c r="R90" s="46" t="n">
        <f aca="false">IF(P90&gt;=$C$3,Q90/P90,"")</f>
        <v>1</v>
      </c>
      <c r="S90" s="45" t="n">
        <v>4</v>
      </c>
      <c r="T90" s="45" t="n">
        <v>4</v>
      </c>
      <c r="U90" s="46" t="n">
        <f aca="false">IF(S90&gt;=$C$3,T90/S90,"")</f>
        <v>1</v>
      </c>
      <c r="V90" s="45" t="n">
        <v>16</v>
      </c>
      <c r="W90" s="45" t="n">
        <v>16</v>
      </c>
      <c r="X90" s="46" t="n">
        <f aca="false">IF(V90&gt;=$C$3,W90/V90,"")</f>
        <v>1</v>
      </c>
      <c r="Y90" s="7" t="n">
        <f aca="false">COUNT(F90,I90,L90,O90,R90,U90,X90)</f>
        <v>7</v>
      </c>
      <c r="Z90" s="34" t="n">
        <f aca="false">IF(Y90=0,"",AVERAGE(F90,I90,L90,O90,R90,U90,X90))</f>
        <v>1</v>
      </c>
      <c r="AA90" s="47" t="n">
        <f aca="false">IF(ISNUMBER(Z90),C90*Z90,"")</f>
        <v>11366.06</v>
      </c>
    </row>
    <row r="91" customFormat="false" ht="15" hidden="false" customHeight="false" outlineLevel="0" collapsed="false">
      <c r="A91" s="12" t="s">
        <v>219</v>
      </c>
      <c r="B91" s="10" t="s">
        <v>2236</v>
      </c>
      <c r="C91" s="44" t="n">
        <v>135.07</v>
      </c>
      <c r="D91" s="45" t="n">
        <v>54</v>
      </c>
      <c r="E91" s="45" t="n">
        <v>54</v>
      </c>
      <c r="F91" s="46" t="n">
        <f aca="false">IF(D91&gt;=$C$3,E91/D91,"")</f>
        <v>1</v>
      </c>
      <c r="G91" s="45" t="n">
        <v>10</v>
      </c>
      <c r="H91" s="45" t="n">
        <v>10</v>
      </c>
      <c r="I91" s="46" t="n">
        <f aca="false">IF(G91&gt;=$C$3,H91/G91,"")</f>
        <v>1</v>
      </c>
      <c r="J91" s="45" t="n">
        <v>2</v>
      </c>
      <c r="K91" s="45" t="n">
        <v>2</v>
      </c>
      <c r="L91" s="46" t="str">
        <f aca="false">IF(J91&gt;=$C$3,K91/J91,"")</f>
        <v/>
      </c>
      <c r="M91" s="45" t="n">
        <v>6</v>
      </c>
      <c r="N91" s="45" t="n">
        <v>6</v>
      </c>
      <c r="O91" s="46" t="n">
        <f aca="false">IF(M91&gt;=$C$3,N91/M91,"")</f>
        <v>1</v>
      </c>
      <c r="P91" s="45" t="n">
        <v>4</v>
      </c>
      <c r="Q91" s="45" t="n">
        <v>4</v>
      </c>
      <c r="R91" s="46" t="n">
        <f aca="false">IF(P91&gt;=$C$3,Q91/P91,"")</f>
        <v>1</v>
      </c>
      <c r="S91" s="45" t="n">
        <v>3</v>
      </c>
      <c r="T91" s="45" t="n">
        <v>3</v>
      </c>
      <c r="U91" s="46" t="n">
        <f aca="false">IF(S91&gt;=$C$3,T91/S91,"")</f>
        <v>1</v>
      </c>
      <c r="V91" s="45" t="n">
        <v>5</v>
      </c>
      <c r="W91" s="45" t="n">
        <v>5</v>
      </c>
      <c r="X91" s="46" t="n">
        <f aca="false">IF(V91&gt;=$C$3,W91/V91,"")</f>
        <v>1</v>
      </c>
      <c r="Y91" s="7" t="n">
        <f aca="false">COUNT(F91,I91,L91,O91,R91,U91,X91)</f>
        <v>6</v>
      </c>
      <c r="Z91" s="34" t="n">
        <f aca="false">IF(Y91=0,"",AVERAGE(F91,I91,L91,O91,R91,U91,X91))</f>
        <v>1</v>
      </c>
      <c r="AA91" s="47" t="n">
        <f aca="false">IF(ISNUMBER(Z91),C91*Z91,"")</f>
        <v>135.07</v>
      </c>
    </row>
    <row r="92" customFormat="false" ht="15" hidden="false" customHeight="false" outlineLevel="0" collapsed="false">
      <c r="A92" s="12" t="s">
        <v>485</v>
      </c>
      <c r="B92" s="10" t="s">
        <v>2218</v>
      </c>
      <c r="C92" s="44" t="n">
        <v>3193.58</v>
      </c>
      <c r="D92" s="45" t="n">
        <v>195</v>
      </c>
      <c r="E92" s="45" t="n">
        <v>62</v>
      </c>
      <c r="F92" s="46" t="n">
        <f aca="false">IF(D92&gt;=$C$3,E92/D92,"")</f>
        <v>0.317948717948718</v>
      </c>
      <c r="G92" s="45" t="n">
        <v>54</v>
      </c>
      <c r="H92" s="45" t="n">
        <v>16</v>
      </c>
      <c r="I92" s="46" t="n">
        <f aca="false">IF(G92&gt;=$C$3,H92/G92,"")</f>
        <v>0.296296296296296</v>
      </c>
      <c r="J92" s="45" t="n">
        <v>13</v>
      </c>
      <c r="K92" s="45" t="n">
        <v>8</v>
      </c>
      <c r="L92" s="46" t="n">
        <f aca="false">IF(J92&gt;=$C$3,K92/J92,"")</f>
        <v>0.615384615384615</v>
      </c>
      <c r="M92" s="45" t="n">
        <v>23</v>
      </c>
      <c r="N92" s="45" t="n">
        <v>9</v>
      </c>
      <c r="O92" s="46" t="n">
        <f aca="false">IF(M92&gt;=$C$3,N92/M92,"")</f>
        <v>0.391304347826087</v>
      </c>
      <c r="P92" s="45" t="n">
        <v>11</v>
      </c>
      <c r="Q92" s="45" t="n">
        <v>4</v>
      </c>
      <c r="R92" s="46" t="n">
        <f aca="false">IF(P92&gt;=$C$3,Q92/P92,"")</f>
        <v>0.363636363636364</v>
      </c>
      <c r="S92" s="45" t="n">
        <v>14</v>
      </c>
      <c r="T92" s="45" t="n">
        <v>6</v>
      </c>
      <c r="U92" s="46" t="n">
        <f aca="false">IF(S92&gt;=$C$3,T92/S92,"")</f>
        <v>0.428571428571429</v>
      </c>
      <c r="V92" s="45" t="n">
        <v>69</v>
      </c>
      <c r="W92" s="45" t="n">
        <v>35</v>
      </c>
      <c r="X92" s="46" t="n">
        <f aca="false">IF(V92&gt;=$C$3,W92/V92,"")</f>
        <v>0.507246376811594</v>
      </c>
      <c r="Y92" s="7" t="n">
        <f aca="false">COUNT(F92,I92,L92,O92,R92,U92,X92)</f>
        <v>7</v>
      </c>
      <c r="Z92" s="34" t="n">
        <f aca="false">IF(Y92=0,"",AVERAGE(F92,I92,L92,O92,R92,U92,X92))</f>
        <v>0.4171983066393</v>
      </c>
      <c r="AA92" s="47" t="n">
        <f aca="false">IF(ISNUMBER(Z92),C92*Z92,"")</f>
        <v>1332.35616811714</v>
      </c>
    </row>
    <row r="93" customFormat="false" ht="15" hidden="false" customHeight="false" outlineLevel="0" collapsed="false">
      <c r="A93" s="12" t="s">
        <v>244</v>
      </c>
      <c r="B93" s="10" t="s">
        <v>2235</v>
      </c>
      <c r="C93" s="44" t="n">
        <v>1206.55</v>
      </c>
      <c r="D93" s="45" t="n">
        <v>94</v>
      </c>
      <c r="E93" s="45" t="n">
        <v>45</v>
      </c>
      <c r="F93" s="46" t="n">
        <f aca="false">IF(D93&gt;=$C$3,E93/D93,"")</f>
        <v>0.478723404255319</v>
      </c>
      <c r="G93" s="45" t="n">
        <v>14</v>
      </c>
      <c r="H93" s="45" t="n">
        <v>4</v>
      </c>
      <c r="I93" s="46" t="n">
        <f aca="false">IF(G93&gt;=$C$3,H93/G93,"")</f>
        <v>0.285714285714286</v>
      </c>
      <c r="J93" s="45" t="n">
        <v>3</v>
      </c>
      <c r="K93" s="45" t="n">
        <v>1</v>
      </c>
      <c r="L93" s="46" t="n">
        <f aca="false">IF(J93&gt;=$C$3,K93/J93,"")</f>
        <v>0.333333333333333</v>
      </c>
      <c r="M93" s="45" t="n">
        <v>9</v>
      </c>
      <c r="N93" s="45" t="n">
        <v>8</v>
      </c>
      <c r="O93" s="46" t="n">
        <f aca="false">IF(M93&gt;=$C$3,N93/M93,"")</f>
        <v>0.888888888888889</v>
      </c>
      <c r="P93" s="45" t="n">
        <v>21</v>
      </c>
      <c r="Q93" s="45" t="n">
        <v>14</v>
      </c>
      <c r="R93" s="46" t="n">
        <f aca="false">IF(P93&gt;=$C$3,Q93/P93,"")</f>
        <v>0.666666666666667</v>
      </c>
      <c r="S93" s="45" t="n">
        <v>5</v>
      </c>
      <c r="T93" s="45" t="n">
        <v>4</v>
      </c>
      <c r="U93" s="46" t="n">
        <f aca="false">IF(S93&gt;=$C$3,T93/S93,"")</f>
        <v>0.8</v>
      </c>
      <c r="V93" s="45" t="n">
        <v>13</v>
      </c>
      <c r="W93" s="45" t="n">
        <v>8</v>
      </c>
      <c r="X93" s="46" t="n">
        <f aca="false">IF(V93&gt;=$C$3,W93/V93,"")</f>
        <v>0.615384615384615</v>
      </c>
      <c r="Y93" s="7" t="n">
        <f aca="false">COUNT(F93,I93,L93,O93,R93,U93,X93)</f>
        <v>7</v>
      </c>
      <c r="Z93" s="34" t="n">
        <f aca="false">IF(Y93=0,"",AVERAGE(F93,I93,L93,O93,R93,U93,X93))</f>
        <v>0.581244456320444</v>
      </c>
      <c r="AA93" s="47" t="n">
        <f aca="false">IF(ISNUMBER(Z93),C93*Z93,"")</f>
        <v>701.300498773432</v>
      </c>
    </row>
    <row r="94" customFormat="false" ht="15" hidden="false" customHeight="false" outlineLevel="0" collapsed="false">
      <c r="A94" s="12" t="s">
        <v>214</v>
      </c>
      <c r="B94" s="10" t="s">
        <v>2221</v>
      </c>
      <c r="C94" s="44" t="n">
        <v>11022.87</v>
      </c>
      <c r="D94" s="45" t="n">
        <v>105</v>
      </c>
      <c r="E94" s="45" t="n">
        <v>73</v>
      </c>
      <c r="F94" s="46" t="n">
        <f aca="false">IF(D94&gt;=$C$3,E94/D94,"")</f>
        <v>0.695238095238095</v>
      </c>
      <c r="G94" s="45" t="n">
        <v>32</v>
      </c>
      <c r="H94" s="45" t="n">
        <v>8</v>
      </c>
      <c r="I94" s="46" t="n">
        <f aca="false">IF(G94&gt;=$C$3,H94/G94,"")</f>
        <v>0.25</v>
      </c>
      <c r="J94" s="45" t="n">
        <v>9</v>
      </c>
      <c r="K94" s="45" t="n">
        <v>4</v>
      </c>
      <c r="L94" s="46" t="n">
        <f aca="false">IF(J94&gt;=$C$3,K94/J94,"")</f>
        <v>0.444444444444444</v>
      </c>
      <c r="M94" s="45" t="n">
        <v>12</v>
      </c>
      <c r="N94" s="45" t="n">
        <v>7</v>
      </c>
      <c r="O94" s="46" t="n">
        <f aca="false">IF(M94&gt;=$C$3,N94/M94,"")</f>
        <v>0.583333333333333</v>
      </c>
      <c r="P94" s="45" t="n">
        <v>7</v>
      </c>
      <c r="Q94" s="45" t="n">
        <v>1</v>
      </c>
      <c r="R94" s="46" t="n">
        <f aca="false">IF(P94&gt;=$C$3,Q94/P94,"")</f>
        <v>0.142857142857143</v>
      </c>
      <c r="S94" s="45" t="n">
        <v>0</v>
      </c>
      <c r="T94" s="45" t="n">
        <v>0</v>
      </c>
      <c r="U94" s="46" t="str">
        <f aca="false">IF(S94&gt;=$C$3,T94/S94,"")</f>
        <v/>
      </c>
      <c r="V94" s="45" t="n">
        <v>91</v>
      </c>
      <c r="W94" s="45" t="n">
        <v>30</v>
      </c>
      <c r="X94" s="46" t="n">
        <f aca="false">IF(V94&gt;=$C$3,W94/V94,"")</f>
        <v>0.32967032967033</v>
      </c>
      <c r="Y94" s="7" t="n">
        <f aca="false">COUNT(F94,I94,L94,O94,R94,U94,X94)</f>
        <v>6</v>
      </c>
      <c r="Z94" s="34" t="n">
        <f aca="false">IF(Y94=0,"",AVERAGE(F94,I94,L94,O94,R94,U94,X94))</f>
        <v>0.407590557590558</v>
      </c>
      <c r="AA94" s="47" t="n">
        <f aca="false">IF(ISNUMBER(Z94),C94*Z94,"")</f>
        <v>4492.81772954823</v>
      </c>
    </row>
    <row r="95" customFormat="false" ht="15" hidden="false" customHeight="false" outlineLevel="0" collapsed="false">
      <c r="A95" s="12" t="s">
        <v>626</v>
      </c>
      <c r="B95" s="10" t="s">
        <v>2221</v>
      </c>
      <c r="C95" s="44" t="n">
        <v>1942.31</v>
      </c>
      <c r="D95" s="45" t="n">
        <v>33</v>
      </c>
      <c r="E95" s="45" t="n">
        <v>33</v>
      </c>
      <c r="F95" s="46" t="n">
        <f aca="false">IF(D95&gt;=$C$3,E95/D95,"")</f>
        <v>1</v>
      </c>
      <c r="G95" s="45" t="n">
        <v>4</v>
      </c>
      <c r="H95" s="45" t="n">
        <v>2</v>
      </c>
      <c r="I95" s="46" t="n">
        <f aca="false">IF(G95&gt;=$C$3,H95/G95,"")</f>
        <v>0.5</v>
      </c>
      <c r="J95" s="45" t="n">
        <v>1</v>
      </c>
      <c r="K95" s="45" t="n">
        <v>1</v>
      </c>
      <c r="L95" s="46" t="str">
        <f aca="false">IF(J95&gt;=$C$3,K95/J95,"")</f>
        <v/>
      </c>
      <c r="M95" s="45" t="n">
        <v>2</v>
      </c>
      <c r="N95" s="45" t="n">
        <v>2</v>
      </c>
      <c r="O95" s="46" t="str">
        <f aca="false">IF(M95&gt;=$C$3,N95/M95,"")</f>
        <v/>
      </c>
      <c r="P95" s="45" t="n">
        <v>0</v>
      </c>
      <c r="Q95" s="45" t="n">
        <v>0</v>
      </c>
      <c r="R95" s="46" t="str">
        <f aca="false">IF(P95&gt;=$C$3,Q95/P95,"")</f>
        <v/>
      </c>
      <c r="S95" s="45" t="n">
        <v>0</v>
      </c>
      <c r="T95" s="45" t="n">
        <v>0</v>
      </c>
      <c r="U95" s="46" t="str">
        <f aca="false">IF(S95&gt;=$C$3,T95/S95,"")</f>
        <v/>
      </c>
      <c r="V95" s="45" t="n">
        <v>27</v>
      </c>
      <c r="W95" s="45" t="n">
        <v>27</v>
      </c>
      <c r="X95" s="46" t="n">
        <f aca="false">IF(V95&gt;=$C$3,W95/V95,"")</f>
        <v>1</v>
      </c>
      <c r="Y95" s="7" t="n">
        <f aca="false">COUNT(F95,I95,L95,O95,R95,U95,X95)</f>
        <v>3</v>
      </c>
      <c r="Z95" s="34" t="n">
        <f aca="false">IF(Y95=0,"",AVERAGE(F95,I95,L95,O95,R95,U95,X95))</f>
        <v>0.833333333333333</v>
      </c>
      <c r="AA95" s="47" t="n">
        <f aca="false">IF(ISNUMBER(Z95),C95*Z95,"")</f>
        <v>1618.59166666667</v>
      </c>
    </row>
    <row r="96" customFormat="false" ht="15" hidden="false" customHeight="false" outlineLevel="0" collapsed="false">
      <c r="A96" s="12" t="s">
        <v>212</v>
      </c>
      <c r="B96" s="10" t="s">
        <v>2237</v>
      </c>
      <c r="C96" s="44" t="n">
        <v>175.06</v>
      </c>
      <c r="D96" s="45" t="n">
        <v>11</v>
      </c>
      <c r="E96" s="45" t="n">
        <v>11</v>
      </c>
      <c r="F96" s="46" t="n">
        <f aca="false">IF(D96&gt;=$C$3,E96/D96,"")</f>
        <v>1</v>
      </c>
      <c r="G96" s="45" t="n">
        <v>2</v>
      </c>
      <c r="H96" s="45" t="n">
        <v>2</v>
      </c>
      <c r="I96" s="46" t="str">
        <f aca="false">IF(G96&gt;=$C$3,H96/G96,"")</f>
        <v/>
      </c>
      <c r="J96" s="45" t="n">
        <v>5</v>
      </c>
      <c r="K96" s="45" t="n">
        <v>5</v>
      </c>
      <c r="L96" s="46" t="n">
        <f aca="false">IF(J96&gt;=$C$3,K96/J96,"")</f>
        <v>1</v>
      </c>
      <c r="M96" s="45" t="n">
        <v>1</v>
      </c>
      <c r="N96" s="45" t="n">
        <v>1</v>
      </c>
      <c r="O96" s="46" t="str">
        <f aca="false">IF(M96&gt;=$C$3,N96/M96,"")</f>
        <v/>
      </c>
      <c r="P96" s="45" t="n">
        <v>1</v>
      </c>
      <c r="Q96" s="45" t="n">
        <v>1</v>
      </c>
      <c r="R96" s="46" t="str">
        <f aca="false">IF(P96&gt;=$C$3,Q96/P96,"")</f>
        <v/>
      </c>
      <c r="S96" s="45" t="n">
        <v>5</v>
      </c>
      <c r="T96" s="45" t="n">
        <v>5</v>
      </c>
      <c r="U96" s="46" t="n">
        <f aca="false">IF(S96&gt;=$C$3,T96/S96,"")</f>
        <v>1</v>
      </c>
      <c r="V96" s="45" t="n">
        <v>23</v>
      </c>
      <c r="W96" s="45" t="n">
        <v>17</v>
      </c>
      <c r="X96" s="46" t="n">
        <f aca="false">IF(V96&gt;=$C$3,W96/V96,"")</f>
        <v>0.739130434782609</v>
      </c>
      <c r="Y96" s="7" t="n">
        <f aca="false">COUNT(F96,I96,L96,O96,R96,U96,X96)</f>
        <v>4</v>
      </c>
      <c r="Z96" s="34" t="n">
        <f aca="false">IF(Y96=0,"",AVERAGE(F96,I96,L96,O96,R96,U96,X96))</f>
        <v>0.934782608695652</v>
      </c>
      <c r="AA96" s="47" t="n">
        <f aca="false">IF(ISNUMBER(Z96),C96*Z96,"")</f>
        <v>163.643043478261</v>
      </c>
    </row>
    <row r="97" customFormat="false" ht="15" hidden="false" customHeight="false" outlineLevel="0" collapsed="false">
      <c r="A97" s="12" t="s">
        <v>397</v>
      </c>
      <c r="B97" s="10" t="s">
        <v>2217</v>
      </c>
      <c r="C97" s="44" t="n">
        <v>21671.77</v>
      </c>
      <c r="D97" s="45" t="n">
        <v>12</v>
      </c>
      <c r="E97" s="45" t="n">
        <v>3</v>
      </c>
      <c r="F97" s="46" t="n">
        <f aca="false">IF(D97&gt;=$C$3,E97/D97,"")</f>
        <v>0.25</v>
      </c>
      <c r="G97" s="45" t="n">
        <v>10</v>
      </c>
      <c r="H97" s="45" t="n">
        <v>1</v>
      </c>
      <c r="I97" s="46" t="n">
        <f aca="false">IF(G97&gt;=$C$3,H97/G97,"")</f>
        <v>0.1</v>
      </c>
      <c r="J97" s="45" t="n">
        <v>14</v>
      </c>
      <c r="K97" s="45" t="n">
        <v>2</v>
      </c>
      <c r="L97" s="46" t="n">
        <f aca="false">IF(J97&gt;=$C$3,K97/J97,"")</f>
        <v>0.142857142857143</v>
      </c>
      <c r="M97" s="45" t="n">
        <v>3</v>
      </c>
      <c r="N97" s="45" t="n">
        <v>1</v>
      </c>
      <c r="O97" s="46" t="n">
        <f aca="false">IF(M97&gt;=$C$3,N97/M97,"")</f>
        <v>0.333333333333333</v>
      </c>
      <c r="P97" s="45" t="n">
        <v>12</v>
      </c>
      <c r="Q97" s="45" t="n">
        <v>0</v>
      </c>
      <c r="R97" s="46" t="n">
        <f aca="false">IF(P97&gt;=$C$3,Q97/P97,"")</f>
        <v>0</v>
      </c>
      <c r="S97" s="45" t="n">
        <v>2</v>
      </c>
      <c r="T97" s="45" t="n">
        <v>0</v>
      </c>
      <c r="U97" s="46" t="str">
        <f aca="false">IF(S97&gt;=$C$3,T97/S97,"")</f>
        <v/>
      </c>
      <c r="V97" s="45" t="n">
        <v>54</v>
      </c>
      <c r="W97" s="45" t="n">
        <v>8</v>
      </c>
      <c r="X97" s="46" t="n">
        <f aca="false">IF(V97&gt;=$C$3,W97/V97,"")</f>
        <v>0.148148148148148</v>
      </c>
      <c r="Y97" s="7" t="n">
        <f aca="false">COUNT(F97,I97,L97,O97,R97,U97,X97)</f>
        <v>6</v>
      </c>
      <c r="Z97" s="34" t="n">
        <f aca="false">IF(Y97=0,"",AVERAGE(F97,I97,L97,O97,R97,U97,X97))</f>
        <v>0.162389770723104</v>
      </c>
      <c r="AA97" s="47" t="n">
        <f aca="false">IF(ISNUMBER(Z97),C97*Z97,"")</f>
        <v>3519.27376146384</v>
      </c>
    </row>
    <row r="98" customFormat="false" ht="15" hidden="false" customHeight="false" outlineLevel="0" collapsed="false">
      <c r="A98" s="12" t="s">
        <v>229</v>
      </c>
      <c r="B98" s="10" t="s">
        <v>2238</v>
      </c>
      <c r="C98" s="44" t="n">
        <v>38106.07</v>
      </c>
      <c r="D98" s="45" t="n">
        <v>638</v>
      </c>
      <c r="E98" s="45" t="n">
        <v>72</v>
      </c>
      <c r="F98" s="46" t="n">
        <f aca="false">IF(D98&gt;=$C$3,E98/D98,"")</f>
        <v>0.112852664576803</v>
      </c>
      <c r="G98" s="45" t="n">
        <v>170</v>
      </c>
      <c r="H98" s="45" t="n">
        <v>7</v>
      </c>
      <c r="I98" s="46" t="n">
        <f aca="false">IF(G98&gt;=$C$3,H98/G98,"")</f>
        <v>0.0411764705882353</v>
      </c>
      <c r="J98" s="45" t="n">
        <v>26</v>
      </c>
      <c r="K98" s="45" t="n">
        <v>4</v>
      </c>
      <c r="L98" s="46" t="n">
        <f aca="false">IF(J98&gt;=$C$3,K98/J98,"")</f>
        <v>0.153846153846154</v>
      </c>
      <c r="M98" s="45" t="n">
        <v>82</v>
      </c>
      <c r="N98" s="45" t="n">
        <v>10</v>
      </c>
      <c r="O98" s="46" t="n">
        <f aca="false">IF(M98&gt;=$C$3,N98/M98,"")</f>
        <v>0.121951219512195</v>
      </c>
      <c r="P98" s="45" t="n">
        <v>37</v>
      </c>
      <c r="Q98" s="45" t="n">
        <v>9</v>
      </c>
      <c r="R98" s="46" t="n">
        <f aca="false">IF(P98&gt;=$C$3,Q98/P98,"")</f>
        <v>0.243243243243243</v>
      </c>
      <c r="S98" s="45" t="n">
        <v>23</v>
      </c>
      <c r="T98" s="45" t="n">
        <v>4</v>
      </c>
      <c r="U98" s="46" t="n">
        <f aca="false">IF(S98&gt;=$C$3,T98/S98,"")</f>
        <v>0.173913043478261</v>
      </c>
      <c r="V98" s="45" t="n">
        <v>212</v>
      </c>
      <c r="W98" s="45" t="n">
        <v>7</v>
      </c>
      <c r="X98" s="46" t="n">
        <f aca="false">IF(V98&gt;=$C$3,W98/V98,"")</f>
        <v>0.0330188679245283</v>
      </c>
      <c r="Y98" s="7" t="n">
        <f aca="false">COUNT(F98,I98,L98,O98,R98,U98,X98)</f>
        <v>7</v>
      </c>
      <c r="Z98" s="34" t="n">
        <f aca="false">IF(Y98=0,"",AVERAGE(F98,I98,L98,O98,R98,U98,X98))</f>
        <v>0.125714523309917</v>
      </c>
      <c r="AA98" s="47" t="n">
        <f aca="false">IF(ISNUMBER(Z98),C98*Z98,"")</f>
        <v>4790.48642526433</v>
      </c>
    </row>
    <row r="99" customFormat="false" ht="15" hidden="false" customHeight="false" outlineLevel="0" collapsed="false">
      <c r="A99" s="12" t="s">
        <v>558</v>
      </c>
      <c r="B99" s="10" t="s">
        <v>2229</v>
      </c>
      <c r="C99" s="44" t="n">
        <v>457.96</v>
      </c>
      <c r="D99" s="45" t="n">
        <v>54</v>
      </c>
      <c r="E99" s="45" t="n">
        <v>52</v>
      </c>
      <c r="F99" s="46" t="n">
        <f aca="false">IF(D99&gt;=$C$3,E99/D99,"")</f>
        <v>0.962962962962963</v>
      </c>
      <c r="G99" s="45" t="n">
        <v>11</v>
      </c>
      <c r="H99" s="45" t="n">
        <v>11</v>
      </c>
      <c r="I99" s="46" t="n">
        <f aca="false">IF(G99&gt;=$C$3,H99/G99,"")</f>
        <v>1</v>
      </c>
      <c r="J99" s="45" t="n">
        <v>1</v>
      </c>
      <c r="K99" s="45" t="n">
        <v>1</v>
      </c>
      <c r="L99" s="46" t="str">
        <f aca="false">IF(J99&gt;=$C$3,K99/J99,"")</f>
        <v/>
      </c>
      <c r="M99" s="45" t="n">
        <v>48</v>
      </c>
      <c r="N99" s="45" t="n">
        <v>4</v>
      </c>
      <c r="O99" s="46" t="n">
        <f aca="false">IF(M99&gt;=$C$3,N99/M99,"")</f>
        <v>0.0833333333333333</v>
      </c>
      <c r="P99" s="45" t="n">
        <v>0</v>
      </c>
      <c r="Q99" s="45" t="n">
        <v>0</v>
      </c>
      <c r="R99" s="46" t="str">
        <f aca="false">IF(P99&gt;=$C$3,Q99/P99,"")</f>
        <v/>
      </c>
      <c r="S99" s="45" t="n">
        <v>5</v>
      </c>
      <c r="T99" s="45" t="n">
        <v>2</v>
      </c>
      <c r="U99" s="46" t="n">
        <f aca="false">IF(S99&gt;=$C$3,T99/S99,"")</f>
        <v>0.4</v>
      </c>
      <c r="V99" s="45" t="n">
        <v>3</v>
      </c>
      <c r="W99" s="45" t="n">
        <v>3</v>
      </c>
      <c r="X99" s="46" t="n">
        <f aca="false">IF(V99&gt;=$C$3,W99/V99,"")</f>
        <v>1</v>
      </c>
      <c r="Y99" s="7" t="n">
        <f aca="false">COUNT(F99,I99,L99,O99,R99,U99,X99)</f>
        <v>5</v>
      </c>
      <c r="Z99" s="34" t="n">
        <f aca="false">IF(Y99=0,"",AVERAGE(F99,I99,L99,O99,R99,U99,X99))</f>
        <v>0.689259259259259</v>
      </c>
      <c r="AA99" s="47" t="n">
        <f aca="false">IF(ISNUMBER(Z99),C99*Z99,"")</f>
        <v>315.65317037037</v>
      </c>
    </row>
    <row r="100" customFormat="false" ht="15" hidden="false" customHeight="false" outlineLevel="0" collapsed="false">
      <c r="A100" s="12" t="s">
        <v>609</v>
      </c>
      <c r="B100" s="10" t="s">
        <v>2239</v>
      </c>
      <c r="C100" s="44" t="n">
        <v>64.81</v>
      </c>
      <c r="D100" s="45" t="n">
        <v>13</v>
      </c>
      <c r="E100" s="45" t="n">
        <v>8</v>
      </c>
      <c r="F100" s="46" t="n">
        <f aca="false">IF(D100&gt;=$C$3,E100/D100,"")</f>
        <v>0.615384615384615</v>
      </c>
      <c r="G100" s="45" t="n">
        <v>9</v>
      </c>
      <c r="H100" s="45" t="n">
        <v>5</v>
      </c>
      <c r="I100" s="46" t="n">
        <f aca="false">IF(G100&gt;=$C$3,H100/G100,"")</f>
        <v>0.555555555555556</v>
      </c>
      <c r="J100" s="45" t="n">
        <v>2</v>
      </c>
      <c r="K100" s="45" t="n">
        <v>2</v>
      </c>
      <c r="L100" s="46" t="str">
        <f aca="false">IF(J100&gt;=$C$3,K100/J100,"")</f>
        <v/>
      </c>
      <c r="M100" s="45" t="n">
        <v>17</v>
      </c>
      <c r="N100" s="45" t="n">
        <v>0</v>
      </c>
      <c r="O100" s="46" t="n">
        <f aca="false">IF(M100&gt;=$C$3,N100/M100,"")</f>
        <v>0</v>
      </c>
      <c r="P100" s="45" t="n">
        <v>0</v>
      </c>
      <c r="Q100" s="45" t="n">
        <v>0</v>
      </c>
      <c r="R100" s="46" t="str">
        <f aca="false">IF(P100&gt;=$C$3,Q100/P100,"")</f>
        <v/>
      </c>
      <c r="S100" s="45" t="n">
        <v>1</v>
      </c>
      <c r="T100" s="45" t="n">
        <v>0</v>
      </c>
      <c r="U100" s="46" t="str">
        <f aca="false">IF(S100&gt;=$C$3,T100/S100,"")</f>
        <v/>
      </c>
      <c r="V100" s="45" t="n">
        <v>9</v>
      </c>
      <c r="W100" s="45" t="n">
        <v>0</v>
      </c>
      <c r="X100" s="46" t="n">
        <f aca="false">IF(V100&gt;=$C$3,W100/V100,"")</f>
        <v>0</v>
      </c>
      <c r="Y100" s="7" t="n">
        <f aca="false">COUNT(F100,I100,L100,O100,R100,U100,X100)</f>
        <v>4</v>
      </c>
      <c r="Z100" s="34" t="n">
        <f aca="false">IF(Y100=0,"",AVERAGE(F100,I100,L100,O100,R100,U100,X100))</f>
        <v>0.292735042735043</v>
      </c>
      <c r="AA100" s="47" t="n">
        <f aca="false">IF(ISNUMBER(Z100),C100*Z100,"")</f>
        <v>18.9721581196581</v>
      </c>
    </row>
    <row r="101" customFormat="false" ht="15" hidden="false" customHeight="false" outlineLevel="0" collapsed="false">
      <c r="A101" s="12" t="s">
        <v>368</v>
      </c>
      <c r="B101" s="10" t="s">
        <v>2240</v>
      </c>
      <c r="C101" s="44" t="n">
        <v>1162.12</v>
      </c>
      <c r="D101" s="45" t="n">
        <v>177</v>
      </c>
      <c r="E101" s="45" t="n">
        <v>52</v>
      </c>
      <c r="F101" s="46" t="n">
        <f aca="false">IF(D101&gt;=$C$3,E101/D101,"")</f>
        <v>0.293785310734463</v>
      </c>
      <c r="G101" s="45" t="n">
        <v>24</v>
      </c>
      <c r="H101" s="45" t="n">
        <v>8</v>
      </c>
      <c r="I101" s="46" t="n">
        <f aca="false">IF(G101&gt;=$C$3,H101/G101,"")</f>
        <v>0.333333333333333</v>
      </c>
      <c r="J101" s="45" t="n">
        <v>0</v>
      </c>
      <c r="K101" s="45" t="n">
        <v>0</v>
      </c>
      <c r="L101" s="46" t="str">
        <f aca="false">IF(J101&gt;=$C$3,K101/J101,"")</f>
        <v/>
      </c>
      <c r="M101" s="45" t="n">
        <v>2</v>
      </c>
      <c r="N101" s="45" t="n">
        <v>1</v>
      </c>
      <c r="O101" s="46" t="str">
        <f aca="false">IF(M101&gt;=$C$3,N101/M101,"")</f>
        <v/>
      </c>
      <c r="P101" s="45" t="n">
        <v>9</v>
      </c>
      <c r="Q101" s="45" t="n">
        <v>7</v>
      </c>
      <c r="R101" s="46" t="n">
        <f aca="false">IF(P101&gt;=$C$3,Q101/P101,"")</f>
        <v>0.777777777777778</v>
      </c>
      <c r="S101" s="45" t="n">
        <v>1</v>
      </c>
      <c r="T101" s="45" t="n">
        <v>0</v>
      </c>
      <c r="U101" s="46" t="str">
        <f aca="false">IF(S101&gt;=$C$3,T101/S101,"")</f>
        <v/>
      </c>
      <c r="V101" s="45" t="n">
        <v>8</v>
      </c>
      <c r="W101" s="45" t="n">
        <v>3</v>
      </c>
      <c r="X101" s="46" t="n">
        <f aca="false">IF(V101&gt;=$C$3,W101/V101,"")</f>
        <v>0.375</v>
      </c>
      <c r="Y101" s="7" t="n">
        <f aca="false">COUNT(F101,I101,L101,O101,R101,U101,X101)</f>
        <v>4</v>
      </c>
      <c r="Z101" s="34" t="n">
        <f aca="false">IF(Y101=0,"",AVERAGE(F101,I101,L101,O101,R101,U101,X101))</f>
        <v>0.444974105461394</v>
      </c>
      <c r="AA101" s="47" t="n">
        <f aca="false">IF(ISNUMBER(Z101),C101*Z101,"")</f>
        <v>517.113307438795</v>
      </c>
    </row>
    <row r="102" customFormat="false" ht="15" hidden="false" customHeight="false" outlineLevel="0" collapsed="false">
      <c r="A102" s="12" t="s">
        <v>515</v>
      </c>
      <c r="B102" s="10" t="s">
        <v>2223</v>
      </c>
      <c r="C102" s="44" t="n">
        <v>2015.78</v>
      </c>
      <c r="D102" s="45" t="n">
        <v>43</v>
      </c>
      <c r="E102" s="45" t="n">
        <v>42</v>
      </c>
      <c r="F102" s="46" t="n">
        <f aca="false">IF(D102&gt;=$C$3,E102/D102,"")</f>
        <v>0.976744186046512</v>
      </c>
      <c r="G102" s="45" t="n">
        <v>7</v>
      </c>
      <c r="H102" s="45" t="n">
        <v>5</v>
      </c>
      <c r="I102" s="46" t="n">
        <f aca="false">IF(G102&gt;=$C$3,H102/G102,"")</f>
        <v>0.714285714285714</v>
      </c>
      <c r="J102" s="45" t="n">
        <v>1</v>
      </c>
      <c r="K102" s="45" t="n">
        <v>1</v>
      </c>
      <c r="L102" s="46" t="str">
        <f aca="false">IF(J102&gt;=$C$3,K102/J102,"")</f>
        <v/>
      </c>
      <c r="M102" s="45" t="n">
        <v>5</v>
      </c>
      <c r="N102" s="45" t="n">
        <v>5</v>
      </c>
      <c r="O102" s="46" t="n">
        <f aca="false">IF(M102&gt;=$C$3,N102/M102,"")</f>
        <v>1</v>
      </c>
      <c r="P102" s="45" t="n">
        <v>2</v>
      </c>
      <c r="Q102" s="45" t="n">
        <v>2</v>
      </c>
      <c r="R102" s="46" t="str">
        <f aca="false">IF(P102&gt;=$C$3,Q102/P102,"")</f>
        <v/>
      </c>
      <c r="S102" s="45" t="n">
        <v>0</v>
      </c>
      <c r="T102" s="45" t="n">
        <v>0</v>
      </c>
      <c r="U102" s="46" t="str">
        <f aca="false">IF(S102&gt;=$C$3,T102/S102,"")</f>
        <v/>
      </c>
      <c r="V102" s="45" t="n">
        <v>3</v>
      </c>
      <c r="W102" s="45" t="n">
        <v>3</v>
      </c>
      <c r="X102" s="46" t="n">
        <f aca="false">IF(V102&gt;=$C$3,W102/V102,"")</f>
        <v>1</v>
      </c>
      <c r="Y102" s="7" t="n">
        <f aca="false">COUNT(F102,I102,L102,O102,R102,U102,X102)</f>
        <v>4</v>
      </c>
      <c r="Z102" s="34" t="n">
        <f aca="false">IF(Y102=0,"",AVERAGE(F102,I102,L102,O102,R102,U102,X102))</f>
        <v>0.922757475083057</v>
      </c>
      <c r="AA102" s="47" t="n">
        <f aca="false">IF(ISNUMBER(Z102),C102*Z102,"")</f>
        <v>1860.07606312292</v>
      </c>
    </row>
    <row r="103" customFormat="false" ht="15" hidden="false" customHeight="false" outlineLevel="0" collapsed="false">
      <c r="A103" s="12" t="s">
        <v>231</v>
      </c>
      <c r="B103" s="10" t="s">
        <v>2236</v>
      </c>
      <c r="C103" s="44" t="n">
        <v>304.87</v>
      </c>
      <c r="D103" s="45" t="n">
        <v>20</v>
      </c>
      <c r="E103" s="45" t="n">
        <v>20</v>
      </c>
      <c r="F103" s="46" t="n">
        <f aca="false">IF(D103&gt;=$C$3,E103/D103,"")</f>
        <v>1</v>
      </c>
      <c r="G103" s="45" t="n">
        <v>2</v>
      </c>
      <c r="H103" s="45" t="n">
        <v>1</v>
      </c>
      <c r="I103" s="46" t="str">
        <f aca="false">IF(G103&gt;=$C$3,H103/G103,"")</f>
        <v/>
      </c>
      <c r="J103" s="45" t="n">
        <v>7</v>
      </c>
      <c r="K103" s="45" t="n">
        <v>6</v>
      </c>
      <c r="L103" s="46" t="n">
        <f aca="false">IF(J103&gt;=$C$3,K103/J103,"")</f>
        <v>0.857142857142857</v>
      </c>
      <c r="M103" s="45" t="n">
        <v>2</v>
      </c>
      <c r="N103" s="45" t="n">
        <v>2</v>
      </c>
      <c r="O103" s="46" t="str">
        <f aca="false">IF(M103&gt;=$C$3,N103/M103,"")</f>
        <v/>
      </c>
      <c r="P103" s="45" t="n">
        <v>0</v>
      </c>
      <c r="Q103" s="45" t="n">
        <v>0</v>
      </c>
      <c r="R103" s="46" t="str">
        <f aca="false">IF(P103&gt;=$C$3,Q103/P103,"")</f>
        <v/>
      </c>
      <c r="S103" s="45" t="n">
        <v>0</v>
      </c>
      <c r="T103" s="45" t="n">
        <v>0</v>
      </c>
      <c r="U103" s="46" t="str">
        <f aca="false">IF(S103&gt;=$C$3,T103/S103,"")</f>
        <v/>
      </c>
      <c r="V103" s="45" t="n">
        <v>4</v>
      </c>
      <c r="W103" s="45" t="n">
        <v>1</v>
      </c>
      <c r="X103" s="46" t="n">
        <f aca="false">IF(V103&gt;=$C$3,W103/V103,"")</f>
        <v>0.25</v>
      </c>
      <c r="Y103" s="7" t="n">
        <f aca="false">COUNT(F103,I103,L103,O103,R103,U103,X103)</f>
        <v>3</v>
      </c>
      <c r="Z103" s="34" t="n">
        <f aca="false">IF(Y103=0,"",AVERAGE(F103,I103,L103,O103,R103,U103,X103))</f>
        <v>0.702380952380952</v>
      </c>
      <c r="AA103" s="47" t="n">
        <f aca="false">IF(ISNUMBER(Z103),C103*Z103,"")</f>
        <v>214.134880952381</v>
      </c>
    </row>
    <row r="104" customFormat="false" ht="15" hidden="false" customHeight="false" outlineLevel="0" collapsed="false">
      <c r="A104" s="12" t="s">
        <v>233</v>
      </c>
      <c r="B104" s="10" t="s">
        <v>2233</v>
      </c>
      <c r="C104" s="44" t="n">
        <v>12587.3</v>
      </c>
      <c r="D104" s="45" t="n">
        <v>36</v>
      </c>
      <c r="E104" s="45" t="n">
        <v>36</v>
      </c>
      <c r="F104" s="46" t="n">
        <f aca="false">IF(D104&gt;=$C$3,E104/D104,"")</f>
        <v>1</v>
      </c>
      <c r="G104" s="45" t="n">
        <v>0</v>
      </c>
      <c r="H104" s="45" t="n">
        <v>0</v>
      </c>
      <c r="I104" s="46" t="str">
        <f aca="false">IF(G104&gt;=$C$3,H104/G104,"")</f>
        <v/>
      </c>
      <c r="J104" s="45" t="n">
        <v>2</v>
      </c>
      <c r="K104" s="45" t="n">
        <v>2</v>
      </c>
      <c r="L104" s="46" t="str">
        <f aca="false">IF(J104&gt;=$C$3,K104/J104,"")</f>
        <v/>
      </c>
      <c r="M104" s="45" t="n">
        <v>1</v>
      </c>
      <c r="N104" s="45" t="n">
        <v>1</v>
      </c>
      <c r="O104" s="46" t="str">
        <f aca="false">IF(M104&gt;=$C$3,N104/M104,"")</f>
        <v/>
      </c>
      <c r="P104" s="45" t="n">
        <v>5</v>
      </c>
      <c r="Q104" s="45" t="n">
        <v>4</v>
      </c>
      <c r="R104" s="46" t="n">
        <f aca="false">IF(P104&gt;=$C$3,Q104/P104,"")</f>
        <v>0.8</v>
      </c>
      <c r="S104" s="45" t="n">
        <v>3</v>
      </c>
      <c r="T104" s="45" t="n">
        <v>3</v>
      </c>
      <c r="U104" s="46" t="n">
        <f aca="false">IF(S104&gt;=$C$3,T104/S104,"")</f>
        <v>1</v>
      </c>
      <c r="V104" s="45" t="n">
        <v>8</v>
      </c>
      <c r="W104" s="45" t="n">
        <v>8</v>
      </c>
      <c r="X104" s="46" t="n">
        <f aca="false">IF(V104&gt;=$C$3,W104/V104,"")</f>
        <v>1</v>
      </c>
      <c r="Y104" s="7" t="n">
        <f aca="false">COUNT(F104,I104,L104,O104,R104,U104,X104)</f>
        <v>4</v>
      </c>
      <c r="Z104" s="34" t="n">
        <f aca="false">IF(Y104=0,"",AVERAGE(F104,I104,L104,O104,R104,U104,X104))</f>
        <v>0.95</v>
      </c>
      <c r="AA104" s="47" t="n">
        <f aca="false">IF(ISNUMBER(Z104),C104*Z104,"")</f>
        <v>11957.935</v>
      </c>
    </row>
    <row r="105" customFormat="false" ht="15" hidden="false" customHeight="false" outlineLevel="0" collapsed="false">
      <c r="A105" s="12" t="s">
        <v>170</v>
      </c>
      <c r="B105" s="10" t="s">
        <v>2217</v>
      </c>
      <c r="C105" s="44" t="n">
        <v>2931.42</v>
      </c>
      <c r="D105" s="45" t="n">
        <v>48</v>
      </c>
      <c r="E105" s="45" t="n">
        <v>48</v>
      </c>
      <c r="F105" s="46" t="n">
        <f aca="false">IF(D105&gt;=$C$3,E105/D105,"")</f>
        <v>1</v>
      </c>
      <c r="G105" s="45" t="n">
        <v>5</v>
      </c>
      <c r="H105" s="45" t="n">
        <v>5</v>
      </c>
      <c r="I105" s="46" t="n">
        <f aca="false">IF(G105&gt;=$C$3,H105/G105,"")</f>
        <v>1</v>
      </c>
      <c r="J105" s="45" t="n">
        <v>3</v>
      </c>
      <c r="K105" s="45" t="n">
        <v>3</v>
      </c>
      <c r="L105" s="46" t="n">
        <f aca="false">IF(J105&gt;=$C$3,K105/J105,"")</f>
        <v>1</v>
      </c>
      <c r="M105" s="45" t="n">
        <v>15</v>
      </c>
      <c r="N105" s="45" t="n">
        <v>15</v>
      </c>
      <c r="O105" s="46" t="n">
        <f aca="false">IF(M105&gt;=$C$3,N105/M105,"")</f>
        <v>1</v>
      </c>
      <c r="P105" s="45" t="n">
        <v>0</v>
      </c>
      <c r="Q105" s="45" t="n">
        <v>0</v>
      </c>
      <c r="R105" s="46" t="str">
        <f aca="false">IF(P105&gt;=$C$3,Q105/P105,"")</f>
        <v/>
      </c>
      <c r="S105" s="45" t="n">
        <v>0</v>
      </c>
      <c r="T105" s="45" t="n">
        <v>0</v>
      </c>
      <c r="U105" s="46" t="str">
        <f aca="false">IF(S105&gt;=$C$3,T105/S105,"")</f>
        <v/>
      </c>
      <c r="V105" s="45" t="n">
        <v>14</v>
      </c>
      <c r="W105" s="45" t="n">
        <v>14</v>
      </c>
      <c r="X105" s="46" t="n">
        <f aca="false">IF(V105&gt;=$C$3,W105/V105,"")</f>
        <v>1</v>
      </c>
      <c r="Y105" s="7" t="n">
        <f aca="false">COUNT(F105,I105,L105,O105,R105,U105,X105)</f>
        <v>5</v>
      </c>
      <c r="Z105" s="34" t="n">
        <f aca="false">IF(Y105=0,"",AVERAGE(F105,I105,L105,O105,R105,U105,X105))</f>
        <v>1</v>
      </c>
      <c r="AA105" s="47" t="n">
        <f aca="false">IF(ISNUMBER(Z105),C105*Z105,"")</f>
        <v>2931.42</v>
      </c>
    </row>
    <row r="106" customFormat="false" ht="15" hidden="false" customHeight="false" outlineLevel="0" collapsed="false">
      <c r="A106" s="12" t="s">
        <v>431</v>
      </c>
      <c r="B106" s="10" t="s">
        <v>2241</v>
      </c>
      <c r="C106" s="44" t="n">
        <v>0.23</v>
      </c>
      <c r="D106" s="45" t="n">
        <v>91</v>
      </c>
      <c r="E106" s="45" t="n">
        <v>91</v>
      </c>
      <c r="F106" s="46" t="n">
        <f aca="false">IF(D106&gt;=$C$3,E106/D106,"")</f>
        <v>1</v>
      </c>
      <c r="G106" s="45" t="n">
        <v>15</v>
      </c>
      <c r="H106" s="45" t="n">
        <v>15</v>
      </c>
      <c r="I106" s="46" t="n">
        <f aca="false">IF(G106&gt;=$C$3,H106/G106,"")</f>
        <v>1</v>
      </c>
      <c r="J106" s="45" t="n">
        <v>6</v>
      </c>
      <c r="K106" s="45" t="n">
        <v>6</v>
      </c>
      <c r="L106" s="46" t="n">
        <f aca="false">IF(J106&gt;=$C$3,K106/J106,"")</f>
        <v>1</v>
      </c>
      <c r="M106" s="45" t="n">
        <v>15</v>
      </c>
      <c r="N106" s="45" t="n">
        <v>15</v>
      </c>
      <c r="O106" s="46" t="n">
        <f aca="false">IF(M106&gt;=$C$3,N106/M106,"")</f>
        <v>1</v>
      </c>
      <c r="P106" s="45" t="n">
        <v>3</v>
      </c>
      <c r="Q106" s="45" t="n">
        <v>3</v>
      </c>
      <c r="R106" s="46" t="n">
        <f aca="false">IF(P106&gt;=$C$3,Q106/P106,"")</f>
        <v>1</v>
      </c>
      <c r="S106" s="45" t="n">
        <v>3</v>
      </c>
      <c r="T106" s="45" t="n">
        <v>3</v>
      </c>
      <c r="U106" s="46" t="n">
        <f aca="false">IF(S106&gt;=$C$3,T106/S106,"")</f>
        <v>1</v>
      </c>
      <c r="V106" s="45" t="n">
        <v>10</v>
      </c>
      <c r="W106" s="45" t="n">
        <v>10</v>
      </c>
      <c r="X106" s="46" t="n">
        <f aca="false">IF(V106&gt;=$C$3,W106/V106,"")</f>
        <v>1</v>
      </c>
      <c r="Y106" s="7" t="n">
        <f aca="false">COUNT(F106,I106,L106,O106,R106,U106,X106)</f>
        <v>7</v>
      </c>
      <c r="Z106" s="34" t="n">
        <f aca="false">IF(Y106=0,"",AVERAGE(F106,I106,L106,O106,R106,U106,X106))</f>
        <v>1</v>
      </c>
      <c r="AA106" s="47" t="n">
        <f aca="false">IF(ISNUMBER(Z106),C106*Z106,"")</f>
        <v>0.23</v>
      </c>
    </row>
    <row r="107" customFormat="false" ht="15" hidden="false" customHeight="false" outlineLevel="0" collapsed="false">
      <c r="A107" s="12" t="s">
        <v>508</v>
      </c>
      <c r="B107" s="10" t="s">
        <v>2223</v>
      </c>
      <c r="C107" s="44" t="n">
        <v>2714.83</v>
      </c>
      <c r="D107" s="45" t="n">
        <v>115</v>
      </c>
      <c r="E107" s="45" t="n">
        <v>114</v>
      </c>
      <c r="F107" s="46" t="n">
        <f aca="false">IF(D107&gt;=$C$3,E107/D107,"")</f>
        <v>0.991304347826087</v>
      </c>
      <c r="G107" s="45" t="n">
        <v>9</v>
      </c>
      <c r="H107" s="45" t="n">
        <v>8</v>
      </c>
      <c r="I107" s="46" t="n">
        <f aca="false">IF(G107&gt;=$C$3,H107/G107,"")</f>
        <v>0.888888888888889</v>
      </c>
      <c r="J107" s="45" t="n">
        <v>12</v>
      </c>
      <c r="K107" s="45" t="n">
        <v>12</v>
      </c>
      <c r="L107" s="46" t="n">
        <f aca="false">IF(J107&gt;=$C$3,K107/J107,"")</f>
        <v>1</v>
      </c>
      <c r="M107" s="45" t="n">
        <v>11</v>
      </c>
      <c r="N107" s="45" t="n">
        <v>11</v>
      </c>
      <c r="O107" s="46" t="n">
        <f aca="false">IF(M107&gt;=$C$3,N107/M107,"")</f>
        <v>1</v>
      </c>
      <c r="P107" s="45" t="n">
        <v>10</v>
      </c>
      <c r="Q107" s="45" t="n">
        <v>10</v>
      </c>
      <c r="R107" s="46" t="n">
        <f aca="false">IF(P107&gt;=$C$3,Q107/P107,"")</f>
        <v>1</v>
      </c>
      <c r="S107" s="45" t="n">
        <v>3</v>
      </c>
      <c r="T107" s="45" t="n">
        <v>3</v>
      </c>
      <c r="U107" s="46" t="n">
        <f aca="false">IF(S107&gt;=$C$3,T107/S107,"")</f>
        <v>1</v>
      </c>
      <c r="V107" s="45" t="n">
        <v>26</v>
      </c>
      <c r="W107" s="45" t="n">
        <v>14</v>
      </c>
      <c r="X107" s="46" t="n">
        <f aca="false">IF(V107&gt;=$C$3,W107/V107,"")</f>
        <v>0.538461538461538</v>
      </c>
      <c r="Y107" s="7" t="n">
        <f aca="false">COUNT(F107,I107,L107,O107,R107,U107,X107)</f>
        <v>7</v>
      </c>
      <c r="Z107" s="34" t="n">
        <f aca="false">IF(Y107=0,"",AVERAGE(F107,I107,L107,O107,R107,U107,X107))</f>
        <v>0.916950682168073</v>
      </c>
      <c r="AA107" s="47" t="n">
        <f aca="false">IF(ISNUMBER(Z107),C107*Z107,"")</f>
        <v>2489.36522047035</v>
      </c>
    </row>
    <row r="108" customFormat="false" ht="15" hidden="false" customHeight="false" outlineLevel="0" collapsed="false">
      <c r="A108" s="12" t="s">
        <v>239</v>
      </c>
      <c r="B108" s="10" t="s">
        <v>2224</v>
      </c>
      <c r="C108" s="44" t="n">
        <v>106496.78</v>
      </c>
      <c r="D108" s="45" t="n">
        <v>413</v>
      </c>
      <c r="E108" s="45" t="n">
        <v>141</v>
      </c>
      <c r="F108" s="46" t="n">
        <f aca="false">IF(D108&gt;=$C$3,E108/D108,"")</f>
        <v>0.341404358353511</v>
      </c>
      <c r="G108" s="45" t="n">
        <v>131</v>
      </c>
      <c r="H108" s="45" t="n">
        <v>23</v>
      </c>
      <c r="I108" s="46" t="n">
        <f aca="false">IF(G108&gt;=$C$3,H108/G108,"")</f>
        <v>0.175572519083969</v>
      </c>
      <c r="J108" s="45" t="n">
        <v>47</v>
      </c>
      <c r="K108" s="45" t="n">
        <v>2</v>
      </c>
      <c r="L108" s="46" t="n">
        <f aca="false">IF(J108&gt;=$C$3,K108/J108,"")</f>
        <v>0.0425531914893617</v>
      </c>
      <c r="M108" s="45" t="n">
        <v>154</v>
      </c>
      <c r="N108" s="45" t="n">
        <v>13</v>
      </c>
      <c r="O108" s="46" t="n">
        <f aca="false">IF(M108&gt;=$C$3,N108/M108,"")</f>
        <v>0.0844155844155844</v>
      </c>
      <c r="P108" s="45" t="n">
        <v>26</v>
      </c>
      <c r="Q108" s="45" t="n">
        <v>1</v>
      </c>
      <c r="R108" s="46" t="n">
        <f aca="false">IF(P108&gt;=$C$3,Q108/P108,"")</f>
        <v>0.0384615384615385</v>
      </c>
      <c r="S108" s="45" t="n">
        <v>68</v>
      </c>
      <c r="T108" s="45" t="n">
        <v>16</v>
      </c>
      <c r="U108" s="46" t="n">
        <f aca="false">IF(S108&gt;=$C$3,T108/S108,"")</f>
        <v>0.235294117647059</v>
      </c>
      <c r="V108" s="45" t="n">
        <v>142</v>
      </c>
      <c r="W108" s="45" t="n">
        <v>43</v>
      </c>
      <c r="X108" s="46" t="n">
        <f aca="false">IF(V108&gt;=$C$3,W108/V108,"")</f>
        <v>0.302816901408451</v>
      </c>
      <c r="Y108" s="7" t="n">
        <f aca="false">COUNT(F108,I108,L108,O108,R108,U108,X108)</f>
        <v>7</v>
      </c>
      <c r="Z108" s="34" t="n">
        <f aca="false">IF(Y108=0,"",AVERAGE(F108,I108,L108,O108,R108,U108,X108))</f>
        <v>0.174359744408496</v>
      </c>
      <c r="AA108" s="47" t="n">
        <f aca="false">IF(ISNUMBER(Z108),C108*Z108,"")</f>
        <v>18568.7513411279</v>
      </c>
    </row>
    <row r="109" customFormat="false" ht="15" hidden="false" customHeight="false" outlineLevel="0" collapsed="false">
      <c r="A109" s="12" t="s">
        <v>492</v>
      </c>
      <c r="B109" s="10" t="s">
        <v>2218</v>
      </c>
      <c r="C109" s="44" t="n">
        <v>46739.27</v>
      </c>
      <c r="D109" s="45" t="n">
        <v>1219</v>
      </c>
      <c r="E109" s="45" t="n">
        <v>422</v>
      </c>
      <c r="F109" s="46" t="n">
        <f aca="false">IF(D109&gt;=$C$3,E109/D109,"")</f>
        <v>0.346185397867104</v>
      </c>
      <c r="G109" s="45" t="n">
        <v>111</v>
      </c>
      <c r="H109" s="45" t="n">
        <v>39</v>
      </c>
      <c r="I109" s="46" t="n">
        <f aca="false">IF(G109&gt;=$C$3,H109/G109,"")</f>
        <v>0.351351351351351</v>
      </c>
      <c r="J109" s="45" t="n">
        <v>84</v>
      </c>
      <c r="K109" s="45" t="n">
        <v>39</v>
      </c>
      <c r="L109" s="46" t="n">
        <f aca="false">IF(J109&gt;=$C$3,K109/J109,"")</f>
        <v>0.464285714285714</v>
      </c>
      <c r="M109" s="45" t="n">
        <v>145</v>
      </c>
      <c r="N109" s="45" t="n">
        <v>58</v>
      </c>
      <c r="O109" s="46" t="n">
        <f aca="false">IF(M109&gt;=$C$3,N109/M109,"")</f>
        <v>0.4</v>
      </c>
      <c r="P109" s="45" t="n">
        <v>32</v>
      </c>
      <c r="Q109" s="45" t="n">
        <v>14</v>
      </c>
      <c r="R109" s="46" t="n">
        <f aca="false">IF(P109&gt;=$C$3,Q109/P109,"")</f>
        <v>0.4375</v>
      </c>
      <c r="S109" s="45" t="n">
        <v>218</v>
      </c>
      <c r="T109" s="45" t="n">
        <v>131</v>
      </c>
      <c r="U109" s="46" t="n">
        <f aca="false">IF(S109&gt;=$C$3,T109/S109,"")</f>
        <v>0.600917431192661</v>
      </c>
      <c r="V109" s="45" t="n">
        <v>568</v>
      </c>
      <c r="W109" s="45" t="n">
        <v>105</v>
      </c>
      <c r="X109" s="46" t="n">
        <f aca="false">IF(V109&gt;=$C$3,W109/V109,"")</f>
        <v>0.184859154929577</v>
      </c>
      <c r="Y109" s="7" t="n">
        <f aca="false">COUNT(F109,I109,L109,O109,R109,U109,X109)</f>
        <v>7</v>
      </c>
      <c r="Z109" s="34" t="n">
        <f aca="false">IF(Y109=0,"",AVERAGE(F109,I109,L109,O109,R109,U109,X109))</f>
        <v>0.397871292803773</v>
      </c>
      <c r="AA109" s="47" t="n">
        <f aca="false">IF(ISNUMBER(Z109),C109*Z109,"")</f>
        <v>18596.2137796046</v>
      </c>
    </row>
    <row r="110" customFormat="false" ht="15" hidden="false" customHeight="false" outlineLevel="0" collapsed="false">
      <c r="A110" s="12" t="s">
        <v>259</v>
      </c>
      <c r="B110" s="10" t="s">
        <v>2219</v>
      </c>
      <c r="C110" s="44" t="n">
        <v>1210.6</v>
      </c>
      <c r="D110" s="45" t="n">
        <v>9</v>
      </c>
      <c r="E110" s="45" t="n">
        <v>6</v>
      </c>
      <c r="F110" s="46" t="n">
        <f aca="false">IF(D110&gt;=$C$3,E110/D110,"")</f>
        <v>0.666666666666667</v>
      </c>
      <c r="G110" s="45" t="n">
        <v>0</v>
      </c>
      <c r="H110" s="45" t="n">
        <v>0</v>
      </c>
      <c r="I110" s="46" t="str">
        <f aca="false">IF(G110&gt;=$C$3,H110/G110,"")</f>
        <v/>
      </c>
      <c r="J110" s="45" t="n">
        <v>0</v>
      </c>
      <c r="K110" s="45" t="n">
        <v>0</v>
      </c>
      <c r="L110" s="46" t="str">
        <f aca="false">IF(J110&gt;=$C$3,K110/J110,"")</f>
        <v/>
      </c>
      <c r="M110" s="45" t="n">
        <v>5</v>
      </c>
      <c r="N110" s="45" t="n">
        <v>5</v>
      </c>
      <c r="O110" s="46" t="n">
        <f aca="false">IF(M110&gt;=$C$3,N110/M110,"")</f>
        <v>1</v>
      </c>
      <c r="P110" s="45" t="n">
        <v>2</v>
      </c>
      <c r="Q110" s="45" t="n">
        <v>2</v>
      </c>
      <c r="R110" s="46" t="str">
        <f aca="false">IF(P110&gt;=$C$3,Q110/P110,"")</f>
        <v/>
      </c>
      <c r="S110" s="45" t="n">
        <v>1</v>
      </c>
      <c r="T110" s="45" t="n">
        <v>1</v>
      </c>
      <c r="U110" s="46" t="str">
        <f aca="false">IF(S110&gt;=$C$3,T110/S110,"")</f>
        <v/>
      </c>
      <c r="V110" s="45" t="n">
        <v>8</v>
      </c>
      <c r="W110" s="45" t="n">
        <v>8</v>
      </c>
      <c r="X110" s="46" t="n">
        <f aca="false">IF(V110&gt;=$C$3,W110/V110,"")</f>
        <v>1</v>
      </c>
      <c r="Y110" s="7" t="n">
        <f aca="false">COUNT(F110,I110,L110,O110,R110,U110,X110)</f>
        <v>3</v>
      </c>
      <c r="Z110" s="34" t="n">
        <f aca="false">IF(Y110=0,"",AVERAGE(F110,I110,L110,O110,R110,U110,X110))</f>
        <v>0.888888888888889</v>
      </c>
      <c r="AA110" s="47" t="n">
        <f aca="false">IF(ISNUMBER(Z110),C110*Z110,"")</f>
        <v>1076.08888888889</v>
      </c>
    </row>
    <row r="111" customFormat="false" ht="15" hidden="false" customHeight="false" outlineLevel="0" collapsed="false">
      <c r="A111" s="12" t="s">
        <v>182</v>
      </c>
      <c r="B111" s="10" t="s">
        <v>2242</v>
      </c>
      <c r="C111" s="44" t="n">
        <v>16781.35</v>
      </c>
      <c r="D111" s="45" t="n">
        <v>366</v>
      </c>
      <c r="E111" s="45" t="n">
        <v>318</v>
      </c>
      <c r="F111" s="46" t="n">
        <f aca="false">IF(D111&gt;=$C$3,E111/D111,"")</f>
        <v>0.868852459016393</v>
      </c>
      <c r="G111" s="45" t="n">
        <v>35</v>
      </c>
      <c r="H111" s="45" t="n">
        <v>24</v>
      </c>
      <c r="I111" s="46" t="n">
        <f aca="false">IF(G111&gt;=$C$3,H111/G111,"")</f>
        <v>0.685714285714286</v>
      </c>
      <c r="J111" s="45" t="n">
        <v>9</v>
      </c>
      <c r="K111" s="45" t="n">
        <v>8</v>
      </c>
      <c r="L111" s="46" t="n">
        <f aca="false">IF(J111&gt;=$C$3,K111/J111,"")</f>
        <v>0.888888888888889</v>
      </c>
      <c r="M111" s="45" t="n">
        <v>73</v>
      </c>
      <c r="N111" s="45" t="n">
        <v>28</v>
      </c>
      <c r="O111" s="46" t="n">
        <f aca="false">IF(M111&gt;=$C$3,N111/M111,"")</f>
        <v>0.383561643835616</v>
      </c>
      <c r="P111" s="45" t="n">
        <v>6</v>
      </c>
      <c r="Q111" s="45" t="n">
        <v>6</v>
      </c>
      <c r="R111" s="46" t="n">
        <f aca="false">IF(P111&gt;=$C$3,Q111/P111,"")</f>
        <v>1</v>
      </c>
      <c r="S111" s="45" t="n">
        <v>29</v>
      </c>
      <c r="T111" s="45" t="n">
        <v>19</v>
      </c>
      <c r="U111" s="46" t="n">
        <f aca="false">IF(S111&gt;=$C$3,T111/S111,"")</f>
        <v>0.655172413793103</v>
      </c>
      <c r="V111" s="45" t="n">
        <v>99</v>
      </c>
      <c r="W111" s="45" t="n">
        <v>33</v>
      </c>
      <c r="X111" s="46" t="n">
        <f aca="false">IF(V111&gt;=$C$3,W111/V111,"")</f>
        <v>0.333333333333333</v>
      </c>
      <c r="Y111" s="7" t="n">
        <f aca="false">COUNT(F111,I111,L111,O111,R111,U111,X111)</f>
        <v>7</v>
      </c>
      <c r="Z111" s="34" t="n">
        <f aca="false">IF(Y111=0,"",AVERAGE(F111,I111,L111,O111,R111,U111,X111))</f>
        <v>0.687931860654517</v>
      </c>
      <c r="AA111" s="47" t="n">
        <f aca="false">IF(ISNUMBER(Z111),C111*Z111,"")</f>
        <v>11544.4253297947</v>
      </c>
    </row>
    <row r="112" customFormat="false" ht="15" hidden="false" customHeight="false" outlineLevel="0" collapsed="false">
      <c r="A112" s="12" t="s">
        <v>167</v>
      </c>
      <c r="B112" s="10" t="s">
        <v>2243</v>
      </c>
      <c r="C112" s="44" t="n">
        <v>417765.21</v>
      </c>
      <c r="D112" s="45" t="n">
        <v>68</v>
      </c>
      <c r="E112" s="45" t="n">
        <v>68</v>
      </c>
      <c r="F112" s="46" t="n">
        <f aca="false">IF(D112&gt;=$C$3,E112/D112,"")</f>
        <v>1</v>
      </c>
      <c r="G112" s="45" t="n">
        <v>6</v>
      </c>
      <c r="H112" s="45" t="n">
        <v>6</v>
      </c>
      <c r="I112" s="46" t="n">
        <f aca="false">IF(G112&gt;=$C$3,H112/G112,"")</f>
        <v>1</v>
      </c>
      <c r="J112" s="45" t="n">
        <v>4</v>
      </c>
      <c r="K112" s="45" t="n">
        <v>4</v>
      </c>
      <c r="L112" s="46" t="n">
        <f aca="false">IF(J112&gt;=$C$3,K112/J112,"")</f>
        <v>1</v>
      </c>
      <c r="M112" s="45" t="n">
        <v>8</v>
      </c>
      <c r="N112" s="45" t="n">
        <v>8</v>
      </c>
      <c r="O112" s="46" t="n">
        <f aca="false">IF(M112&gt;=$C$3,N112/M112,"")</f>
        <v>1</v>
      </c>
      <c r="P112" s="45" t="n">
        <v>7</v>
      </c>
      <c r="Q112" s="45" t="n">
        <v>7</v>
      </c>
      <c r="R112" s="46" t="n">
        <f aca="false">IF(P112&gt;=$C$3,Q112/P112,"")</f>
        <v>1</v>
      </c>
      <c r="S112" s="45" t="n">
        <v>4</v>
      </c>
      <c r="T112" s="45" t="n">
        <v>4</v>
      </c>
      <c r="U112" s="46" t="n">
        <f aca="false">IF(S112&gt;=$C$3,T112/S112,"")</f>
        <v>1</v>
      </c>
      <c r="V112" s="45" t="n">
        <v>27</v>
      </c>
      <c r="W112" s="45" t="n">
        <v>0</v>
      </c>
      <c r="X112" s="46" t="n">
        <f aca="false">IF(V112&gt;=$C$3,W112/V112,"")</f>
        <v>0</v>
      </c>
      <c r="Y112" s="7" t="n">
        <f aca="false">COUNT(F112,I112,L112,O112,R112,U112,X112)</f>
        <v>7</v>
      </c>
      <c r="Z112" s="34" t="n">
        <f aca="false">IF(Y112=0,"",AVERAGE(F112,I112,L112,O112,R112,U112,X112))</f>
        <v>0.857142857142857</v>
      </c>
      <c r="AA112" s="47" t="n">
        <f aca="false">IF(ISNUMBER(Z112),C112*Z112,"")</f>
        <v>358084.465714286</v>
      </c>
    </row>
    <row r="113" customFormat="false" ht="15" hidden="false" customHeight="false" outlineLevel="0" collapsed="false">
      <c r="A113" s="12" t="s">
        <v>365</v>
      </c>
      <c r="B113" s="10" t="s">
        <v>2226</v>
      </c>
      <c r="C113" s="44" t="n">
        <v>8000.57</v>
      </c>
      <c r="D113" s="45" t="n">
        <v>65</v>
      </c>
      <c r="E113" s="45" t="n">
        <v>31</v>
      </c>
      <c r="F113" s="46" t="n">
        <f aca="false">IF(D113&gt;=$C$3,E113/D113,"")</f>
        <v>0.476923076923077</v>
      </c>
      <c r="G113" s="45" t="n">
        <v>22</v>
      </c>
      <c r="H113" s="45" t="n">
        <v>3</v>
      </c>
      <c r="I113" s="46" t="n">
        <f aca="false">IF(G113&gt;=$C$3,H113/G113,"")</f>
        <v>0.136363636363636</v>
      </c>
      <c r="J113" s="45" t="n">
        <v>8</v>
      </c>
      <c r="K113" s="45" t="n">
        <v>1</v>
      </c>
      <c r="L113" s="46" t="n">
        <f aca="false">IF(J113&gt;=$C$3,K113/J113,"")</f>
        <v>0.125</v>
      </c>
      <c r="M113" s="45" t="n">
        <v>16</v>
      </c>
      <c r="N113" s="45" t="n">
        <v>5</v>
      </c>
      <c r="O113" s="46" t="n">
        <f aca="false">IF(M113&gt;=$C$3,N113/M113,"")</f>
        <v>0.3125</v>
      </c>
      <c r="P113" s="45" t="n">
        <v>15</v>
      </c>
      <c r="Q113" s="45" t="n">
        <v>7</v>
      </c>
      <c r="R113" s="46" t="n">
        <f aca="false">IF(P113&gt;=$C$3,Q113/P113,"")</f>
        <v>0.466666666666667</v>
      </c>
      <c r="S113" s="45" t="n">
        <v>1</v>
      </c>
      <c r="T113" s="45" t="n">
        <v>1</v>
      </c>
      <c r="U113" s="46" t="str">
        <f aca="false">IF(S113&gt;=$C$3,T113/S113,"")</f>
        <v/>
      </c>
      <c r="V113" s="45" t="n">
        <v>22</v>
      </c>
      <c r="W113" s="45" t="n">
        <v>11</v>
      </c>
      <c r="X113" s="46" t="n">
        <f aca="false">IF(V113&gt;=$C$3,W113/V113,"")</f>
        <v>0.5</v>
      </c>
      <c r="Y113" s="7" t="n">
        <f aca="false">COUNT(F113,I113,L113,O113,R113,U113,X113)</f>
        <v>6</v>
      </c>
      <c r="Z113" s="34" t="n">
        <f aca="false">IF(Y113=0,"",AVERAGE(F113,I113,L113,O113,R113,U113,X113))</f>
        <v>0.33624222999223</v>
      </c>
      <c r="AA113" s="47" t="n">
        <f aca="false">IF(ISNUMBER(Z113),C113*Z113,"")</f>
        <v>2690.12949800894</v>
      </c>
    </row>
    <row r="114" customFormat="false" ht="15" hidden="false" customHeight="false" outlineLevel="0" collapsed="false">
      <c r="A114" s="12" t="s">
        <v>128</v>
      </c>
      <c r="B114" s="10" t="s">
        <v>2223</v>
      </c>
      <c r="C114" s="44" t="n">
        <v>4183.29</v>
      </c>
      <c r="D114" s="45" t="n">
        <v>97</v>
      </c>
      <c r="E114" s="45" t="n">
        <v>87</v>
      </c>
      <c r="F114" s="46" t="n">
        <f aca="false">IF(D114&gt;=$C$3,E114/D114,"")</f>
        <v>0.896907216494845</v>
      </c>
      <c r="G114" s="45" t="n">
        <v>11</v>
      </c>
      <c r="H114" s="45" t="n">
        <v>10</v>
      </c>
      <c r="I114" s="46" t="n">
        <f aca="false">IF(G114&gt;=$C$3,H114/G114,"")</f>
        <v>0.909090909090909</v>
      </c>
      <c r="J114" s="45" t="n">
        <v>4</v>
      </c>
      <c r="K114" s="45" t="n">
        <v>3</v>
      </c>
      <c r="L114" s="46" t="n">
        <f aca="false">IF(J114&gt;=$C$3,K114/J114,"")</f>
        <v>0.75</v>
      </c>
      <c r="M114" s="45" t="n">
        <v>8</v>
      </c>
      <c r="N114" s="45" t="n">
        <v>6</v>
      </c>
      <c r="O114" s="46" t="n">
        <f aca="false">IF(M114&gt;=$C$3,N114/M114,"")</f>
        <v>0.75</v>
      </c>
      <c r="P114" s="45" t="n">
        <v>3</v>
      </c>
      <c r="Q114" s="45" t="n">
        <v>1</v>
      </c>
      <c r="R114" s="46" t="n">
        <f aca="false">IF(P114&gt;=$C$3,Q114/P114,"")</f>
        <v>0.333333333333333</v>
      </c>
      <c r="S114" s="45" t="n">
        <v>1</v>
      </c>
      <c r="T114" s="45" t="n">
        <v>1</v>
      </c>
      <c r="U114" s="46" t="str">
        <f aca="false">IF(S114&gt;=$C$3,T114/S114,"")</f>
        <v/>
      </c>
      <c r="V114" s="45" t="n">
        <v>12</v>
      </c>
      <c r="W114" s="45" t="n">
        <v>6</v>
      </c>
      <c r="X114" s="46" t="n">
        <f aca="false">IF(V114&gt;=$C$3,W114/V114,"")</f>
        <v>0.5</v>
      </c>
      <c r="Y114" s="7" t="n">
        <f aca="false">COUNT(F114,I114,L114,O114,R114,U114,X114)</f>
        <v>6</v>
      </c>
      <c r="Z114" s="34" t="n">
        <f aca="false">IF(Y114=0,"",AVERAGE(F114,I114,L114,O114,R114,U114,X114))</f>
        <v>0.689888576486515</v>
      </c>
      <c r="AA114" s="47" t="n">
        <f aca="false">IF(ISNUMBER(Z114),C114*Z114,"")</f>
        <v>2886.00398313027</v>
      </c>
    </row>
    <row r="115" customFormat="false" ht="15" hidden="false" customHeight="false" outlineLevel="0" collapsed="false">
      <c r="A115" s="12" t="s">
        <v>148</v>
      </c>
      <c r="B115" s="10" t="s">
        <v>2219</v>
      </c>
      <c r="C115" s="44" t="n">
        <v>59407.06</v>
      </c>
      <c r="D115" s="45" t="n">
        <v>304</v>
      </c>
      <c r="E115" s="45" t="n">
        <v>303</v>
      </c>
      <c r="F115" s="46" t="n">
        <f aca="false">IF(D115&gt;=$C$3,E115/D115,"")</f>
        <v>0.99671052631579</v>
      </c>
      <c r="G115" s="45" t="n">
        <v>37</v>
      </c>
      <c r="H115" s="45" t="n">
        <v>35</v>
      </c>
      <c r="I115" s="46" t="n">
        <f aca="false">IF(G115&gt;=$C$3,H115/G115,"")</f>
        <v>0.945945945945946</v>
      </c>
      <c r="J115" s="45" t="n">
        <v>16</v>
      </c>
      <c r="K115" s="45" t="n">
        <v>16</v>
      </c>
      <c r="L115" s="46" t="n">
        <f aca="false">IF(J115&gt;=$C$3,K115/J115,"")</f>
        <v>1</v>
      </c>
      <c r="M115" s="45" t="n">
        <v>17</v>
      </c>
      <c r="N115" s="45" t="n">
        <v>17</v>
      </c>
      <c r="O115" s="46" t="n">
        <f aca="false">IF(M115&gt;=$C$3,N115/M115,"")</f>
        <v>1</v>
      </c>
      <c r="P115" s="45" t="n">
        <v>26</v>
      </c>
      <c r="Q115" s="45" t="n">
        <v>26</v>
      </c>
      <c r="R115" s="46" t="n">
        <f aca="false">IF(P115&gt;=$C$3,Q115/P115,"")</f>
        <v>1</v>
      </c>
      <c r="S115" s="45" t="n">
        <v>15</v>
      </c>
      <c r="T115" s="45" t="n">
        <v>15</v>
      </c>
      <c r="U115" s="46" t="n">
        <f aca="false">IF(S115&gt;=$C$3,T115/S115,"")</f>
        <v>1</v>
      </c>
      <c r="V115" s="45" t="n">
        <v>25</v>
      </c>
      <c r="W115" s="45" t="n">
        <v>25</v>
      </c>
      <c r="X115" s="46" t="n">
        <f aca="false">IF(V115&gt;=$C$3,W115/V115,"")</f>
        <v>1</v>
      </c>
      <c r="Y115" s="7" t="n">
        <f aca="false">COUNT(F115,I115,L115,O115,R115,U115,X115)</f>
        <v>7</v>
      </c>
      <c r="Z115" s="34" t="n">
        <f aca="false">IF(Y115=0,"",AVERAGE(F115,I115,L115,O115,R115,U115,X115))</f>
        <v>0.991808067465962</v>
      </c>
      <c r="AA115" s="47" t="n">
        <f aca="false">IF(ISNUMBER(Z115),C115*Z115,"")</f>
        <v>58920.4013724345</v>
      </c>
    </row>
    <row r="116" customFormat="false" ht="15" hidden="false" customHeight="false" outlineLevel="0" collapsed="false">
      <c r="A116" s="12" t="s">
        <v>408</v>
      </c>
      <c r="B116" s="10" t="s">
        <v>2235</v>
      </c>
      <c r="C116" s="44" t="n">
        <v>703.44</v>
      </c>
      <c r="D116" s="45" t="n">
        <v>37</v>
      </c>
      <c r="E116" s="45" t="n">
        <v>37</v>
      </c>
      <c r="F116" s="46" t="n">
        <f aca="false">IF(D116&gt;=$C$3,E116/D116,"")</f>
        <v>1</v>
      </c>
      <c r="G116" s="45" t="n">
        <v>3</v>
      </c>
      <c r="H116" s="45" t="n">
        <v>1</v>
      </c>
      <c r="I116" s="46" t="n">
        <f aca="false">IF(G116&gt;=$C$3,H116/G116,"")</f>
        <v>0.333333333333333</v>
      </c>
      <c r="J116" s="45" t="n">
        <v>3</v>
      </c>
      <c r="K116" s="45" t="n">
        <v>3</v>
      </c>
      <c r="L116" s="46" t="n">
        <f aca="false">IF(J116&gt;=$C$3,K116/J116,"")</f>
        <v>1</v>
      </c>
      <c r="M116" s="45" t="n">
        <v>7</v>
      </c>
      <c r="N116" s="45" t="n">
        <v>5</v>
      </c>
      <c r="O116" s="46" t="n">
        <f aca="false">IF(M116&gt;=$C$3,N116/M116,"")</f>
        <v>0.714285714285714</v>
      </c>
      <c r="P116" s="45" t="n">
        <v>3</v>
      </c>
      <c r="Q116" s="45" t="n">
        <v>1</v>
      </c>
      <c r="R116" s="46" t="n">
        <f aca="false">IF(P116&gt;=$C$3,Q116/P116,"")</f>
        <v>0.333333333333333</v>
      </c>
      <c r="S116" s="45" t="n">
        <v>0</v>
      </c>
      <c r="T116" s="45" t="n">
        <v>0</v>
      </c>
      <c r="U116" s="46" t="str">
        <f aca="false">IF(S116&gt;=$C$3,T116/S116,"")</f>
        <v/>
      </c>
      <c r="V116" s="45" t="n">
        <v>8</v>
      </c>
      <c r="W116" s="45" t="n">
        <v>6</v>
      </c>
      <c r="X116" s="46" t="n">
        <f aca="false">IF(V116&gt;=$C$3,W116/V116,"")</f>
        <v>0.75</v>
      </c>
      <c r="Y116" s="7" t="n">
        <f aca="false">COUNT(F116,I116,L116,O116,R116,U116,X116)</f>
        <v>6</v>
      </c>
      <c r="Z116" s="34" t="n">
        <f aca="false">IF(Y116=0,"",AVERAGE(F116,I116,L116,O116,R116,U116,X116))</f>
        <v>0.688492063492064</v>
      </c>
      <c r="AA116" s="47" t="n">
        <f aca="false">IF(ISNUMBER(Z116),C116*Z116,"")</f>
        <v>484.312857142857</v>
      </c>
    </row>
    <row r="117" customFormat="false" ht="15" hidden="false" customHeight="false" outlineLevel="0" collapsed="false">
      <c r="A117" s="12" t="s">
        <v>604</v>
      </c>
      <c r="B117" s="10" t="s">
        <v>2218</v>
      </c>
      <c r="C117" s="44" t="n">
        <v>1894.78</v>
      </c>
      <c r="D117" s="45" t="n">
        <v>8</v>
      </c>
      <c r="E117" s="45" t="n">
        <v>8</v>
      </c>
      <c r="F117" s="46" t="n">
        <f aca="false">IF(D117&gt;=$C$3,E117/D117,"")</f>
        <v>1</v>
      </c>
      <c r="G117" s="45" t="n">
        <v>8</v>
      </c>
      <c r="H117" s="45" t="n">
        <v>8</v>
      </c>
      <c r="I117" s="46" t="n">
        <f aca="false">IF(G117&gt;=$C$3,H117/G117,"")</f>
        <v>1</v>
      </c>
      <c r="J117" s="45" t="n">
        <v>0</v>
      </c>
      <c r="K117" s="45" t="n">
        <v>0</v>
      </c>
      <c r="L117" s="46" t="str">
        <f aca="false">IF(J117&gt;=$C$3,K117/J117,"")</f>
        <v/>
      </c>
      <c r="M117" s="45" t="n">
        <v>24</v>
      </c>
      <c r="N117" s="45" t="n">
        <v>24</v>
      </c>
      <c r="O117" s="46" t="n">
        <f aca="false">IF(M117&gt;=$C$3,N117/M117,"")</f>
        <v>1</v>
      </c>
      <c r="P117" s="45" t="n">
        <v>0</v>
      </c>
      <c r="Q117" s="45" t="n">
        <v>0</v>
      </c>
      <c r="R117" s="46" t="str">
        <f aca="false">IF(P117&gt;=$C$3,Q117/P117,"")</f>
        <v/>
      </c>
      <c r="S117" s="45" t="n">
        <v>0</v>
      </c>
      <c r="T117" s="45" t="n">
        <v>0</v>
      </c>
      <c r="U117" s="46" t="str">
        <f aca="false">IF(S117&gt;=$C$3,T117/S117,"")</f>
        <v/>
      </c>
      <c r="V117" s="45" t="n">
        <v>0</v>
      </c>
      <c r="W117" s="45" t="n">
        <v>0</v>
      </c>
      <c r="X117" s="46" t="str">
        <f aca="false">IF(V117&gt;=$C$3,W117/V117,"")</f>
        <v/>
      </c>
      <c r="Y117" s="7" t="n">
        <f aca="false">COUNT(F117,I117,L117,O117,R117,U117,X117)</f>
        <v>3</v>
      </c>
      <c r="Z117" s="34" t="n">
        <f aca="false">IF(Y117=0,"",AVERAGE(F117,I117,L117,O117,R117,U117,X117))</f>
        <v>1</v>
      </c>
      <c r="AA117" s="47" t="n">
        <f aca="false">IF(ISNUMBER(Z117),C117*Z117,"")</f>
        <v>1894.78</v>
      </c>
    </row>
    <row r="118" customFormat="false" ht="15" hidden="false" customHeight="false" outlineLevel="0" collapsed="false">
      <c r="A118" s="12" t="s">
        <v>285</v>
      </c>
      <c r="B118" s="10" t="s">
        <v>2218</v>
      </c>
      <c r="C118" s="44" t="n">
        <v>117.07</v>
      </c>
      <c r="D118" s="45" t="n">
        <v>3</v>
      </c>
      <c r="E118" s="45" t="n">
        <v>3</v>
      </c>
      <c r="F118" s="46" t="n">
        <f aca="false">IF(D118&gt;=$C$3,E118/D118,"")</f>
        <v>1</v>
      </c>
      <c r="G118" s="45" t="n">
        <v>0</v>
      </c>
      <c r="H118" s="45" t="n">
        <v>0</v>
      </c>
      <c r="I118" s="46" t="str">
        <f aca="false">IF(G118&gt;=$C$3,H118/G118,"")</f>
        <v/>
      </c>
      <c r="J118" s="45" t="n">
        <v>0</v>
      </c>
      <c r="K118" s="45" t="n">
        <v>0</v>
      </c>
      <c r="L118" s="46" t="str">
        <f aca="false">IF(J118&gt;=$C$3,K118/J118,"")</f>
        <v/>
      </c>
      <c r="M118" s="45" t="n">
        <v>0</v>
      </c>
      <c r="N118" s="45" t="n">
        <v>0</v>
      </c>
      <c r="O118" s="46" t="str">
        <f aca="false">IF(M118&gt;=$C$3,N118/M118,"")</f>
        <v/>
      </c>
      <c r="P118" s="45" t="n">
        <v>0</v>
      </c>
      <c r="Q118" s="45" t="n">
        <v>0</v>
      </c>
      <c r="R118" s="46" t="str">
        <f aca="false">IF(P118&gt;=$C$3,Q118/P118,"")</f>
        <v/>
      </c>
      <c r="S118" s="45" t="n">
        <v>0</v>
      </c>
      <c r="T118" s="45" t="n">
        <v>0</v>
      </c>
      <c r="U118" s="46" t="str">
        <f aca="false">IF(S118&gt;=$C$3,T118/S118,"")</f>
        <v/>
      </c>
      <c r="V118" s="45" t="n">
        <v>2</v>
      </c>
      <c r="W118" s="45" t="n">
        <v>2</v>
      </c>
      <c r="X118" s="46" t="str">
        <f aca="false">IF(V118&gt;=$C$3,W118/V118,"")</f>
        <v/>
      </c>
      <c r="Y118" s="7" t="n">
        <f aca="false">COUNT(F118,I118,L118,O118,R118,U118,X118)</f>
        <v>1</v>
      </c>
      <c r="Z118" s="34" t="n">
        <f aca="false">IF(Y118=0,"",AVERAGE(F118,I118,L118,O118,R118,U118,X118))</f>
        <v>1</v>
      </c>
      <c r="AA118" s="47" t="n">
        <f aca="false">IF(ISNUMBER(Z118),C118*Z118,"")</f>
        <v>117.07</v>
      </c>
    </row>
    <row r="119" customFormat="false" ht="15" hidden="false" customHeight="false" outlineLevel="0" collapsed="false">
      <c r="A119" s="12" t="s">
        <v>289</v>
      </c>
      <c r="B119" s="10" t="s">
        <v>2244</v>
      </c>
      <c r="C119" s="44" t="n">
        <v>16792.84</v>
      </c>
      <c r="D119" s="45" t="n">
        <v>271</v>
      </c>
      <c r="E119" s="45" t="n">
        <v>198</v>
      </c>
      <c r="F119" s="46" t="n">
        <f aca="false">IF(D119&gt;=$C$3,E119/D119,"")</f>
        <v>0.730627306273063</v>
      </c>
      <c r="G119" s="45" t="n">
        <v>58</v>
      </c>
      <c r="H119" s="45" t="n">
        <v>47</v>
      </c>
      <c r="I119" s="46" t="n">
        <f aca="false">IF(G119&gt;=$C$3,H119/G119,"")</f>
        <v>0.810344827586207</v>
      </c>
      <c r="J119" s="45" t="n">
        <v>50</v>
      </c>
      <c r="K119" s="45" t="n">
        <v>42</v>
      </c>
      <c r="L119" s="46" t="n">
        <f aca="false">IF(J119&gt;=$C$3,K119/J119,"")</f>
        <v>0.84</v>
      </c>
      <c r="M119" s="45" t="n">
        <v>44</v>
      </c>
      <c r="N119" s="45" t="n">
        <v>32</v>
      </c>
      <c r="O119" s="46" t="n">
        <f aca="false">IF(M119&gt;=$C$3,N119/M119,"")</f>
        <v>0.727272727272727</v>
      </c>
      <c r="P119" s="45" t="n">
        <v>11</v>
      </c>
      <c r="Q119" s="45" t="n">
        <v>8</v>
      </c>
      <c r="R119" s="46" t="n">
        <f aca="false">IF(P119&gt;=$C$3,Q119/P119,"")</f>
        <v>0.727272727272727</v>
      </c>
      <c r="S119" s="45" t="n">
        <v>28</v>
      </c>
      <c r="T119" s="45" t="n">
        <v>26</v>
      </c>
      <c r="U119" s="46" t="n">
        <f aca="false">IF(S119&gt;=$C$3,T119/S119,"")</f>
        <v>0.928571428571429</v>
      </c>
      <c r="V119" s="45" t="n">
        <v>46</v>
      </c>
      <c r="W119" s="45" t="n">
        <v>31</v>
      </c>
      <c r="X119" s="46" t="n">
        <f aca="false">IF(V119&gt;=$C$3,W119/V119,"")</f>
        <v>0.673913043478261</v>
      </c>
      <c r="Y119" s="7" t="n">
        <f aca="false">COUNT(F119,I119,L119,O119,R119,U119,X119)</f>
        <v>7</v>
      </c>
      <c r="Z119" s="34" t="n">
        <f aca="false">IF(Y119=0,"",AVERAGE(F119,I119,L119,O119,R119,U119,X119))</f>
        <v>0.776857437207773</v>
      </c>
      <c r="AA119" s="47" t="n">
        <f aca="false">IF(ISNUMBER(Z119),C119*Z119,"")</f>
        <v>13045.6426458402</v>
      </c>
    </row>
    <row r="120" customFormat="false" ht="15" hidden="false" customHeight="false" outlineLevel="0" collapsed="false">
      <c r="A120" s="12" t="s">
        <v>381</v>
      </c>
      <c r="B120" s="10" t="s">
        <v>2245</v>
      </c>
      <c r="C120" s="44" t="n">
        <v>4745.88</v>
      </c>
      <c r="D120" s="45" t="n">
        <v>35</v>
      </c>
      <c r="E120" s="45" t="n">
        <v>35</v>
      </c>
      <c r="F120" s="46" t="n">
        <f aca="false">IF(D120&gt;=$C$3,E120/D120,"")</f>
        <v>1</v>
      </c>
      <c r="G120" s="45" t="n">
        <v>2</v>
      </c>
      <c r="H120" s="45" t="n">
        <v>2</v>
      </c>
      <c r="I120" s="46" t="str">
        <f aca="false">IF(G120&gt;=$C$3,H120/G120,"")</f>
        <v/>
      </c>
      <c r="J120" s="45" t="n">
        <v>6</v>
      </c>
      <c r="K120" s="45" t="n">
        <v>6</v>
      </c>
      <c r="L120" s="46" t="n">
        <f aca="false">IF(J120&gt;=$C$3,K120/J120,"")</f>
        <v>1</v>
      </c>
      <c r="M120" s="45" t="n">
        <v>2</v>
      </c>
      <c r="N120" s="45" t="n">
        <v>2</v>
      </c>
      <c r="O120" s="46" t="str">
        <f aca="false">IF(M120&gt;=$C$3,N120/M120,"")</f>
        <v/>
      </c>
      <c r="P120" s="45" t="n">
        <v>0</v>
      </c>
      <c r="Q120" s="45" t="n">
        <v>0</v>
      </c>
      <c r="R120" s="46" t="str">
        <f aca="false">IF(P120&gt;=$C$3,Q120/P120,"")</f>
        <v/>
      </c>
      <c r="S120" s="45" t="n">
        <v>1</v>
      </c>
      <c r="T120" s="45" t="n">
        <v>1</v>
      </c>
      <c r="U120" s="46" t="str">
        <f aca="false">IF(S120&gt;=$C$3,T120/S120,"")</f>
        <v/>
      </c>
      <c r="V120" s="45" t="n">
        <v>24</v>
      </c>
      <c r="W120" s="45" t="n">
        <v>24</v>
      </c>
      <c r="X120" s="46" t="n">
        <f aca="false">IF(V120&gt;=$C$3,W120/V120,"")</f>
        <v>1</v>
      </c>
      <c r="Y120" s="7" t="n">
        <f aca="false">COUNT(F120,I120,L120,O120,R120,U120,X120)</f>
        <v>3</v>
      </c>
      <c r="Z120" s="34" t="n">
        <f aca="false">IF(Y120=0,"",AVERAGE(F120,I120,L120,O120,R120,U120,X120))</f>
        <v>1</v>
      </c>
      <c r="AA120" s="47" t="n">
        <f aca="false">IF(ISNUMBER(Z120),C120*Z120,"")</f>
        <v>4745.88</v>
      </c>
    </row>
    <row r="121" customFormat="false" ht="15" hidden="false" customHeight="false" outlineLevel="0" collapsed="false">
      <c r="A121" s="12" t="s">
        <v>542</v>
      </c>
      <c r="B121" s="10" t="s">
        <v>2218</v>
      </c>
      <c r="C121" s="44" t="n">
        <v>5838.25</v>
      </c>
      <c r="D121" s="45" t="n">
        <v>218</v>
      </c>
      <c r="E121" s="45" t="n">
        <v>155</v>
      </c>
      <c r="F121" s="46" t="n">
        <f aca="false">IF(D121&gt;=$C$3,E121/D121,"")</f>
        <v>0.711009174311927</v>
      </c>
      <c r="G121" s="45" t="n">
        <v>47</v>
      </c>
      <c r="H121" s="45" t="n">
        <v>22</v>
      </c>
      <c r="I121" s="46" t="n">
        <f aca="false">IF(G121&gt;=$C$3,H121/G121,"")</f>
        <v>0.468085106382979</v>
      </c>
      <c r="J121" s="45" t="n">
        <v>14</v>
      </c>
      <c r="K121" s="45" t="n">
        <v>10</v>
      </c>
      <c r="L121" s="46" t="n">
        <f aca="false">IF(J121&gt;=$C$3,K121/J121,"")</f>
        <v>0.714285714285714</v>
      </c>
      <c r="M121" s="45" t="n">
        <v>52</v>
      </c>
      <c r="N121" s="45" t="n">
        <v>48</v>
      </c>
      <c r="O121" s="46" t="n">
        <f aca="false">IF(M121&gt;=$C$3,N121/M121,"")</f>
        <v>0.923076923076923</v>
      </c>
      <c r="P121" s="45" t="n">
        <v>27</v>
      </c>
      <c r="Q121" s="45" t="n">
        <v>24</v>
      </c>
      <c r="R121" s="46" t="n">
        <f aca="false">IF(P121&gt;=$C$3,Q121/P121,"")</f>
        <v>0.888888888888889</v>
      </c>
      <c r="S121" s="45" t="n">
        <v>12</v>
      </c>
      <c r="T121" s="45" t="n">
        <v>12</v>
      </c>
      <c r="U121" s="46" t="n">
        <f aca="false">IF(S121&gt;=$C$3,T121/S121,"")</f>
        <v>1</v>
      </c>
      <c r="V121" s="45" t="n">
        <v>30</v>
      </c>
      <c r="W121" s="45" t="n">
        <v>27</v>
      </c>
      <c r="X121" s="46" t="n">
        <f aca="false">IF(V121&gt;=$C$3,W121/V121,"")</f>
        <v>0.9</v>
      </c>
      <c r="Y121" s="7" t="n">
        <f aca="false">COUNT(F121,I121,L121,O121,R121,U121,X121)</f>
        <v>7</v>
      </c>
      <c r="Z121" s="34" t="n">
        <f aca="false">IF(Y121=0,"",AVERAGE(F121,I121,L121,O121,R121,U121,X121))</f>
        <v>0.800763686706633</v>
      </c>
      <c r="AA121" s="47" t="n">
        <f aca="false">IF(ISNUMBER(Z121),C121*Z121,"")</f>
        <v>4675.058593915</v>
      </c>
    </row>
    <row r="122" customFormat="false" ht="15" hidden="false" customHeight="false" outlineLevel="0" collapsed="false">
      <c r="A122" s="12" t="s">
        <v>208</v>
      </c>
      <c r="B122" s="10" t="s">
        <v>2217</v>
      </c>
      <c r="C122" s="44" t="n">
        <v>4036.55</v>
      </c>
      <c r="D122" s="45" t="n">
        <v>55</v>
      </c>
      <c r="E122" s="45" t="n">
        <v>55</v>
      </c>
      <c r="F122" s="46" t="n">
        <f aca="false">IF(D122&gt;=$C$3,E122/D122,"")</f>
        <v>1</v>
      </c>
      <c r="G122" s="45" t="n">
        <v>5</v>
      </c>
      <c r="H122" s="45" t="n">
        <v>5</v>
      </c>
      <c r="I122" s="46" t="n">
        <f aca="false">IF(G122&gt;=$C$3,H122/G122,"")</f>
        <v>1</v>
      </c>
      <c r="J122" s="45" t="n">
        <v>2</v>
      </c>
      <c r="K122" s="45" t="n">
        <v>2</v>
      </c>
      <c r="L122" s="46" t="str">
        <f aca="false">IF(J122&gt;=$C$3,K122/J122,"")</f>
        <v/>
      </c>
      <c r="M122" s="45" t="n">
        <v>3</v>
      </c>
      <c r="N122" s="45" t="n">
        <v>3</v>
      </c>
      <c r="O122" s="46" t="n">
        <f aca="false">IF(M122&gt;=$C$3,N122/M122,"")</f>
        <v>1</v>
      </c>
      <c r="P122" s="45" t="n">
        <v>0</v>
      </c>
      <c r="Q122" s="45" t="n">
        <v>0</v>
      </c>
      <c r="R122" s="46" t="str">
        <f aca="false">IF(P122&gt;=$C$3,Q122/P122,"")</f>
        <v/>
      </c>
      <c r="S122" s="45" t="n">
        <v>2</v>
      </c>
      <c r="T122" s="45" t="n">
        <v>2</v>
      </c>
      <c r="U122" s="46" t="str">
        <f aca="false">IF(S122&gt;=$C$3,T122/S122,"")</f>
        <v/>
      </c>
      <c r="V122" s="45" t="n">
        <v>11</v>
      </c>
      <c r="W122" s="45" t="n">
        <v>11</v>
      </c>
      <c r="X122" s="46" t="n">
        <f aca="false">IF(V122&gt;=$C$3,W122/V122,"")</f>
        <v>1</v>
      </c>
      <c r="Y122" s="7" t="n">
        <f aca="false">COUNT(F122,I122,L122,O122,R122,U122,X122)</f>
        <v>4</v>
      </c>
      <c r="Z122" s="34" t="n">
        <f aca="false">IF(Y122=0,"",AVERAGE(F122,I122,L122,O122,R122,U122,X122))</f>
        <v>1</v>
      </c>
      <c r="AA122" s="47" t="n">
        <f aca="false">IF(ISNUMBER(Z122),C122*Z122,"")</f>
        <v>4036.55</v>
      </c>
    </row>
    <row r="123" customFormat="false" ht="15" hidden="false" customHeight="false" outlineLevel="0" collapsed="false">
      <c r="A123" s="12" t="s">
        <v>151</v>
      </c>
      <c r="B123" s="10" t="s">
        <v>2223</v>
      </c>
      <c r="C123" s="44" t="n">
        <v>7654.85</v>
      </c>
      <c r="D123" s="45" t="n">
        <v>59</v>
      </c>
      <c r="E123" s="45" t="n">
        <v>50</v>
      </c>
      <c r="F123" s="46" t="n">
        <f aca="false">IF(D123&gt;=$C$3,E123/D123,"")</f>
        <v>0.847457627118644</v>
      </c>
      <c r="G123" s="45" t="n">
        <v>7</v>
      </c>
      <c r="H123" s="45" t="n">
        <v>5</v>
      </c>
      <c r="I123" s="46" t="n">
        <f aca="false">IF(G123&gt;=$C$3,H123/G123,"")</f>
        <v>0.714285714285714</v>
      </c>
      <c r="J123" s="45" t="n">
        <v>3</v>
      </c>
      <c r="K123" s="45" t="n">
        <v>3</v>
      </c>
      <c r="L123" s="46" t="n">
        <f aca="false">IF(J123&gt;=$C$3,K123/J123,"")</f>
        <v>1</v>
      </c>
      <c r="M123" s="45" t="n">
        <v>7</v>
      </c>
      <c r="N123" s="45" t="n">
        <v>7</v>
      </c>
      <c r="O123" s="46" t="n">
        <f aca="false">IF(M123&gt;=$C$3,N123/M123,"")</f>
        <v>1</v>
      </c>
      <c r="P123" s="45" t="n">
        <v>2</v>
      </c>
      <c r="Q123" s="45" t="n">
        <v>2</v>
      </c>
      <c r="R123" s="46" t="str">
        <f aca="false">IF(P123&gt;=$C$3,Q123/P123,"")</f>
        <v/>
      </c>
      <c r="S123" s="45" t="n">
        <v>1</v>
      </c>
      <c r="T123" s="45" t="n">
        <v>1</v>
      </c>
      <c r="U123" s="46" t="str">
        <f aca="false">IF(S123&gt;=$C$3,T123/S123,"")</f>
        <v/>
      </c>
      <c r="V123" s="45" t="n">
        <v>20</v>
      </c>
      <c r="W123" s="45" t="n">
        <v>17</v>
      </c>
      <c r="X123" s="46" t="n">
        <f aca="false">IF(V123&gt;=$C$3,W123/V123,"")</f>
        <v>0.85</v>
      </c>
      <c r="Y123" s="7" t="n">
        <f aca="false">COUNT(F123,I123,L123,O123,R123,U123,X123)</f>
        <v>5</v>
      </c>
      <c r="Z123" s="34" t="n">
        <f aca="false">IF(Y123=0,"",AVERAGE(F123,I123,L123,O123,R123,U123,X123))</f>
        <v>0.882348668280872</v>
      </c>
      <c r="AA123" s="47" t="n">
        <f aca="false">IF(ISNUMBER(Z123),C123*Z123,"")</f>
        <v>6754.24670338983</v>
      </c>
    </row>
    <row r="124" customFormat="false" ht="15" hidden="false" customHeight="false" outlineLevel="0" collapsed="false">
      <c r="A124" s="12" t="s">
        <v>530</v>
      </c>
      <c r="B124" s="10" t="s">
        <v>2246</v>
      </c>
      <c r="C124" s="44" t="n">
        <v>693.76</v>
      </c>
      <c r="D124" s="45" t="n">
        <v>31</v>
      </c>
      <c r="E124" s="45" t="n">
        <v>31</v>
      </c>
      <c r="F124" s="46" t="n">
        <f aca="false">IF(D124&gt;=$C$3,E124/D124,"")</f>
        <v>1</v>
      </c>
      <c r="G124" s="45" t="n">
        <v>4</v>
      </c>
      <c r="H124" s="45" t="n">
        <v>2</v>
      </c>
      <c r="I124" s="46" t="n">
        <f aca="false">IF(G124&gt;=$C$3,H124/G124,"")</f>
        <v>0.5</v>
      </c>
      <c r="J124" s="45" t="n">
        <v>1</v>
      </c>
      <c r="K124" s="45" t="n">
        <v>1</v>
      </c>
      <c r="L124" s="46" t="str">
        <f aca="false">IF(J124&gt;=$C$3,K124/J124,"")</f>
        <v/>
      </c>
      <c r="M124" s="45" t="n">
        <v>0</v>
      </c>
      <c r="N124" s="45" t="n">
        <v>0</v>
      </c>
      <c r="O124" s="46" t="str">
        <f aca="false">IF(M124&gt;=$C$3,N124/M124,"")</f>
        <v/>
      </c>
      <c r="P124" s="45" t="n">
        <v>1</v>
      </c>
      <c r="Q124" s="45" t="n">
        <v>1</v>
      </c>
      <c r="R124" s="46" t="str">
        <f aca="false">IF(P124&gt;=$C$3,Q124/P124,"")</f>
        <v/>
      </c>
      <c r="S124" s="45" t="n">
        <v>0</v>
      </c>
      <c r="T124" s="45" t="n">
        <v>0</v>
      </c>
      <c r="U124" s="46" t="str">
        <f aca="false">IF(S124&gt;=$C$3,T124/S124,"")</f>
        <v/>
      </c>
      <c r="V124" s="45" t="n">
        <v>3</v>
      </c>
      <c r="W124" s="45" t="n">
        <v>3</v>
      </c>
      <c r="X124" s="46" t="n">
        <f aca="false">IF(V124&gt;=$C$3,W124/V124,"")</f>
        <v>1</v>
      </c>
      <c r="Y124" s="7" t="n">
        <f aca="false">COUNT(F124,I124,L124,O124,R124,U124,X124)</f>
        <v>3</v>
      </c>
      <c r="Z124" s="34" t="n">
        <f aca="false">IF(Y124=0,"",AVERAGE(F124,I124,L124,O124,R124,U124,X124))</f>
        <v>0.833333333333333</v>
      </c>
      <c r="AA124" s="47" t="n">
        <f aca="false">IF(ISNUMBER(Z124),C124*Z124,"")</f>
        <v>578.133333333333</v>
      </c>
    </row>
    <row r="125" customFormat="false" ht="15" hidden="false" customHeight="false" outlineLevel="0" collapsed="false">
      <c r="A125" s="12" t="s">
        <v>615</v>
      </c>
      <c r="B125" s="10" t="s">
        <v>2247</v>
      </c>
      <c r="C125" s="44" t="n">
        <v>3640.13</v>
      </c>
      <c r="D125" s="45" t="n">
        <v>372</v>
      </c>
      <c r="E125" s="45" t="n">
        <v>206</v>
      </c>
      <c r="F125" s="46" t="n">
        <f aca="false">IF(D125&gt;=$C$3,E125/D125,"")</f>
        <v>0.553763440860215</v>
      </c>
      <c r="G125" s="45" t="n">
        <v>107</v>
      </c>
      <c r="H125" s="45" t="n">
        <v>51</v>
      </c>
      <c r="I125" s="46" t="n">
        <f aca="false">IF(G125&gt;=$C$3,H125/G125,"")</f>
        <v>0.476635514018692</v>
      </c>
      <c r="J125" s="45" t="n">
        <v>58</v>
      </c>
      <c r="K125" s="45" t="n">
        <v>18</v>
      </c>
      <c r="L125" s="46" t="n">
        <f aca="false">IF(J125&gt;=$C$3,K125/J125,"")</f>
        <v>0.310344827586207</v>
      </c>
      <c r="M125" s="45" t="n">
        <v>68</v>
      </c>
      <c r="N125" s="45" t="n">
        <v>29</v>
      </c>
      <c r="O125" s="46" t="n">
        <f aca="false">IF(M125&gt;=$C$3,N125/M125,"")</f>
        <v>0.426470588235294</v>
      </c>
      <c r="P125" s="45" t="n">
        <v>25</v>
      </c>
      <c r="Q125" s="45" t="n">
        <v>13</v>
      </c>
      <c r="R125" s="46" t="n">
        <f aca="false">IF(P125&gt;=$C$3,Q125/P125,"")</f>
        <v>0.52</v>
      </c>
      <c r="S125" s="45" t="n">
        <v>7</v>
      </c>
      <c r="T125" s="45" t="n">
        <v>6</v>
      </c>
      <c r="U125" s="46" t="n">
        <f aca="false">IF(S125&gt;=$C$3,T125/S125,"")</f>
        <v>0.857142857142857</v>
      </c>
      <c r="V125" s="45" t="n">
        <v>108</v>
      </c>
      <c r="W125" s="45" t="n">
        <v>27</v>
      </c>
      <c r="X125" s="46" t="n">
        <f aca="false">IF(V125&gt;=$C$3,W125/V125,"")</f>
        <v>0.25</v>
      </c>
      <c r="Y125" s="7" t="n">
        <f aca="false">COUNT(F125,I125,L125,O125,R125,U125,X125)</f>
        <v>7</v>
      </c>
      <c r="Z125" s="34" t="n">
        <f aca="false">IF(Y125=0,"",AVERAGE(F125,I125,L125,O125,R125,U125,X125))</f>
        <v>0.484908175406181</v>
      </c>
      <c r="AA125" s="47" t="n">
        <f aca="false">IF(ISNUMBER(Z125),C125*Z125,"")</f>
        <v>1765.1287965413</v>
      </c>
    </row>
    <row r="126" customFormat="false" ht="15" hidden="false" customHeight="false" outlineLevel="0" collapsed="false">
      <c r="A126" s="12" t="s">
        <v>287</v>
      </c>
      <c r="B126" s="10" t="s">
        <v>2219</v>
      </c>
      <c r="C126" s="44" t="n">
        <v>570.1</v>
      </c>
      <c r="D126" s="45" t="n">
        <v>0</v>
      </c>
      <c r="E126" s="45" t="n">
        <v>0</v>
      </c>
      <c r="F126" s="46" t="str">
        <f aca="false">IF(D126&gt;=$C$3,E126/D126,"")</f>
        <v/>
      </c>
      <c r="G126" s="45" t="n">
        <v>0</v>
      </c>
      <c r="H126" s="45" t="n">
        <v>0</v>
      </c>
      <c r="I126" s="46" t="str">
        <f aca="false">IF(G126&gt;=$C$3,H126/G126,"")</f>
        <v/>
      </c>
      <c r="J126" s="45" t="n">
        <v>0</v>
      </c>
      <c r="K126" s="45" t="n">
        <v>0</v>
      </c>
      <c r="L126" s="46" t="str">
        <f aca="false">IF(J126&gt;=$C$3,K126/J126,"")</f>
        <v/>
      </c>
      <c r="M126" s="45" t="n">
        <v>0</v>
      </c>
      <c r="N126" s="45" t="n">
        <v>0</v>
      </c>
      <c r="O126" s="46" t="str">
        <f aca="false">IF(M126&gt;=$C$3,N126/M126,"")</f>
        <v/>
      </c>
      <c r="P126" s="45" t="n">
        <v>0</v>
      </c>
      <c r="Q126" s="45" t="n">
        <v>0</v>
      </c>
      <c r="R126" s="46" t="str">
        <f aca="false">IF(P126&gt;=$C$3,Q126/P126,"")</f>
        <v/>
      </c>
      <c r="S126" s="45" t="n">
        <v>0</v>
      </c>
      <c r="T126" s="45" t="n">
        <v>0</v>
      </c>
      <c r="U126" s="46" t="str">
        <f aca="false">IF(S126&gt;=$C$3,T126/S126,"")</f>
        <v/>
      </c>
      <c r="V126" s="45" t="n">
        <v>12</v>
      </c>
      <c r="W126" s="45" t="n">
        <v>12</v>
      </c>
      <c r="X126" s="46" t="n">
        <f aca="false">IF(V126&gt;=$C$3,W126/V126,"")</f>
        <v>1</v>
      </c>
      <c r="Y126" s="7" t="n">
        <f aca="false">COUNT(F126,I126,L126,O126,R126,U126,X126)</f>
        <v>1</v>
      </c>
      <c r="Z126" s="34" t="n">
        <f aca="false">IF(Y126=0,"",AVERAGE(F126,I126,L126,O126,R126,U126,X126))</f>
        <v>1</v>
      </c>
      <c r="AA126" s="47" t="n">
        <f aca="false">IF(ISNUMBER(Z126),C126*Z126,"")</f>
        <v>570.1</v>
      </c>
    </row>
    <row r="127" customFormat="false" ht="15" hidden="false" customHeight="false" outlineLevel="0" collapsed="false">
      <c r="A127" s="12" t="s">
        <v>374</v>
      </c>
      <c r="B127" s="10" t="s">
        <v>2222</v>
      </c>
      <c r="C127" s="44" t="n">
        <v>5976.94</v>
      </c>
      <c r="D127" s="45" t="n">
        <v>303</v>
      </c>
      <c r="E127" s="45" t="n">
        <v>79</v>
      </c>
      <c r="F127" s="46" t="n">
        <f aca="false">IF(D127&gt;=$C$3,E127/D127,"")</f>
        <v>0.260726072607261</v>
      </c>
      <c r="G127" s="45" t="n">
        <v>65</v>
      </c>
      <c r="H127" s="45" t="n">
        <v>7</v>
      </c>
      <c r="I127" s="46" t="n">
        <f aca="false">IF(G127&gt;=$C$3,H127/G127,"")</f>
        <v>0.107692307692308</v>
      </c>
      <c r="J127" s="45" t="n">
        <v>28</v>
      </c>
      <c r="K127" s="45" t="n">
        <v>10</v>
      </c>
      <c r="L127" s="46" t="n">
        <f aca="false">IF(J127&gt;=$C$3,K127/J127,"")</f>
        <v>0.357142857142857</v>
      </c>
      <c r="M127" s="45" t="n">
        <v>60</v>
      </c>
      <c r="N127" s="45" t="n">
        <v>9</v>
      </c>
      <c r="O127" s="46" t="n">
        <f aca="false">IF(M127&gt;=$C$3,N127/M127,"")</f>
        <v>0.15</v>
      </c>
      <c r="P127" s="45" t="n">
        <v>11</v>
      </c>
      <c r="Q127" s="45" t="n">
        <v>3</v>
      </c>
      <c r="R127" s="46" t="n">
        <f aca="false">IF(P127&gt;=$C$3,Q127/P127,"")</f>
        <v>0.272727272727273</v>
      </c>
      <c r="S127" s="45" t="n">
        <v>4</v>
      </c>
      <c r="T127" s="45" t="n">
        <v>1</v>
      </c>
      <c r="U127" s="46" t="n">
        <f aca="false">IF(S127&gt;=$C$3,T127/S127,"")</f>
        <v>0.25</v>
      </c>
      <c r="V127" s="45" t="n">
        <v>91</v>
      </c>
      <c r="W127" s="45" t="n">
        <v>26</v>
      </c>
      <c r="X127" s="46" t="n">
        <f aca="false">IF(V127&gt;=$C$3,W127/V127,"")</f>
        <v>0.285714285714286</v>
      </c>
      <c r="Y127" s="7" t="n">
        <f aca="false">COUNT(F127,I127,L127,O127,R127,U127,X127)</f>
        <v>7</v>
      </c>
      <c r="Z127" s="34" t="n">
        <f aca="false">IF(Y127=0,"",AVERAGE(F127,I127,L127,O127,R127,U127,X127))</f>
        <v>0.240571827983426</v>
      </c>
      <c r="AA127" s="47" t="n">
        <f aca="false">IF(ISNUMBER(Z127),C127*Z127,"")</f>
        <v>1437.88338154726</v>
      </c>
    </row>
    <row r="128" customFormat="false" ht="15" hidden="false" customHeight="false" outlineLevel="0" collapsed="false">
      <c r="A128" s="12" t="s">
        <v>461</v>
      </c>
      <c r="B128" s="10" t="s">
        <v>2218</v>
      </c>
      <c r="C128" s="44" t="n">
        <v>1845.67</v>
      </c>
      <c r="D128" s="45" t="n">
        <v>52</v>
      </c>
      <c r="E128" s="45" t="n">
        <v>49</v>
      </c>
      <c r="F128" s="46" t="n">
        <f aca="false">IF(D128&gt;=$C$3,E128/D128,"")</f>
        <v>0.942307692307692</v>
      </c>
      <c r="G128" s="45" t="n">
        <v>9</v>
      </c>
      <c r="H128" s="45" t="n">
        <v>9</v>
      </c>
      <c r="I128" s="46" t="n">
        <f aca="false">IF(G128&gt;=$C$3,H128/G128,"")</f>
        <v>1</v>
      </c>
      <c r="J128" s="45" t="n">
        <v>6</v>
      </c>
      <c r="K128" s="45" t="n">
        <v>6</v>
      </c>
      <c r="L128" s="46" t="n">
        <f aca="false">IF(J128&gt;=$C$3,K128/J128,"")</f>
        <v>1</v>
      </c>
      <c r="M128" s="45" t="n">
        <v>4</v>
      </c>
      <c r="N128" s="45" t="n">
        <v>4</v>
      </c>
      <c r="O128" s="46" t="n">
        <f aca="false">IF(M128&gt;=$C$3,N128/M128,"")</f>
        <v>1</v>
      </c>
      <c r="P128" s="45" t="n">
        <v>5</v>
      </c>
      <c r="Q128" s="45" t="n">
        <v>5</v>
      </c>
      <c r="R128" s="46" t="n">
        <f aca="false">IF(P128&gt;=$C$3,Q128/P128,"")</f>
        <v>1</v>
      </c>
      <c r="S128" s="45" t="n">
        <v>6</v>
      </c>
      <c r="T128" s="45" t="n">
        <v>6</v>
      </c>
      <c r="U128" s="46" t="n">
        <f aca="false">IF(S128&gt;=$C$3,T128/S128,"")</f>
        <v>1</v>
      </c>
      <c r="V128" s="45" t="n">
        <v>29</v>
      </c>
      <c r="W128" s="45" t="n">
        <v>29</v>
      </c>
      <c r="X128" s="46" t="n">
        <f aca="false">IF(V128&gt;=$C$3,W128/V128,"")</f>
        <v>1</v>
      </c>
      <c r="Y128" s="7" t="n">
        <f aca="false">COUNT(F128,I128,L128,O128,R128,U128,X128)</f>
        <v>7</v>
      </c>
      <c r="Z128" s="34" t="n">
        <f aca="false">IF(Y128=0,"",AVERAGE(F128,I128,L128,O128,R128,U128,X128))</f>
        <v>0.991758241758242</v>
      </c>
      <c r="AA128" s="47" t="n">
        <f aca="false">IF(ISNUMBER(Z128),C128*Z128,"")</f>
        <v>1830.45843406593</v>
      </c>
    </row>
    <row r="129" customFormat="false" ht="15" hidden="false" customHeight="false" outlineLevel="0" collapsed="false">
      <c r="A129" s="12" t="s">
        <v>197</v>
      </c>
      <c r="B129" s="10" t="s">
        <v>2241</v>
      </c>
      <c r="C129" s="44" t="n">
        <v>8758.04</v>
      </c>
      <c r="D129" s="45" t="n">
        <v>149</v>
      </c>
      <c r="E129" s="45" t="n">
        <v>149</v>
      </c>
      <c r="F129" s="46" t="n">
        <f aca="false">IF(D129&gt;=$C$3,E129/D129,"")</f>
        <v>1</v>
      </c>
      <c r="G129" s="45" t="n">
        <v>25</v>
      </c>
      <c r="H129" s="45" t="n">
        <v>24</v>
      </c>
      <c r="I129" s="46" t="n">
        <f aca="false">IF(G129&gt;=$C$3,H129/G129,"")</f>
        <v>0.96</v>
      </c>
      <c r="J129" s="45" t="n">
        <v>14</v>
      </c>
      <c r="K129" s="45" t="n">
        <v>14</v>
      </c>
      <c r="L129" s="46" t="n">
        <f aca="false">IF(J129&gt;=$C$3,K129/J129,"")</f>
        <v>1</v>
      </c>
      <c r="M129" s="45" t="n">
        <v>16</v>
      </c>
      <c r="N129" s="45" t="n">
        <v>16</v>
      </c>
      <c r="O129" s="46" t="n">
        <f aca="false">IF(M129&gt;=$C$3,N129/M129,"")</f>
        <v>1</v>
      </c>
      <c r="P129" s="45" t="n">
        <v>7</v>
      </c>
      <c r="Q129" s="45" t="n">
        <v>7</v>
      </c>
      <c r="R129" s="46" t="n">
        <f aca="false">IF(P129&gt;=$C$3,Q129/P129,"")</f>
        <v>1</v>
      </c>
      <c r="S129" s="45" t="n">
        <v>4</v>
      </c>
      <c r="T129" s="45" t="n">
        <v>4</v>
      </c>
      <c r="U129" s="46" t="n">
        <f aca="false">IF(S129&gt;=$C$3,T129/S129,"")</f>
        <v>1</v>
      </c>
      <c r="V129" s="45" t="n">
        <v>33</v>
      </c>
      <c r="W129" s="45" t="n">
        <v>30</v>
      </c>
      <c r="X129" s="46" t="n">
        <f aca="false">IF(V129&gt;=$C$3,W129/V129,"")</f>
        <v>0.909090909090909</v>
      </c>
      <c r="Y129" s="7" t="n">
        <f aca="false">COUNT(F129,I129,L129,O129,R129,U129,X129)</f>
        <v>7</v>
      </c>
      <c r="Z129" s="34" t="n">
        <f aca="false">IF(Y129=0,"",AVERAGE(F129,I129,L129,O129,R129,U129,X129))</f>
        <v>0.981298701298701</v>
      </c>
      <c r="AA129" s="47" t="n">
        <f aca="false">IF(ISNUMBER(Z129),C129*Z129,"")</f>
        <v>8594.25327792208</v>
      </c>
    </row>
    <row r="130" customFormat="false" ht="15" hidden="false" customHeight="false" outlineLevel="0" collapsed="false">
      <c r="A130" s="12" t="s">
        <v>253</v>
      </c>
      <c r="B130" s="10" t="s">
        <v>2221</v>
      </c>
      <c r="C130" s="44" t="n">
        <v>38680.23</v>
      </c>
      <c r="D130" s="45" t="n">
        <v>293</v>
      </c>
      <c r="E130" s="45" t="n">
        <v>10</v>
      </c>
      <c r="F130" s="46" t="n">
        <f aca="false">IF(D130&gt;=$C$3,E130/D130,"")</f>
        <v>0.0341296928327645</v>
      </c>
      <c r="G130" s="45" t="n">
        <v>140</v>
      </c>
      <c r="H130" s="45" t="n">
        <v>5</v>
      </c>
      <c r="I130" s="46" t="n">
        <f aca="false">IF(G130&gt;=$C$3,H130/G130,"")</f>
        <v>0.0357142857142857</v>
      </c>
      <c r="J130" s="45" t="n">
        <v>104</v>
      </c>
      <c r="K130" s="45" t="n">
        <v>1</v>
      </c>
      <c r="L130" s="46" t="n">
        <f aca="false">IF(J130&gt;=$C$3,K130/J130,"")</f>
        <v>0.00961538461538462</v>
      </c>
      <c r="M130" s="45" t="n">
        <v>149</v>
      </c>
      <c r="N130" s="45" t="n">
        <v>6</v>
      </c>
      <c r="O130" s="46" t="n">
        <f aca="false">IF(M130&gt;=$C$3,N130/M130,"")</f>
        <v>0.0402684563758389</v>
      </c>
      <c r="P130" s="45" t="n">
        <v>65</v>
      </c>
      <c r="Q130" s="45" t="n">
        <v>2</v>
      </c>
      <c r="R130" s="46" t="n">
        <f aca="false">IF(P130&gt;=$C$3,Q130/P130,"")</f>
        <v>0.0307692307692308</v>
      </c>
      <c r="S130" s="45" t="n">
        <v>16</v>
      </c>
      <c r="T130" s="45" t="n">
        <v>0</v>
      </c>
      <c r="U130" s="46" t="n">
        <f aca="false">IF(S130&gt;=$C$3,T130/S130,"")</f>
        <v>0</v>
      </c>
      <c r="V130" s="45" t="n">
        <v>127</v>
      </c>
      <c r="W130" s="45" t="n">
        <v>9</v>
      </c>
      <c r="X130" s="46" t="n">
        <f aca="false">IF(V130&gt;=$C$3,W130/V130,"")</f>
        <v>0.0708661417322835</v>
      </c>
      <c r="Y130" s="7" t="n">
        <f aca="false">COUNT(F130,I130,L130,O130,R130,U130,X130)</f>
        <v>7</v>
      </c>
      <c r="Z130" s="34" t="n">
        <f aca="false">IF(Y130=0,"",AVERAGE(F130,I130,L130,O130,R130,U130,X130))</f>
        <v>0.0316233131485411</v>
      </c>
      <c r="AA130" s="47" t="n">
        <f aca="false">IF(ISNUMBER(Z130),C130*Z130,"")</f>
        <v>1223.1970259476</v>
      </c>
    </row>
    <row r="131" customFormat="false" ht="15" hidden="false" customHeight="false" outlineLevel="0" collapsed="false">
      <c r="A131" s="12" t="s">
        <v>210</v>
      </c>
      <c r="B131" s="10" t="s">
        <v>2235</v>
      </c>
      <c r="C131" s="44" t="n">
        <v>46507.62</v>
      </c>
      <c r="D131" s="45" t="n">
        <v>362</v>
      </c>
      <c r="E131" s="45" t="n">
        <v>234</v>
      </c>
      <c r="F131" s="46" t="n">
        <f aca="false">IF(D131&gt;=$C$3,E131/D131,"")</f>
        <v>0.646408839779006</v>
      </c>
      <c r="G131" s="45" t="n">
        <v>68</v>
      </c>
      <c r="H131" s="45" t="n">
        <v>24</v>
      </c>
      <c r="I131" s="46" t="n">
        <f aca="false">IF(G131&gt;=$C$3,H131/G131,"")</f>
        <v>0.352941176470588</v>
      </c>
      <c r="J131" s="45" t="n">
        <v>59</v>
      </c>
      <c r="K131" s="45" t="n">
        <v>11</v>
      </c>
      <c r="L131" s="46" t="n">
        <f aca="false">IF(J131&gt;=$C$3,K131/J131,"")</f>
        <v>0.186440677966102</v>
      </c>
      <c r="M131" s="45" t="n">
        <v>84</v>
      </c>
      <c r="N131" s="45" t="n">
        <v>16</v>
      </c>
      <c r="O131" s="46" t="n">
        <f aca="false">IF(M131&gt;=$C$3,N131/M131,"")</f>
        <v>0.19047619047619</v>
      </c>
      <c r="P131" s="45" t="n">
        <v>56</v>
      </c>
      <c r="Q131" s="45" t="n">
        <v>28</v>
      </c>
      <c r="R131" s="46" t="n">
        <f aca="false">IF(P131&gt;=$C$3,Q131/P131,"")</f>
        <v>0.5</v>
      </c>
      <c r="S131" s="45" t="n">
        <v>88</v>
      </c>
      <c r="T131" s="45" t="n">
        <v>37</v>
      </c>
      <c r="U131" s="46" t="n">
        <f aca="false">IF(S131&gt;=$C$3,T131/S131,"")</f>
        <v>0.420454545454545</v>
      </c>
      <c r="V131" s="45" t="n">
        <v>57</v>
      </c>
      <c r="W131" s="45" t="n">
        <v>20</v>
      </c>
      <c r="X131" s="46" t="n">
        <f aca="false">IF(V131&gt;=$C$3,W131/V131,"")</f>
        <v>0.350877192982456</v>
      </c>
      <c r="Y131" s="7" t="n">
        <f aca="false">COUNT(F131,I131,L131,O131,R131,U131,X131)</f>
        <v>7</v>
      </c>
      <c r="Z131" s="34" t="n">
        <f aca="false">IF(Y131=0,"",AVERAGE(F131,I131,L131,O131,R131,U131,X131))</f>
        <v>0.378228374732698</v>
      </c>
      <c r="AA131" s="47" t="n">
        <f aca="false">IF(ISNUMBER(Z131),C131*Z131,"")</f>
        <v>17590.5015252859</v>
      </c>
    </row>
    <row r="132" customFormat="false" ht="15" hidden="false" customHeight="false" outlineLevel="0" collapsed="false">
      <c r="A132" s="12" t="s">
        <v>418</v>
      </c>
      <c r="B132" s="10" t="s">
        <v>2219</v>
      </c>
      <c r="C132" s="44" t="n">
        <v>280.98</v>
      </c>
      <c r="D132" s="45" t="n">
        <v>14</v>
      </c>
      <c r="E132" s="45" t="n">
        <v>12</v>
      </c>
      <c r="F132" s="46" t="n">
        <f aca="false">IF(D132&gt;=$C$3,E132/D132,"")</f>
        <v>0.857142857142857</v>
      </c>
      <c r="G132" s="45" t="n">
        <v>0</v>
      </c>
      <c r="H132" s="45" t="n">
        <v>0</v>
      </c>
      <c r="I132" s="46" t="str">
        <f aca="false">IF(G132&gt;=$C$3,H132/G132,"")</f>
        <v/>
      </c>
      <c r="J132" s="45" t="n">
        <v>0</v>
      </c>
      <c r="K132" s="45" t="n">
        <v>0</v>
      </c>
      <c r="L132" s="46" t="str">
        <f aca="false">IF(J132&gt;=$C$3,K132/J132,"")</f>
        <v/>
      </c>
      <c r="M132" s="45" t="n">
        <v>0</v>
      </c>
      <c r="N132" s="45" t="n">
        <v>0</v>
      </c>
      <c r="O132" s="46" t="str">
        <f aca="false">IF(M132&gt;=$C$3,N132/M132,"")</f>
        <v/>
      </c>
      <c r="P132" s="45" t="n">
        <v>0</v>
      </c>
      <c r="Q132" s="45" t="n">
        <v>0</v>
      </c>
      <c r="R132" s="46" t="str">
        <f aca="false">IF(P132&gt;=$C$3,Q132/P132,"")</f>
        <v/>
      </c>
      <c r="S132" s="45" t="n">
        <v>0</v>
      </c>
      <c r="T132" s="45" t="n">
        <v>0</v>
      </c>
      <c r="U132" s="46" t="str">
        <f aca="false">IF(S132&gt;=$C$3,T132/S132,"")</f>
        <v/>
      </c>
      <c r="V132" s="45" t="n">
        <v>12</v>
      </c>
      <c r="W132" s="45" t="n">
        <v>12</v>
      </c>
      <c r="X132" s="46" t="n">
        <f aca="false">IF(V132&gt;=$C$3,W132/V132,"")</f>
        <v>1</v>
      </c>
      <c r="Y132" s="7" t="n">
        <f aca="false">COUNT(F132,I132,L132,O132,R132,U132,X132)</f>
        <v>2</v>
      </c>
      <c r="Z132" s="34" t="n">
        <f aca="false">IF(Y132=0,"",AVERAGE(F132,I132,L132,O132,R132,U132,X132))</f>
        <v>0.928571428571429</v>
      </c>
      <c r="AA132" s="47" t="n">
        <f aca="false">IF(ISNUMBER(Z132),C132*Z132,"")</f>
        <v>260.91</v>
      </c>
    </row>
    <row r="133" customFormat="false" ht="15" hidden="false" customHeight="false" outlineLevel="0" collapsed="false">
      <c r="A133" s="12" t="s">
        <v>249</v>
      </c>
      <c r="B133" s="10" t="s">
        <v>2226</v>
      </c>
      <c r="C133" s="44" t="n">
        <v>8362.23</v>
      </c>
      <c r="D133" s="45" t="n">
        <v>68</v>
      </c>
      <c r="E133" s="45" t="n">
        <v>65</v>
      </c>
      <c r="F133" s="46" t="n">
        <f aca="false">IF(D133&gt;=$C$3,E133/D133,"")</f>
        <v>0.955882352941177</v>
      </c>
      <c r="G133" s="45" t="n">
        <v>12</v>
      </c>
      <c r="H133" s="45" t="n">
        <v>12</v>
      </c>
      <c r="I133" s="46" t="n">
        <f aca="false">IF(G133&gt;=$C$3,H133/G133,"")</f>
        <v>1</v>
      </c>
      <c r="J133" s="45" t="n">
        <v>3</v>
      </c>
      <c r="K133" s="45" t="n">
        <v>3</v>
      </c>
      <c r="L133" s="46" t="n">
        <f aca="false">IF(J133&gt;=$C$3,K133/J133,"")</f>
        <v>1</v>
      </c>
      <c r="M133" s="45" t="n">
        <v>14</v>
      </c>
      <c r="N133" s="45" t="n">
        <v>13</v>
      </c>
      <c r="O133" s="46" t="n">
        <f aca="false">IF(M133&gt;=$C$3,N133/M133,"")</f>
        <v>0.928571428571429</v>
      </c>
      <c r="P133" s="45" t="n">
        <v>7</v>
      </c>
      <c r="Q133" s="45" t="n">
        <v>7</v>
      </c>
      <c r="R133" s="46" t="n">
        <f aca="false">IF(P133&gt;=$C$3,Q133/P133,"")</f>
        <v>1</v>
      </c>
      <c r="S133" s="45" t="n">
        <v>6</v>
      </c>
      <c r="T133" s="45" t="n">
        <v>6</v>
      </c>
      <c r="U133" s="46" t="n">
        <f aca="false">IF(S133&gt;=$C$3,T133/S133,"")</f>
        <v>1</v>
      </c>
      <c r="V133" s="45" t="n">
        <v>19</v>
      </c>
      <c r="W133" s="45" t="n">
        <v>3</v>
      </c>
      <c r="X133" s="46" t="n">
        <f aca="false">IF(V133&gt;=$C$3,W133/V133,"")</f>
        <v>0.157894736842105</v>
      </c>
      <c r="Y133" s="7" t="n">
        <f aca="false">COUNT(F133,I133,L133,O133,R133,U133,X133)</f>
        <v>7</v>
      </c>
      <c r="Z133" s="34" t="n">
        <f aca="false">IF(Y133=0,"",AVERAGE(F133,I133,L133,O133,R133,U133,X133))</f>
        <v>0.863192645479244</v>
      </c>
      <c r="AA133" s="47" t="n">
        <f aca="false">IF(ISNUMBER(Z133),C133*Z133,"")</f>
        <v>7218.2154358059</v>
      </c>
    </row>
    <row r="134" customFormat="false" ht="15" hidden="false" customHeight="false" outlineLevel="0" collapsed="false">
      <c r="A134" s="12" t="s">
        <v>100</v>
      </c>
      <c r="B134" s="10" t="s">
        <v>2223</v>
      </c>
      <c r="C134" s="44" t="n">
        <v>29883.81</v>
      </c>
      <c r="D134" s="45" t="n">
        <v>192</v>
      </c>
      <c r="E134" s="45" t="n">
        <v>192</v>
      </c>
      <c r="F134" s="46" t="n">
        <f aca="false">IF(D134&gt;=$C$3,E134/D134,"")</f>
        <v>1</v>
      </c>
      <c r="G134" s="45" t="n">
        <v>15</v>
      </c>
      <c r="H134" s="45" t="n">
        <v>15</v>
      </c>
      <c r="I134" s="46" t="n">
        <f aca="false">IF(G134&gt;=$C$3,H134/G134,"")</f>
        <v>1</v>
      </c>
      <c r="J134" s="45" t="n">
        <v>5</v>
      </c>
      <c r="K134" s="45" t="n">
        <v>5</v>
      </c>
      <c r="L134" s="46" t="n">
        <f aca="false">IF(J134&gt;=$C$3,K134/J134,"")</f>
        <v>1</v>
      </c>
      <c r="M134" s="45" t="n">
        <v>27</v>
      </c>
      <c r="N134" s="45" t="n">
        <v>27</v>
      </c>
      <c r="O134" s="46" t="n">
        <f aca="false">IF(M134&gt;=$C$3,N134/M134,"")</f>
        <v>1</v>
      </c>
      <c r="P134" s="45" t="n">
        <v>128</v>
      </c>
      <c r="Q134" s="45" t="n">
        <v>40</v>
      </c>
      <c r="R134" s="46" t="n">
        <f aca="false">IF(P134&gt;=$C$3,Q134/P134,"")</f>
        <v>0.3125</v>
      </c>
      <c r="S134" s="45" t="n">
        <v>12</v>
      </c>
      <c r="T134" s="45" t="n">
        <v>12</v>
      </c>
      <c r="U134" s="46" t="n">
        <f aca="false">IF(S134&gt;=$C$3,T134/S134,"")</f>
        <v>1</v>
      </c>
      <c r="V134" s="45" t="n">
        <v>14</v>
      </c>
      <c r="W134" s="45" t="n">
        <v>14</v>
      </c>
      <c r="X134" s="46" t="n">
        <f aca="false">IF(V134&gt;=$C$3,W134/V134,"")</f>
        <v>1</v>
      </c>
      <c r="Y134" s="7" t="n">
        <f aca="false">COUNT(F134,I134,L134,O134,R134,U134,X134)</f>
        <v>7</v>
      </c>
      <c r="Z134" s="34" t="n">
        <f aca="false">IF(Y134=0,"",AVERAGE(F134,I134,L134,O134,R134,U134,X134))</f>
        <v>0.901785714285714</v>
      </c>
      <c r="AA134" s="47" t="n">
        <f aca="false">IF(ISNUMBER(Z134),C134*Z134,"")</f>
        <v>26948.7929464286</v>
      </c>
    </row>
    <row r="135" customFormat="false" ht="15" hidden="false" customHeight="false" outlineLevel="0" collapsed="false">
      <c r="A135" s="12" t="s">
        <v>237</v>
      </c>
      <c r="B135" s="10" t="s">
        <v>2221</v>
      </c>
      <c r="C135" s="44" t="n">
        <v>8244.44</v>
      </c>
      <c r="D135" s="45" t="n">
        <v>267</v>
      </c>
      <c r="E135" s="45" t="n">
        <v>221</v>
      </c>
      <c r="F135" s="46" t="n">
        <f aca="false">IF(D135&gt;=$C$3,E135/D135,"")</f>
        <v>0.827715355805244</v>
      </c>
      <c r="G135" s="45" t="n">
        <v>48</v>
      </c>
      <c r="H135" s="45" t="n">
        <v>45</v>
      </c>
      <c r="I135" s="46" t="n">
        <f aca="false">IF(G135&gt;=$C$3,H135/G135,"")</f>
        <v>0.9375</v>
      </c>
      <c r="J135" s="45" t="n">
        <v>11</v>
      </c>
      <c r="K135" s="45" t="n">
        <v>8</v>
      </c>
      <c r="L135" s="46" t="n">
        <f aca="false">IF(J135&gt;=$C$3,K135/J135,"")</f>
        <v>0.727272727272727</v>
      </c>
      <c r="M135" s="45" t="n">
        <v>40</v>
      </c>
      <c r="N135" s="45" t="n">
        <v>36</v>
      </c>
      <c r="O135" s="46" t="n">
        <f aca="false">IF(M135&gt;=$C$3,N135/M135,"")</f>
        <v>0.9</v>
      </c>
      <c r="P135" s="45" t="n">
        <v>10</v>
      </c>
      <c r="Q135" s="45" t="n">
        <v>8</v>
      </c>
      <c r="R135" s="46" t="n">
        <f aca="false">IF(P135&gt;=$C$3,Q135/P135,"")</f>
        <v>0.8</v>
      </c>
      <c r="S135" s="45" t="n">
        <v>13</v>
      </c>
      <c r="T135" s="45" t="n">
        <v>10</v>
      </c>
      <c r="U135" s="46" t="n">
        <f aca="false">IF(S135&gt;=$C$3,T135/S135,"")</f>
        <v>0.769230769230769</v>
      </c>
      <c r="V135" s="45" t="n">
        <v>59</v>
      </c>
      <c r="W135" s="45" t="n">
        <v>17</v>
      </c>
      <c r="X135" s="46" t="n">
        <f aca="false">IF(V135&gt;=$C$3,W135/V135,"")</f>
        <v>0.288135593220339</v>
      </c>
      <c r="Y135" s="7" t="n">
        <f aca="false">COUNT(F135,I135,L135,O135,R135,U135,X135)</f>
        <v>7</v>
      </c>
      <c r="Z135" s="34" t="n">
        <f aca="false">IF(Y135=0,"",AVERAGE(F135,I135,L135,O135,R135,U135,X135))</f>
        <v>0.749979206504154</v>
      </c>
      <c r="AA135" s="47" t="n">
        <f aca="false">IF(ISNUMBER(Z135),C135*Z135,"")</f>
        <v>6183.15856927111</v>
      </c>
    </row>
    <row r="136" customFormat="false" ht="15" hidden="false" customHeight="false" outlineLevel="0" collapsed="false">
      <c r="A136" s="12" t="s">
        <v>400</v>
      </c>
      <c r="B136" s="10" t="s">
        <v>2235</v>
      </c>
      <c r="C136" s="44" t="n">
        <v>3113.83</v>
      </c>
      <c r="D136" s="45" t="n">
        <v>96</v>
      </c>
      <c r="E136" s="45" t="n">
        <v>95</v>
      </c>
      <c r="F136" s="46" t="n">
        <f aca="false">IF(D136&gt;=$C$3,E136/D136,"")</f>
        <v>0.989583333333333</v>
      </c>
      <c r="G136" s="45" t="n">
        <v>9</v>
      </c>
      <c r="H136" s="45" t="n">
        <v>8</v>
      </c>
      <c r="I136" s="46" t="n">
        <f aca="false">IF(G136&gt;=$C$3,H136/G136,"")</f>
        <v>0.888888888888889</v>
      </c>
      <c r="J136" s="45" t="n">
        <v>2</v>
      </c>
      <c r="K136" s="45" t="n">
        <v>1</v>
      </c>
      <c r="L136" s="46" t="str">
        <f aca="false">IF(J136&gt;=$C$3,K136/J136,"")</f>
        <v/>
      </c>
      <c r="M136" s="45" t="n">
        <v>18</v>
      </c>
      <c r="N136" s="45" t="n">
        <v>17</v>
      </c>
      <c r="O136" s="46" t="n">
        <f aca="false">IF(M136&gt;=$C$3,N136/M136,"")</f>
        <v>0.944444444444444</v>
      </c>
      <c r="P136" s="45" t="n">
        <v>9</v>
      </c>
      <c r="Q136" s="45" t="n">
        <v>8</v>
      </c>
      <c r="R136" s="46" t="n">
        <f aca="false">IF(P136&gt;=$C$3,Q136/P136,"")</f>
        <v>0.888888888888889</v>
      </c>
      <c r="S136" s="45" t="n">
        <v>4</v>
      </c>
      <c r="T136" s="45" t="n">
        <v>3</v>
      </c>
      <c r="U136" s="46" t="n">
        <f aca="false">IF(S136&gt;=$C$3,T136/S136,"")</f>
        <v>0.75</v>
      </c>
      <c r="V136" s="45" t="n">
        <v>16</v>
      </c>
      <c r="W136" s="45" t="n">
        <v>15</v>
      </c>
      <c r="X136" s="46" t="n">
        <f aca="false">IF(V136&gt;=$C$3,W136/V136,"")</f>
        <v>0.9375</v>
      </c>
      <c r="Y136" s="7" t="n">
        <f aca="false">COUNT(F136,I136,L136,O136,R136,U136,X136)</f>
        <v>6</v>
      </c>
      <c r="Z136" s="34" t="n">
        <f aca="false">IF(Y136=0,"",AVERAGE(F136,I136,L136,O136,R136,U136,X136))</f>
        <v>0.899884259259259</v>
      </c>
      <c r="AA136" s="47" t="n">
        <f aca="false">IF(ISNUMBER(Z136),C136*Z136,"")</f>
        <v>2802.08660300926</v>
      </c>
    </row>
    <row r="137" customFormat="false" ht="15" hidden="false" customHeight="false" outlineLevel="0" collapsed="false">
      <c r="A137" s="12" t="s">
        <v>180</v>
      </c>
      <c r="B137" s="10" t="s">
        <v>2230</v>
      </c>
      <c r="C137" s="44" t="n">
        <v>140084.73</v>
      </c>
      <c r="D137" s="45" t="n">
        <v>665</v>
      </c>
      <c r="E137" s="45" t="n">
        <v>254</v>
      </c>
      <c r="F137" s="46" t="n">
        <f aca="false">IF(D137&gt;=$C$3,E137/D137,"")</f>
        <v>0.381954887218045</v>
      </c>
      <c r="G137" s="45" t="n">
        <v>54</v>
      </c>
      <c r="H137" s="45" t="n">
        <v>16</v>
      </c>
      <c r="I137" s="46" t="n">
        <f aca="false">IF(G137&gt;=$C$3,H137/G137,"")</f>
        <v>0.296296296296296</v>
      </c>
      <c r="J137" s="45" t="n">
        <v>39</v>
      </c>
      <c r="K137" s="45" t="n">
        <v>5</v>
      </c>
      <c r="L137" s="46" t="n">
        <f aca="false">IF(J137&gt;=$C$3,K137/J137,"")</f>
        <v>0.128205128205128</v>
      </c>
      <c r="M137" s="45" t="n">
        <v>80</v>
      </c>
      <c r="N137" s="45" t="n">
        <v>10</v>
      </c>
      <c r="O137" s="46" t="n">
        <f aca="false">IF(M137&gt;=$C$3,N137/M137,"")</f>
        <v>0.125</v>
      </c>
      <c r="P137" s="45" t="n">
        <v>66</v>
      </c>
      <c r="Q137" s="45" t="n">
        <v>16</v>
      </c>
      <c r="R137" s="46" t="n">
        <f aca="false">IF(P137&gt;=$C$3,Q137/P137,"")</f>
        <v>0.242424242424242</v>
      </c>
      <c r="S137" s="45" t="n">
        <v>60</v>
      </c>
      <c r="T137" s="45" t="n">
        <v>14</v>
      </c>
      <c r="U137" s="46" t="n">
        <f aca="false">IF(S137&gt;=$C$3,T137/S137,"")</f>
        <v>0.233333333333333</v>
      </c>
      <c r="V137" s="45" t="n">
        <v>45</v>
      </c>
      <c r="W137" s="45" t="n">
        <v>16</v>
      </c>
      <c r="X137" s="46" t="n">
        <f aca="false">IF(V137&gt;=$C$3,W137/V137,"")</f>
        <v>0.355555555555556</v>
      </c>
      <c r="Y137" s="7" t="n">
        <f aca="false">COUNT(F137,I137,L137,O137,R137,U137,X137)</f>
        <v>7</v>
      </c>
      <c r="Z137" s="34" t="n">
        <f aca="false">IF(Y137=0,"",AVERAGE(F137,I137,L137,O137,R137,U137,X137))</f>
        <v>0.251824206147514</v>
      </c>
      <c r="AA137" s="47" t="n">
        <f aca="false">IF(ISNUMBER(Z137),C137*Z137,"")</f>
        <v>35276.7259256389</v>
      </c>
    </row>
    <row r="138" customFormat="false" ht="15" hidden="false" customHeight="false" outlineLevel="0" collapsed="false">
      <c r="A138" s="12" t="s">
        <v>549</v>
      </c>
      <c r="B138" s="10" t="s">
        <v>2248</v>
      </c>
      <c r="C138" s="44" t="n">
        <v>6450.54</v>
      </c>
      <c r="D138" s="45" t="n">
        <v>78</v>
      </c>
      <c r="E138" s="45" t="n">
        <v>47</v>
      </c>
      <c r="F138" s="46" t="n">
        <f aca="false">IF(D138&gt;=$C$3,E138/D138,"")</f>
        <v>0.602564102564103</v>
      </c>
      <c r="G138" s="45" t="n">
        <v>3</v>
      </c>
      <c r="H138" s="45" t="n">
        <v>1</v>
      </c>
      <c r="I138" s="46" t="n">
        <f aca="false">IF(G138&gt;=$C$3,H138/G138,"")</f>
        <v>0.333333333333333</v>
      </c>
      <c r="J138" s="45" t="n">
        <v>0</v>
      </c>
      <c r="K138" s="45" t="n">
        <v>0</v>
      </c>
      <c r="L138" s="46" t="str">
        <f aca="false">IF(J138&gt;=$C$3,K138/J138,"")</f>
        <v/>
      </c>
      <c r="M138" s="45" t="n">
        <v>0</v>
      </c>
      <c r="N138" s="45" t="n">
        <v>0</v>
      </c>
      <c r="O138" s="46" t="str">
        <f aca="false">IF(M138&gt;=$C$3,N138/M138,"")</f>
        <v/>
      </c>
      <c r="P138" s="45" t="n">
        <v>0</v>
      </c>
      <c r="Q138" s="45" t="n">
        <v>0</v>
      </c>
      <c r="R138" s="46" t="str">
        <f aca="false">IF(P138&gt;=$C$3,Q138/P138,"")</f>
        <v/>
      </c>
      <c r="S138" s="45" t="n">
        <v>1</v>
      </c>
      <c r="T138" s="45" t="n">
        <v>1</v>
      </c>
      <c r="U138" s="46" t="str">
        <f aca="false">IF(S138&gt;=$C$3,T138/S138,"")</f>
        <v/>
      </c>
      <c r="V138" s="45" t="n">
        <v>29</v>
      </c>
      <c r="W138" s="45" t="n">
        <v>12</v>
      </c>
      <c r="X138" s="46" t="n">
        <f aca="false">IF(V138&gt;=$C$3,W138/V138,"")</f>
        <v>0.413793103448276</v>
      </c>
      <c r="Y138" s="7" t="n">
        <f aca="false">COUNT(F138,I138,L138,O138,R138,U138,X138)</f>
        <v>3</v>
      </c>
      <c r="Z138" s="34" t="n">
        <f aca="false">IF(Y138=0,"",AVERAGE(F138,I138,L138,O138,R138,U138,X138))</f>
        <v>0.449896846448571</v>
      </c>
      <c r="AA138" s="47" t="n">
        <f aca="false">IF(ISNUMBER(Z138),C138*Z138,"")</f>
        <v>2902.07760389036</v>
      </c>
    </row>
    <row r="139" customFormat="false" ht="15" hidden="false" customHeight="false" outlineLevel="0" collapsed="false">
      <c r="A139" s="12" t="s">
        <v>83</v>
      </c>
      <c r="B139" s="10" t="s">
        <v>2235</v>
      </c>
      <c r="C139" s="44" t="n">
        <v>22355.46</v>
      </c>
      <c r="D139" s="45" t="n">
        <v>48</v>
      </c>
      <c r="E139" s="45" t="n">
        <v>48</v>
      </c>
      <c r="F139" s="46" t="n">
        <f aca="false">IF(D139&gt;=$C$3,E139/D139,"")</f>
        <v>1</v>
      </c>
      <c r="G139" s="45" t="n">
        <v>9</v>
      </c>
      <c r="H139" s="45" t="n">
        <v>9</v>
      </c>
      <c r="I139" s="46" t="n">
        <f aca="false">IF(G139&gt;=$C$3,H139/G139,"")</f>
        <v>1</v>
      </c>
      <c r="J139" s="45" t="n">
        <v>8</v>
      </c>
      <c r="K139" s="45" t="n">
        <v>8</v>
      </c>
      <c r="L139" s="46" t="n">
        <f aca="false">IF(J139&gt;=$C$3,K139/J139,"")</f>
        <v>1</v>
      </c>
      <c r="M139" s="45" t="n">
        <v>6</v>
      </c>
      <c r="N139" s="45" t="n">
        <v>6</v>
      </c>
      <c r="O139" s="46" t="n">
        <f aca="false">IF(M139&gt;=$C$3,N139/M139,"")</f>
        <v>1</v>
      </c>
      <c r="P139" s="45" t="n">
        <v>6</v>
      </c>
      <c r="Q139" s="45" t="n">
        <v>6</v>
      </c>
      <c r="R139" s="46" t="n">
        <f aca="false">IF(P139&gt;=$C$3,Q139/P139,"")</f>
        <v>1</v>
      </c>
      <c r="S139" s="45" t="n">
        <v>8</v>
      </c>
      <c r="T139" s="45" t="n">
        <v>8</v>
      </c>
      <c r="U139" s="46" t="n">
        <f aca="false">IF(S139&gt;=$C$3,T139/S139,"")</f>
        <v>1</v>
      </c>
      <c r="V139" s="45" t="n">
        <v>10</v>
      </c>
      <c r="W139" s="45" t="n">
        <v>9</v>
      </c>
      <c r="X139" s="46" t="n">
        <f aca="false">IF(V139&gt;=$C$3,W139/V139,"")</f>
        <v>0.9</v>
      </c>
      <c r="Y139" s="7" t="n">
        <f aca="false">COUNT(F139,I139,L139,O139,R139,U139,X139)</f>
        <v>7</v>
      </c>
      <c r="Z139" s="34" t="n">
        <f aca="false">IF(Y139=0,"",AVERAGE(F139,I139,L139,O139,R139,U139,X139))</f>
        <v>0.985714285714286</v>
      </c>
      <c r="AA139" s="47" t="n">
        <f aca="false">IF(ISNUMBER(Z139),C139*Z139,"")</f>
        <v>22036.0962857143</v>
      </c>
    </row>
    <row r="140" customFormat="false" ht="15" hidden="false" customHeight="false" outlineLevel="0" collapsed="false">
      <c r="A140" s="12" t="s">
        <v>137</v>
      </c>
      <c r="B140" s="10" t="s">
        <v>2219</v>
      </c>
      <c r="C140" s="44" t="n">
        <v>2202.64</v>
      </c>
      <c r="D140" s="45" t="n">
        <v>17</v>
      </c>
      <c r="E140" s="45" t="n">
        <v>17</v>
      </c>
      <c r="F140" s="46" t="n">
        <f aca="false">IF(D140&gt;=$C$3,E140/D140,"")</f>
        <v>1</v>
      </c>
      <c r="G140" s="45" t="n">
        <v>2</v>
      </c>
      <c r="H140" s="45" t="n">
        <v>2</v>
      </c>
      <c r="I140" s="46" t="str">
        <f aca="false">IF(G140&gt;=$C$3,H140/G140,"")</f>
        <v/>
      </c>
      <c r="J140" s="45" t="n">
        <v>2</v>
      </c>
      <c r="K140" s="45" t="n">
        <v>2</v>
      </c>
      <c r="L140" s="46" t="str">
        <f aca="false">IF(J140&gt;=$C$3,K140/J140,"")</f>
        <v/>
      </c>
      <c r="M140" s="45" t="n">
        <v>2</v>
      </c>
      <c r="N140" s="45" t="n">
        <v>2</v>
      </c>
      <c r="O140" s="46" t="str">
        <f aca="false">IF(M140&gt;=$C$3,N140/M140,"")</f>
        <v/>
      </c>
      <c r="P140" s="45" t="n">
        <v>0</v>
      </c>
      <c r="Q140" s="45" t="n">
        <v>0</v>
      </c>
      <c r="R140" s="46" t="str">
        <f aca="false">IF(P140&gt;=$C$3,Q140/P140,"")</f>
        <v/>
      </c>
      <c r="S140" s="45" t="n">
        <v>0</v>
      </c>
      <c r="T140" s="45" t="n">
        <v>0</v>
      </c>
      <c r="U140" s="46" t="str">
        <f aca="false">IF(S140&gt;=$C$3,T140/S140,"")</f>
        <v/>
      </c>
      <c r="V140" s="45" t="n">
        <v>6</v>
      </c>
      <c r="W140" s="45" t="n">
        <v>3</v>
      </c>
      <c r="X140" s="46" t="n">
        <f aca="false">IF(V140&gt;=$C$3,W140/V140,"")</f>
        <v>0.5</v>
      </c>
      <c r="Y140" s="7" t="n">
        <f aca="false">COUNT(F140,I140,L140,O140,R140,U140,X140)</f>
        <v>2</v>
      </c>
      <c r="Z140" s="34" t="n">
        <f aca="false">IF(Y140=0,"",AVERAGE(F140,I140,L140,O140,R140,U140,X140))</f>
        <v>0.75</v>
      </c>
      <c r="AA140" s="47" t="n">
        <f aca="false">IF(ISNUMBER(Z140),C140*Z140,"")</f>
        <v>1651.98</v>
      </c>
    </row>
    <row r="141" customFormat="false" ht="15" hidden="false" customHeight="false" outlineLevel="0" collapsed="false">
      <c r="A141" s="12" t="s">
        <v>440</v>
      </c>
      <c r="B141" s="10" t="s">
        <v>2218</v>
      </c>
      <c r="C141" s="44" t="n">
        <v>49365.77</v>
      </c>
      <c r="D141" s="45" t="n">
        <v>649</v>
      </c>
      <c r="E141" s="45" t="n">
        <v>87</v>
      </c>
      <c r="F141" s="46" t="n">
        <f aca="false">IF(D141&gt;=$C$3,E141/D141,"")</f>
        <v>0.134052388289676</v>
      </c>
      <c r="G141" s="45" t="n">
        <v>234</v>
      </c>
      <c r="H141" s="45" t="n">
        <v>8</v>
      </c>
      <c r="I141" s="46" t="n">
        <f aca="false">IF(G141&gt;=$C$3,H141/G141,"")</f>
        <v>0.0341880341880342</v>
      </c>
      <c r="J141" s="45" t="n">
        <v>50</v>
      </c>
      <c r="K141" s="45" t="n">
        <v>5</v>
      </c>
      <c r="L141" s="46" t="n">
        <f aca="false">IF(J141&gt;=$C$3,K141/J141,"")</f>
        <v>0.1</v>
      </c>
      <c r="M141" s="45" t="n">
        <v>180</v>
      </c>
      <c r="N141" s="45" t="n">
        <v>9</v>
      </c>
      <c r="O141" s="46" t="n">
        <f aca="false">IF(M141&gt;=$C$3,N141/M141,"")</f>
        <v>0.05</v>
      </c>
      <c r="P141" s="45" t="n">
        <v>62</v>
      </c>
      <c r="Q141" s="45" t="n">
        <v>9</v>
      </c>
      <c r="R141" s="46" t="n">
        <f aca="false">IF(P141&gt;=$C$3,Q141/P141,"")</f>
        <v>0.145161290322581</v>
      </c>
      <c r="S141" s="45" t="n">
        <v>18</v>
      </c>
      <c r="T141" s="45" t="n">
        <v>5</v>
      </c>
      <c r="U141" s="46" t="n">
        <f aca="false">IF(S141&gt;=$C$3,T141/S141,"")</f>
        <v>0.277777777777778</v>
      </c>
      <c r="V141" s="45" t="n">
        <v>482</v>
      </c>
      <c r="W141" s="45" t="n">
        <v>32</v>
      </c>
      <c r="X141" s="46" t="n">
        <f aca="false">IF(V141&gt;=$C$3,W141/V141,"")</f>
        <v>0.0663900414937759</v>
      </c>
      <c r="Y141" s="7" t="n">
        <f aca="false">COUNT(F141,I141,L141,O141,R141,U141,X141)</f>
        <v>7</v>
      </c>
      <c r="Z141" s="34" t="n">
        <f aca="false">IF(Y141=0,"",AVERAGE(F141,I141,L141,O141,R141,U141,X141))</f>
        <v>0.115367076010264</v>
      </c>
      <c r="AA141" s="47" t="n">
        <f aca="false">IF(ISNUMBER(Z141),C141*Z141,"")</f>
        <v>5695.18453989519</v>
      </c>
    </row>
    <row r="142" customFormat="false" ht="15" hidden="false" customHeight="false" outlineLevel="0" collapsed="false">
      <c r="A142" s="12" t="s">
        <v>561</v>
      </c>
      <c r="B142" s="10" t="s">
        <v>2224</v>
      </c>
      <c r="C142" s="44" t="n">
        <v>6050.02</v>
      </c>
      <c r="D142" s="45" t="n">
        <v>65</v>
      </c>
      <c r="E142" s="45" t="n">
        <v>32</v>
      </c>
      <c r="F142" s="46" t="n">
        <f aca="false">IF(D142&gt;=$C$3,E142/D142,"")</f>
        <v>0.492307692307692</v>
      </c>
      <c r="G142" s="45" t="n">
        <v>18</v>
      </c>
      <c r="H142" s="45" t="n">
        <v>4</v>
      </c>
      <c r="I142" s="46" t="n">
        <f aca="false">IF(G142&gt;=$C$3,H142/G142,"")</f>
        <v>0.222222222222222</v>
      </c>
      <c r="J142" s="45" t="n">
        <v>7</v>
      </c>
      <c r="K142" s="45" t="n">
        <v>2</v>
      </c>
      <c r="L142" s="46" t="n">
        <f aca="false">IF(J142&gt;=$C$3,K142/J142,"")</f>
        <v>0.285714285714286</v>
      </c>
      <c r="M142" s="45" t="n">
        <v>8</v>
      </c>
      <c r="N142" s="45" t="n">
        <v>4</v>
      </c>
      <c r="O142" s="46" t="n">
        <f aca="false">IF(M142&gt;=$C$3,N142/M142,"")</f>
        <v>0.5</v>
      </c>
      <c r="P142" s="45" t="n">
        <v>8</v>
      </c>
      <c r="Q142" s="45" t="n">
        <v>3</v>
      </c>
      <c r="R142" s="46" t="n">
        <f aca="false">IF(P142&gt;=$C$3,Q142/P142,"")</f>
        <v>0.375</v>
      </c>
      <c r="S142" s="45" t="n">
        <v>2</v>
      </c>
      <c r="T142" s="45" t="n">
        <v>1</v>
      </c>
      <c r="U142" s="46" t="str">
        <f aca="false">IF(S142&gt;=$C$3,T142/S142,"")</f>
        <v/>
      </c>
      <c r="V142" s="45" t="n">
        <v>17</v>
      </c>
      <c r="W142" s="45" t="n">
        <v>2</v>
      </c>
      <c r="X142" s="46" t="n">
        <f aca="false">IF(V142&gt;=$C$3,W142/V142,"")</f>
        <v>0.117647058823529</v>
      </c>
      <c r="Y142" s="7" t="n">
        <f aca="false">COUNT(F142,I142,L142,O142,R142,U142,X142)</f>
        <v>6</v>
      </c>
      <c r="Z142" s="34" t="n">
        <f aca="false">IF(Y142=0,"",AVERAGE(F142,I142,L142,O142,R142,U142,X142))</f>
        <v>0.332148543177955</v>
      </c>
      <c r="AA142" s="47" t="n">
        <f aca="false">IF(ISNUMBER(Z142),C142*Z142,"")</f>
        <v>2009.50532919749</v>
      </c>
    </row>
    <row r="143" customFormat="false" ht="15" hidden="false" customHeight="false" outlineLevel="0" collapsed="false">
      <c r="A143" s="12" t="s">
        <v>312</v>
      </c>
      <c r="B143" s="10" t="s">
        <v>2220</v>
      </c>
      <c r="C143" s="44" t="n">
        <v>5770.02</v>
      </c>
      <c r="D143" s="45" t="n">
        <v>111</v>
      </c>
      <c r="E143" s="45" t="n">
        <v>100</v>
      </c>
      <c r="F143" s="46" t="n">
        <f aca="false">IF(D143&gt;=$C$3,E143/D143,"")</f>
        <v>0.900900900900901</v>
      </c>
      <c r="G143" s="45" t="n">
        <v>7</v>
      </c>
      <c r="H143" s="45" t="n">
        <v>4</v>
      </c>
      <c r="I143" s="46" t="n">
        <f aca="false">IF(G143&gt;=$C$3,H143/G143,"")</f>
        <v>0.571428571428571</v>
      </c>
      <c r="J143" s="45" t="n">
        <v>0</v>
      </c>
      <c r="K143" s="45" t="n">
        <v>0</v>
      </c>
      <c r="L143" s="46" t="str">
        <f aca="false">IF(J143&gt;=$C$3,K143/J143,"")</f>
        <v/>
      </c>
      <c r="M143" s="45" t="n">
        <v>191</v>
      </c>
      <c r="N143" s="45" t="n">
        <v>4</v>
      </c>
      <c r="O143" s="46" t="n">
        <f aca="false">IF(M143&gt;=$C$3,N143/M143,"")</f>
        <v>0.0209424083769634</v>
      </c>
      <c r="P143" s="45" t="n">
        <v>2</v>
      </c>
      <c r="Q143" s="45" t="n">
        <v>2</v>
      </c>
      <c r="R143" s="46" t="str">
        <f aca="false">IF(P143&gt;=$C$3,Q143/P143,"")</f>
        <v/>
      </c>
      <c r="S143" s="45" t="n">
        <v>76</v>
      </c>
      <c r="T143" s="45" t="n">
        <v>5</v>
      </c>
      <c r="U143" s="46" t="n">
        <f aca="false">IF(S143&gt;=$C$3,T143/S143,"")</f>
        <v>0.0657894736842105</v>
      </c>
      <c r="V143" s="45" t="n">
        <v>25</v>
      </c>
      <c r="W143" s="45" t="n">
        <v>18</v>
      </c>
      <c r="X143" s="46" t="n">
        <f aca="false">IF(V143&gt;=$C$3,W143/V143,"")</f>
        <v>0.72</v>
      </c>
      <c r="Y143" s="7" t="n">
        <f aca="false">COUNT(F143,I143,L143,O143,R143,U143,X143)</f>
        <v>5</v>
      </c>
      <c r="Z143" s="34" t="n">
        <f aca="false">IF(Y143=0,"",AVERAGE(F143,I143,L143,O143,R143,U143,X143))</f>
        <v>0.455812270878129</v>
      </c>
      <c r="AA143" s="47" t="n">
        <f aca="false">IF(ISNUMBER(Z143),C143*Z143,"")</f>
        <v>2630.04591921222</v>
      </c>
    </row>
    <row r="144" customFormat="false" ht="15" hidden="false" customHeight="false" outlineLevel="0" collapsed="false">
      <c r="A144" s="12" t="s">
        <v>267</v>
      </c>
      <c r="B144" s="10" t="s">
        <v>2219</v>
      </c>
      <c r="C144" s="44" t="n">
        <v>32204.47</v>
      </c>
      <c r="D144" s="45" t="n">
        <v>271</v>
      </c>
      <c r="E144" s="45" t="n">
        <v>271</v>
      </c>
      <c r="F144" s="46" t="n">
        <f aca="false">IF(D144&gt;=$C$3,E144/D144,"")</f>
        <v>1</v>
      </c>
      <c r="G144" s="45" t="n">
        <v>68</v>
      </c>
      <c r="H144" s="45" t="n">
        <v>68</v>
      </c>
      <c r="I144" s="46" t="n">
        <f aca="false">IF(G144&gt;=$C$3,H144/G144,"")</f>
        <v>1</v>
      </c>
      <c r="J144" s="45" t="n">
        <v>16</v>
      </c>
      <c r="K144" s="45" t="n">
        <v>16</v>
      </c>
      <c r="L144" s="46" t="n">
        <f aca="false">IF(J144&gt;=$C$3,K144/J144,"")</f>
        <v>1</v>
      </c>
      <c r="M144" s="45" t="n">
        <v>15</v>
      </c>
      <c r="N144" s="45" t="n">
        <v>15</v>
      </c>
      <c r="O144" s="46" t="n">
        <f aca="false">IF(M144&gt;=$C$3,N144/M144,"")</f>
        <v>1</v>
      </c>
      <c r="P144" s="45" t="n">
        <v>15</v>
      </c>
      <c r="Q144" s="45" t="n">
        <v>15</v>
      </c>
      <c r="R144" s="46" t="n">
        <f aca="false">IF(P144&gt;=$C$3,Q144/P144,"")</f>
        <v>1</v>
      </c>
      <c r="S144" s="45" t="n">
        <v>15</v>
      </c>
      <c r="T144" s="45" t="n">
        <v>15</v>
      </c>
      <c r="U144" s="46" t="n">
        <f aca="false">IF(S144&gt;=$C$3,T144/S144,"")</f>
        <v>1</v>
      </c>
      <c r="V144" s="45" t="n">
        <v>40</v>
      </c>
      <c r="W144" s="45" t="n">
        <v>40</v>
      </c>
      <c r="X144" s="46" t="n">
        <f aca="false">IF(V144&gt;=$C$3,W144/V144,"")</f>
        <v>1</v>
      </c>
      <c r="Y144" s="7" t="n">
        <f aca="false">COUNT(F144,I144,L144,O144,R144,U144,X144)</f>
        <v>7</v>
      </c>
      <c r="Z144" s="34" t="n">
        <f aca="false">IF(Y144=0,"",AVERAGE(F144,I144,L144,O144,R144,U144,X144))</f>
        <v>1</v>
      </c>
      <c r="AA144" s="47" t="n">
        <f aca="false">IF(ISNUMBER(Z144),C144*Z144,"")</f>
        <v>32204.47</v>
      </c>
    </row>
    <row r="145" customFormat="false" ht="15" hidden="false" customHeight="false" outlineLevel="0" collapsed="false">
      <c r="A145" s="12" t="s">
        <v>112</v>
      </c>
      <c r="B145" s="10" t="s">
        <v>2235</v>
      </c>
      <c r="C145" s="44" t="n">
        <v>7904.67</v>
      </c>
      <c r="D145" s="45" t="n">
        <v>91</v>
      </c>
      <c r="E145" s="45" t="n">
        <v>91</v>
      </c>
      <c r="F145" s="46" t="n">
        <f aca="false">IF(D145&gt;=$C$3,E145/D145,"")</f>
        <v>1</v>
      </c>
      <c r="G145" s="45" t="n">
        <v>8</v>
      </c>
      <c r="H145" s="45" t="n">
        <v>8</v>
      </c>
      <c r="I145" s="46" t="n">
        <f aca="false">IF(G145&gt;=$C$3,H145/G145,"")</f>
        <v>1</v>
      </c>
      <c r="J145" s="45" t="n">
        <v>2</v>
      </c>
      <c r="K145" s="45" t="n">
        <v>2</v>
      </c>
      <c r="L145" s="46" t="str">
        <f aca="false">IF(J145&gt;=$C$3,K145/J145,"")</f>
        <v/>
      </c>
      <c r="M145" s="45" t="n">
        <v>7</v>
      </c>
      <c r="N145" s="45" t="n">
        <v>7</v>
      </c>
      <c r="O145" s="46" t="n">
        <f aca="false">IF(M145&gt;=$C$3,N145/M145,"")</f>
        <v>1</v>
      </c>
      <c r="P145" s="45" t="n">
        <v>2</v>
      </c>
      <c r="Q145" s="45" t="n">
        <v>2</v>
      </c>
      <c r="R145" s="46" t="str">
        <f aca="false">IF(P145&gt;=$C$3,Q145/P145,"")</f>
        <v/>
      </c>
      <c r="S145" s="45" t="n">
        <v>2</v>
      </c>
      <c r="T145" s="45" t="n">
        <v>2</v>
      </c>
      <c r="U145" s="46" t="str">
        <f aca="false">IF(S145&gt;=$C$3,T145/S145,"")</f>
        <v/>
      </c>
      <c r="V145" s="45" t="n">
        <v>10</v>
      </c>
      <c r="W145" s="45" t="n">
        <v>10</v>
      </c>
      <c r="X145" s="46" t="n">
        <f aca="false">IF(V145&gt;=$C$3,W145/V145,"")</f>
        <v>1</v>
      </c>
      <c r="Y145" s="7" t="n">
        <f aca="false">COUNT(F145,I145,L145,O145,R145,U145,X145)</f>
        <v>4</v>
      </c>
      <c r="Z145" s="34" t="n">
        <f aca="false">IF(Y145=0,"",AVERAGE(F145,I145,L145,O145,R145,U145,X145))</f>
        <v>1</v>
      </c>
      <c r="AA145" s="47" t="n">
        <f aca="false">IF(ISNUMBER(Z145),C145*Z145,"")</f>
        <v>7904.67</v>
      </c>
    </row>
    <row r="146" customFormat="false" ht="15" hidden="false" customHeight="false" outlineLevel="0" collapsed="false">
      <c r="A146" s="12" t="s">
        <v>388</v>
      </c>
      <c r="B146" s="10" t="s">
        <v>2226</v>
      </c>
      <c r="C146" s="44" t="n">
        <v>22018.81</v>
      </c>
      <c r="D146" s="45" t="n">
        <v>238</v>
      </c>
      <c r="E146" s="45" t="n">
        <v>38</v>
      </c>
      <c r="F146" s="46" t="n">
        <f aca="false">IF(D146&gt;=$C$3,E146/D146,"")</f>
        <v>0.159663865546218</v>
      </c>
      <c r="G146" s="45" t="n">
        <v>38</v>
      </c>
      <c r="H146" s="45" t="n">
        <v>3</v>
      </c>
      <c r="I146" s="46" t="n">
        <f aca="false">IF(G146&gt;=$C$3,H146/G146,"")</f>
        <v>0.0789473684210526</v>
      </c>
      <c r="J146" s="45" t="n">
        <v>12</v>
      </c>
      <c r="K146" s="45" t="n">
        <v>2</v>
      </c>
      <c r="L146" s="46" t="n">
        <f aca="false">IF(J146&gt;=$C$3,K146/J146,"")</f>
        <v>0.166666666666667</v>
      </c>
      <c r="M146" s="45" t="n">
        <v>27</v>
      </c>
      <c r="N146" s="45" t="n">
        <v>3</v>
      </c>
      <c r="O146" s="46" t="n">
        <f aca="false">IF(M146&gt;=$C$3,N146/M146,"")</f>
        <v>0.111111111111111</v>
      </c>
      <c r="P146" s="45" t="n">
        <v>7</v>
      </c>
      <c r="Q146" s="45" t="n">
        <v>0</v>
      </c>
      <c r="R146" s="46" t="n">
        <f aca="false">IF(P146&gt;=$C$3,Q146/P146,"")</f>
        <v>0</v>
      </c>
      <c r="S146" s="45" t="n">
        <v>15</v>
      </c>
      <c r="T146" s="45" t="n">
        <v>3</v>
      </c>
      <c r="U146" s="46" t="n">
        <f aca="false">IF(S146&gt;=$C$3,T146/S146,"")</f>
        <v>0.2</v>
      </c>
      <c r="V146" s="45" t="n">
        <v>67</v>
      </c>
      <c r="W146" s="45" t="n">
        <v>4</v>
      </c>
      <c r="X146" s="46" t="n">
        <f aca="false">IF(V146&gt;=$C$3,W146/V146,"")</f>
        <v>0.0597014925373134</v>
      </c>
      <c r="Y146" s="7" t="n">
        <f aca="false">COUNT(F146,I146,L146,O146,R146,U146,X146)</f>
        <v>7</v>
      </c>
      <c r="Z146" s="34" t="n">
        <f aca="false">IF(Y146=0,"",AVERAGE(F146,I146,L146,O146,R146,U146,X146))</f>
        <v>0.110870072040337</v>
      </c>
      <c r="AA146" s="47" t="n">
        <f aca="false">IF(ISNUMBER(Z146),C146*Z146,"")</f>
        <v>2441.2270509425</v>
      </c>
    </row>
    <row r="147" customFormat="false" ht="15" hidden="false" customHeight="false" outlineLevel="0" collapsed="false">
      <c r="A147" s="12" t="s">
        <v>466</v>
      </c>
      <c r="B147" s="10" t="s">
        <v>2218</v>
      </c>
      <c r="C147" s="44" t="n">
        <v>54682.27</v>
      </c>
      <c r="D147" s="45" t="n">
        <v>136</v>
      </c>
      <c r="E147" s="45" t="n">
        <v>135</v>
      </c>
      <c r="F147" s="46" t="n">
        <f aca="false">IF(D147&gt;=$C$3,E147/D147,"")</f>
        <v>0.992647058823529</v>
      </c>
      <c r="G147" s="45" t="n">
        <v>16</v>
      </c>
      <c r="H147" s="45" t="n">
        <v>16</v>
      </c>
      <c r="I147" s="46" t="n">
        <f aca="false">IF(G147&gt;=$C$3,H147/G147,"")</f>
        <v>1</v>
      </c>
      <c r="J147" s="45" t="n">
        <v>4</v>
      </c>
      <c r="K147" s="45" t="n">
        <v>4</v>
      </c>
      <c r="L147" s="46" t="n">
        <f aca="false">IF(J147&gt;=$C$3,K147/J147,"")</f>
        <v>1</v>
      </c>
      <c r="M147" s="45" t="n">
        <v>21</v>
      </c>
      <c r="N147" s="45" t="n">
        <v>21</v>
      </c>
      <c r="O147" s="46" t="n">
        <f aca="false">IF(M147&gt;=$C$3,N147/M147,"")</f>
        <v>1</v>
      </c>
      <c r="P147" s="45" t="n">
        <v>26</v>
      </c>
      <c r="Q147" s="45" t="n">
        <v>26</v>
      </c>
      <c r="R147" s="46" t="n">
        <f aca="false">IF(P147&gt;=$C$3,Q147/P147,"")</f>
        <v>1</v>
      </c>
      <c r="S147" s="45" t="n">
        <v>21</v>
      </c>
      <c r="T147" s="45" t="n">
        <v>21</v>
      </c>
      <c r="U147" s="46" t="n">
        <f aca="false">IF(S147&gt;=$C$3,T147/S147,"")</f>
        <v>1</v>
      </c>
      <c r="V147" s="45" t="n">
        <v>10</v>
      </c>
      <c r="W147" s="45" t="n">
        <v>10</v>
      </c>
      <c r="X147" s="46" t="n">
        <f aca="false">IF(V147&gt;=$C$3,W147/V147,"")</f>
        <v>1</v>
      </c>
      <c r="Y147" s="7" t="n">
        <f aca="false">COUNT(F147,I147,L147,O147,R147,U147,X147)</f>
        <v>7</v>
      </c>
      <c r="Z147" s="34" t="n">
        <f aca="false">IF(Y147=0,"",AVERAGE(F147,I147,L147,O147,R147,U147,X147))</f>
        <v>0.998949579831933</v>
      </c>
      <c r="AA147" s="47" t="n">
        <f aca="false">IF(ISNUMBER(Z147),C147*Z147,"")</f>
        <v>54624.8306407563</v>
      </c>
    </row>
    <row r="148" customFormat="false" ht="15" hidden="false" customHeight="false" outlineLevel="0" collapsed="false">
      <c r="A148" s="12" t="s">
        <v>606</v>
      </c>
      <c r="B148" s="10" t="s">
        <v>2220</v>
      </c>
      <c r="C148" s="44" t="n">
        <v>1176.33</v>
      </c>
      <c r="D148" s="45" t="n">
        <v>45</v>
      </c>
      <c r="E148" s="45" t="n">
        <v>45</v>
      </c>
      <c r="F148" s="46" t="n">
        <f aca="false">IF(D148&gt;=$C$3,E148/D148,"")</f>
        <v>1</v>
      </c>
      <c r="G148" s="45" t="n">
        <v>2</v>
      </c>
      <c r="H148" s="45" t="n">
        <v>2</v>
      </c>
      <c r="I148" s="46" t="str">
        <f aca="false">IF(G148&gt;=$C$3,H148/G148,"")</f>
        <v/>
      </c>
      <c r="J148" s="45" t="n">
        <v>7</v>
      </c>
      <c r="K148" s="45" t="n">
        <v>7</v>
      </c>
      <c r="L148" s="46" t="n">
        <f aca="false">IF(J148&gt;=$C$3,K148/J148,"")</f>
        <v>1</v>
      </c>
      <c r="M148" s="45" t="n">
        <v>1</v>
      </c>
      <c r="N148" s="45" t="n">
        <v>1</v>
      </c>
      <c r="O148" s="46" t="str">
        <f aca="false">IF(M148&gt;=$C$3,N148/M148,"")</f>
        <v/>
      </c>
      <c r="P148" s="45" t="n">
        <v>7</v>
      </c>
      <c r="Q148" s="45" t="n">
        <v>3</v>
      </c>
      <c r="R148" s="46" t="n">
        <f aca="false">IF(P148&gt;=$C$3,Q148/P148,"")</f>
        <v>0.428571428571429</v>
      </c>
      <c r="S148" s="45" t="n">
        <v>6</v>
      </c>
      <c r="T148" s="45" t="n">
        <v>6</v>
      </c>
      <c r="U148" s="46" t="n">
        <f aca="false">IF(S148&gt;=$C$3,T148/S148,"")</f>
        <v>1</v>
      </c>
      <c r="V148" s="45" t="n">
        <v>1</v>
      </c>
      <c r="W148" s="45" t="n">
        <v>1</v>
      </c>
      <c r="X148" s="46" t="str">
        <f aca="false">IF(V148&gt;=$C$3,W148/V148,"")</f>
        <v/>
      </c>
      <c r="Y148" s="7" t="n">
        <f aca="false">COUNT(F148,I148,L148,O148,R148,U148,X148)</f>
        <v>4</v>
      </c>
      <c r="Z148" s="34" t="n">
        <f aca="false">IF(Y148=0,"",AVERAGE(F148,I148,L148,O148,R148,U148,X148))</f>
        <v>0.857142857142857</v>
      </c>
      <c r="AA148" s="47" t="n">
        <f aca="false">IF(ISNUMBER(Z148),C148*Z148,"")</f>
        <v>1008.28285714286</v>
      </c>
    </row>
    <row r="149" customFormat="false" ht="15" hidden="false" customHeight="false" outlineLevel="0" collapsed="false">
      <c r="A149" s="12" t="s">
        <v>512</v>
      </c>
      <c r="B149" s="10" t="s">
        <v>2216</v>
      </c>
      <c r="C149" s="44" t="n">
        <v>843.51</v>
      </c>
      <c r="D149" s="45" t="n">
        <v>28</v>
      </c>
      <c r="E149" s="45" t="n">
        <v>28</v>
      </c>
      <c r="F149" s="46" t="n">
        <f aca="false">IF(D149&gt;=$C$3,E149/D149,"")</f>
        <v>1</v>
      </c>
      <c r="G149" s="45" t="n">
        <v>11</v>
      </c>
      <c r="H149" s="45" t="n">
        <v>11</v>
      </c>
      <c r="I149" s="46" t="n">
        <f aca="false">IF(G149&gt;=$C$3,H149/G149,"")</f>
        <v>1</v>
      </c>
      <c r="J149" s="45" t="n">
        <v>4</v>
      </c>
      <c r="K149" s="45" t="n">
        <v>4</v>
      </c>
      <c r="L149" s="46" t="n">
        <f aca="false">IF(J149&gt;=$C$3,K149/J149,"")</f>
        <v>1</v>
      </c>
      <c r="M149" s="45" t="n">
        <v>6</v>
      </c>
      <c r="N149" s="45" t="n">
        <v>6</v>
      </c>
      <c r="O149" s="46" t="n">
        <f aca="false">IF(M149&gt;=$C$3,N149/M149,"")</f>
        <v>1</v>
      </c>
      <c r="P149" s="45" t="n">
        <v>1</v>
      </c>
      <c r="Q149" s="45" t="n">
        <v>1</v>
      </c>
      <c r="R149" s="46" t="str">
        <f aca="false">IF(P149&gt;=$C$3,Q149/P149,"")</f>
        <v/>
      </c>
      <c r="S149" s="45" t="n">
        <v>6</v>
      </c>
      <c r="T149" s="45" t="n">
        <v>6</v>
      </c>
      <c r="U149" s="46" t="n">
        <f aca="false">IF(S149&gt;=$C$3,T149/S149,"")</f>
        <v>1</v>
      </c>
      <c r="V149" s="45" t="n">
        <v>8</v>
      </c>
      <c r="W149" s="45" t="n">
        <v>8</v>
      </c>
      <c r="X149" s="46" t="n">
        <f aca="false">IF(V149&gt;=$C$3,W149/V149,"")</f>
        <v>1</v>
      </c>
      <c r="Y149" s="7" t="n">
        <f aca="false">COUNT(F149,I149,L149,O149,R149,U149,X149)</f>
        <v>6</v>
      </c>
      <c r="Z149" s="34" t="n">
        <f aca="false">IF(Y149=0,"",AVERAGE(F149,I149,L149,O149,R149,U149,X149))</f>
        <v>1</v>
      </c>
      <c r="AA149" s="47" t="n">
        <f aca="false">IF(ISNUMBER(Z149),C149*Z149,"")</f>
        <v>843.51</v>
      </c>
    </row>
    <row r="150" customFormat="false" ht="15" hidden="false" customHeight="false" outlineLevel="0" collapsed="false">
      <c r="A150" s="12" t="s">
        <v>415</v>
      </c>
      <c r="B150" s="10" t="s">
        <v>2249</v>
      </c>
      <c r="C150" s="44" t="n">
        <v>1127.64</v>
      </c>
      <c r="D150" s="45" t="n">
        <v>5</v>
      </c>
      <c r="E150" s="45" t="n">
        <v>5</v>
      </c>
      <c r="F150" s="46" t="n">
        <f aca="false">IF(D150&gt;=$C$3,E150/D150,"")</f>
        <v>1</v>
      </c>
      <c r="G150" s="45" t="n">
        <v>1</v>
      </c>
      <c r="H150" s="45" t="n">
        <v>1</v>
      </c>
      <c r="I150" s="46" t="str">
        <f aca="false">IF(G150&gt;=$C$3,H150/G150,"")</f>
        <v/>
      </c>
      <c r="J150" s="45" t="n">
        <v>0</v>
      </c>
      <c r="K150" s="45" t="n">
        <v>0</v>
      </c>
      <c r="L150" s="46" t="str">
        <f aca="false">IF(J150&gt;=$C$3,K150/J150,"")</f>
        <v/>
      </c>
      <c r="M150" s="45" t="n">
        <v>0</v>
      </c>
      <c r="N150" s="45" t="n">
        <v>0</v>
      </c>
      <c r="O150" s="46" t="str">
        <f aca="false">IF(M150&gt;=$C$3,N150/M150,"")</f>
        <v/>
      </c>
      <c r="P150" s="45" t="n">
        <v>0</v>
      </c>
      <c r="Q150" s="45" t="n">
        <v>0</v>
      </c>
      <c r="R150" s="46" t="str">
        <f aca="false">IF(P150&gt;=$C$3,Q150/P150,"")</f>
        <v/>
      </c>
      <c r="S150" s="45" t="n">
        <v>1</v>
      </c>
      <c r="T150" s="45" t="n">
        <v>1</v>
      </c>
      <c r="U150" s="46" t="str">
        <f aca="false">IF(S150&gt;=$C$3,T150/S150,"")</f>
        <v/>
      </c>
      <c r="V150" s="45" t="n">
        <v>12</v>
      </c>
      <c r="W150" s="45" t="n">
        <v>12</v>
      </c>
      <c r="X150" s="46" t="n">
        <f aca="false">IF(V150&gt;=$C$3,W150/V150,"")</f>
        <v>1</v>
      </c>
      <c r="Y150" s="7" t="n">
        <f aca="false">COUNT(F150,I150,L150,O150,R150,U150,X150)</f>
        <v>2</v>
      </c>
      <c r="Z150" s="34" t="n">
        <f aca="false">IF(Y150=0,"",AVERAGE(F150,I150,L150,O150,R150,U150,X150))</f>
        <v>1</v>
      </c>
      <c r="AA150" s="47" t="n">
        <f aca="false">IF(ISNUMBER(Z150),C150*Z150,"")</f>
        <v>1127.64</v>
      </c>
    </row>
    <row r="151" customFormat="false" ht="15" hidden="false" customHeight="false" outlineLevel="0" collapsed="false">
      <c r="A151" s="12" t="s">
        <v>275</v>
      </c>
      <c r="B151" s="10" t="s">
        <v>2218</v>
      </c>
      <c r="C151" s="44" t="n">
        <v>71.73</v>
      </c>
      <c r="D151" s="45" t="n">
        <v>85</v>
      </c>
      <c r="E151" s="45" t="n">
        <v>83</v>
      </c>
      <c r="F151" s="46" t="n">
        <f aca="false">IF(D151&gt;=$C$3,E151/D151,"")</f>
        <v>0.976470588235294</v>
      </c>
      <c r="G151" s="45" t="n">
        <v>19</v>
      </c>
      <c r="H151" s="45" t="n">
        <v>19</v>
      </c>
      <c r="I151" s="46" t="n">
        <f aca="false">IF(G151&gt;=$C$3,H151/G151,"")</f>
        <v>1</v>
      </c>
      <c r="J151" s="45" t="n">
        <v>2</v>
      </c>
      <c r="K151" s="45" t="n">
        <v>2</v>
      </c>
      <c r="L151" s="46" t="str">
        <f aca="false">IF(J151&gt;=$C$3,K151/J151,"")</f>
        <v/>
      </c>
      <c r="M151" s="45" t="n">
        <v>18</v>
      </c>
      <c r="N151" s="45" t="n">
        <v>18</v>
      </c>
      <c r="O151" s="46" t="n">
        <f aca="false">IF(M151&gt;=$C$3,N151/M151,"")</f>
        <v>1</v>
      </c>
      <c r="P151" s="45" t="n">
        <v>24</v>
      </c>
      <c r="Q151" s="45" t="n">
        <v>24</v>
      </c>
      <c r="R151" s="46" t="n">
        <f aca="false">IF(P151&gt;=$C$3,Q151/P151,"")</f>
        <v>1</v>
      </c>
      <c r="S151" s="45" t="n">
        <v>8</v>
      </c>
      <c r="T151" s="45" t="n">
        <v>8</v>
      </c>
      <c r="U151" s="46" t="n">
        <f aca="false">IF(S151&gt;=$C$3,T151/S151,"")</f>
        <v>1</v>
      </c>
      <c r="V151" s="45" t="n">
        <v>5</v>
      </c>
      <c r="W151" s="45" t="n">
        <v>5</v>
      </c>
      <c r="X151" s="46" t="n">
        <f aca="false">IF(V151&gt;=$C$3,W151/V151,"")</f>
        <v>1</v>
      </c>
      <c r="Y151" s="7" t="n">
        <f aca="false">COUNT(F151,I151,L151,O151,R151,U151,X151)</f>
        <v>6</v>
      </c>
      <c r="Z151" s="34" t="n">
        <f aca="false">IF(Y151=0,"",AVERAGE(F151,I151,L151,O151,R151,U151,X151))</f>
        <v>0.996078431372549</v>
      </c>
      <c r="AA151" s="47" t="n">
        <f aca="false">IF(ISNUMBER(Z151),C151*Z151,"")</f>
        <v>71.4487058823529</v>
      </c>
    </row>
    <row r="152" customFormat="false" ht="15" hidden="false" customHeight="false" outlineLevel="0" collapsed="false">
      <c r="A152" s="12" t="s">
        <v>240</v>
      </c>
      <c r="B152" s="10" t="s">
        <v>2218</v>
      </c>
      <c r="C152" s="44" t="n">
        <v>20408.58</v>
      </c>
      <c r="D152" s="45" t="n">
        <v>164</v>
      </c>
      <c r="E152" s="45" t="n">
        <v>164</v>
      </c>
      <c r="F152" s="46" t="n">
        <f aca="false">IF(D152&gt;=$C$3,E152/D152,"")</f>
        <v>1</v>
      </c>
      <c r="G152" s="45" t="n">
        <v>12</v>
      </c>
      <c r="H152" s="45" t="n">
        <v>12</v>
      </c>
      <c r="I152" s="46" t="n">
        <f aca="false">IF(G152&gt;=$C$3,H152/G152,"")</f>
        <v>1</v>
      </c>
      <c r="J152" s="45" t="n">
        <v>6</v>
      </c>
      <c r="K152" s="45" t="n">
        <v>6</v>
      </c>
      <c r="L152" s="46" t="n">
        <f aca="false">IF(J152&gt;=$C$3,K152/J152,"")</f>
        <v>1</v>
      </c>
      <c r="M152" s="45" t="n">
        <v>15</v>
      </c>
      <c r="N152" s="45" t="n">
        <v>15</v>
      </c>
      <c r="O152" s="46" t="n">
        <f aca="false">IF(M152&gt;=$C$3,N152/M152,"")</f>
        <v>1</v>
      </c>
      <c r="P152" s="45" t="n">
        <v>13</v>
      </c>
      <c r="Q152" s="45" t="n">
        <v>12</v>
      </c>
      <c r="R152" s="46" t="n">
        <f aca="false">IF(P152&gt;=$C$3,Q152/P152,"")</f>
        <v>0.923076923076923</v>
      </c>
      <c r="S152" s="45" t="n">
        <v>6</v>
      </c>
      <c r="T152" s="45" t="n">
        <v>6</v>
      </c>
      <c r="U152" s="46" t="n">
        <f aca="false">IF(S152&gt;=$C$3,T152/S152,"")</f>
        <v>1</v>
      </c>
      <c r="V152" s="45" t="n">
        <v>27</v>
      </c>
      <c r="W152" s="45" t="n">
        <v>27</v>
      </c>
      <c r="X152" s="46" t="n">
        <f aca="false">IF(V152&gt;=$C$3,W152/V152,"")</f>
        <v>1</v>
      </c>
      <c r="Y152" s="7" t="n">
        <f aca="false">COUNT(F152,I152,L152,O152,R152,U152,X152)</f>
        <v>7</v>
      </c>
      <c r="Z152" s="34" t="n">
        <f aca="false">IF(Y152=0,"",AVERAGE(F152,I152,L152,O152,R152,U152,X152))</f>
        <v>0.989010989010989</v>
      </c>
      <c r="AA152" s="47" t="n">
        <f aca="false">IF(ISNUMBER(Z152),C152*Z152,"")</f>
        <v>20184.3098901099</v>
      </c>
    </row>
    <row r="153" customFormat="false" ht="15" hidden="false" customHeight="false" outlineLevel="0" collapsed="false">
      <c r="A153" s="12" t="s">
        <v>371</v>
      </c>
      <c r="B153" s="10" t="s">
        <v>2218</v>
      </c>
      <c r="C153" s="44" t="n">
        <v>8072.59</v>
      </c>
      <c r="D153" s="45" t="n">
        <v>125</v>
      </c>
      <c r="E153" s="45" t="n">
        <v>125</v>
      </c>
      <c r="F153" s="46" t="n">
        <f aca="false">IF(D153&gt;=$C$3,E153/D153,"")</f>
        <v>1</v>
      </c>
      <c r="G153" s="45" t="n">
        <v>16</v>
      </c>
      <c r="H153" s="45" t="n">
        <v>16</v>
      </c>
      <c r="I153" s="46" t="n">
        <f aca="false">IF(G153&gt;=$C$3,H153/G153,"")</f>
        <v>1</v>
      </c>
      <c r="J153" s="45" t="n">
        <v>6</v>
      </c>
      <c r="K153" s="45" t="n">
        <v>6</v>
      </c>
      <c r="L153" s="46" t="n">
        <f aca="false">IF(J153&gt;=$C$3,K153/J153,"")</f>
        <v>1</v>
      </c>
      <c r="M153" s="45" t="n">
        <v>31</v>
      </c>
      <c r="N153" s="45" t="n">
        <v>31</v>
      </c>
      <c r="O153" s="46" t="n">
        <f aca="false">IF(M153&gt;=$C$3,N153/M153,"")</f>
        <v>1</v>
      </c>
      <c r="P153" s="45" t="n">
        <v>18</v>
      </c>
      <c r="Q153" s="45" t="n">
        <v>18</v>
      </c>
      <c r="R153" s="46" t="n">
        <f aca="false">IF(P153&gt;=$C$3,Q153/P153,"")</f>
        <v>1</v>
      </c>
      <c r="S153" s="45" t="n">
        <v>3</v>
      </c>
      <c r="T153" s="45" t="n">
        <v>3</v>
      </c>
      <c r="U153" s="46" t="n">
        <f aca="false">IF(S153&gt;=$C$3,T153/S153,"")</f>
        <v>1</v>
      </c>
      <c r="V153" s="45" t="n">
        <v>37</v>
      </c>
      <c r="W153" s="45" t="n">
        <v>37</v>
      </c>
      <c r="X153" s="46" t="n">
        <f aca="false">IF(V153&gt;=$C$3,W153/V153,"")</f>
        <v>1</v>
      </c>
      <c r="Y153" s="7" t="n">
        <f aca="false">COUNT(F153,I153,L153,O153,R153,U153,X153)</f>
        <v>7</v>
      </c>
      <c r="Z153" s="34" t="n">
        <f aca="false">IF(Y153=0,"",AVERAGE(F153,I153,L153,O153,R153,U153,X153))</f>
        <v>1</v>
      </c>
      <c r="AA153" s="47" t="n">
        <f aca="false">IF(ISNUMBER(Z153),C153*Z153,"")</f>
        <v>8072.59</v>
      </c>
    </row>
    <row r="154" customFormat="false" ht="15" hidden="false" customHeight="false" outlineLevel="0" collapsed="false">
      <c r="A154" s="12" t="s">
        <v>362</v>
      </c>
      <c r="B154" s="10" t="s">
        <v>2217</v>
      </c>
      <c r="C154" s="44" t="n">
        <v>71311.67</v>
      </c>
      <c r="D154" s="45" t="n">
        <v>586</v>
      </c>
      <c r="E154" s="45" t="n">
        <v>4</v>
      </c>
      <c r="F154" s="46" t="n">
        <f aca="false">IF(D154&gt;=$C$3,E154/D154,"")</f>
        <v>0.0068259385665529</v>
      </c>
      <c r="G154" s="45" t="n">
        <v>120</v>
      </c>
      <c r="H154" s="45" t="n">
        <v>1</v>
      </c>
      <c r="I154" s="46" t="n">
        <f aca="false">IF(G154&gt;=$C$3,H154/G154,"")</f>
        <v>0.00833333333333333</v>
      </c>
      <c r="J154" s="45" t="n">
        <v>47</v>
      </c>
      <c r="K154" s="45" t="n">
        <v>1</v>
      </c>
      <c r="L154" s="46" t="n">
        <f aca="false">IF(J154&gt;=$C$3,K154/J154,"")</f>
        <v>0.0212765957446809</v>
      </c>
      <c r="M154" s="45" t="n">
        <v>77</v>
      </c>
      <c r="N154" s="45" t="n">
        <v>1</v>
      </c>
      <c r="O154" s="46" t="n">
        <f aca="false">IF(M154&gt;=$C$3,N154/M154,"")</f>
        <v>0.012987012987013</v>
      </c>
      <c r="P154" s="45" t="n">
        <v>52</v>
      </c>
      <c r="Q154" s="45" t="n">
        <v>0</v>
      </c>
      <c r="R154" s="46" t="n">
        <f aca="false">IF(P154&gt;=$C$3,Q154/P154,"")</f>
        <v>0</v>
      </c>
      <c r="S154" s="45" t="n">
        <v>58</v>
      </c>
      <c r="T154" s="45" t="n">
        <v>0</v>
      </c>
      <c r="U154" s="46" t="n">
        <f aca="false">IF(S154&gt;=$C$3,T154/S154,"")</f>
        <v>0</v>
      </c>
      <c r="V154" s="45" t="n">
        <v>81</v>
      </c>
      <c r="W154" s="45" t="n">
        <v>2</v>
      </c>
      <c r="X154" s="46" t="n">
        <f aca="false">IF(V154&gt;=$C$3,W154/V154,"")</f>
        <v>0.0246913580246914</v>
      </c>
      <c r="Y154" s="7" t="n">
        <f aca="false">COUNT(F154,I154,L154,O154,R154,U154,X154)</f>
        <v>7</v>
      </c>
      <c r="Z154" s="34" t="n">
        <f aca="false">IF(Y154=0,"",AVERAGE(F154,I154,L154,O154,R154,U154,X154))</f>
        <v>0.0105877483794673</v>
      </c>
      <c r="AA154" s="47" t="n">
        <f aca="false">IF(ISNUMBER(Z154),C154*Z154,"")</f>
        <v>755.03001847961</v>
      </c>
    </row>
    <row r="155" customFormat="false" ht="15" hidden="false" customHeight="false" outlineLevel="0" collapsed="false">
      <c r="A155" s="12" t="s">
        <v>489</v>
      </c>
      <c r="B155" s="10" t="s">
        <v>2222</v>
      </c>
      <c r="C155" s="44" t="n">
        <v>19666.38</v>
      </c>
      <c r="D155" s="45" t="n">
        <v>950</v>
      </c>
      <c r="E155" s="45" t="n">
        <v>166</v>
      </c>
      <c r="F155" s="46" t="n">
        <f aca="false">IF(D155&gt;=$C$3,E155/D155,"")</f>
        <v>0.174736842105263</v>
      </c>
      <c r="G155" s="45" t="n">
        <v>156</v>
      </c>
      <c r="H155" s="45" t="n">
        <v>9</v>
      </c>
      <c r="I155" s="46" t="n">
        <f aca="false">IF(G155&gt;=$C$3,H155/G155,"")</f>
        <v>0.0576923076923077</v>
      </c>
      <c r="J155" s="45" t="n">
        <v>29</v>
      </c>
      <c r="K155" s="45" t="n">
        <v>10</v>
      </c>
      <c r="L155" s="46" t="n">
        <f aca="false">IF(J155&gt;=$C$3,K155/J155,"")</f>
        <v>0.344827586206897</v>
      </c>
      <c r="M155" s="45" t="n">
        <v>149</v>
      </c>
      <c r="N155" s="45" t="n">
        <v>8</v>
      </c>
      <c r="O155" s="46" t="n">
        <f aca="false">IF(M155&gt;=$C$3,N155/M155,"")</f>
        <v>0.0536912751677852</v>
      </c>
      <c r="P155" s="45" t="n">
        <v>33</v>
      </c>
      <c r="Q155" s="45" t="n">
        <v>13</v>
      </c>
      <c r="R155" s="46" t="n">
        <f aca="false">IF(P155&gt;=$C$3,Q155/P155,"")</f>
        <v>0.393939393939394</v>
      </c>
      <c r="S155" s="45" t="n">
        <v>120</v>
      </c>
      <c r="T155" s="45" t="n">
        <v>5</v>
      </c>
      <c r="U155" s="46" t="n">
        <f aca="false">IF(S155&gt;=$C$3,T155/S155,"")</f>
        <v>0.0416666666666667</v>
      </c>
      <c r="V155" s="45" t="n">
        <v>150</v>
      </c>
      <c r="W155" s="45" t="n">
        <v>34</v>
      </c>
      <c r="X155" s="46" t="n">
        <f aca="false">IF(V155&gt;=$C$3,W155/V155,"")</f>
        <v>0.226666666666667</v>
      </c>
      <c r="Y155" s="7" t="n">
        <f aca="false">COUNT(F155,I155,L155,O155,R155,U155,X155)</f>
        <v>7</v>
      </c>
      <c r="Z155" s="34" t="n">
        <f aca="false">IF(Y155=0,"",AVERAGE(F155,I155,L155,O155,R155,U155,X155))</f>
        <v>0.184745819777854</v>
      </c>
      <c r="AA155" s="47" t="n">
        <f aca="false">IF(ISNUMBER(Z155),C155*Z155,"")</f>
        <v>3633.2814951628</v>
      </c>
    </row>
    <row r="156" customFormat="false" ht="15" hidden="false" customHeight="false" outlineLevel="0" collapsed="false">
      <c r="A156" s="12" t="s">
        <v>204</v>
      </c>
      <c r="B156" s="10" t="s">
        <v>2224</v>
      </c>
      <c r="C156" s="44" t="n">
        <v>18439.5</v>
      </c>
      <c r="D156" s="45" t="n">
        <v>250</v>
      </c>
      <c r="E156" s="45" t="n">
        <v>60</v>
      </c>
      <c r="F156" s="46" t="n">
        <f aca="false">IF(D156&gt;=$C$3,E156/D156,"")</f>
        <v>0.24</v>
      </c>
      <c r="G156" s="45" t="n">
        <v>61</v>
      </c>
      <c r="H156" s="45" t="n">
        <v>5</v>
      </c>
      <c r="I156" s="46" t="n">
        <f aca="false">IF(G156&gt;=$C$3,H156/G156,"")</f>
        <v>0.0819672131147541</v>
      </c>
      <c r="J156" s="45" t="n">
        <v>17</v>
      </c>
      <c r="K156" s="45" t="n">
        <v>0</v>
      </c>
      <c r="L156" s="46" t="n">
        <f aca="false">IF(J156&gt;=$C$3,K156/J156,"")</f>
        <v>0</v>
      </c>
      <c r="M156" s="45" t="n">
        <v>38</v>
      </c>
      <c r="N156" s="45" t="n">
        <v>18</v>
      </c>
      <c r="O156" s="46" t="n">
        <f aca="false">IF(M156&gt;=$C$3,N156/M156,"")</f>
        <v>0.473684210526316</v>
      </c>
      <c r="P156" s="45" t="n">
        <v>37</v>
      </c>
      <c r="Q156" s="45" t="n">
        <v>8</v>
      </c>
      <c r="R156" s="46" t="n">
        <f aca="false">IF(P156&gt;=$C$3,Q156/P156,"")</f>
        <v>0.216216216216216</v>
      </c>
      <c r="S156" s="45" t="n">
        <v>7</v>
      </c>
      <c r="T156" s="45" t="n">
        <v>2</v>
      </c>
      <c r="U156" s="46" t="n">
        <f aca="false">IF(S156&gt;=$C$3,T156/S156,"")</f>
        <v>0.285714285714286</v>
      </c>
      <c r="V156" s="45" t="n">
        <v>73</v>
      </c>
      <c r="W156" s="45" t="n">
        <v>4</v>
      </c>
      <c r="X156" s="46" t="n">
        <f aca="false">IF(V156&gt;=$C$3,W156/V156,"")</f>
        <v>0.0547945205479452</v>
      </c>
      <c r="Y156" s="7" t="n">
        <f aca="false">COUNT(F156,I156,L156,O156,R156,U156,X156)</f>
        <v>7</v>
      </c>
      <c r="Z156" s="34" t="n">
        <f aca="false">IF(Y156=0,"",AVERAGE(F156,I156,L156,O156,R156,U156,X156))</f>
        <v>0.193196635159931</v>
      </c>
      <c r="AA156" s="47" t="n">
        <f aca="false">IF(ISNUMBER(Z156),C156*Z156,"")</f>
        <v>3562.44935403155</v>
      </c>
    </row>
    <row r="157" customFormat="false" ht="15" hidden="false" customHeight="false" outlineLevel="0" collapsed="false">
      <c r="A157" s="12" t="s">
        <v>435</v>
      </c>
      <c r="B157" s="10" t="s">
        <v>2217</v>
      </c>
      <c r="C157" s="44" t="n">
        <v>1308.54</v>
      </c>
      <c r="D157" s="45" t="n">
        <v>9</v>
      </c>
      <c r="E157" s="45" t="n">
        <v>1</v>
      </c>
      <c r="F157" s="46" t="n">
        <f aca="false">IF(D157&gt;=$C$3,E157/D157,"")</f>
        <v>0.111111111111111</v>
      </c>
      <c r="G157" s="45" t="n">
        <v>3</v>
      </c>
      <c r="H157" s="45" t="n">
        <v>0</v>
      </c>
      <c r="I157" s="46" t="n">
        <f aca="false">IF(G157&gt;=$C$3,H157/G157,"")</f>
        <v>0</v>
      </c>
      <c r="J157" s="45" t="n">
        <v>0</v>
      </c>
      <c r="K157" s="45" t="n">
        <v>0</v>
      </c>
      <c r="L157" s="46" t="str">
        <f aca="false">IF(J157&gt;=$C$3,K157/J157,"")</f>
        <v/>
      </c>
      <c r="M157" s="45" t="n">
        <v>0</v>
      </c>
      <c r="N157" s="45" t="n">
        <v>0</v>
      </c>
      <c r="O157" s="46" t="str">
        <f aca="false">IF(M157&gt;=$C$3,N157/M157,"")</f>
        <v/>
      </c>
      <c r="P157" s="45" t="n">
        <v>3</v>
      </c>
      <c r="Q157" s="45" t="n">
        <v>3</v>
      </c>
      <c r="R157" s="46" t="n">
        <f aca="false">IF(P157&gt;=$C$3,Q157/P157,"")</f>
        <v>1</v>
      </c>
      <c r="S157" s="45" t="n">
        <v>0</v>
      </c>
      <c r="T157" s="45" t="n">
        <v>0</v>
      </c>
      <c r="U157" s="46" t="str">
        <f aca="false">IF(S157&gt;=$C$3,T157/S157,"")</f>
        <v/>
      </c>
      <c r="V157" s="45" t="n">
        <v>0</v>
      </c>
      <c r="W157" s="45" t="n">
        <v>0</v>
      </c>
      <c r="X157" s="46" t="str">
        <f aca="false">IF(V157&gt;=$C$3,W157/V157,"")</f>
        <v/>
      </c>
      <c r="Y157" s="7" t="n">
        <f aca="false">COUNT(F157,I157,L157,O157,R157,U157,X157)</f>
        <v>3</v>
      </c>
      <c r="Z157" s="34" t="n">
        <f aca="false">IF(Y157=0,"",AVERAGE(F157,I157,L157,O157,R157,U157,X157))</f>
        <v>0.37037037037037</v>
      </c>
      <c r="AA157" s="47" t="n">
        <f aca="false">IF(ISNUMBER(Z157),C157*Z157,"")</f>
        <v>484.644444444445</v>
      </c>
    </row>
    <row r="158" customFormat="false" ht="15" hidden="false" customHeight="false" outlineLevel="0" collapsed="false">
      <c r="A158" s="12" t="s">
        <v>265</v>
      </c>
      <c r="B158" s="10" t="s">
        <v>2218</v>
      </c>
      <c r="C158" s="44" t="n">
        <v>3067.39</v>
      </c>
      <c r="D158" s="45" t="n">
        <v>59</v>
      </c>
      <c r="E158" s="45" t="n">
        <v>59</v>
      </c>
      <c r="F158" s="46" t="n">
        <f aca="false">IF(D158&gt;=$C$3,E158/D158,"")</f>
        <v>1</v>
      </c>
      <c r="G158" s="45" t="n">
        <v>6</v>
      </c>
      <c r="H158" s="45" t="n">
        <v>6</v>
      </c>
      <c r="I158" s="46" t="n">
        <f aca="false">IF(G158&gt;=$C$3,H158/G158,"")</f>
        <v>1</v>
      </c>
      <c r="J158" s="45" t="n">
        <v>3</v>
      </c>
      <c r="K158" s="45" t="n">
        <v>3</v>
      </c>
      <c r="L158" s="46" t="n">
        <f aca="false">IF(J158&gt;=$C$3,K158/J158,"")</f>
        <v>1</v>
      </c>
      <c r="M158" s="45" t="n">
        <v>5</v>
      </c>
      <c r="N158" s="45" t="n">
        <v>5</v>
      </c>
      <c r="O158" s="46" t="n">
        <f aca="false">IF(M158&gt;=$C$3,N158/M158,"")</f>
        <v>1</v>
      </c>
      <c r="P158" s="45" t="n">
        <v>2</v>
      </c>
      <c r="Q158" s="45" t="n">
        <v>2</v>
      </c>
      <c r="R158" s="46" t="str">
        <f aca="false">IF(P158&gt;=$C$3,Q158/P158,"")</f>
        <v/>
      </c>
      <c r="S158" s="45" t="n">
        <v>2</v>
      </c>
      <c r="T158" s="45" t="n">
        <v>2</v>
      </c>
      <c r="U158" s="46" t="str">
        <f aca="false">IF(S158&gt;=$C$3,T158/S158,"")</f>
        <v/>
      </c>
      <c r="V158" s="45" t="n">
        <v>22</v>
      </c>
      <c r="W158" s="45" t="n">
        <v>22</v>
      </c>
      <c r="X158" s="46" t="n">
        <f aca="false">IF(V158&gt;=$C$3,W158/V158,"")</f>
        <v>1</v>
      </c>
      <c r="Y158" s="7" t="n">
        <f aca="false">COUNT(F158,I158,L158,O158,R158,U158,X158)</f>
        <v>5</v>
      </c>
      <c r="Z158" s="34" t="n">
        <f aca="false">IF(Y158=0,"",AVERAGE(F158,I158,L158,O158,R158,U158,X158))</f>
        <v>1</v>
      </c>
      <c r="AA158" s="47" t="n">
        <f aca="false">IF(ISNUMBER(Z158),C158*Z158,"")</f>
        <v>3067.39</v>
      </c>
    </row>
    <row r="159" customFormat="false" ht="15" hidden="false" customHeight="false" outlineLevel="0" collapsed="false">
      <c r="A159" s="12" t="s">
        <v>117</v>
      </c>
      <c r="B159" s="10" t="s">
        <v>2218</v>
      </c>
      <c r="C159" s="44" t="n">
        <v>32830.17</v>
      </c>
      <c r="D159" s="45" t="n">
        <v>366</v>
      </c>
      <c r="E159" s="45" t="n">
        <v>366</v>
      </c>
      <c r="F159" s="46" t="n">
        <f aca="false">IF(D159&gt;=$C$3,E159/D159,"")</f>
        <v>1</v>
      </c>
      <c r="G159" s="45" t="n">
        <v>30</v>
      </c>
      <c r="H159" s="45" t="n">
        <v>30</v>
      </c>
      <c r="I159" s="46" t="n">
        <f aca="false">IF(G159&gt;=$C$3,H159/G159,"")</f>
        <v>1</v>
      </c>
      <c r="J159" s="45" t="n">
        <v>4</v>
      </c>
      <c r="K159" s="45" t="n">
        <v>4</v>
      </c>
      <c r="L159" s="46" t="n">
        <f aca="false">IF(J159&gt;=$C$3,K159/J159,"")</f>
        <v>1</v>
      </c>
      <c r="M159" s="45" t="n">
        <v>54</v>
      </c>
      <c r="N159" s="45" t="n">
        <v>54</v>
      </c>
      <c r="O159" s="46" t="n">
        <f aca="false">IF(M159&gt;=$C$3,N159/M159,"")</f>
        <v>1</v>
      </c>
      <c r="P159" s="45" t="n">
        <v>18</v>
      </c>
      <c r="Q159" s="45" t="n">
        <v>18</v>
      </c>
      <c r="R159" s="46" t="n">
        <f aca="false">IF(P159&gt;=$C$3,Q159/P159,"")</f>
        <v>1</v>
      </c>
      <c r="S159" s="45" t="n">
        <v>15</v>
      </c>
      <c r="T159" s="45" t="n">
        <v>15</v>
      </c>
      <c r="U159" s="46" t="n">
        <f aca="false">IF(S159&gt;=$C$3,T159/S159,"")</f>
        <v>1</v>
      </c>
      <c r="V159" s="45" t="n">
        <v>25</v>
      </c>
      <c r="W159" s="45" t="n">
        <v>25</v>
      </c>
      <c r="X159" s="46" t="n">
        <f aca="false">IF(V159&gt;=$C$3,W159/V159,"")</f>
        <v>1</v>
      </c>
      <c r="Y159" s="7" t="n">
        <f aca="false">COUNT(F159,I159,L159,O159,R159,U159,X159)</f>
        <v>7</v>
      </c>
      <c r="Z159" s="34" t="n">
        <f aca="false">IF(Y159=0,"",AVERAGE(F159,I159,L159,O159,R159,U159,X159))</f>
        <v>1</v>
      </c>
      <c r="AA159" s="47" t="n">
        <f aca="false">IF(ISNUMBER(Z159),C159*Z159,"")</f>
        <v>32830.17</v>
      </c>
    </row>
    <row r="160" customFormat="false" ht="15" hidden="false" customHeight="false" outlineLevel="0" collapsed="false">
      <c r="A160" s="12" t="s">
        <v>178</v>
      </c>
      <c r="B160" s="10" t="s">
        <v>2219</v>
      </c>
      <c r="C160" s="44" t="n">
        <v>7074.72</v>
      </c>
      <c r="D160" s="45" t="n">
        <v>127</v>
      </c>
      <c r="E160" s="45" t="n">
        <v>127</v>
      </c>
      <c r="F160" s="46" t="n">
        <f aca="false">IF(D160&gt;=$C$3,E160/D160,"")</f>
        <v>1</v>
      </c>
      <c r="G160" s="45" t="n">
        <v>37</v>
      </c>
      <c r="H160" s="45" t="n">
        <v>37</v>
      </c>
      <c r="I160" s="46" t="n">
        <f aca="false">IF(G160&gt;=$C$3,H160/G160,"")</f>
        <v>1</v>
      </c>
      <c r="J160" s="45" t="n">
        <v>0</v>
      </c>
      <c r="K160" s="45" t="n">
        <v>0</v>
      </c>
      <c r="L160" s="46" t="str">
        <f aca="false">IF(J160&gt;=$C$3,K160/J160,"")</f>
        <v/>
      </c>
      <c r="M160" s="45" t="n">
        <v>7</v>
      </c>
      <c r="N160" s="45" t="n">
        <v>7</v>
      </c>
      <c r="O160" s="46" t="n">
        <f aca="false">IF(M160&gt;=$C$3,N160/M160,"")</f>
        <v>1</v>
      </c>
      <c r="P160" s="45" t="n">
        <v>12</v>
      </c>
      <c r="Q160" s="45" t="n">
        <v>9</v>
      </c>
      <c r="R160" s="46" t="n">
        <f aca="false">IF(P160&gt;=$C$3,Q160/P160,"")</f>
        <v>0.75</v>
      </c>
      <c r="S160" s="45" t="n">
        <v>2</v>
      </c>
      <c r="T160" s="45" t="n">
        <v>2</v>
      </c>
      <c r="U160" s="46" t="str">
        <f aca="false">IF(S160&gt;=$C$3,T160/S160,"")</f>
        <v/>
      </c>
      <c r="V160" s="45" t="n">
        <v>0</v>
      </c>
      <c r="W160" s="45" t="n">
        <v>0</v>
      </c>
      <c r="X160" s="46" t="str">
        <f aca="false">IF(V160&gt;=$C$3,W160/V160,"")</f>
        <v/>
      </c>
      <c r="Y160" s="7" t="n">
        <f aca="false">COUNT(F160,I160,L160,O160,R160,U160,X160)</f>
        <v>4</v>
      </c>
      <c r="Z160" s="34" t="n">
        <f aca="false">IF(Y160=0,"",AVERAGE(F160,I160,L160,O160,R160,U160,X160))</f>
        <v>0.9375</v>
      </c>
      <c r="AA160" s="47" t="n">
        <f aca="false">IF(ISNUMBER(Z160),C160*Z160,"")</f>
        <v>6632.55</v>
      </c>
    </row>
    <row r="161" customFormat="false" ht="15" hidden="false" customHeight="false" outlineLevel="0" collapsed="false">
      <c r="A161" s="12" t="s">
        <v>594</v>
      </c>
      <c r="B161" s="10" t="s">
        <v>2250</v>
      </c>
      <c r="C161" s="44" t="n">
        <v>77.4</v>
      </c>
      <c r="D161" s="45" t="n">
        <v>59</v>
      </c>
      <c r="E161" s="45" t="n">
        <v>59</v>
      </c>
      <c r="F161" s="46" t="n">
        <f aca="false">IF(D161&gt;=$C$3,E161/D161,"")</f>
        <v>1</v>
      </c>
      <c r="G161" s="45" t="n">
        <v>9</v>
      </c>
      <c r="H161" s="45" t="n">
        <v>9</v>
      </c>
      <c r="I161" s="46" t="n">
        <f aca="false">IF(G161&gt;=$C$3,H161/G161,"")</f>
        <v>1</v>
      </c>
      <c r="J161" s="45" t="n">
        <v>0</v>
      </c>
      <c r="K161" s="45" t="n">
        <v>0</v>
      </c>
      <c r="L161" s="46" t="str">
        <f aca="false">IF(J161&gt;=$C$3,K161/J161,"")</f>
        <v/>
      </c>
      <c r="M161" s="45" t="n">
        <v>6</v>
      </c>
      <c r="N161" s="45" t="n">
        <v>6</v>
      </c>
      <c r="O161" s="46" t="n">
        <f aca="false">IF(M161&gt;=$C$3,N161/M161,"")</f>
        <v>1</v>
      </c>
      <c r="P161" s="45" t="n">
        <v>1</v>
      </c>
      <c r="Q161" s="45" t="n">
        <v>0</v>
      </c>
      <c r="R161" s="46" t="str">
        <f aca="false">IF(P161&gt;=$C$3,Q161/P161,"")</f>
        <v/>
      </c>
      <c r="S161" s="45" t="n">
        <v>2</v>
      </c>
      <c r="T161" s="45" t="n">
        <v>2</v>
      </c>
      <c r="U161" s="46" t="str">
        <f aca="false">IF(S161&gt;=$C$3,T161/S161,"")</f>
        <v/>
      </c>
      <c r="V161" s="45" t="n">
        <v>1</v>
      </c>
      <c r="W161" s="45" t="n">
        <v>1</v>
      </c>
      <c r="X161" s="46" t="str">
        <f aca="false">IF(V161&gt;=$C$3,W161/V161,"")</f>
        <v/>
      </c>
      <c r="Y161" s="7" t="n">
        <f aca="false">COUNT(F161,I161,L161,O161,R161,U161,X161)</f>
        <v>3</v>
      </c>
      <c r="Z161" s="34" t="n">
        <f aca="false">IF(Y161=0,"",AVERAGE(F161,I161,L161,O161,R161,U161,X161))</f>
        <v>1</v>
      </c>
      <c r="AA161" s="47" t="n">
        <f aca="false">IF(ISNUMBER(Z161),C161*Z161,"")</f>
        <v>77.4</v>
      </c>
    </row>
    <row r="162" customFormat="false" ht="15" hidden="false" customHeight="false" outlineLevel="0" collapsed="false">
      <c r="A162" s="12" t="s">
        <v>195</v>
      </c>
      <c r="B162" s="10" t="s">
        <v>2251</v>
      </c>
      <c r="C162" s="44" t="n">
        <v>7276.73</v>
      </c>
      <c r="D162" s="45" t="n">
        <v>0</v>
      </c>
      <c r="E162" s="45" t="n">
        <v>0</v>
      </c>
      <c r="F162" s="46" t="str">
        <f aca="false">IF(D162&gt;=$C$3,E162/D162,"")</f>
        <v/>
      </c>
      <c r="G162" s="45" t="n">
        <v>0</v>
      </c>
      <c r="H162" s="45" t="n">
        <v>0</v>
      </c>
      <c r="I162" s="46" t="str">
        <f aca="false">IF(G162&gt;=$C$3,H162/G162,"")</f>
        <v/>
      </c>
      <c r="J162" s="45" t="n">
        <v>1</v>
      </c>
      <c r="K162" s="45" t="n">
        <v>1</v>
      </c>
      <c r="L162" s="46" t="str">
        <f aca="false">IF(J162&gt;=$C$3,K162/J162,"")</f>
        <v/>
      </c>
      <c r="M162" s="45" t="n">
        <v>0</v>
      </c>
      <c r="N162" s="45" t="n">
        <v>0</v>
      </c>
      <c r="O162" s="46" t="str">
        <f aca="false">IF(M162&gt;=$C$3,N162/M162,"")</f>
        <v/>
      </c>
      <c r="P162" s="45" t="n">
        <v>1</v>
      </c>
      <c r="Q162" s="45" t="n">
        <v>1</v>
      </c>
      <c r="R162" s="46" t="str">
        <f aca="false">IF(P162&gt;=$C$3,Q162/P162,"")</f>
        <v/>
      </c>
      <c r="S162" s="45" t="n">
        <v>1</v>
      </c>
      <c r="T162" s="45" t="n">
        <v>1</v>
      </c>
      <c r="U162" s="46" t="str">
        <f aca="false">IF(S162&gt;=$C$3,T162/S162,"")</f>
        <v/>
      </c>
      <c r="V162" s="45" t="n">
        <v>19</v>
      </c>
      <c r="W162" s="45" t="n">
        <v>18</v>
      </c>
      <c r="X162" s="46" t="n">
        <f aca="false">IF(V162&gt;=$C$3,W162/V162,"")</f>
        <v>0.947368421052632</v>
      </c>
      <c r="Y162" s="7" t="n">
        <f aca="false">COUNT(F162,I162,L162,O162,R162,U162,X162)</f>
        <v>1</v>
      </c>
      <c r="Z162" s="34" t="n">
        <f aca="false">IF(Y162=0,"",AVERAGE(F162,I162,L162,O162,R162,U162,X162))</f>
        <v>0.947368421052632</v>
      </c>
      <c r="AA162" s="47" t="n">
        <f aca="false">IF(ISNUMBER(Z162),C162*Z162,"")</f>
        <v>6893.74421052632</v>
      </c>
    </row>
    <row r="163" customFormat="false" ht="15" hidden="false" customHeight="false" outlineLevel="0" collapsed="false">
      <c r="A163" s="12" t="s">
        <v>385</v>
      </c>
      <c r="B163" s="10" t="s">
        <v>2251</v>
      </c>
      <c r="C163" s="44" t="n">
        <v>1202.23</v>
      </c>
      <c r="D163" s="45" t="n">
        <v>20</v>
      </c>
      <c r="E163" s="45" t="n">
        <v>20</v>
      </c>
      <c r="F163" s="46" t="n">
        <f aca="false">IF(D163&gt;=$C$3,E163/D163,"")</f>
        <v>1</v>
      </c>
      <c r="G163" s="45" t="n">
        <v>1</v>
      </c>
      <c r="H163" s="45" t="n">
        <v>1</v>
      </c>
      <c r="I163" s="46" t="str">
        <f aca="false">IF(G163&gt;=$C$3,H163/G163,"")</f>
        <v/>
      </c>
      <c r="J163" s="45" t="n">
        <v>1</v>
      </c>
      <c r="K163" s="45" t="n">
        <v>1</v>
      </c>
      <c r="L163" s="46" t="str">
        <f aca="false">IF(J163&gt;=$C$3,K163/J163,"")</f>
        <v/>
      </c>
      <c r="M163" s="45" t="n">
        <v>1</v>
      </c>
      <c r="N163" s="45" t="n">
        <v>1</v>
      </c>
      <c r="O163" s="46" t="str">
        <f aca="false">IF(M163&gt;=$C$3,N163/M163,"")</f>
        <v/>
      </c>
      <c r="P163" s="45" t="n">
        <v>0</v>
      </c>
      <c r="Q163" s="45" t="n">
        <v>0</v>
      </c>
      <c r="R163" s="46" t="str">
        <f aca="false">IF(P163&gt;=$C$3,Q163/P163,"")</f>
        <v/>
      </c>
      <c r="S163" s="45" t="n">
        <v>0</v>
      </c>
      <c r="T163" s="45" t="n">
        <v>0</v>
      </c>
      <c r="U163" s="46" t="str">
        <f aca="false">IF(S163&gt;=$C$3,T163/S163,"")</f>
        <v/>
      </c>
      <c r="V163" s="45" t="n">
        <v>5</v>
      </c>
      <c r="W163" s="45" t="n">
        <v>5</v>
      </c>
      <c r="X163" s="46" t="n">
        <f aca="false">IF(V163&gt;=$C$3,W163/V163,"")</f>
        <v>1</v>
      </c>
      <c r="Y163" s="7" t="n">
        <f aca="false">COUNT(F163,I163,L163,O163,R163,U163,X163)</f>
        <v>2</v>
      </c>
      <c r="Z163" s="34" t="n">
        <f aca="false">IF(Y163=0,"",AVERAGE(F163,I163,L163,O163,R163,U163,X163))</f>
        <v>1</v>
      </c>
      <c r="AA163" s="47" t="n">
        <f aca="false">IF(ISNUMBER(Z163),C163*Z163,"")</f>
        <v>1202.23</v>
      </c>
    </row>
    <row r="164" customFormat="false" ht="15" hidden="false" customHeight="false" outlineLevel="0" collapsed="false">
      <c r="A164" s="12" t="s">
        <v>247</v>
      </c>
      <c r="B164" s="10" t="s">
        <v>2251</v>
      </c>
      <c r="C164" s="44" t="n">
        <v>262.84</v>
      </c>
      <c r="D164" s="45" t="n">
        <v>105</v>
      </c>
      <c r="E164" s="45" t="n">
        <v>105</v>
      </c>
      <c r="F164" s="46" t="n">
        <f aca="false">IF(D164&gt;=$C$3,E164/D164,"")</f>
        <v>1</v>
      </c>
      <c r="G164" s="45" t="n">
        <v>9</v>
      </c>
      <c r="H164" s="45" t="n">
        <v>9</v>
      </c>
      <c r="I164" s="46" t="n">
        <f aca="false">IF(G164&gt;=$C$3,H164/G164,"")</f>
        <v>1</v>
      </c>
      <c r="J164" s="45" t="n">
        <v>4</v>
      </c>
      <c r="K164" s="45" t="n">
        <v>0</v>
      </c>
      <c r="L164" s="46" t="n">
        <f aca="false">IF(J164&gt;=$C$3,K164/J164,"")</f>
        <v>0</v>
      </c>
      <c r="M164" s="45" t="n">
        <v>12</v>
      </c>
      <c r="N164" s="45" t="n">
        <v>12</v>
      </c>
      <c r="O164" s="46" t="n">
        <f aca="false">IF(M164&gt;=$C$3,N164/M164,"")</f>
        <v>1</v>
      </c>
      <c r="P164" s="45" t="n">
        <v>3</v>
      </c>
      <c r="Q164" s="45" t="n">
        <v>3</v>
      </c>
      <c r="R164" s="46" t="n">
        <f aca="false">IF(P164&gt;=$C$3,Q164/P164,"")</f>
        <v>1</v>
      </c>
      <c r="S164" s="45" t="n">
        <v>5</v>
      </c>
      <c r="T164" s="45" t="n">
        <v>4</v>
      </c>
      <c r="U164" s="46" t="n">
        <f aca="false">IF(S164&gt;=$C$3,T164/S164,"")</f>
        <v>0.8</v>
      </c>
      <c r="V164" s="45" t="n">
        <v>8</v>
      </c>
      <c r="W164" s="45" t="n">
        <v>1</v>
      </c>
      <c r="X164" s="46" t="n">
        <f aca="false">IF(V164&gt;=$C$3,W164/V164,"")</f>
        <v>0.125</v>
      </c>
      <c r="Y164" s="7" t="n">
        <f aca="false">COUNT(F164,I164,L164,O164,R164,U164,X164)</f>
        <v>7</v>
      </c>
      <c r="Z164" s="34" t="n">
        <f aca="false">IF(Y164=0,"",AVERAGE(F164,I164,L164,O164,R164,U164,X164))</f>
        <v>0.703571428571429</v>
      </c>
      <c r="AA164" s="47" t="n">
        <f aca="false">IF(ISNUMBER(Z164),C164*Z164,"")</f>
        <v>184.926714285714</v>
      </c>
    </row>
    <row r="165" customFormat="false" ht="15" hidden="false" customHeight="false" outlineLevel="0" collapsed="false">
      <c r="A165" s="12" t="s">
        <v>158</v>
      </c>
      <c r="B165" s="10" t="s">
        <v>2223</v>
      </c>
      <c r="C165" s="44" t="n">
        <v>11040.91</v>
      </c>
      <c r="D165" s="45" t="n">
        <v>80</v>
      </c>
      <c r="E165" s="45" t="n">
        <v>80</v>
      </c>
      <c r="F165" s="46" t="n">
        <f aca="false">IF(D165&gt;=$C$3,E165/D165,"")</f>
        <v>1</v>
      </c>
      <c r="G165" s="45" t="n">
        <v>18</v>
      </c>
      <c r="H165" s="45" t="n">
        <v>18</v>
      </c>
      <c r="I165" s="46" t="n">
        <f aca="false">IF(G165&gt;=$C$3,H165/G165,"")</f>
        <v>1</v>
      </c>
      <c r="J165" s="45" t="n">
        <v>6</v>
      </c>
      <c r="K165" s="45" t="n">
        <v>6</v>
      </c>
      <c r="L165" s="46" t="n">
        <f aca="false">IF(J165&gt;=$C$3,K165/J165,"")</f>
        <v>1</v>
      </c>
      <c r="M165" s="45" t="n">
        <v>10</v>
      </c>
      <c r="N165" s="45" t="n">
        <v>10</v>
      </c>
      <c r="O165" s="46" t="n">
        <f aca="false">IF(M165&gt;=$C$3,N165/M165,"")</f>
        <v>1</v>
      </c>
      <c r="P165" s="45" t="n">
        <v>0</v>
      </c>
      <c r="Q165" s="45" t="n">
        <v>0</v>
      </c>
      <c r="R165" s="46" t="str">
        <f aca="false">IF(P165&gt;=$C$3,Q165/P165,"")</f>
        <v/>
      </c>
      <c r="S165" s="45" t="n">
        <v>0</v>
      </c>
      <c r="T165" s="45" t="n">
        <v>0</v>
      </c>
      <c r="U165" s="46" t="str">
        <f aca="false">IF(S165&gt;=$C$3,T165/S165,"")</f>
        <v/>
      </c>
      <c r="V165" s="45" t="n">
        <v>14</v>
      </c>
      <c r="W165" s="45" t="n">
        <v>14</v>
      </c>
      <c r="X165" s="46" t="n">
        <f aca="false">IF(V165&gt;=$C$3,W165/V165,"")</f>
        <v>1</v>
      </c>
      <c r="Y165" s="7" t="n">
        <f aca="false">COUNT(F165,I165,L165,O165,R165,U165,X165)</f>
        <v>5</v>
      </c>
      <c r="Z165" s="34" t="n">
        <f aca="false">IF(Y165=0,"",AVERAGE(F165,I165,L165,O165,R165,U165,X165))</f>
        <v>1</v>
      </c>
      <c r="AA165" s="47" t="n">
        <f aca="false">IF(ISNUMBER(Z165),C165*Z165,"")</f>
        <v>11040.91</v>
      </c>
    </row>
    <row r="166" customFormat="false" ht="15" hidden="false" customHeight="false" outlineLevel="0" collapsed="false">
      <c r="A166" s="12" t="s">
        <v>519</v>
      </c>
      <c r="B166" s="10" t="s">
        <v>2219</v>
      </c>
      <c r="C166" s="44" t="n">
        <v>6629.25</v>
      </c>
      <c r="D166" s="45" t="n">
        <v>106</v>
      </c>
      <c r="E166" s="45" t="n">
        <v>105</v>
      </c>
      <c r="F166" s="46" t="n">
        <f aca="false">IF(D166&gt;=$C$3,E166/D166,"")</f>
        <v>0.990566037735849</v>
      </c>
      <c r="G166" s="45" t="n">
        <v>11</v>
      </c>
      <c r="H166" s="45" t="n">
        <v>11</v>
      </c>
      <c r="I166" s="46" t="n">
        <f aca="false">IF(G166&gt;=$C$3,H166/G166,"")</f>
        <v>1</v>
      </c>
      <c r="J166" s="45" t="n">
        <v>2</v>
      </c>
      <c r="K166" s="45" t="n">
        <v>2</v>
      </c>
      <c r="L166" s="46" t="str">
        <f aca="false">IF(J166&gt;=$C$3,K166/J166,"")</f>
        <v/>
      </c>
      <c r="M166" s="45" t="n">
        <v>8</v>
      </c>
      <c r="N166" s="45" t="n">
        <v>8</v>
      </c>
      <c r="O166" s="46" t="n">
        <f aca="false">IF(M166&gt;=$C$3,N166/M166,"")</f>
        <v>1</v>
      </c>
      <c r="P166" s="45" t="n">
        <v>10</v>
      </c>
      <c r="Q166" s="45" t="n">
        <v>10</v>
      </c>
      <c r="R166" s="46" t="n">
        <f aca="false">IF(P166&gt;=$C$3,Q166/P166,"")</f>
        <v>1</v>
      </c>
      <c r="S166" s="45" t="n">
        <v>3</v>
      </c>
      <c r="T166" s="45" t="n">
        <v>3</v>
      </c>
      <c r="U166" s="46" t="n">
        <f aca="false">IF(S166&gt;=$C$3,T166/S166,"")</f>
        <v>1</v>
      </c>
      <c r="V166" s="45" t="n">
        <v>6</v>
      </c>
      <c r="W166" s="45" t="n">
        <v>6</v>
      </c>
      <c r="X166" s="46" t="n">
        <f aca="false">IF(V166&gt;=$C$3,W166/V166,"")</f>
        <v>1</v>
      </c>
      <c r="Y166" s="7" t="n">
        <f aca="false">COUNT(F166,I166,L166,O166,R166,U166,X166)</f>
        <v>6</v>
      </c>
      <c r="Z166" s="34" t="n">
        <f aca="false">IF(Y166=0,"",AVERAGE(F166,I166,L166,O166,R166,U166,X166))</f>
        <v>0.998427672955975</v>
      </c>
      <c r="AA166" s="47" t="n">
        <f aca="false">IF(ISNUMBER(Z166),C166*Z166,"")</f>
        <v>6618.8266509434</v>
      </c>
    </row>
    <row r="167" customFormat="false" ht="15" hidden="false" customHeight="false" outlineLevel="0" collapsed="false">
      <c r="A167" s="12" t="s">
        <v>333</v>
      </c>
      <c r="B167" s="10" t="s">
        <v>2217</v>
      </c>
      <c r="C167" s="44" t="n">
        <v>2812.77</v>
      </c>
      <c r="D167" s="45" t="n">
        <v>39</v>
      </c>
      <c r="E167" s="45" t="n">
        <v>39</v>
      </c>
      <c r="F167" s="46" t="n">
        <f aca="false">IF(D167&gt;=$C$3,E167/D167,"")</f>
        <v>1</v>
      </c>
      <c r="G167" s="45" t="n">
        <v>5</v>
      </c>
      <c r="H167" s="45" t="n">
        <v>5</v>
      </c>
      <c r="I167" s="46" t="n">
        <f aca="false">IF(G167&gt;=$C$3,H167/G167,"")</f>
        <v>1</v>
      </c>
      <c r="J167" s="45" t="n">
        <v>1</v>
      </c>
      <c r="K167" s="45" t="n">
        <v>1</v>
      </c>
      <c r="L167" s="46" t="str">
        <f aca="false">IF(J167&gt;=$C$3,K167/J167,"")</f>
        <v/>
      </c>
      <c r="M167" s="45" t="n">
        <v>4</v>
      </c>
      <c r="N167" s="45" t="n">
        <v>4</v>
      </c>
      <c r="O167" s="46" t="n">
        <f aca="false">IF(M167&gt;=$C$3,N167/M167,"")</f>
        <v>1</v>
      </c>
      <c r="P167" s="45" t="n">
        <v>3</v>
      </c>
      <c r="Q167" s="45" t="n">
        <v>3</v>
      </c>
      <c r="R167" s="46" t="n">
        <f aca="false">IF(P167&gt;=$C$3,Q167/P167,"")</f>
        <v>1</v>
      </c>
      <c r="S167" s="45" t="n">
        <v>4</v>
      </c>
      <c r="T167" s="45" t="n">
        <v>4</v>
      </c>
      <c r="U167" s="46" t="n">
        <f aca="false">IF(S167&gt;=$C$3,T167/S167,"")</f>
        <v>1</v>
      </c>
      <c r="V167" s="45" t="n">
        <v>7</v>
      </c>
      <c r="W167" s="45" t="n">
        <v>7</v>
      </c>
      <c r="X167" s="46" t="n">
        <f aca="false">IF(V167&gt;=$C$3,W167/V167,"")</f>
        <v>1</v>
      </c>
      <c r="Y167" s="7" t="n">
        <f aca="false">COUNT(F167,I167,L167,O167,R167,U167,X167)</f>
        <v>6</v>
      </c>
      <c r="Z167" s="34" t="n">
        <f aca="false">IF(Y167=0,"",AVERAGE(F167,I167,L167,O167,R167,U167,X167))</f>
        <v>1</v>
      </c>
      <c r="AA167" s="47" t="n">
        <f aca="false">IF(ISNUMBER(Z167),C167*Z167,"")</f>
        <v>2812.77</v>
      </c>
    </row>
    <row r="168" customFormat="false" ht="15" hidden="false" customHeight="false" outlineLevel="0" collapsed="false">
      <c r="A168" s="12" t="s">
        <v>346</v>
      </c>
      <c r="B168" s="10" t="s">
        <v>2220</v>
      </c>
      <c r="C168" s="44" t="n">
        <v>36428.56</v>
      </c>
      <c r="D168" s="45" t="n">
        <v>207</v>
      </c>
      <c r="E168" s="45" t="n">
        <v>149</v>
      </c>
      <c r="F168" s="46" t="n">
        <f aca="false">IF(D168&gt;=$C$3,E168/D168,"")</f>
        <v>0.719806763285024</v>
      </c>
      <c r="G168" s="45" t="n">
        <v>30</v>
      </c>
      <c r="H168" s="45" t="n">
        <v>12</v>
      </c>
      <c r="I168" s="46" t="n">
        <f aca="false">IF(G168&gt;=$C$3,H168/G168,"")</f>
        <v>0.4</v>
      </c>
      <c r="J168" s="45" t="n">
        <v>13</v>
      </c>
      <c r="K168" s="45" t="n">
        <v>7</v>
      </c>
      <c r="L168" s="46" t="n">
        <f aca="false">IF(J168&gt;=$C$3,K168/J168,"")</f>
        <v>0.538461538461538</v>
      </c>
      <c r="M168" s="45" t="n">
        <v>30</v>
      </c>
      <c r="N168" s="45" t="n">
        <v>20</v>
      </c>
      <c r="O168" s="46" t="n">
        <f aca="false">IF(M168&gt;=$C$3,N168/M168,"")</f>
        <v>0.666666666666667</v>
      </c>
      <c r="P168" s="45" t="n">
        <v>27</v>
      </c>
      <c r="Q168" s="45" t="n">
        <v>15</v>
      </c>
      <c r="R168" s="46" t="n">
        <f aca="false">IF(P168&gt;=$C$3,Q168/P168,"")</f>
        <v>0.555555555555556</v>
      </c>
      <c r="S168" s="45" t="n">
        <v>17</v>
      </c>
      <c r="T168" s="45" t="n">
        <v>12</v>
      </c>
      <c r="U168" s="46" t="n">
        <f aca="false">IF(S168&gt;=$C$3,T168/S168,"")</f>
        <v>0.705882352941177</v>
      </c>
      <c r="V168" s="45" t="n">
        <v>27</v>
      </c>
      <c r="W168" s="45" t="n">
        <v>20</v>
      </c>
      <c r="X168" s="46" t="n">
        <f aca="false">IF(V168&gt;=$C$3,W168/V168,"")</f>
        <v>0.740740740740741</v>
      </c>
      <c r="Y168" s="7" t="n">
        <f aca="false">COUNT(F168,I168,L168,O168,R168,U168,X168)</f>
        <v>7</v>
      </c>
      <c r="Z168" s="34" t="n">
        <f aca="false">IF(Y168=0,"",AVERAGE(F168,I168,L168,O168,R168,U168,X168))</f>
        <v>0.618159088235815</v>
      </c>
      <c r="AA168" s="47" t="n">
        <f aca="false">IF(ISNUMBER(Z168),C168*Z168,"")</f>
        <v>22518.6454353437</v>
      </c>
    </row>
    <row r="169" customFormat="false" ht="15" hidden="false" customHeight="false" outlineLevel="0" collapsed="false">
      <c r="A169" s="12" t="s">
        <v>164</v>
      </c>
      <c r="B169" s="10" t="s">
        <v>2223</v>
      </c>
      <c r="C169" s="44" t="n">
        <v>142879.93</v>
      </c>
      <c r="D169" s="45" t="n">
        <v>48</v>
      </c>
      <c r="E169" s="45" t="n">
        <v>48</v>
      </c>
      <c r="F169" s="46" t="n">
        <f aca="false">IF(D169&gt;=$C$3,E169/D169,"")</f>
        <v>1</v>
      </c>
      <c r="G169" s="45" t="n">
        <v>19</v>
      </c>
      <c r="H169" s="45" t="n">
        <v>17</v>
      </c>
      <c r="I169" s="46" t="n">
        <f aca="false">IF(G169&gt;=$C$3,H169/G169,"")</f>
        <v>0.894736842105263</v>
      </c>
      <c r="J169" s="45" t="n">
        <v>18</v>
      </c>
      <c r="K169" s="45" t="n">
        <v>18</v>
      </c>
      <c r="L169" s="46" t="n">
        <f aca="false">IF(J169&gt;=$C$3,K169/J169,"")</f>
        <v>1</v>
      </c>
      <c r="M169" s="45" t="n">
        <v>18</v>
      </c>
      <c r="N169" s="45" t="n">
        <v>18</v>
      </c>
      <c r="O169" s="46" t="n">
        <f aca="false">IF(M169&gt;=$C$3,N169/M169,"")</f>
        <v>1</v>
      </c>
      <c r="P169" s="45" t="n">
        <v>11</v>
      </c>
      <c r="Q169" s="45" t="n">
        <v>9</v>
      </c>
      <c r="R169" s="46" t="n">
        <f aca="false">IF(P169&gt;=$C$3,Q169/P169,"")</f>
        <v>0.818181818181818</v>
      </c>
      <c r="S169" s="45" t="n">
        <v>14</v>
      </c>
      <c r="T169" s="45" t="n">
        <v>14</v>
      </c>
      <c r="U169" s="46" t="n">
        <f aca="false">IF(S169&gt;=$C$3,T169/S169,"")</f>
        <v>1</v>
      </c>
      <c r="V169" s="45" t="n">
        <v>19</v>
      </c>
      <c r="W169" s="45" t="n">
        <v>15</v>
      </c>
      <c r="X169" s="46" t="n">
        <f aca="false">IF(V169&gt;=$C$3,W169/V169,"")</f>
        <v>0.789473684210526</v>
      </c>
      <c r="Y169" s="7" t="n">
        <f aca="false">COUNT(F169,I169,L169,O169,R169,U169,X169)</f>
        <v>7</v>
      </c>
      <c r="Z169" s="34" t="n">
        <f aca="false">IF(Y169=0,"",AVERAGE(F169,I169,L169,O169,R169,U169,X169))</f>
        <v>0.928913192071087</v>
      </c>
      <c r="AA169" s="47" t="n">
        <f aca="false">IF(ISNUMBER(Z169),C169*Z169,"")</f>
        <v>132723.051859193</v>
      </c>
    </row>
    <row r="170" customFormat="false" ht="15" hidden="false" customHeight="false" outlineLevel="0" collapsed="false">
      <c r="A170" s="12" t="s">
        <v>308</v>
      </c>
      <c r="B170" s="10" t="s">
        <v>2245</v>
      </c>
      <c r="C170" s="44" t="n">
        <v>16205.48</v>
      </c>
      <c r="D170" s="45" t="n">
        <v>113</v>
      </c>
      <c r="E170" s="45" t="n">
        <v>29</v>
      </c>
      <c r="F170" s="46" t="n">
        <f aca="false">IF(D170&gt;=$C$3,E170/D170,"")</f>
        <v>0.256637168141593</v>
      </c>
      <c r="G170" s="45" t="n">
        <v>2</v>
      </c>
      <c r="H170" s="45" t="n">
        <v>0</v>
      </c>
      <c r="I170" s="46" t="str">
        <f aca="false">IF(G170&gt;=$C$3,H170/G170,"")</f>
        <v/>
      </c>
      <c r="J170" s="45" t="n">
        <v>16</v>
      </c>
      <c r="K170" s="45" t="n">
        <v>5</v>
      </c>
      <c r="L170" s="46" t="n">
        <f aca="false">IF(J170&gt;=$C$3,K170/J170,"")</f>
        <v>0.3125</v>
      </c>
      <c r="M170" s="45" t="n">
        <v>13</v>
      </c>
      <c r="N170" s="45" t="n">
        <v>3</v>
      </c>
      <c r="O170" s="46" t="n">
        <f aca="false">IF(M170&gt;=$C$3,N170/M170,"")</f>
        <v>0.230769230769231</v>
      </c>
      <c r="P170" s="45" t="n">
        <v>2</v>
      </c>
      <c r="Q170" s="45" t="n">
        <v>0</v>
      </c>
      <c r="R170" s="46" t="str">
        <f aca="false">IF(P170&gt;=$C$3,Q170/P170,"")</f>
        <v/>
      </c>
      <c r="S170" s="45" t="n">
        <v>9</v>
      </c>
      <c r="T170" s="45" t="n">
        <v>2</v>
      </c>
      <c r="U170" s="46" t="n">
        <f aca="false">IF(S170&gt;=$C$3,T170/S170,"")</f>
        <v>0.222222222222222</v>
      </c>
      <c r="V170" s="45" t="n">
        <v>103</v>
      </c>
      <c r="W170" s="45" t="n">
        <v>30</v>
      </c>
      <c r="X170" s="46" t="n">
        <f aca="false">IF(V170&gt;=$C$3,W170/V170,"")</f>
        <v>0.29126213592233</v>
      </c>
      <c r="Y170" s="7" t="n">
        <f aca="false">COUNT(F170,I170,L170,O170,R170,U170,X170)</f>
        <v>5</v>
      </c>
      <c r="Z170" s="34" t="n">
        <f aca="false">IF(Y170=0,"",AVERAGE(F170,I170,L170,O170,R170,U170,X170))</f>
        <v>0.262678151411075</v>
      </c>
      <c r="AA170" s="47" t="n">
        <f aca="false">IF(ISNUMBER(Z170),C170*Z170,"")</f>
        <v>4256.82552912915</v>
      </c>
    </row>
    <row r="171" customFormat="false" ht="15" hidden="false" customHeight="false" outlineLevel="0" collapsed="false">
      <c r="A171" s="12" t="s">
        <v>502</v>
      </c>
      <c r="B171" s="10" t="s">
        <v>2252</v>
      </c>
      <c r="C171" s="44" t="n">
        <v>2485.93</v>
      </c>
      <c r="D171" s="45" t="n">
        <v>47</v>
      </c>
      <c r="E171" s="45" t="n">
        <v>47</v>
      </c>
      <c r="F171" s="46" t="n">
        <f aca="false">IF(D171&gt;=$C$3,E171/D171,"")</f>
        <v>1</v>
      </c>
      <c r="G171" s="45" t="n">
        <v>44</v>
      </c>
      <c r="H171" s="45" t="n">
        <v>44</v>
      </c>
      <c r="I171" s="46" t="n">
        <f aca="false">IF(G171&gt;=$C$3,H171/G171,"")</f>
        <v>1</v>
      </c>
      <c r="J171" s="45" t="n">
        <v>27</v>
      </c>
      <c r="K171" s="45" t="n">
        <v>27</v>
      </c>
      <c r="L171" s="46" t="n">
        <f aca="false">IF(J171&gt;=$C$3,K171/J171,"")</f>
        <v>1</v>
      </c>
      <c r="M171" s="45" t="n">
        <v>35</v>
      </c>
      <c r="N171" s="45" t="n">
        <v>35</v>
      </c>
      <c r="O171" s="46" t="n">
        <f aca="false">IF(M171&gt;=$C$3,N171/M171,"")</f>
        <v>1</v>
      </c>
      <c r="P171" s="45" t="n">
        <v>6</v>
      </c>
      <c r="Q171" s="45" t="n">
        <v>6</v>
      </c>
      <c r="R171" s="46" t="n">
        <f aca="false">IF(P171&gt;=$C$3,Q171/P171,"")</f>
        <v>1</v>
      </c>
      <c r="S171" s="45" t="n">
        <v>13</v>
      </c>
      <c r="T171" s="45" t="n">
        <v>13</v>
      </c>
      <c r="U171" s="46" t="n">
        <f aca="false">IF(S171&gt;=$C$3,T171/S171,"")</f>
        <v>1</v>
      </c>
      <c r="V171" s="45" t="n">
        <v>27</v>
      </c>
      <c r="W171" s="45" t="n">
        <v>27</v>
      </c>
      <c r="X171" s="46" t="n">
        <f aca="false">IF(V171&gt;=$C$3,W171/V171,"")</f>
        <v>1</v>
      </c>
      <c r="Y171" s="7" t="n">
        <f aca="false">COUNT(F171,I171,L171,O171,R171,U171,X171)</f>
        <v>7</v>
      </c>
      <c r="Z171" s="34" t="n">
        <f aca="false">IF(Y171=0,"",AVERAGE(F171,I171,L171,O171,R171,U171,X171))</f>
        <v>1</v>
      </c>
      <c r="AA171" s="47" t="n">
        <f aca="false">IF(ISNUMBER(Z171),C171*Z171,"")</f>
        <v>2485.93</v>
      </c>
    </row>
    <row r="172" customFormat="false" ht="15" hidden="false" customHeight="false" outlineLevel="0" collapsed="false">
      <c r="A172" s="12" t="s">
        <v>203</v>
      </c>
      <c r="B172" s="10" t="s">
        <v>2219</v>
      </c>
      <c r="C172" s="44" t="n">
        <v>53526.71</v>
      </c>
      <c r="D172" s="45" t="n">
        <v>221</v>
      </c>
      <c r="E172" s="45" t="n">
        <v>187</v>
      </c>
      <c r="F172" s="46" t="n">
        <f aca="false">IF(D172&gt;=$C$3,E172/D172,"")</f>
        <v>0.846153846153846</v>
      </c>
      <c r="G172" s="45" t="n">
        <v>29</v>
      </c>
      <c r="H172" s="45" t="n">
        <v>23</v>
      </c>
      <c r="I172" s="46" t="n">
        <f aca="false">IF(G172&gt;=$C$3,H172/G172,"")</f>
        <v>0.793103448275862</v>
      </c>
      <c r="J172" s="45" t="n">
        <v>26</v>
      </c>
      <c r="K172" s="45" t="n">
        <v>22</v>
      </c>
      <c r="L172" s="46" t="n">
        <f aca="false">IF(J172&gt;=$C$3,K172/J172,"")</f>
        <v>0.846153846153846</v>
      </c>
      <c r="M172" s="45" t="n">
        <v>26</v>
      </c>
      <c r="N172" s="45" t="n">
        <v>16</v>
      </c>
      <c r="O172" s="46" t="n">
        <f aca="false">IF(M172&gt;=$C$3,N172/M172,"")</f>
        <v>0.615384615384615</v>
      </c>
      <c r="P172" s="45" t="n">
        <v>15</v>
      </c>
      <c r="Q172" s="45" t="n">
        <v>13</v>
      </c>
      <c r="R172" s="46" t="n">
        <f aca="false">IF(P172&gt;=$C$3,Q172/P172,"")</f>
        <v>0.866666666666667</v>
      </c>
      <c r="S172" s="45" t="n">
        <v>13</v>
      </c>
      <c r="T172" s="45" t="n">
        <v>12</v>
      </c>
      <c r="U172" s="46" t="n">
        <f aca="false">IF(S172&gt;=$C$3,T172/S172,"")</f>
        <v>0.923076923076923</v>
      </c>
      <c r="V172" s="45" t="n">
        <v>99</v>
      </c>
      <c r="W172" s="45" t="n">
        <v>86</v>
      </c>
      <c r="X172" s="46" t="n">
        <f aca="false">IF(V172&gt;=$C$3,W172/V172,"")</f>
        <v>0.868686868686869</v>
      </c>
      <c r="Y172" s="7" t="n">
        <f aca="false">COUNT(F172,I172,L172,O172,R172,U172,X172)</f>
        <v>7</v>
      </c>
      <c r="Z172" s="34" t="n">
        <f aca="false">IF(Y172=0,"",AVERAGE(F172,I172,L172,O172,R172,U172,X172))</f>
        <v>0.822746602056947</v>
      </c>
      <c r="AA172" s="47" t="n">
        <f aca="false">IF(ISNUMBER(Z172),C172*Z172,"")</f>
        <v>44038.9187717876</v>
      </c>
    </row>
    <row r="173" customFormat="false" ht="15" hidden="false" customHeight="false" outlineLevel="0" collapsed="false">
      <c r="A173" s="12" t="s">
        <v>391</v>
      </c>
      <c r="B173" s="10" t="s">
        <v>2218</v>
      </c>
      <c r="C173" s="44" t="n">
        <v>3923.58</v>
      </c>
      <c r="D173" s="45" t="n">
        <v>10</v>
      </c>
      <c r="E173" s="45" t="n">
        <v>10</v>
      </c>
      <c r="F173" s="46" t="n">
        <f aca="false">IF(D173&gt;=$C$3,E173/D173,"")</f>
        <v>1</v>
      </c>
      <c r="G173" s="45" t="n">
        <v>4</v>
      </c>
      <c r="H173" s="45" t="n">
        <v>4</v>
      </c>
      <c r="I173" s="46" t="n">
        <f aca="false">IF(G173&gt;=$C$3,H173/G173,"")</f>
        <v>1</v>
      </c>
      <c r="J173" s="45" t="n">
        <v>0</v>
      </c>
      <c r="K173" s="45" t="n">
        <v>0</v>
      </c>
      <c r="L173" s="46" t="str">
        <f aca="false">IF(J173&gt;=$C$3,K173/J173,"")</f>
        <v/>
      </c>
      <c r="M173" s="45" t="n">
        <v>2</v>
      </c>
      <c r="N173" s="45" t="n">
        <v>2</v>
      </c>
      <c r="O173" s="46" t="str">
        <f aca="false">IF(M173&gt;=$C$3,N173/M173,"")</f>
        <v/>
      </c>
      <c r="P173" s="45" t="n">
        <v>5</v>
      </c>
      <c r="Q173" s="45" t="n">
        <v>5</v>
      </c>
      <c r="R173" s="46" t="n">
        <f aca="false">IF(P173&gt;=$C$3,Q173/P173,"")</f>
        <v>1</v>
      </c>
      <c r="S173" s="45" t="n">
        <v>0</v>
      </c>
      <c r="T173" s="45" t="n">
        <v>0</v>
      </c>
      <c r="U173" s="46" t="str">
        <f aca="false">IF(S173&gt;=$C$3,T173/S173,"")</f>
        <v/>
      </c>
      <c r="V173" s="45" t="n">
        <v>11</v>
      </c>
      <c r="W173" s="45" t="n">
        <v>11</v>
      </c>
      <c r="X173" s="46" t="n">
        <f aca="false">IF(V173&gt;=$C$3,W173/V173,"")</f>
        <v>1</v>
      </c>
      <c r="Y173" s="7" t="n">
        <f aca="false">COUNT(F173,I173,L173,O173,R173,U173,X173)</f>
        <v>4</v>
      </c>
      <c r="Z173" s="34" t="n">
        <f aca="false">IF(Y173=0,"",AVERAGE(F173,I173,L173,O173,R173,U173,X173))</f>
        <v>1</v>
      </c>
      <c r="AA173" s="47" t="n">
        <f aca="false">IF(ISNUMBER(Z173),C173*Z173,"")</f>
        <v>3923.58</v>
      </c>
    </row>
    <row r="174" customFormat="false" ht="15" hidden="false" customHeight="false" outlineLevel="0" collapsed="false">
      <c r="A174" s="12" t="s">
        <v>261</v>
      </c>
      <c r="B174" s="10" t="s">
        <v>2217</v>
      </c>
      <c r="C174" s="44" t="n">
        <v>13615.47</v>
      </c>
      <c r="D174" s="45" t="n">
        <v>141</v>
      </c>
      <c r="E174" s="45" t="n">
        <v>17</v>
      </c>
      <c r="F174" s="46" t="n">
        <f aca="false">IF(D174&gt;=$C$3,E174/D174,"")</f>
        <v>0.120567375886525</v>
      </c>
      <c r="G174" s="45" t="n">
        <v>26</v>
      </c>
      <c r="H174" s="45" t="n">
        <v>1</v>
      </c>
      <c r="I174" s="46" t="n">
        <f aca="false">IF(G174&gt;=$C$3,H174/G174,"")</f>
        <v>0.0384615384615385</v>
      </c>
      <c r="J174" s="45" t="n">
        <v>5</v>
      </c>
      <c r="K174" s="45" t="n">
        <v>1</v>
      </c>
      <c r="L174" s="46" t="n">
        <f aca="false">IF(J174&gt;=$C$3,K174/J174,"")</f>
        <v>0.2</v>
      </c>
      <c r="M174" s="45" t="n">
        <v>12</v>
      </c>
      <c r="N174" s="45" t="n">
        <v>3</v>
      </c>
      <c r="O174" s="46" t="n">
        <f aca="false">IF(M174&gt;=$C$3,N174/M174,"")</f>
        <v>0.25</v>
      </c>
      <c r="P174" s="45" t="n">
        <v>21</v>
      </c>
      <c r="Q174" s="45" t="n">
        <v>3</v>
      </c>
      <c r="R174" s="46" t="n">
        <f aca="false">IF(P174&gt;=$C$3,Q174/P174,"")</f>
        <v>0.142857142857143</v>
      </c>
      <c r="S174" s="45" t="n">
        <v>1</v>
      </c>
      <c r="T174" s="45" t="n">
        <v>0</v>
      </c>
      <c r="U174" s="46" t="str">
        <f aca="false">IF(S174&gt;=$C$3,T174/S174,"")</f>
        <v/>
      </c>
      <c r="V174" s="45" t="n">
        <v>53</v>
      </c>
      <c r="W174" s="45" t="n">
        <v>18</v>
      </c>
      <c r="X174" s="46" t="n">
        <f aca="false">IF(V174&gt;=$C$3,W174/V174,"")</f>
        <v>0.339622641509434</v>
      </c>
      <c r="Y174" s="7" t="n">
        <f aca="false">COUNT(F174,I174,L174,O174,R174,U174,X174)</f>
        <v>6</v>
      </c>
      <c r="Z174" s="34" t="n">
        <f aca="false">IF(Y174=0,"",AVERAGE(F174,I174,L174,O174,R174,U174,X174))</f>
        <v>0.18191811645244</v>
      </c>
      <c r="AA174" s="47" t="n">
        <f aca="false">IF(ISNUMBER(Z174),C174*Z174,"")</f>
        <v>2476.9006570147</v>
      </c>
    </row>
    <row r="175" customFormat="false" ht="15" hidden="false" customHeight="false" outlineLevel="0" collapsed="false">
      <c r="A175" s="12" t="s">
        <v>444</v>
      </c>
      <c r="B175" s="10" t="s">
        <v>2223</v>
      </c>
      <c r="C175" s="44" t="n">
        <v>520.76</v>
      </c>
      <c r="D175" s="45" t="n">
        <v>23</v>
      </c>
      <c r="E175" s="45" t="n">
        <v>23</v>
      </c>
      <c r="F175" s="46" t="n">
        <f aca="false">IF(D175&gt;=$C$3,E175/D175,"")</f>
        <v>1</v>
      </c>
      <c r="G175" s="45" t="n">
        <v>1</v>
      </c>
      <c r="H175" s="45" t="n">
        <v>1</v>
      </c>
      <c r="I175" s="46" t="str">
        <f aca="false">IF(G175&gt;=$C$3,H175/G175,"")</f>
        <v/>
      </c>
      <c r="J175" s="45" t="n">
        <v>2</v>
      </c>
      <c r="K175" s="45" t="n">
        <v>2</v>
      </c>
      <c r="L175" s="46" t="str">
        <f aca="false">IF(J175&gt;=$C$3,K175/J175,"")</f>
        <v/>
      </c>
      <c r="M175" s="45" t="n">
        <v>2</v>
      </c>
      <c r="N175" s="45" t="n">
        <v>2</v>
      </c>
      <c r="O175" s="46" t="str">
        <f aca="false">IF(M175&gt;=$C$3,N175/M175,"")</f>
        <v/>
      </c>
      <c r="P175" s="45" t="n">
        <v>4</v>
      </c>
      <c r="Q175" s="45" t="n">
        <v>4</v>
      </c>
      <c r="R175" s="46" t="n">
        <f aca="false">IF(P175&gt;=$C$3,Q175/P175,"")</f>
        <v>1</v>
      </c>
      <c r="S175" s="45" t="n">
        <v>0</v>
      </c>
      <c r="T175" s="45" t="n">
        <v>0</v>
      </c>
      <c r="U175" s="46" t="str">
        <f aca="false">IF(S175&gt;=$C$3,T175/S175,"")</f>
        <v/>
      </c>
      <c r="V175" s="45" t="n">
        <v>1</v>
      </c>
      <c r="W175" s="45" t="n">
        <v>1</v>
      </c>
      <c r="X175" s="46" t="str">
        <f aca="false">IF(V175&gt;=$C$3,W175/V175,"")</f>
        <v/>
      </c>
      <c r="Y175" s="7" t="n">
        <f aca="false">COUNT(F175,I175,L175,O175,R175,U175,X175)</f>
        <v>2</v>
      </c>
      <c r="Z175" s="34" t="n">
        <f aca="false">IF(Y175=0,"",AVERAGE(F175,I175,L175,O175,R175,U175,X175))</f>
        <v>1</v>
      </c>
      <c r="AA175" s="47" t="n">
        <f aca="false">IF(ISNUMBER(Z175),C175*Z175,"")</f>
        <v>520.76</v>
      </c>
    </row>
    <row r="176" customFormat="false" ht="15" hidden="false" customHeight="false" outlineLevel="0" collapsed="false">
      <c r="A176" s="12" t="s">
        <v>555</v>
      </c>
      <c r="B176" s="10" t="s">
        <v>2223</v>
      </c>
      <c r="C176" s="44" t="n">
        <v>1326.8</v>
      </c>
      <c r="D176" s="45" t="n">
        <v>28</v>
      </c>
      <c r="E176" s="45" t="n">
        <v>28</v>
      </c>
      <c r="F176" s="46" t="n">
        <f aca="false">IF(D176&gt;=$C$3,E176/D176,"")</f>
        <v>1</v>
      </c>
      <c r="G176" s="45" t="n">
        <v>2</v>
      </c>
      <c r="H176" s="45" t="n">
        <v>2</v>
      </c>
      <c r="I176" s="46" t="str">
        <f aca="false">IF(G176&gt;=$C$3,H176/G176,"")</f>
        <v/>
      </c>
      <c r="J176" s="45" t="n">
        <v>2</v>
      </c>
      <c r="K176" s="45" t="n">
        <v>2</v>
      </c>
      <c r="L176" s="46" t="str">
        <f aca="false">IF(J176&gt;=$C$3,K176/J176,"")</f>
        <v/>
      </c>
      <c r="M176" s="45" t="n">
        <v>9</v>
      </c>
      <c r="N176" s="45" t="n">
        <v>7</v>
      </c>
      <c r="O176" s="46" t="n">
        <f aca="false">IF(M176&gt;=$C$3,N176/M176,"")</f>
        <v>0.777777777777778</v>
      </c>
      <c r="P176" s="45" t="n">
        <v>3</v>
      </c>
      <c r="Q176" s="45" t="n">
        <v>3</v>
      </c>
      <c r="R176" s="46" t="n">
        <f aca="false">IF(P176&gt;=$C$3,Q176/P176,"")</f>
        <v>1</v>
      </c>
      <c r="S176" s="45" t="n">
        <v>0</v>
      </c>
      <c r="T176" s="45" t="n">
        <v>0</v>
      </c>
      <c r="U176" s="46" t="str">
        <f aca="false">IF(S176&gt;=$C$3,T176/S176,"")</f>
        <v/>
      </c>
      <c r="V176" s="45" t="n">
        <v>1</v>
      </c>
      <c r="W176" s="45" t="n">
        <v>1</v>
      </c>
      <c r="X176" s="46" t="str">
        <f aca="false">IF(V176&gt;=$C$3,W176/V176,"")</f>
        <v/>
      </c>
      <c r="Y176" s="7" t="n">
        <f aca="false">COUNT(F176,I176,L176,O176,R176,U176,X176)</f>
        <v>3</v>
      </c>
      <c r="Z176" s="34" t="n">
        <f aca="false">IF(Y176=0,"",AVERAGE(F176,I176,L176,O176,R176,U176,X176))</f>
        <v>0.925925925925926</v>
      </c>
      <c r="AA176" s="47" t="n">
        <f aca="false">IF(ISNUMBER(Z176),C176*Z176,"")</f>
        <v>1228.51851851852</v>
      </c>
    </row>
    <row r="177" customFormat="false" ht="15" hidden="false" customHeight="false" outlineLevel="0" collapsed="false">
      <c r="A177" s="12" t="s">
        <v>403</v>
      </c>
      <c r="B177" s="10" t="s">
        <v>2223</v>
      </c>
      <c r="C177" s="44" t="n">
        <v>528.18</v>
      </c>
      <c r="D177" s="45" t="n">
        <v>128</v>
      </c>
      <c r="E177" s="45" t="n">
        <v>69</v>
      </c>
      <c r="F177" s="46" t="n">
        <f aca="false">IF(D177&gt;=$C$3,E177/D177,"")</f>
        <v>0.5390625</v>
      </c>
      <c r="G177" s="45" t="n">
        <v>20</v>
      </c>
      <c r="H177" s="45" t="n">
        <v>5</v>
      </c>
      <c r="I177" s="46" t="n">
        <f aca="false">IF(G177&gt;=$C$3,H177/G177,"")</f>
        <v>0.25</v>
      </c>
      <c r="J177" s="45" t="n">
        <v>3</v>
      </c>
      <c r="K177" s="45" t="n">
        <v>3</v>
      </c>
      <c r="L177" s="46" t="n">
        <f aca="false">IF(J177&gt;=$C$3,K177/J177,"")</f>
        <v>1</v>
      </c>
      <c r="M177" s="45" t="n">
        <v>15</v>
      </c>
      <c r="N177" s="45" t="n">
        <v>6</v>
      </c>
      <c r="O177" s="46" t="n">
        <f aca="false">IF(M177&gt;=$C$3,N177/M177,"")</f>
        <v>0.4</v>
      </c>
      <c r="P177" s="45" t="n">
        <v>21</v>
      </c>
      <c r="Q177" s="45" t="n">
        <v>14</v>
      </c>
      <c r="R177" s="46" t="n">
        <f aca="false">IF(P177&gt;=$C$3,Q177/P177,"")</f>
        <v>0.666666666666667</v>
      </c>
      <c r="S177" s="45" t="n">
        <v>2</v>
      </c>
      <c r="T177" s="45" t="n">
        <v>0</v>
      </c>
      <c r="U177" s="46" t="str">
        <f aca="false">IF(S177&gt;=$C$3,T177/S177,"")</f>
        <v/>
      </c>
      <c r="V177" s="45" t="n">
        <v>2</v>
      </c>
      <c r="W177" s="45" t="n">
        <v>2</v>
      </c>
      <c r="X177" s="46" t="str">
        <f aca="false">IF(V177&gt;=$C$3,W177/V177,"")</f>
        <v/>
      </c>
      <c r="Y177" s="7" t="n">
        <f aca="false">COUNT(F177,I177,L177,O177,R177,U177,X177)</f>
        <v>5</v>
      </c>
      <c r="Z177" s="34" t="n">
        <f aca="false">IF(Y177=0,"",AVERAGE(F177,I177,L177,O177,R177,U177,X177))</f>
        <v>0.571145833333333</v>
      </c>
      <c r="AA177" s="47" t="n">
        <f aca="false">IF(ISNUMBER(Z177),C177*Z177,"")</f>
        <v>301.66780625</v>
      </c>
    </row>
    <row r="178" customFormat="false" ht="15" hidden="false" customHeight="false" outlineLevel="0" collapsed="false">
      <c r="A178" s="12" t="s">
        <v>242</v>
      </c>
      <c r="B178" s="10" t="s">
        <v>2219</v>
      </c>
      <c r="C178" s="44" t="n">
        <v>17324.19</v>
      </c>
      <c r="D178" s="45" t="n">
        <v>254</v>
      </c>
      <c r="E178" s="45" t="n">
        <v>194</v>
      </c>
      <c r="F178" s="46" t="n">
        <f aca="false">IF(D178&gt;=$C$3,E178/D178,"")</f>
        <v>0.763779527559055</v>
      </c>
      <c r="G178" s="45" t="n">
        <v>40</v>
      </c>
      <c r="H178" s="45" t="n">
        <v>13</v>
      </c>
      <c r="I178" s="46" t="n">
        <f aca="false">IF(G178&gt;=$C$3,H178/G178,"")</f>
        <v>0.325</v>
      </c>
      <c r="J178" s="45" t="n">
        <v>11</v>
      </c>
      <c r="K178" s="45" t="n">
        <v>4</v>
      </c>
      <c r="L178" s="46" t="n">
        <f aca="false">IF(J178&gt;=$C$3,K178/J178,"")</f>
        <v>0.363636363636364</v>
      </c>
      <c r="M178" s="45" t="n">
        <v>66</v>
      </c>
      <c r="N178" s="45" t="n">
        <v>17</v>
      </c>
      <c r="O178" s="46" t="n">
        <f aca="false">IF(M178&gt;=$C$3,N178/M178,"")</f>
        <v>0.257575757575758</v>
      </c>
      <c r="P178" s="45" t="n">
        <v>14</v>
      </c>
      <c r="Q178" s="45" t="n">
        <v>7</v>
      </c>
      <c r="R178" s="46" t="n">
        <f aca="false">IF(P178&gt;=$C$3,Q178/P178,"")</f>
        <v>0.5</v>
      </c>
      <c r="S178" s="45" t="n">
        <v>10</v>
      </c>
      <c r="T178" s="45" t="n">
        <v>4</v>
      </c>
      <c r="U178" s="46" t="n">
        <f aca="false">IF(S178&gt;=$C$3,T178/S178,"")</f>
        <v>0.4</v>
      </c>
      <c r="V178" s="45" t="n">
        <v>34</v>
      </c>
      <c r="W178" s="45" t="n">
        <v>11</v>
      </c>
      <c r="X178" s="46" t="n">
        <f aca="false">IF(V178&gt;=$C$3,W178/V178,"")</f>
        <v>0.323529411764706</v>
      </c>
      <c r="Y178" s="7" t="n">
        <f aca="false">COUNT(F178,I178,L178,O178,R178,U178,X178)</f>
        <v>7</v>
      </c>
      <c r="Z178" s="34" t="n">
        <f aca="false">IF(Y178=0,"",AVERAGE(F178,I178,L178,O178,R178,U178,X178))</f>
        <v>0.419074437219412</v>
      </c>
      <c r="AA178" s="47" t="n">
        <f aca="false">IF(ISNUMBER(Z178),C178*Z178,"")</f>
        <v>7260.12517453216</v>
      </c>
    </row>
    <row r="180" customFormat="false" ht="15" hidden="false" customHeight="false" outlineLevel="0" collapsed="false">
      <c r="A180" s="2" t="s">
        <v>2253</v>
      </c>
    </row>
  </sheetData>
  <autoFilter ref="A27:AA178"/>
  <mergeCells count="52">
    <mergeCell ref="B6:AA6"/>
    <mergeCell ref="B7:AA7"/>
    <mergeCell ref="B8:AA8"/>
    <mergeCell ref="B9:AA9"/>
    <mergeCell ref="B10:AA10"/>
    <mergeCell ref="B11:AA11"/>
    <mergeCell ref="B12:AA12"/>
    <mergeCell ref="B13:AA13"/>
    <mergeCell ref="B16:D16"/>
    <mergeCell ref="E16:I16"/>
    <mergeCell ref="J16:R16"/>
    <mergeCell ref="S16:AA16"/>
    <mergeCell ref="B17:D17"/>
    <mergeCell ref="E17:I17"/>
    <mergeCell ref="J17:R17"/>
    <mergeCell ref="S17:AA17"/>
    <mergeCell ref="B18:D18"/>
    <mergeCell ref="E18:I18"/>
    <mergeCell ref="J18:R18"/>
    <mergeCell ref="S18:AA18"/>
    <mergeCell ref="B19:D19"/>
    <mergeCell ref="E19:I19"/>
    <mergeCell ref="J19:R19"/>
    <mergeCell ref="S19:AA19"/>
    <mergeCell ref="B20:D20"/>
    <mergeCell ref="E20:I20"/>
    <mergeCell ref="J20:R20"/>
    <mergeCell ref="S20:AA20"/>
    <mergeCell ref="B21:D21"/>
    <mergeCell ref="E21:I21"/>
    <mergeCell ref="J21:R21"/>
    <mergeCell ref="S21:AA21"/>
    <mergeCell ref="B22:D22"/>
    <mergeCell ref="E22:I22"/>
    <mergeCell ref="J22:R22"/>
    <mergeCell ref="S22:AA22"/>
    <mergeCell ref="B23:D23"/>
    <mergeCell ref="E23:I23"/>
    <mergeCell ref="J23:R23"/>
    <mergeCell ref="S23:AA23"/>
    <mergeCell ref="B24:D24"/>
    <mergeCell ref="E24:I24"/>
    <mergeCell ref="J24:R24"/>
    <mergeCell ref="S24:AA24"/>
    <mergeCell ref="D26:F26"/>
    <mergeCell ref="G26:I26"/>
    <mergeCell ref="J26:L26"/>
    <mergeCell ref="M26:O26"/>
    <mergeCell ref="P26:R26"/>
    <mergeCell ref="S26:U26"/>
    <mergeCell ref="V26:X26"/>
    <mergeCell ref="Y26:AA26"/>
  </mergeCells>
  <hyperlinks>
    <hyperlink ref="S18" r:id="rId1" display="https://www.ema.europa.eu/en/documents/other/article-57-product-data_en.xlsx"/>
    <hyperlink ref="S19" r:id="rId2" display="https://products.mhra.gov.uk/"/>
    <hyperlink ref="S20" r:id="rId3" display="https://www.canada.ca/en/health-canada/services/drugs-health-products/drug-products/drug-product-database.html"/>
    <hyperlink ref="S21" r:id="rId4" display="https://www.tga.gov.au/resources/artg"/>
    <hyperlink ref="S22" r:id="rId5" display="https://medicineprices.org.za/"/>
    <hyperlink ref="S24" r:id="rId6" display="https://www.accessdata.fda.gov/cder/ndctext.zip"/>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J6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6"/>
    <col collapsed="false" customWidth="true" hidden="false" outlineLevel="0" max="4" min="4" style="0" width="40"/>
    <col collapsed="false" customWidth="true" hidden="false" outlineLevel="0" max="5" min="5" style="0" width="22"/>
    <col collapsed="false" customWidth="true" hidden="false" outlineLevel="0" max="6" min="6" style="0" width="46"/>
    <col collapsed="false" customWidth="true" hidden="false" outlineLevel="0" max="7" min="7" style="0" width="48"/>
    <col collapsed="false" customWidth="true" hidden="false" outlineLevel="0" max="8" min="8" style="0" width="22"/>
    <col collapsed="false" customWidth="true" hidden="false" outlineLevel="0" max="9" min="9" style="0" width="60"/>
    <col collapsed="false" customWidth="true" hidden="false" outlineLevel="0" max="10" min="10" style="0" width="40"/>
  </cols>
  <sheetData>
    <row r="1" customFormat="false" ht="17.35" hidden="false" customHeight="false" outlineLevel="0" collapsed="false">
      <c r="A1" s="1" t="s">
        <v>2254</v>
      </c>
    </row>
    <row r="2" customFormat="false" ht="15" hidden="false" customHeight="false" outlineLevel="0" collapsed="false">
      <c r="A2" s="2" t="s">
        <v>2255</v>
      </c>
    </row>
    <row r="4" customFormat="false" ht="42" hidden="false" customHeight="true" outlineLevel="0" collapsed="false">
      <c r="A4" s="6" t="s">
        <v>12</v>
      </c>
      <c r="B4" s="6" t="s">
        <v>62</v>
      </c>
      <c r="C4" s="6" t="s">
        <v>2256</v>
      </c>
      <c r="D4" s="6" t="s">
        <v>2257</v>
      </c>
      <c r="E4" s="6" t="s">
        <v>2258</v>
      </c>
      <c r="F4" s="6" t="s">
        <v>2259</v>
      </c>
      <c r="G4" s="6" t="s">
        <v>2260</v>
      </c>
      <c r="H4" s="6" t="s">
        <v>2261</v>
      </c>
      <c r="I4" s="6" t="s">
        <v>2171</v>
      </c>
      <c r="J4" s="6" t="s">
        <v>2262</v>
      </c>
    </row>
    <row r="5" customFormat="false" ht="23.85" hidden="false" customHeight="false" outlineLevel="0" collapsed="false">
      <c r="A5" s="12" t="s">
        <v>55</v>
      </c>
      <c r="B5" s="12" t="s">
        <v>162</v>
      </c>
      <c r="C5" s="10" t="s">
        <v>163</v>
      </c>
      <c r="D5" s="30" t="s">
        <v>305</v>
      </c>
      <c r="E5" s="10" t="s">
        <v>144</v>
      </c>
      <c r="F5" s="10" t="s">
        <v>2263</v>
      </c>
      <c r="G5" s="30" t="s">
        <v>2264</v>
      </c>
      <c r="H5" s="12" t="s">
        <v>2265</v>
      </c>
      <c r="I5" s="10" t="s">
        <v>2266</v>
      </c>
      <c r="J5" s="12"/>
    </row>
    <row r="6" customFormat="false" ht="35.05" hidden="false" customHeight="false" outlineLevel="0" collapsed="false">
      <c r="A6" s="12" t="s">
        <v>55</v>
      </c>
      <c r="B6" s="12" t="s">
        <v>162</v>
      </c>
      <c r="C6" s="10" t="s">
        <v>163</v>
      </c>
      <c r="D6" s="30" t="s">
        <v>305</v>
      </c>
      <c r="E6" s="10" t="s">
        <v>2267</v>
      </c>
      <c r="F6" s="10" t="s">
        <v>2268</v>
      </c>
      <c r="G6" s="30" t="s">
        <v>2182</v>
      </c>
      <c r="H6" s="12" t="s">
        <v>2269</v>
      </c>
      <c r="I6" s="10" t="s">
        <v>2270</v>
      </c>
      <c r="J6" s="12"/>
    </row>
    <row r="7" customFormat="false" ht="23.85" hidden="false" customHeight="false" outlineLevel="0" collapsed="false">
      <c r="A7" s="12" t="s">
        <v>55</v>
      </c>
      <c r="B7" s="12" t="s">
        <v>291</v>
      </c>
      <c r="C7" s="10" t="s">
        <v>292</v>
      </c>
      <c r="D7" s="30" t="s">
        <v>307</v>
      </c>
      <c r="E7" s="10" t="s">
        <v>144</v>
      </c>
      <c r="F7" s="10" t="s">
        <v>2271</v>
      </c>
      <c r="G7" s="30" t="s">
        <v>2272</v>
      </c>
      <c r="H7" s="12" t="s">
        <v>2265</v>
      </c>
      <c r="I7" s="10" t="s">
        <v>2266</v>
      </c>
      <c r="J7" s="12"/>
    </row>
    <row r="8" customFormat="false" ht="23.85" hidden="false" customHeight="false" outlineLevel="0" collapsed="false">
      <c r="A8" s="12" t="s">
        <v>55</v>
      </c>
      <c r="B8" s="12" t="s">
        <v>114</v>
      </c>
      <c r="C8" s="10" t="s">
        <v>115</v>
      </c>
      <c r="D8" s="30" t="s">
        <v>304</v>
      </c>
      <c r="E8" s="10" t="s">
        <v>144</v>
      </c>
      <c r="F8" s="10" t="s">
        <v>2273</v>
      </c>
      <c r="G8" s="30" t="s">
        <v>2274</v>
      </c>
      <c r="H8" s="12" t="s">
        <v>2265</v>
      </c>
      <c r="I8" s="10" t="s">
        <v>2266</v>
      </c>
      <c r="J8" s="12"/>
    </row>
    <row r="9" customFormat="false" ht="35.05" hidden="false" customHeight="false" outlineLevel="0" collapsed="false">
      <c r="A9" s="12" t="s">
        <v>55</v>
      </c>
      <c r="B9" s="12" t="s">
        <v>289</v>
      </c>
      <c r="C9" s="10" t="s">
        <v>290</v>
      </c>
      <c r="D9" s="30" t="s">
        <v>306</v>
      </c>
      <c r="E9" s="10" t="s">
        <v>144</v>
      </c>
      <c r="F9" s="10" t="s">
        <v>2275</v>
      </c>
      <c r="G9" s="30" t="s">
        <v>2276</v>
      </c>
      <c r="H9" s="12" t="s">
        <v>2265</v>
      </c>
      <c r="I9" s="10" t="s">
        <v>2266</v>
      </c>
      <c r="J9" s="12"/>
    </row>
    <row r="10" customFormat="false" ht="23.85" hidden="false" customHeight="false" outlineLevel="0" collapsed="false">
      <c r="A10" s="12" t="s">
        <v>55</v>
      </c>
      <c r="B10" s="12" t="s">
        <v>312</v>
      </c>
      <c r="C10" s="10" t="s">
        <v>313</v>
      </c>
      <c r="D10" s="30" t="s">
        <v>314</v>
      </c>
      <c r="E10" s="10" t="s">
        <v>144</v>
      </c>
      <c r="F10" s="10" t="s">
        <v>2277</v>
      </c>
      <c r="G10" s="30" t="s">
        <v>2278</v>
      </c>
      <c r="H10" s="12" t="s">
        <v>2265</v>
      </c>
      <c r="I10" s="10" t="s">
        <v>2266</v>
      </c>
      <c r="J10" s="12"/>
    </row>
    <row r="11" customFormat="false" ht="23.85" hidden="false" customHeight="false" outlineLevel="0" collapsed="false">
      <c r="A11" s="12" t="s">
        <v>55</v>
      </c>
      <c r="B11" s="12" t="s">
        <v>308</v>
      </c>
      <c r="C11" s="10" t="s">
        <v>309</v>
      </c>
      <c r="D11" s="30" t="s">
        <v>311</v>
      </c>
      <c r="E11" s="10" t="s">
        <v>144</v>
      </c>
      <c r="F11" s="10" t="s">
        <v>2279</v>
      </c>
      <c r="G11" s="30" t="s">
        <v>2280</v>
      </c>
      <c r="H11" s="12" t="s">
        <v>2265</v>
      </c>
      <c r="I11" s="10" t="s">
        <v>2266</v>
      </c>
      <c r="J11" s="12"/>
    </row>
    <row r="12" customFormat="false" ht="23.85" hidden="false" customHeight="false" outlineLevel="0" collapsed="false">
      <c r="A12" s="12" t="s">
        <v>23</v>
      </c>
      <c r="B12" s="12" t="s">
        <v>352</v>
      </c>
      <c r="C12" s="10" t="s">
        <v>353</v>
      </c>
      <c r="D12" s="30" t="s">
        <v>355</v>
      </c>
      <c r="E12" s="10" t="s">
        <v>948</v>
      </c>
      <c r="F12" s="10" t="s">
        <v>2281</v>
      </c>
      <c r="G12" s="30" t="s">
        <v>2282</v>
      </c>
      <c r="H12" s="12" t="s">
        <v>2283</v>
      </c>
      <c r="I12" s="10" t="s">
        <v>2284</v>
      </c>
      <c r="J12" s="12"/>
    </row>
    <row r="13" customFormat="false" ht="23.85" hidden="false" customHeight="false" outlineLevel="0" collapsed="false">
      <c r="A13" s="12" t="s">
        <v>23</v>
      </c>
      <c r="B13" s="12" t="s">
        <v>352</v>
      </c>
      <c r="C13" s="10" t="s">
        <v>353</v>
      </c>
      <c r="D13" s="30" t="s">
        <v>355</v>
      </c>
      <c r="E13" s="10" t="s">
        <v>888</v>
      </c>
      <c r="F13" s="10" t="s">
        <v>2285</v>
      </c>
      <c r="G13" s="30" t="s">
        <v>2182</v>
      </c>
      <c r="H13" s="12" t="s">
        <v>2269</v>
      </c>
      <c r="I13" s="10" t="s">
        <v>2286</v>
      </c>
      <c r="J13" s="12"/>
    </row>
    <row r="14" customFormat="false" ht="23.85" hidden="false" customHeight="false" outlineLevel="0" collapsed="false">
      <c r="A14" s="12" t="s">
        <v>23</v>
      </c>
      <c r="B14" s="12" t="s">
        <v>357</v>
      </c>
      <c r="C14" s="10" t="s">
        <v>358</v>
      </c>
      <c r="D14" s="30" t="s">
        <v>359</v>
      </c>
      <c r="E14" s="10" t="s">
        <v>144</v>
      </c>
      <c r="F14" s="10" t="s">
        <v>2287</v>
      </c>
      <c r="G14" s="30" t="s">
        <v>2288</v>
      </c>
      <c r="H14" s="12" t="s">
        <v>2265</v>
      </c>
      <c r="I14" s="10" t="s">
        <v>2266</v>
      </c>
      <c r="J14" s="12"/>
    </row>
    <row r="15" customFormat="false" ht="35.05" hidden="false" customHeight="false" outlineLevel="0" collapsed="false">
      <c r="A15" s="12" t="s">
        <v>23</v>
      </c>
      <c r="B15" s="12" t="s">
        <v>75</v>
      </c>
      <c r="C15" s="10" t="s">
        <v>76</v>
      </c>
      <c r="D15" s="30" t="s">
        <v>315</v>
      </c>
      <c r="E15" s="10" t="s">
        <v>2289</v>
      </c>
      <c r="F15" s="10" t="s">
        <v>2290</v>
      </c>
      <c r="G15" s="30" t="s">
        <v>2291</v>
      </c>
      <c r="H15" s="12" t="s">
        <v>2292</v>
      </c>
      <c r="I15" s="10" t="s">
        <v>2293</v>
      </c>
      <c r="J15" s="12"/>
    </row>
    <row r="16" customFormat="false" ht="35.05" hidden="false" customHeight="false" outlineLevel="0" collapsed="false">
      <c r="A16" s="12" t="s">
        <v>23</v>
      </c>
      <c r="B16" s="12" t="s">
        <v>75</v>
      </c>
      <c r="C16" s="10" t="s">
        <v>76</v>
      </c>
      <c r="D16" s="30" t="s">
        <v>315</v>
      </c>
      <c r="E16" s="10" t="s">
        <v>96</v>
      </c>
      <c r="F16" s="10" t="s">
        <v>2294</v>
      </c>
      <c r="G16" s="30" t="s">
        <v>2182</v>
      </c>
      <c r="H16" s="12" t="s">
        <v>2269</v>
      </c>
      <c r="I16" s="10" t="s">
        <v>2295</v>
      </c>
      <c r="J16" s="12"/>
    </row>
    <row r="17" customFormat="false" ht="46.25" hidden="false" customHeight="false" outlineLevel="0" collapsed="false">
      <c r="A17" s="12" t="s">
        <v>23</v>
      </c>
      <c r="B17" s="12" t="s">
        <v>75</v>
      </c>
      <c r="C17" s="10" t="s">
        <v>76</v>
      </c>
      <c r="D17" s="30" t="s">
        <v>315</v>
      </c>
      <c r="E17" s="10" t="s">
        <v>2296</v>
      </c>
      <c r="F17" s="10" t="s">
        <v>2294</v>
      </c>
      <c r="G17" s="30" t="s">
        <v>2297</v>
      </c>
      <c r="H17" s="12" t="s">
        <v>2298</v>
      </c>
      <c r="I17" s="10" t="s">
        <v>2299</v>
      </c>
      <c r="J17" s="30" t="s">
        <v>2182</v>
      </c>
    </row>
    <row r="18" customFormat="false" ht="23.85" hidden="false" customHeight="false" outlineLevel="0" collapsed="false">
      <c r="A18" s="12" t="s">
        <v>23</v>
      </c>
      <c r="B18" s="12" t="s">
        <v>75</v>
      </c>
      <c r="C18" s="10" t="s">
        <v>76</v>
      </c>
      <c r="D18" s="30" t="s">
        <v>315</v>
      </c>
      <c r="E18" s="10" t="s">
        <v>1044</v>
      </c>
      <c r="F18" s="10" t="s">
        <v>2300</v>
      </c>
      <c r="G18" s="30" t="s">
        <v>2301</v>
      </c>
      <c r="H18" s="12" t="s">
        <v>2302</v>
      </c>
      <c r="I18" s="10" t="s">
        <v>2303</v>
      </c>
      <c r="J18" s="12"/>
    </row>
    <row r="19" customFormat="false" ht="23.85" hidden="false" customHeight="false" outlineLevel="0" collapsed="false">
      <c r="A19" s="12" t="s">
        <v>23</v>
      </c>
      <c r="B19" s="12" t="s">
        <v>89</v>
      </c>
      <c r="C19" s="10" t="s">
        <v>90</v>
      </c>
      <c r="D19" s="30" t="s">
        <v>316</v>
      </c>
      <c r="E19" s="10" t="s">
        <v>144</v>
      </c>
      <c r="F19" s="10" t="s">
        <v>2304</v>
      </c>
      <c r="G19" s="30" t="s">
        <v>2305</v>
      </c>
      <c r="H19" s="12" t="s">
        <v>2306</v>
      </c>
      <c r="I19" s="10" t="s">
        <v>2307</v>
      </c>
      <c r="J19" s="12"/>
    </row>
    <row r="20" customFormat="false" ht="23.85" hidden="false" customHeight="false" outlineLevel="0" collapsed="false">
      <c r="A20" s="12" t="s">
        <v>23</v>
      </c>
      <c r="B20" s="12" t="s">
        <v>89</v>
      </c>
      <c r="C20" s="10" t="s">
        <v>90</v>
      </c>
      <c r="D20" s="30" t="s">
        <v>316</v>
      </c>
      <c r="E20" s="10" t="s">
        <v>2289</v>
      </c>
      <c r="F20" s="10" t="s">
        <v>2308</v>
      </c>
      <c r="G20" s="30" t="s">
        <v>2309</v>
      </c>
      <c r="H20" s="12" t="s">
        <v>2292</v>
      </c>
      <c r="I20" s="10" t="s">
        <v>2293</v>
      </c>
      <c r="J20" s="12"/>
    </row>
    <row r="21" customFormat="false" ht="35.05" hidden="false" customHeight="false" outlineLevel="0" collapsed="false">
      <c r="A21" s="12" t="s">
        <v>23</v>
      </c>
      <c r="B21" s="12" t="s">
        <v>89</v>
      </c>
      <c r="C21" s="10" t="s">
        <v>90</v>
      </c>
      <c r="D21" s="30" t="s">
        <v>316</v>
      </c>
      <c r="E21" s="10" t="s">
        <v>96</v>
      </c>
      <c r="F21" s="10" t="s">
        <v>2310</v>
      </c>
      <c r="G21" s="30" t="s">
        <v>2182</v>
      </c>
      <c r="H21" s="12" t="s">
        <v>2269</v>
      </c>
      <c r="I21" s="10" t="s">
        <v>2311</v>
      </c>
      <c r="J21" s="12"/>
    </row>
    <row r="22" customFormat="false" ht="46.25" hidden="false" customHeight="false" outlineLevel="0" collapsed="false">
      <c r="A22" s="12" t="s">
        <v>23</v>
      </c>
      <c r="B22" s="12" t="s">
        <v>89</v>
      </c>
      <c r="C22" s="10" t="s">
        <v>90</v>
      </c>
      <c r="D22" s="30" t="s">
        <v>316</v>
      </c>
      <c r="E22" s="10" t="s">
        <v>2296</v>
      </c>
      <c r="F22" s="10" t="s">
        <v>2310</v>
      </c>
      <c r="G22" s="30" t="s">
        <v>2312</v>
      </c>
      <c r="H22" s="12" t="s">
        <v>2298</v>
      </c>
      <c r="I22" s="10" t="s">
        <v>2313</v>
      </c>
      <c r="J22" s="30" t="s">
        <v>2182</v>
      </c>
    </row>
    <row r="23" customFormat="false" ht="23.85" hidden="false" customHeight="false" outlineLevel="0" collapsed="false">
      <c r="A23" s="12" t="s">
        <v>23</v>
      </c>
      <c r="B23" s="12" t="s">
        <v>89</v>
      </c>
      <c r="C23" s="10" t="s">
        <v>90</v>
      </c>
      <c r="D23" s="30" t="s">
        <v>316</v>
      </c>
      <c r="E23" s="10" t="s">
        <v>1044</v>
      </c>
      <c r="F23" s="10" t="s">
        <v>2314</v>
      </c>
      <c r="G23" s="30" t="s">
        <v>2315</v>
      </c>
      <c r="H23" s="12" t="s">
        <v>2302</v>
      </c>
      <c r="I23" s="10" t="s">
        <v>2303</v>
      </c>
      <c r="J23" s="12"/>
    </row>
    <row r="24" customFormat="false" ht="35.05" hidden="false" customHeight="false" outlineLevel="0" collapsed="false">
      <c r="A24" s="12" t="s">
        <v>23</v>
      </c>
      <c r="B24" s="12" t="s">
        <v>283</v>
      </c>
      <c r="C24" s="10" t="s">
        <v>284</v>
      </c>
      <c r="D24" s="30" t="s">
        <v>380</v>
      </c>
      <c r="E24" s="10" t="s">
        <v>96</v>
      </c>
      <c r="F24" s="10" t="s">
        <v>2294</v>
      </c>
      <c r="G24" s="30" t="s">
        <v>2182</v>
      </c>
      <c r="H24" s="12" t="s">
        <v>2269</v>
      </c>
      <c r="I24" s="10" t="s">
        <v>2316</v>
      </c>
      <c r="J24" s="12"/>
    </row>
    <row r="25" customFormat="false" ht="35.05" hidden="false" customHeight="false" outlineLevel="0" collapsed="false">
      <c r="A25" s="12" t="s">
        <v>23</v>
      </c>
      <c r="B25" s="12" t="s">
        <v>283</v>
      </c>
      <c r="C25" s="10" t="s">
        <v>284</v>
      </c>
      <c r="D25" s="30" t="s">
        <v>380</v>
      </c>
      <c r="E25" s="10" t="s">
        <v>2317</v>
      </c>
      <c r="F25" s="10" t="s">
        <v>2294</v>
      </c>
      <c r="G25" s="30" t="s">
        <v>2182</v>
      </c>
      <c r="H25" s="12" t="s">
        <v>2269</v>
      </c>
      <c r="I25" s="10" t="s">
        <v>2318</v>
      </c>
      <c r="J25" s="12"/>
    </row>
    <row r="26" customFormat="false" ht="23.85" hidden="false" customHeight="false" outlineLevel="0" collapsed="false">
      <c r="A26" s="12" t="s">
        <v>23</v>
      </c>
      <c r="B26" s="12" t="s">
        <v>162</v>
      </c>
      <c r="C26" s="10" t="s">
        <v>163</v>
      </c>
      <c r="D26" s="30" t="s">
        <v>305</v>
      </c>
      <c r="E26" s="10" t="s">
        <v>144</v>
      </c>
      <c r="F26" s="10" t="s">
        <v>2319</v>
      </c>
      <c r="G26" s="30" t="s">
        <v>2264</v>
      </c>
      <c r="H26" s="12" t="s">
        <v>2265</v>
      </c>
      <c r="I26" s="10" t="s">
        <v>2266</v>
      </c>
      <c r="J26" s="12"/>
    </row>
    <row r="27" customFormat="false" ht="35.05" hidden="false" customHeight="false" outlineLevel="0" collapsed="false">
      <c r="A27" s="12" t="s">
        <v>23</v>
      </c>
      <c r="B27" s="12" t="s">
        <v>269</v>
      </c>
      <c r="C27" s="10" t="s">
        <v>270</v>
      </c>
      <c r="D27" s="30" t="s">
        <v>378</v>
      </c>
      <c r="E27" s="10" t="s">
        <v>995</v>
      </c>
      <c r="F27" s="10" t="s">
        <v>2320</v>
      </c>
      <c r="G27" s="30" t="s">
        <v>2321</v>
      </c>
      <c r="H27" s="12" t="s">
        <v>2322</v>
      </c>
      <c r="I27" s="10" t="s">
        <v>2323</v>
      </c>
      <c r="J27" s="12"/>
    </row>
    <row r="28" customFormat="false" ht="46.25" hidden="false" customHeight="false" outlineLevel="0" collapsed="false">
      <c r="A28" s="12" t="s">
        <v>23</v>
      </c>
      <c r="B28" s="12" t="s">
        <v>206</v>
      </c>
      <c r="C28" s="10" t="s">
        <v>207</v>
      </c>
      <c r="D28" s="30" t="s">
        <v>384</v>
      </c>
      <c r="E28" s="10" t="s">
        <v>864</v>
      </c>
      <c r="F28" s="10" t="s">
        <v>2285</v>
      </c>
      <c r="G28" s="30" t="s">
        <v>2324</v>
      </c>
      <c r="H28" s="12" t="s">
        <v>2298</v>
      </c>
      <c r="I28" s="10" t="s">
        <v>2325</v>
      </c>
      <c r="J28" s="30" t="s">
        <v>2182</v>
      </c>
    </row>
    <row r="29" customFormat="false" ht="46.25" hidden="false" customHeight="false" outlineLevel="0" collapsed="false">
      <c r="A29" s="12" t="s">
        <v>23</v>
      </c>
      <c r="B29" s="12" t="s">
        <v>201</v>
      </c>
      <c r="C29" s="10" t="s">
        <v>202</v>
      </c>
      <c r="D29" s="30" t="s">
        <v>350</v>
      </c>
      <c r="E29" s="10" t="s">
        <v>868</v>
      </c>
      <c r="F29" s="10" t="s">
        <v>2326</v>
      </c>
      <c r="G29" s="30" t="s">
        <v>2327</v>
      </c>
      <c r="H29" s="12" t="s">
        <v>2298</v>
      </c>
      <c r="I29" s="10" t="s">
        <v>2328</v>
      </c>
      <c r="J29" s="30" t="s">
        <v>2182</v>
      </c>
    </row>
    <row r="30" customFormat="false" ht="23.85" hidden="false" customHeight="false" outlineLevel="0" collapsed="false">
      <c r="A30" s="12" t="s">
        <v>23</v>
      </c>
      <c r="B30" s="12" t="s">
        <v>223</v>
      </c>
      <c r="C30" s="10" t="s">
        <v>224</v>
      </c>
      <c r="D30" s="30" t="s">
        <v>407</v>
      </c>
      <c r="E30" s="10" t="s">
        <v>144</v>
      </c>
      <c r="F30" s="10" t="s">
        <v>2329</v>
      </c>
      <c r="G30" s="30" t="s">
        <v>2330</v>
      </c>
      <c r="H30" s="12" t="s">
        <v>2265</v>
      </c>
      <c r="I30" s="10" t="s">
        <v>2266</v>
      </c>
      <c r="J30" s="12"/>
    </row>
    <row r="31" customFormat="false" ht="23.85" hidden="false" customHeight="false" outlineLevel="0" collapsed="false">
      <c r="A31" s="12" t="s">
        <v>23</v>
      </c>
      <c r="B31" s="12" t="s">
        <v>124</v>
      </c>
      <c r="C31" s="10" t="s">
        <v>125</v>
      </c>
      <c r="D31" s="30" t="s">
        <v>321</v>
      </c>
      <c r="E31" s="10" t="s">
        <v>144</v>
      </c>
      <c r="F31" s="10" t="s">
        <v>2331</v>
      </c>
      <c r="G31" s="30" t="s">
        <v>2332</v>
      </c>
      <c r="H31" s="12" t="s">
        <v>2265</v>
      </c>
      <c r="I31" s="10" t="s">
        <v>2266</v>
      </c>
      <c r="J31" s="12"/>
    </row>
    <row r="32" customFormat="false" ht="23.85" hidden="false" customHeight="false" outlineLevel="0" collapsed="false">
      <c r="A32" s="12" t="s">
        <v>23</v>
      </c>
      <c r="B32" s="12" t="s">
        <v>330</v>
      </c>
      <c r="C32" s="10" t="s">
        <v>331</v>
      </c>
      <c r="D32" s="30" t="s">
        <v>332</v>
      </c>
      <c r="E32" s="10" t="s">
        <v>144</v>
      </c>
      <c r="F32" s="10" t="s">
        <v>2333</v>
      </c>
      <c r="G32" s="30" t="s">
        <v>2334</v>
      </c>
      <c r="H32" s="12" t="s">
        <v>2265</v>
      </c>
      <c r="I32" s="10" t="s">
        <v>2266</v>
      </c>
      <c r="J32" s="12"/>
    </row>
    <row r="33" customFormat="false" ht="35.05" hidden="false" customHeight="false" outlineLevel="0" collapsed="false">
      <c r="A33" s="12" t="s">
        <v>23</v>
      </c>
      <c r="B33" s="12" t="s">
        <v>107</v>
      </c>
      <c r="C33" s="10" t="s">
        <v>108</v>
      </c>
      <c r="D33" s="30" t="s">
        <v>317</v>
      </c>
      <c r="E33" s="10" t="s">
        <v>875</v>
      </c>
      <c r="F33" s="10" t="s">
        <v>2285</v>
      </c>
      <c r="G33" s="30" t="s">
        <v>2182</v>
      </c>
      <c r="H33" s="12" t="s">
        <v>2269</v>
      </c>
      <c r="I33" s="10" t="s">
        <v>2335</v>
      </c>
      <c r="J33" s="12"/>
    </row>
    <row r="34" customFormat="false" ht="46.25" hidden="false" customHeight="false" outlineLevel="0" collapsed="false">
      <c r="A34" s="12" t="s">
        <v>23</v>
      </c>
      <c r="B34" s="12" t="s">
        <v>120</v>
      </c>
      <c r="C34" s="10" t="s">
        <v>121</v>
      </c>
      <c r="D34" s="30" t="s">
        <v>325</v>
      </c>
      <c r="E34" s="10" t="s">
        <v>879</v>
      </c>
      <c r="F34" s="10" t="s">
        <v>2285</v>
      </c>
      <c r="G34" s="30" t="s">
        <v>2336</v>
      </c>
      <c r="H34" s="12" t="s">
        <v>2298</v>
      </c>
      <c r="I34" s="10" t="s">
        <v>2337</v>
      </c>
      <c r="J34" s="30" t="s">
        <v>2182</v>
      </c>
    </row>
    <row r="35" customFormat="false" ht="23.85" hidden="false" customHeight="false" outlineLevel="0" collapsed="false">
      <c r="A35" s="12" t="s">
        <v>23</v>
      </c>
      <c r="B35" s="12" t="s">
        <v>411</v>
      </c>
      <c r="C35" s="10" t="s">
        <v>412</v>
      </c>
      <c r="D35" s="30" t="s">
        <v>414</v>
      </c>
      <c r="E35" s="10" t="s">
        <v>144</v>
      </c>
      <c r="F35" s="10" t="s">
        <v>2338</v>
      </c>
      <c r="G35" s="30" t="s">
        <v>2339</v>
      </c>
      <c r="H35" s="12" t="s">
        <v>2265</v>
      </c>
      <c r="I35" s="10" t="s">
        <v>2266</v>
      </c>
      <c r="J35" s="12"/>
    </row>
    <row r="36" customFormat="false" ht="46.25" hidden="false" customHeight="false" outlineLevel="0" collapsed="false">
      <c r="A36" s="12" t="s">
        <v>23</v>
      </c>
      <c r="B36" s="12" t="s">
        <v>411</v>
      </c>
      <c r="C36" s="10" t="s">
        <v>412</v>
      </c>
      <c r="D36" s="30" t="s">
        <v>414</v>
      </c>
      <c r="E36" s="10" t="s">
        <v>864</v>
      </c>
      <c r="F36" s="10" t="s">
        <v>2285</v>
      </c>
      <c r="G36" s="30" t="s">
        <v>2340</v>
      </c>
      <c r="H36" s="12" t="s">
        <v>2298</v>
      </c>
      <c r="I36" s="10" t="s">
        <v>2341</v>
      </c>
      <c r="J36" s="30" t="s">
        <v>2182</v>
      </c>
    </row>
    <row r="37" customFormat="false" ht="35.05" hidden="false" customHeight="false" outlineLevel="0" collapsed="false">
      <c r="A37" s="12" t="s">
        <v>23</v>
      </c>
      <c r="B37" s="12" t="s">
        <v>342</v>
      </c>
      <c r="C37" s="10" t="s">
        <v>343</v>
      </c>
      <c r="D37" s="30" t="s">
        <v>345</v>
      </c>
      <c r="E37" s="10" t="s">
        <v>883</v>
      </c>
      <c r="F37" s="10" t="s">
        <v>2342</v>
      </c>
      <c r="G37" s="30" t="s">
        <v>2182</v>
      </c>
      <c r="H37" s="12" t="s">
        <v>2269</v>
      </c>
      <c r="I37" s="10" t="s">
        <v>2343</v>
      </c>
      <c r="J37" s="12"/>
    </row>
    <row r="38" customFormat="false" ht="23.85" hidden="false" customHeight="false" outlineLevel="0" collapsed="false">
      <c r="A38" s="12" t="s">
        <v>23</v>
      </c>
      <c r="B38" s="12" t="s">
        <v>142</v>
      </c>
      <c r="C38" s="10" t="s">
        <v>143</v>
      </c>
      <c r="D38" s="30" t="s">
        <v>319</v>
      </c>
      <c r="E38" s="10" t="s">
        <v>144</v>
      </c>
      <c r="F38" s="10" t="s">
        <v>2344</v>
      </c>
      <c r="G38" s="30" t="s">
        <v>2345</v>
      </c>
      <c r="H38" s="12" t="s">
        <v>2265</v>
      </c>
      <c r="I38" s="10" t="s">
        <v>2266</v>
      </c>
      <c r="J38" s="12"/>
    </row>
    <row r="39" customFormat="false" ht="23.85" hidden="false" customHeight="false" outlineLevel="0" collapsed="false">
      <c r="A39" s="12" t="s">
        <v>23</v>
      </c>
      <c r="B39" s="12" t="s">
        <v>145</v>
      </c>
      <c r="C39" s="10" t="s">
        <v>146</v>
      </c>
      <c r="D39" s="30" t="s">
        <v>320</v>
      </c>
      <c r="E39" s="10" t="s">
        <v>144</v>
      </c>
      <c r="F39" s="10" t="s">
        <v>2346</v>
      </c>
      <c r="G39" s="30" t="s">
        <v>2347</v>
      </c>
      <c r="H39" s="12" t="s">
        <v>2265</v>
      </c>
      <c r="I39" s="10" t="s">
        <v>2266</v>
      </c>
      <c r="J39" s="12"/>
    </row>
    <row r="40" customFormat="false" ht="35.05" hidden="false" customHeight="false" outlineLevel="0" collapsed="false">
      <c r="A40" s="12" t="s">
        <v>23</v>
      </c>
      <c r="B40" s="12" t="s">
        <v>145</v>
      </c>
      <c r="C40" s="10" t="s">
        <v>146</v>
      </c>
      <c r="D40" s="30" t="s">
        <v>320</v>
      </c>
      <c r="E40" s="10" t="s">
        <v>96</v>
      </c>
      <c r="F40" s="10" t="s">
        <v>2348</v>
      </c>
      <c r="G40" s="30" t="s">
        <v>2182</v>
      </c>
      <c r="H40" s="12" t="s">
        <v>2269</v>
      </c>
      <c r="I40" s="10" t="s">
        <v>2349</v>
      </c>
      <c r="J40" s="12"/>
    </row>
    <row r="41" customFormat="false" ht="23.85" hidden="false" customHeight="false" outlineLevel="0" collapsed="false">
      <c r="A41" s="12" t="s">
        <v>23</v>
      </c>
      <c r="B41" s="12" t="s">
        <v>145</v>
      </c>
      <c r="C41" s="10" t="s">
        <v>146</v>
      </c>
      <c r="D41" s="30" t="s">
        <v>320</v>
      </c>
      <c r="E41" s="10" t="s">
        <v>948</v>
      </c>
      <c r="F41" s="10" t="s">
        <v>2350</v>
      </c>
      <c r="G41" s="30" t="s">
        <v>2351</v>
      </c>
      <c r="H41" s="12" t="s">
        <v>2283</v>
      </c>
      <c r="I41" s="10" t="s">
        <v>2284</v>
      </c>
      <c r="J41" s="12"/>
    </row>
    <row r="42" customFormat="false" ht="46.25" hidden="false" customHeight="false" outlineLevel="0" collapsed="false">
      <c r="A42" s="12" t="s">
        <v>23</v>
      </c>
      <c r="B42" s="12" t="s">
        <v>145</v>
      </c>
      <c r="C42" s="10" t="s">
        <v>146</v>
      </c>
      <c r="D42" s="30" t="s">
        <v>320</v>
      </c>
      <c r="E42" s="10" t="s">
        <v>2352</v>
      </c>
      <c r="F42" s="10" t="s">
        <v>2348</v>
      </c>
      <c r="G42" s="30" t="s">
        <v>2353</v>
      </c>
      <c r="H42" s="12" t="s">
        <v>2298</v>
      </c>
      <c r="I42" s="10" t="s">
        <v>2354</v>
      </c>
      <c r="J42" s="30" t="s">
        <v>2182</v>
      </c>
    </row>
    <row r="43" customFormat="false" ht="23.85" hidden="false" customHeight="false" outlineLevel="0" collapsed="false">
      <c r="A43" s="12" t="s">
        <v>23</v>
      </c>
      <c r="B43" s="12" t="s">
        <v>145</v>
      </c>
      <c r="C43" s="10" t="s">
        <v>146</v>
      </c>
      <c r="D43" s="30" t="s">
        <v>320</v>
      </c>
      <c r="E43" s="10" t="s">
        <v>995</v>
      </c>
      <c r="F43" s="10" t="s">
        <v>2355</v>
      </c>
      <c r="G43" s="30" t="s">
        <v>2356</v>
      </c>
      <c r="H43" s="12" t="s">
        <v>2322</v>
      </c>
      <c r="I43" s="10" t="s">
        <v>2323</v>
      </c>
      <c r="J43" s="12"/>
    </row>
    <row r="44" customFormat="false" ht="23.85" hidden="false" customHeight="false" outlineLevel="0" collapsed="false">
      <c r="A44" s="12" t="s">
        <v>23</v>
      </c>
      <c r="B44" s="12" t="s">
        <v>326</v>
      </c>
      <c r="C44" s="10" t="s">
        <v>327</v>
      </c>
      <c r="D44" s="30" t="s">
        <v>329</v>
      </c>
      <c r="E44" s="10" t="s">
        <v>144</v>
      </c>
      <c r="F44" s="10" t="s">
        <v>2357</v>
      </c>
      <c r="G44" s="30" t="s">
        <v>2358</v>
      </c>
      <c r="H44" s="12" t="s">
        <v>2265</v>
      </c>
      <c r="I44" s="10" t="s">
        <v>2266</v>
      </c>
      <c r="J44" s="12"/>
    </row>
    <row r="45" customFormat="false" ht="23.85" hidden="false" customHeight="false" outlineLevel="0" collapsed="false">
      <c r="A45" s="12" t="s">
        <v>23</v>
      </c>
      <c r="B45" s="12" t="s">
        <v>326</v>
      </c>
      <c r="C45" s="10" t="s">
        <v>327</v>
      </c>
      <c r="D45" s="30" t="s">
        <v>329</v>
      </c>
      <c r="E45" s="10" t="s">
        <v>1344</v>
      </c>
      <c r="F45" s="10" t="s">
        <v>2285</v>
      </c>
      <c r="G45" s="30" t="s">
        <v>2182</v>
      </c>
      <c r="H45" s="12" t="s">
        <v>2269</v>
      </c>
      <c r="I45" s="10" t="s">
        <v>2359</v>
      </c>
      <c r="J45" s="12"/>
    </row>
    <row r="46" customFormat="false" ht="35.05" hidden="false" customHeight="false" outlineLevel="0" collapsed="false">
      <c r="A46" s="12" t="s">
        <v>23</v>
      </c>
      <c r="B46" s="12" t="s">
        <v>423</v>
      </c>
      <c r="C46" s="10" t="s">
        <v>424</v>
      </c>
      <c r="D46" s="30" t="s">
        <v>425</v>
      </c>
      <c r="E46" s="10" t="s">
        <v>96</v>
      </c>
      <c r="F46" s="10" t="s">
        <v>2294</v>
      </c>
      <c r="G46" s="30" t="s">
        <v>2182</v>
      </c>
      <c r="H46" s="12" t="s">
        <v>2269</v>
      </c>
      <c r="I46" s="10" t="s">
        <v>2360</v>
      </c>
      <c r="J46" s="12"/>
    </row>
    <row r="47" customFormat="false" ht="46.25" hidden="false" customHeight="false" outlineLevel="0" collapsed="false">
      <c r="A47" s="12" t="s">
        <v>23</v>
      </c>
      <c r="B47" s="12" t="s">
        <v>423</v>
      </c>
      <c r="C47" s="10" t="s">
        <v>424</v>
      </c>
      <c r="D47" s="30" t="s">
        <v>425</v>
      </c>
      <c r="E47" s="10" t="s">
        <v>2361</v>
      </c>
      <c r="F47" s="10" t="s">
        <v>2294</v>
      </c>
      <c r="G47" s="30" t="s">
        <v>2362</v>
      </c>
      <c r="H47" s="12" t="s">
        <v>2298</v>
      </c>
      <c r="I47" s="10" t="s">
        <v>2363</v>
      </c>
      <c r="J47" s="30" t="s">
        <v>2182</v>
      </c>
    </row>
    <row r="48" customFormat="false" ht="35.05" hidden="false" customHeight="false" outlineLevel="0" collapsed="false">
      <c r="A48" s="12" t="s">
        <v>23</v>
      </c>
      <c r="B48" s="12" t="s">
        <v>423</v>
      </c>
      <c r="C48" s="10" t="s">
        <v>424</v>
      </c>
      <c r="D48" s="30" t="s">
        <v>425</v>
      </c>
      <c r="E48" s="10" t="s">
        <v>1044</v>
      </c>
      <c r="F48" s="10" t="s">
        <v>2364</v>
      </c>
      <c r="G48" s="30" t="s">
        <v>2365</v>
      </c>
      <c r="H48" s="12" t="s">
        <v>2302</v>
      </c>
      <c r="I48" s="10" t="s">
        <v>2303</v>
      </c>
      <c r="J48" s="12"/>
    </row>
    <row r="49" customFormat="false" ht="23.85" hidden="false" customHeight="false" outlineLevel="0" collapsed="false">
      <c r="A49" s="12" t="s">
        <v>23</v>
      </c>
      <c r="B49" s="12" t="s">
        <v>394</v>
      </c>
      <c r="C49" s="10" t="s">
        <v>395</v>
      </c>
      <c r="D49" s="30" t="s">
        <v>396</v>
      </c>
      <c r="E49" s="10" t="s">
        <v>144</v>
      </c>
      <c r="F49" s="10" t="s">
        <v>2366</v>
      </c>
      <c r="G49" s="30" t="s">
        <v>2367</v>
      </c>
      <c r="H49" s="12" t="s">
        <v>2265</v>
      </c>
      <c r="I49" s="10" t="s">
        <v>2266</v>
      </c>
      <c r="J49" s="12"/>
    </row>
    <row r="50" customFormat="false" ht="23.85" hidden="false" customHeight="false" outlineLevel="0" collapsed="false">
      <c r="A50" s="12" t="s">
        <v>23</v>
      </c>
      <c r="B50" s="12" t="s">
        <v>217</v>
      </c>
      <c r="C50" s="10" t="s">
        <v>218</v>
      </c>
      <c r="D50" s="30" t="s">
        <v>349</v>
      </c>
      <c r="E50" s="10" t="s">
        <v>144</v>
      </c>
      <c r="F50" s="10" t="s">
        <v>2368</v>
      </c>
      <c r="G50" s="30" t="s">
        <v>2369</v>
      </c>
      <c r="H50" s="12" t="s">
        <v>2265</v>
      </c>
      <c r="I50" s="10" t="s">
        <v>2266</v>
      </c>
      <c r="J50" s="12"/>
    </row>
    <row r="51" customFormat="false" ht="23.85" hidden="false" customHeight="false" outlineLevel="0" collapsed="false">
      <c r="A51" s="12" t="s">
        <v>23</v>
      </c>
      <c r="B51" s="12" t="s">
        <v>337</v>
      </c>
      <c r="C51" s="10" t="s">
        <v>338</v>
      </c>
      <c r="D51" s="30" t="s">
        <v>339</v>
      </c>
      <c r="E51" s="10" t="s">
        <v>888</v>
      </c>
      <c r="F51" s="10" t="s">
        <v>2285</v>
      </c>
      <c r="G51" s="30" t="s">
        <v>2182</v>
      </c>
      <c r="H51" s="12" t="s">
        <v>2269</v>
      </c>
      <c r="I51" s="10" t="s">
        <v>2370</v>
      </c>
      <c r="J51" s="12"/>
    </row>
    <row r="52" customFormat="false" ht="23.85" hidden="false" customHeight="false" outlineLevel="0" collapsed="false">
      <c r="A52" s="12" t="s">
        <v>23</v>
      </c>
      <c r="B52" s="12" t="s">
        <v>114</v>
      </c>
      <c r="C52" s="10" t="s">
        <v>115</v>
      </c>
      <c r="D52" s="30" t="s">
        <v>304</v>
      </c>
      <c r="E52" s="10" t="s">
        <v>2289</v>
      </c>
      <c r="F52" s="10" t="s">
        <v>2371</v>
      </c>
      <c r="G52" s="30" t="s">
        <v>2372</v>
      </c>
      <c r="H52" s="12" t="s">
        <v>2292</v>
      </c>
      <c r="I52" s="10" t="s">
        <v>2293</v>
      </c>
      <c r="J52" s="12"/>
    </row>
    <row r="53" customFormat="false" ht="46.25" hidden="false" customHeight="false" outlineLevel="0" collapsed="false">
      <c r="A53" s="12" t="s">
        <v>23</v>
      </c>
      <c r="B53" s="12" t="s">
        <v>114</v>
      </c>
      <c r="C53" s="10" t="s">
        <v>115</v>
      </c>
      <c r="D53" s="30" t="s">
        <v>304</v>
      </c>
      <c r="E53" s="10" t="s">
        <v>2296</v>
      </c>
      <c r="F53" s="10" t="s">
        <v>2285</v>
      </c>
      <c r="G53" s="30" t="s">
        <v>2373</v>
      </c>
      <c r="H53" s="12" t="s">
        <v>2298</v>
      </c>
      <c r="I53" s="10" t="s">
        <v>2374</v>
      </c>
      <c r="J53" s="30" t="s">
        <v>2182</v>
      </c>
    </row>
    <row r="54" customFormat="false" ht="35.05" hidden="false" customHeight="false" outlineLevel="0" collapsed="false">
      <c r="A54" s="12" t="s">
        <v>23</v>
      </c>
      <c r="B54" s="12" t="s">
        <v>114</v>
      </c>
      <c r="C54" s="10" t="s">
        <v>115</v>
      </c>
      <c r="D54" s="30" t="s">
        <v>304</v>
      </c>
      <c r="E54" s="10" t="s">
        <v>1044</v>
      </c>
      <c r="F54" s="10" t="s">
        <v>2375</v>
      </c>
      <c r="G54" s="30" t="s">
        <v>2376</v>
      </c>
      <c r="H54" s="12" t="s">
        <v>2302</v>
      </c>
      <c r="I54" s="10" t="s">
        <v>2303</v>
      </c>
      <c r="J54" s="12"/>
    </row>
    <row r="55" customFormat="false" ht="23.85" hidden="false" customHeight="false" outlineLevel="0" collapsed="false">
      <c r="A55" s="12" t="s">
        <v>23</v>
      </c>
      <c r="B55" s="12" t="s">
        <v>397</v>
      </c>
      <c r="C55" s="10" t="s">
        <v>398</v>
      </c>
      <c r="D55" s="30" t="s">
        <v>399</v>
      </c>
      <c r="E55" s="10" t="s">
        <v>948</v>
      </c>
      <c r="F55" s="10" t="s">
        <v>2377</v>
      </c>
      <c r="G55" s="30" t="s">
        <v>2378</v>
      </c>
      <c r="H55" s="12" t="s">
        <v>2283</v>
      </c>
      <c r="I55" s="10" t="s">
        <v>2284</v>
      </c>
      <c r="J55" s="12"/>
    </row>
    <row r="56" customFormat="false" ht="23.85" hidden="false" customHeight="false" outlineLevel="0" collapsed="false">
      <c r="A56" s="12" t="s">
        <v>23</v>
      </c>
      <c r="B56" s="12" t="s">
        <v>368</v>
      </c>
      <c r="C56" s="10" t="s">
        <v>369</v>
      </c>
      <c r="D56" s="30" t="s">
        <v>370</v>
      </c>
      <c r="E56" s="10" t="s">
        <v>144</v>
      </c>
      <c r="F56" s="10" t="s">
        <v>2379</v>
      </c>
      <c r="G56" s="30" t="s">
        <v>2380</v>
      </c>
      <c r="H56" s="12" t="s">
        <v>2265</v>
      </c>
      <c r="I56" s="10" t="s">
        <v>2266</v>
      </c>
      <c r="J56" s="12"/>
    </row>
    <row r="57" customFormat="false" ht="23.85" hidden="false" customHeight="false" outlineLevel="0" collapsed="false">
      <c r="A57" s="12" t="s">
        <v>23</v>
      </c>
      <c r="B57" s="12" t="s">
        <v>365</v>
      </c>
      <c r="C57" s="10" t="s">
        <v>366</v>
      </c>
      <c r="D57" s="30" t="s">
        <v>367</v>
      </c>
      <c r="E57" s="10" t="s">
        <v>144</v>
      </c>
      <c r="F57" s="10" t="s">
        <v>2381</v>
      </c>
      <c r="G57" s="30" t="s">
        <v>2382</v>
      </c>
      <c r="H57" s="12" t="s">
        <v>2265</v>
      </c>
      <c r="I57" s="10" t="s">
        <v>2266</v>
      </c>
      <c r="J57" s="12"/>
    </row>
    <row r="58" customFormat="false" ht="35.05" hidden="false" customHeight="false" outlineLevel="0" collapsed="false">
      <c r="A58" s="12" t="s">
        <v>23</v>
      </c>
      <c r="B58" s="12" t="s">
        <v>128</v>
      </c>
      <c r="C58" s="10" t="s">
        <v>129</v>
      </c>
      <c r="D58" s="30" t="s">
        <v>341</v>
      </c>
      <c r="E58" s="10" t="s">
        <v>895</v>
      </c>
      <c r="F58" s="10" t="s">
        <v>2285</v>
      </c>
      <c r="G58" s="30" t="s">
        <v>2182</v>
      </c>
      <c r="H58" s="12" t="s">
        <v>2269</v>
      </c>
      <c r="I58" s="10" t="s">
        <v>2383</v>
      </c>
      <c r="J58" s="12"/>
    </row>
    <row r="59" customFormat="false" ht="35.05" hidden="false" customHeight="false" outlineLevel="0" collapsed="false">
      <c r="A59" s="12" t="s">
        <v>23</v>
      </c>
      <c r="B59" s="12" t="s">
        <v>148</v>
      </c>
      <c r="C59" s="10" t="s">
        <v>149</v>
      </c>
      <c r="D59" s="30" t="s">
        <v>322</v>
      </c>
      <c r="E59" s="10" t="s">
        <v>96</v>
      </c>
      <c r="F59" s="10" t="s">
        <v>2348</v>
      </c>
      <c r="G59" s="30" t="s">
        <v>2182</v>
      </c>
      <c r="H59" s="12" t="s">
        <v>2269</v>
      </c>
      <c r="I59" s="10" t="s">
        <v>2384</v>
      </c>
      <c r="J59" s="12"/>
    </row>
    <row r="60" customFormat="false" ht="23.85" hidden="false" customHeight="false" outlineLevel="0" collapsed="false">
      <c r="A60" s="12" t="s">
        <v>23</v>
      </c>
      <c r="B60" s="12" t="s">
        <v>148</v>
      </c>
      <c r="C60" s="10" t="s">
        <v>149</v>
      </c>
      <c r="D60" s="30" t="s">
        <v>322</v>
      </c>
      <c r="E60" s="10" t="s">
        <v>948</v>
      </c>
      <c r="F60" s="10" t="s">
        <v>2385</v>
      </c>
      <c r="G60" s="30" t="s">
        <v>2386</v>
      </c>
      <c r="H60" s="12" t="s">
        <v>2283</v>
      </c>
      <c r="I60" s="10" t="s">
        <v>2284</v>
      </c>
      <c r="J60" s="12"/>
    </row>
    <row r="61" customFormat="false" ht="46.25" hidden="false" customHeight="false" outlineLevel="0" collapsed="false">
      <c r="A61" s="12" t="s">
        <v>23</v>
      </c>
      <c r="B61" s="12" t="s">
        <v>148</v>
      </c>
      <c r="C61" s="10" t="s">
        <v>149</v>
      </c>
      <c r="D61" s="30" t="s">
        <v>322</v>
      </c>
      <c r="E61" s="10" t="s">
        <v>2387</v>
      </c>
      <c r="F61" s="10" t="s">
        <v>2348</v>
      </c>
      <c r="G61" s="30" t="s">
        <v>2388</v>
      </c>
      <c r="H61" s="12" t="s">
        <v>2298</v>
      </c>
      <c r="I61" s="10" t="s">
        <v>2389</v>
      </c>
      <c r="J61" s="30" t="s">
        <v>2182</v>
      </c>
    </row>
    <row r="62" customFormat="false" ht="23.85" hidden="false" customHeight="false" outlineLevel="0" collapsed="false">
      <c r="A62" s="12" t="s">
        <v>23</v>
      </c>
      <c r="B62" s="12" t="s">
        <v>408</v>
      </c>
      <c r="C62" s="10" t="s">
        <v>409</v>
      </c>
      <c r="D62" s="30" t="s">
        <v>410</v>
      </c>
      <c r="E62" s="10" t="s">
        <v>144</v>
      </c>
      <c r="F62" s="10" t="s">
        <v>2390</v>
      </c>
      <c r="G62" s="30" t="s">
        <v>2391</v>
      </c>
      <c r="H62" s="12" t="s">
        <v>2265</v>
      </c>
      <c r="I62" s="10" t="s">
        <v>2266</v>
      </c>
      <c r="J62" s="12"/>
    </row>
    <row r="63" customFormat="false" ht="35.05" hidden="false" customHeight="false" outlineLevel="0" collapsed="false">
      <c r="A63" s="12" t="s">
        <v>23</v>
      </c>
      <c r="B63" s="12" t="s">
        <v>289</v>
      </c>
      <c r="C63" s="10" t="s">
        <v>290</v>
      </c>
      <c r="D63" s="30" t="s">
        <v>306</v>
      </c>
      <c r="E63" s="10" t="s">
        <v>144</v>
      </c>
      <c r="F63" s="10" t="s">
        <v>2392</v>
      </c>
      <c r="G63" s="30" t="s">
        <v>2393</v>
      </c>
      <c r="H63" s="12" t="s">
        <v>2265</v>
      </c>
      <c r="I63" s="10" t="s">
        <v>2266</v>
      </c>
      <c r="J63" s="12"/>
    </row>
    <row r="64" customFormat="false" ht="23.85" hidden="false" customHeight="false" outlineLevel="0" collapsed="false">
      <c r="A64" s="12" t="s">
        <v>23</v>
      </c>
      <c r="B64" s="12" t="s">
        <v>381</v>
      </c>
      <c r="C64" s="10" t="s">
        <v>382</v>
      </c>
      <c r="D64" s="30" t="s">
        <v>383</v>
      </c>
      <c r="E64" s="10" t="s">
        <v>144</v>
      </c>
      <c r="F64" s="10" t="s">
        <v>2394</v>
      </c>
      <c r="G64" s="30" t="s">
        <v>2395</v>
      </c>
      <c r="H64" s="12" t="s">
        <v>2265</v>
      </c>
      <c r="I64" s="10" t="s">
        <v>2266</v>
      </c>
      <c r="J64" s="12"/>
    </row>
    <row r="65" customFormat="false" ht="35.05" hidden="false" customHeight="false" outlineLevel="0" collapsed="false">
      <c r="A65" s="12" t="s">
        <v>23</v>
      </c>
      <c r="B65" s="12" t="s">
        <v>151</v>
      </c>
      <c r="C65" s="10" t="s">
        <v>152</v>
      </c>
      <c r="D65" s="30" t="s">
        <v>324</v>
      </c>
      <c r="E65" s="10" t="s">
        <v>905</v>
      </c>
      <c r="F65" s="10" t="s">
        <v>2285</v>
      </c>
      <c r="G65" s="30" t="s">
        <v>2182</v>
      </c>
      <c r="H65" s="12" t="s">
        <v>2269</v>
      </c>
      <c r="I65" s="10" t="s">
        <v>2396</v>
      </c>
      <c r="J65" s="12"/>
    </row>
    <row r="66" customFormat="false" ht="23.85" hidden="false" customHeight="false" outlineLevel="0" collapsed="false">
      <c r="A66" s="12" t="s">
        <v>23</v>
      </c>
      <c r="B66" s="12" t="s">
        <v>287</v>
      </c>
      <c r="C66" s="10" t="s">
        <v>288</v>
      </c>
      <c r="D66" s="30" t="s">
        <v>420</v>
      </c>
      <c r="E66" s="10" t="s">
        <v>144</v>
      </c>
      <c r="F66" s="10" t="s">
        <v>2397</v>
      </c>
      <c r="G66" s="30" t="s">
        <v>2398</v>
      </c>
      <c r="H66" s="12" t="s">
        <v>2265</v>
      </c>
      <c r="I66" s="10" t="s">
        <v>2266</v>
      </c>
      <c r="J66" s="12"/>
    </row>
    <row r="67" customFormat="false" ht="23.85" hidden="false" customHeight="false" outlineLevel="0" collapsed="false">
      <c r="A67" s="12" t="s">
        <v>23</v>
      </c>
      <c r="B67" s="12" t="s">
        <v>374</v>
      </c>
      <c r="C67" s="10" t="s">
        <v>375</v>
      </c>
      <c r="D67" s="30" t="s">
        <v>377</v>
      </c>
      <c r="E67" s="10" t="s">
        <v>144</v>
      </c>
      <c r="F67" s="10" t="s">
        <v>2399</v>
      </c>
      <c r="G67" s="30" t="s">
        <v>2400</v>
      </c>
      <c r="H67" s="12" t="s">
        <v>2265</v>
      </c>
      <c r="I67" s="10" t="s">
        <v>2266</v>
      </c>
      <c r="J67" s="12"/>
    </row>
    <row r="68" customFormat="false" ht="23.85" hidden="false" customHeight="false" outlineLevel="0" collapsed="false">
      <c r="A68" s="12" t="s">
        <v>23</v>
      </c>
      <c r="B68" s="12" t="s">
        <v>374</v>
      </c>
      <c r="C68" s="10" t="s">
        <v>375</v>
      </c>
      <c r="D68" s="30" t="s">
        <v>377</v>
      </c>
      <c r="E68" s="10" t="s">
        <v>948</v>
      </c>
      <c r="F68" s="10" t="s">
        <v>2401</v>
      </c>
      <c r="G68" s="30" t="s">
        <v>2402</v>
      </c>
      <c r="H68" s="12" t="s">
        <v>2283</v>
      </c>
      <c r="I68" s="10" t="s">
        <v>2284</v>
      </c>
      <c r="J68" s="12"/>
    </row>
    <row r="69" customFormat="false" ht="23.85" hidden="false" customHeight="false" outlineLevel="0" collapsed="false">
      <c r="A69" s="12" t="s">
        <v>23</v>
      </c>
      <c r="B69" s="12" t="s">
        <v>210</v>
      </c>
      <c r="C69" s="10" t="s">
        <v>211</v>
      </c>
      <c r="D69" s="30" t="s">
        <v>361</v>
      </c>
      <c r="E69" s="10" t="s">
        <v>2289</v>
      </c>
      <c r="F69" s="10" t="s">
        <v>2403</v>
      </c>
      <c r="G69" s="30" t="s">
        <v>848</v>
      </c>
      <c r="H69" s="12" t="s">
        <v>2404</v>
      </c>
      <c r="I69" s="10" t="s">
        <v>2405</v>
      </c>
      <c r="J69" s="12"/>
    </row>
    <row r="70" customFormat="false" ht="35.05" hidden="false" customHeight="false" outlineLevel="0" collapsed="false">
      <c r="A70" s="12" t="s">
        <v>23</v>
      </c>
      <c r="B70" s="12" t="s">
        <v>210</v>
      </c>
      <c r="C70" s="10" t="s">
        <v>211</v>
      </c>
      <c r="D70" s="30" t="s">
        <v>361</v>
      </c>
      <c r="E70" s="10" t="s">
        <v>96</v>
      </c>
      <c r="F70" s="10" t="s">
        <v>2406</v>
      </c>
      <c r="G70" s="30" t="s">
        <v>2182</v>
      </c>
      <c r="H70" s="12" t="s">
        <v>2269</v>
      </c>
      <c r="I70" s="10" t="s">
        <v>2407</v>
      </c>
      <c r="J70" s="12"/>
    </row>
    <row r="71" customFormat="false" ht="23.85" hidden="false" customHeight="false" outlineLevel="0" collapsed="false">
      <c r="A71" s="12" t="s">
        <v>23</v>
      </c>
      <c r="B71" s="12" t="s">
        <v>210</v>
      </c>
      <c r="C71" s="10" t="s">
        <v>211</v>
      </c>
      <c r="D71" s="30" t="s">
        <v>361</v>
      </c>
      <c r="E71" s="10" t="s">
        <v>948</v>
      </c>
      <c r="F71" s="10" t="s">
        <v>2408</v>
      </c>
      <c r="G71" s="30" t="s">
        <v>2409</v>
      </c>
      <c r="H71" s="12" t="s">
        <v>2283</v>
      </c>
      <c r="I71" s="10" t="s">
        <v>2284</v>
      </c>
      <c r="J71" s="12"/>
    </row>
    <row r="72" customFormat="false" ht="46.25" hidden="false" customHeight="false" outlineLevel="0" collapsed="false">
      <c r="A72" s="12" t="s">
        <v>23</v>
      </c>
      <c r="B72" s="12" t="s">
        <v>210</v>
      </c>
      <c r="C72" s="10" t="s">
        <v>211</v>
      </c>
      <c r="D72" s="30" t="s">
        <v>361</v>
      </c>
      <c r="E72" s="10" t="s">
        <v>2410</v>
      </c>
      <c r="F72" s="10" t="s">
        <v>2406</v>
      </c>
      <c r="G72" s="30" t="s">
        <v>2182</v>
      </c>
      <c r="H72" s="12" t="s">
        <v>2269</v>
      </c>
      <c r="I72" s="10" t="s">
        <v>2411</v>
      </c>
      <c r="J72" s="12"/>
    </row>
    <row r="73" customFormat="false" ht="23.85" hidden="false" customHeight="false" outlineLevel="0" collapsed="false">
      <c r="A73" s="12" t="s">
        <v>23</v>
      </c>
      <c r="B73" s="12" t="s">
        <v>418</v>
      </c>
      <c r="C73" s="10" t="s">
        <v>288</v>
      </c>
      <c r="D73" s="30" t="s">
        <v>419</v>
      </c>
      <c r="E73" s="10" t="s">
        <v>144</v>
      </c>
      <c r="F73" s="10" t="s">
        <v>2412</v>
      </c>
      <c r="G73" s="30" t="s">
        <v>2413</v>
      </c>
      <c r="H73" s="12" t="s">
        <v>2265</v>
      </c>
      <c r="I73" s="10" t="s">
        <v>2266</v>
      </c>
      <c r="J73" s="12"/>
    </row>
    <row r="74" customFormat="false" ht="23.85" hidden="false" customHeight="false" outlineLevel="0" collapsed="false">
      <c r="A74" s="12" t="s">
        <v>23</v>
      </c>
      <c r="B74" s="12" t="s">
        <v>400</v>
      </c>
      <c r="C74" s="10" t="s">
        <v>401</v>
      </c>
      <c r="D74" s="30" t="s">
        <v>402</v>
      </c>
      <c r="E74" s="10" t="s">
        <v>144</v>
      </c>
      <c r="F74" s="10" t="s">
        <v>2414</v>
      </c>
      <c r="G74" s="30" t="s">
        <v>2415</v>
      </c>
      <c r="H74" s="12" t="s">
        <v>2265</v>
      </c>
      <c r="I74" s="10" t="s">
        <v>2266</v>
      </c>
      <c r="J74" s="12"/>
    </row>
    <row r="75" customFormat="false" ht="23.85" hidden="false" customHeight="false" outlineLevel="0" collapsed="false">
      <c r="A75" s="12" t="s">
        <v>23</v>
      </c>
      <c r="B75" s="12" t="s">
        <v>180</v>
      </c>
      <c r="C75" s="10" t="s">
        <v>181</v>
      </c>
      <c r="D75" s="30" t="s">
        <v>356</v>
      </c>
      <c r="E75" s="10" t="s">
        <v>2289</v>
      </c>
      <c r="F75" s="10" t="s">
        <v>2416</v>
      </c>
      <c r="G75" s="30" t="s">
        <v>844</v>
      </c>
      <c r="H75" s="12" t="s">
        <v>2404</v>
      </c>
      <c r="I75" s="10" t="s">
        <v>2405</v>
      </c>
      <c r="J75" s="12"/>
    </row>
    <row r="76" customFormat="false" ht="35.05" hidden="false" customHeight="false" outlineLevel="0" collapsed="false">
      <c r="A76" s="12" t="s">
        <v>23</v>
      </c>
      <c r="B76" s="12" t="s">
        <v>180</v>
      </c>
      <c r="C76" s="10" t="s">
        <v>181</v>
      </c>
      <c r="D76" s="30" t="s">
        <v>356</v>
      </c>
      <c r="E76" s="10" t="s">
        <v>96</v>
      </c>
      <c r="F76" s="10" t="s">
        <v>2294</v>
      </c>
      <c r="G76" s="30" t="s">
        <v>2182</v>
      </c>
      <c r="H76" s="12" t="s">
        <v>2269</v>
      </c>
      <c r="I76" s="10" t="s">
        <v>2417</v>
      </c>
      <c r="J76" s="12"/>
    </row>
    <row r="77" customFormat="false" ht="23.85" hidden="false" customHeight="false" outlineLevel="0" collapsed="false">
      <c r="A77" s="12" t="s">
        <v>23</v>
      </c>
      <c r="B77" s="12" t="s">
        <v>180</v>
      </c>
      <c r="C77" s="10" t="s">
        <v>181</v>
      </c>
      <c r="D77" s="30" t="s">
        <v>356</v>
      </c>
      <c r="E77" s="10" t="s">
        <v>948</v>
      </c>
      <c r="F77" s="10" t="s">
        <v>2418</v>
      </c>
      <c r="G77" s="30" t="s">
        <v>2419</v>
      </c>
      <c r="H77" s="12" t="s">
        <v>2283</v>
      </c>
      <c r="I77" s="10" t="s">
        <v>2284</v>
      </c>
      <c r="J77" s="12"/>
    </row>
    <row r="78" customFormat="false" ht="46.25" hidden="false" customHeight="false" outlineLevel="0" collapsed="false">
      <c r="A78" s="12" t="s">
        <v>23</v>
      </c>
      <c r="B78" s="12" t="s">
        <v>180</v>
      </c>
      <c r="C78" s="10" t="s">
        <v>181</v>
      </c>
      <c r="D78" s="30" t="s">
        <v>356</v>
      </c>
      <c r="E78" s="10" t="s">
        <v>2296</v>
      </c>
      <c r="F78" s="10" t="s">
        <v>2294</v>
      </c>
      <c r="G78" s="30" t="s">
        <v>2420</v>
      </c>
      <c r="H78" s="12" t="s">
        <v>2298</v>
      </c>
      <c r="I78" s="10" t="s">
        <v>2421</v>
      </c>
      <c r="J78" s="30" t="s">
        <v>2182</v>
      </c>
    </row>
    <row r="79" customFormat="false" ht="23.85" hidden="false" customHeight="false" outlineLevel="0" collapsed="false">
      <c r="A79" s="12" t="s">
        <v>23</v>
      </c>
      <c r="B79" s="12" t="s">
        <v>112</v>
      </c>
      <c r="C79" s="10" t="s">
        <v>113</v>
      </c>
      <c r="D79" s="30" t="s">
        <v>318</v>
      </c>
      <c r="E79" s="10" t="s">
        <v>144</v>
      </c>
      <c r="F79" s="10" t="s">
        <v>2422</v>
      </c>
      <c r="G79" s="30" t="s">
        <v>2423</v>
      </c>
      <c r="H79" s="12" t="s">
        <v>2265</v>
      </c>
      <c r="I79" s="10" t="s">
        <v>2266</v>
      </c>
      <c r="J79" s="12"/>
    </row>
    <row r="80" customFormat="false" ht="23.85" hidden="false" customHeight="false" outlineLevel="0" collapsed="false">
      <c r="A80" s="12" t="s">
        <v>23</v>
      </c>
      <c r="B80" s="12" t="s">
        <v>112</v>
      </c>
      <c r="C80" s="10" t="s">
        <v>113</v>
      </c>
      <c r="D80" s="30" t="s">
        <v>318</v>
      </c>
      <c r="E80" s="10" t="s">
        <v>2289</v>
      </c>
      <c r="F80" s="10" t="s">
        <v>2424</v>
      </c>
      <c r="G80" s="30" t="s">
        <v>2425</v>
      </c>
      <c r="H80" s="12" t="s">
        <v>2292</v>
      </c>
      <c r="I80" s="10" t="s">
        <v>2293</v>
      </c>
      <c r="J80" s="12"/>
    </row>
    <row r="81" customFormat="false" ht="35.05" hidden="false" customHeight="false" outlineLevel="0" collapsed="false">
      <c r="A81" s="12" t="s">
        <v>23</v>
      </c>
      <c r="B81" s="12" t="s">
        <v>112</v>
      </c>
      <c r="C81" s="10" t="s">
        <v>113</v>
      </c>
      <c r="D81" s="30" t="s">
        <v>318</v>
      </c>
      <c r="E81" s="10" t="s">
        <v>96</v>
      </c>
      <c r="F81" s="10" t="s">
        <v>2294</v>
      </c>
      <c r="G81" s="30" t="s">
        <v>2182</v>
      </c>
      <c r="H81" s="12" t="s">
        <v>2269</v>
      </c>
      <c r="I81" s="10" t="s">
        <v>2426</v>
      </c>
      <c r="J81" s="12"/>
    </row>
    <row r="82" customFormat="false" ht="23.85" hidden="false" customHeight="false" outlineLevel="0" collapsed="false">
      <c r="A82" s="12" t="s">
        <v>23</v>
      </c>
      <c r="B82" s="12" t="s">
        <v>112</v>
      </c>
      <c r="C82" s="10" t="s">
        <v>113</v>
      </c>
      <c r="D82" s="30" t="s">
        <v>318</v>
      </c>
      <c r="E82" s="10" t="s">
        <v>948</v>
      </c>
      <c r="F82" s="10" t="s">
        <v>2427</v>
      </c>
      <c r="G82" s="30" t="s">
        <v>2428</v>
      </c>
      <c r="H82" s="12" t="s">
        <v>2283</v>
      </c>
      <c r="I82" s="10" t="s">
        <v>2284</v>
      </c>
      <c r="J82" s="12"/>
    </row>
    <row r="83" customFormat="false" ht="46.25" hidden="false" customHeight="false" outlineLevel="0" collapsed="false">
      <c r="A83" s="12" t="s">
        <v>23</v>
      </c>
      <c r="B83" s="12" t="s">
        <v>112</v>
      </c>
      <c r="C83" s="10" t="s">
        <v>113</v>
      </c>
      <c r="D83" s="30" t="s">
        <v>318</v>
      </c>
      <c r="E83" s="10" t="s">
        <v>875</v>
      </c>
      <c r="F83" s="10" t="s">
        <v>2294</v>
      </c>
      <c r="G83" s="30" t="s">
        <v>2429</v>
      </c>
      <c r="H83" s="12" t="s">
        <v>2298</v>
      </c>
      <c r="I83" s="10" t="s">
        <v>2430</v>
      </c>
      <c r="J83" s="30" t="s">
        <v>2182</v>
      </c>
    </row>
    <row r="84" customFormat="false" ht="23.85" hidden="false" customHeight="false" outlineLevel="0" collapsed="false">
      <c r="A84" s="12" t="s">
        <v>23</v>
      </c>
      <c r="B84" s="12" t="s">
        <v>112</v>
      </c>
      <c r="C84" s="10" t="s">
        <v>113</v>
      </c>
      <c r="D84" s="30" t="s">
        <v>318</v>
      </c>
      <c r="E84" s="10" t="s">
        <v>1044</v>
      </c>
      <c r="F84" s="10" t="s">
        <v>2431</v>
      </c>
      <c r="G84" s="30" t="s">
        <v>2432</v>
      </c>
      <c r="H84" s="12" t="s">
        <v>2302</v>
      </c>
      <c r="I84" s="10" t="s">
        <v>2303</v>
      </c>
      <c r="J84" s="12"/>
    </row>
    <row r="85" customFormat="false" ht="23.85" hidden="false" customHeight="false" outlineLevel="0" collapsed="false">
      <c r="A85" s="12" t="s">
        <v>23</v>
      </c>
      <c r="B85" s="12" t="s">
        <v>388</v>
      </c>
      <c r="C85" s="10" t="s">
        <v>389</v>
      </c>
      <c r="D85" s="30" t="s">
        <v>390</v>
      </c>
      <c r="E85" s="10" t="s">
        <v>144</v>
      </c>
      <c r="F85" s="10" t="s">
        <v>2433</v>
      </c>
      <c r="G85" s="30" t="s">
        <v>2434</v>
      </c>
      <c r="H85" s="12" t="s">
        <v>2265</v>
      </c>
      <c r="I85" s="10" t="s">
        <v>2266</v>
      </c>
      <c r="J85" s="12"/>
    </row>
    <row r="86" customFormat="false" ht="23.85" hidden="false" customHeight="false" outlineLevel="0" collapsed="false">
      <c r="A86" s="12" t="s">
        <v>23</v>
      </c>
      <c r="B86" s="12" t="s">
        <v>415</v>
      </c>
      <c r="C86" s="10" t="s">
        <v>416</v>
      </c>
      <c r="D86" s="30" t="s">
        <v>417</v>
      </c>
      <c r="E86" s="10" t="s">
        <v>144</v>
      </c>
      <c r="F86" s="10" t="s">
        <v>2435</v>
      </c>
      <c r="G86" s="30" t="s">
        <v>2436</v>
      </c>
      <c r="H86" s="12" t="s">
        <v>2265</v>
      </c>
      <c r="I86" s="10" t="s">
        <v>2266</v>
      </c>
      <c r="J86" s="12"/>
    </row>
    <row r="87" customFormat="false" ht="35.05" hidden="false" customHeight="false" outlineLevel="0" collapsed="false">
      <c r="A87" s="12" t="s">
        <v>23</v>
      </c>
      <c r="B87" s="12" t="s">
        <v>275</v>
      </c>
      <c r="C87" s="10" t="s">
        <v>276</v>
      </c>
      <c r="D87" s="30" t="s">
        <v>422</v>
      </c>
      <c r="E87" s="10" t="s">
        <v>915</v>
      </c>
      <c r="F87" s="10" t="s">
        <v>2437</v>
      </c>
      <c r="G87" s="30" t="s">
        <v>2182</v>
      </c>
      <c r="H87" s="12" t="s">
        <v>2269</v>
      </c>
      <c r="I87" s="10" t="s">
        <v>2438</v>
      </c>
      <c r="J87" s="12"/>
    </row>
    <row r="88" customFormat="false" ht="23.85" hidden="false" customHeight="false" outlineLevel="0" collapsed="false">
      <c r="A88" s="12" t="s">
        <v>23</v>
      </c>
      <c r="B88" s="12" t="s">
        <v>371</v>
      </c>
      <c r="C88" s="10" t="s">
        <v>372</v>
      </c>
      <c r="D88" s="30" t="s">
        <v>373</v>
      </c>
      <c r="E88" s="10" t="s">
        <v>144</v>
      </c>
      <c r="F88" s="10" t="s">
        <v>2439</v>
      </c>
      <c r="G88" s="30" t="s">
        <v>2440</v>
      </c>
      <c r="H88" s="12" t="s">
        <v>2265</v>
      </c>
      <c r="I88" s="10" t="s">
        <v>2266</v>
      </c>
      <c r="J88" s="12"/>
    </row>
    <row r="89" customFormat="false" ht="23.85" hidden="false" customHeight="false" outlineLevel="0" collapsed="false">
      <c r="A89" s="12" t="s">
        <v>23</v>
      </c>
      <c r="B89" s="12" t="s">
        <v>362</v>
      </c>
      <c r="C89" s="10" t="s">
        <v>363</v>
      </c>
      <c r="D89" s="30" t="s">
        <v>364</v>
      </c>
      <c r="E89" s="10" t="s">
        <v>144</v>
      </c>
      <c r="F89" s="10" t="s">
        <v>2441</v>
      </c>
      <c r="G89" s="30" t="s">
        <v>2442</v>
      </c>
      <c r="H89" s="12" t="s">
        <v>2265</v>
      </c>
      <c r="I89" s="10" t="s">
        <v>2266</v>
      </c>
      <c r="J89" s="12"/>
    </row>
    <row r="90" customFormat="false" ht="23.85" hidden="false" customHeight="false" outlineLevel="0" collapsed="false">
      <c r="A90" s="12" t="s">
        <v>23</v>
      </c>
      <c r="B90" s="12" t="s">
        <v>195</v>
      </c>
      <c r="C90" s="10" t="s">
        <v>196</v>
      </c>
      <c r="D90" s="30" t="s">
        <v>351</v>
      </c>
      <c r="E90" s="10" t="s">
        <v>144</v>
      </c>
      <c r="F90" s="10" t="s">
        <v>2443</v>
      </c>
      <c r="G90" s="30" t="s">
        <v>2444</v>
      </c>
      <c r="H90" s="12" t="s">
        <v>2265</v>
      </c>
      <c r="I90" s="10" t="s">
        <v>2266</v>
      </c>
      <c r="J90" s="12"/>
    </row>
    <row r="91" customFormat="false" ht="23.85" hidden="false" customHeight="false" outlineLevel="0" collapsed="false">
      <c r="A91" s="12" t="s">
        <v>23</v>
      </c>
      <c r="B91" s="12" t="s">
        <v>385</v>
      </c>
      <c r="C91" s="10" t="s">
        <v>386</v>
      </c>
      <c r="D91" s="30" t="s">
        <v>387</v>
      </c>
      <c r="E91" s="10" t="s">
        <v>144</v>
      </c>
      <c r="F91" s="10" t="s">
        <v>2445</v>
      </c>
      <c r="G91" s="30" t="s">
        <v>2446</v>
      </c>
      <c r="H91" s="12" t="s">
        <v>2265</v>
      </c>
      <c r="I91" s="10" t="s">
        <v>2266</v>
      </c>
      <c r="J91" s="12"/>
    </row>
    <row r="92" customFormat="false" ht="23.85" hidden="false" customHeight="false" outlineLevel="0" collapsed="false">
      <c r="A92" s="12" t="s">
        <v>23</v>
      </c>
      <c r="B92" s="12" t="s">
        <v>333</v>
      </c>
      <c r="C92" s="10" t="s">
        <v>334</v>
      </c>
      <c r="D92" s="30" t="s">
        <v>336</v>
      </c>
      <c r="E92" s="10" t="s">
        <v>144</v>
      </c>
      <c r="F92" s="10" t="s">
        <v>2447</v>
      </c>
      <c r="G92" s="30" t="s">
        <v>2448</v>
      </c>
      <c r="H92" s="12" t="s">
        <v>2265</v>
      </c>
      <c r="I92" s="10" t="s">
        <v>2266</v>
      </c>
      <c r="J92" s="12"/>
    </row>
    <row r="93" customFormat="false" ht="35.05" hidden="false" customHeight="false" outlineLevel="0" collapsed="false">
      <c r="A93" s="12" t="s">
        <v>23</v>
      </c>
      <c r="B93" s="12" t="s">
        <v>333</v>
      </c>
      <c r="C93" s="10" t="s">
        <v>334</v>
      </c>
      <c r="D93" s="30" t="s">
        <v>336</v>
      </c>
      <c r="E93" s="10" t="s">
        <v>96</v>
      </c>
      <c r="F93" s="10" t="s">
        <v>2294</v>
      </c>
      <c r="G93" s="30" t="s">
        <v>2182</v>
      </c>
      <c r="H93" s="12" t="s">
        <v>2269</v>
      </c>
      <c r="I93" s="10" t="s">
        <v>2449</v>
      </c>
      <c r="J93" s="12"/>
    </row>
    <row r="94" customFormat="false" ht="35.05" hidden="false" customHeight="false" outlineLevel="0" collapsed="false">
      <c r="A94" s="12" t="s">
        <v>23</v>
      </c>
      <c r="B94" s="12" t="s">
        <v>333</v>
      </c>
      <c r="C94" s="10" t="s">
        <v>334</v>
      </c>
      <c r="D94" s="30" t="s">
        <v>336</v>
      </c>
      <c r="E94" s="10" t="s">
        <v>2450</v>
      </c>
      <c r="F94" s="10" t="s">
        <v>2294</v>
      </c>
      <c r="G94" s="30" t="s">
        <v>2182</v>
      </c>
      <c r="H94" s="12" t="s">
        <v>2269</v>
      </c>
      <c r="I94" s="10" t="s">
        <v>2451</v>
      </c>
      <c r="J94" s="12"/>
    </row>
    <row r="95" customFormat="false" ht="35.05" hidden="false" customHeight="false" outlineLevel="0" collapsed="false">
      <c r="A95" s="12" t="s">
        <v>23</v>
      </c>
      <c r="B95" s="12" t="s">
        <v>346</v>
      </c>
      <c r="C95" s="10" t="s">
        <v>347</v>
      </c>
      <c r="D95" s="30" t="s">
        <v>348</v>
      </c>
      <c r="E95" s="10" t="s">
        <v>96</v>
      </c>
      <c r="F95" s="10" t="s">
        <v>2294</v>
      </c>
      <c r="G95" s="30" t="s">
        <v>2182</v>
      </c>
      <c r="H95" s="12" t="s">
        <v>2269</v>
      </c>
      <c r="I95" s="10" t="s">
        <v>2452</v>
      </c>
      <c r="J95" s="12"/>
    </row>
    <row r="96" customFormat="false" ht="23.85" hidden="false" customHeight="false" outlineLevel="0" collapsed="false">
      <c r="A96" s="12" t="s">
        <v>23</v>
      </c>
      <c r="B96" s="12" t="s">
        <v>346</v>
      </c>
      <c r="C96" s="10" t="s">
        <v>347</v>
      </c>
      <c r="D96" s="30" t="s">
        <v>348</v>
      </c>
      <c r="E96" s="10" t="s">
        <v>948</v>
      </c>
      <c r="F96" s="10" t="s">
        <v>2453</v>
      </c>
      <c r="G96" s="30" t="s">
        <v>2454</v>
      </c>
      <c r="H96" s="12" t="s">
        <v>2283</v>
      </c>
      <c r="I96" s="10" t="s">
        <v>2284</v>
      </c>
      <c r="J96" s="12"/>
    </row>
    <row r="97" customFormat="false" ht="46.25" hidden="false" customHeight="false" outlineLevel="0" collapsed="false">
      <c r="A97" s="12" t="s">
        <v>23</v>
      </c>
      <c r="B97" s="12" t="s">
        <v>346</v>
      </c>
      <c r="C97" s="10" t="s">
        <v>347</v>
      </c>
      <c r="D97" s="30" t="s">
        <v>348</v>
      </c>
      <c r="E97" s="10" t="s">
        <v>2455</v>
      </c>
      <c r="F97" s="10" t="s">
        <v>2294</v>
      </c>
      <c r="G97" s="30" t="s">
        <v>2456</v>
      </c>
      <c r="H97" s="12" t="s">
        <v>2298</v>
      </c>
      <c r="I97" s="10" t="s">
        <v>2457</v>
      </c>
      <c r="J97" s="30" t="s">
        <v>2182</v>
      </c>
    </row>
    <row r="98" customFormat="false" ht="23.85" hidden="false" customHeight="false" outlineLevel="0" collapsed="false">
      <c r="A98" s="12" t="s">
        <v>23</v>
      </c>
      <c r="B98" s="12" t="s">
        <v>308</v>
      </c>
      <c r="C98" s="10" t="s">
        <v>309</v>
      </c>
      <c r="D98" s="30" t="s">
        <v>311</v>
      </c>
      <c r="E98" s="10" t="s">
        <v>144</v>
      </c>
      <c r="F98" s="10" t="s">
        <v>2458</v>
      </c>
      <c r="G98" s="30" t="s">
        <v>2280</v>
      </c>
      <c r="H98" s="12" t="s">
        <v>2265</v>
      </c>
      <c r="I98" s="10" t="s">
        <v>2266</v>
      </c>
      <c r="J98" s="12"/>
    </row>
    <row r="99" customFormat="false" ht="23.85" hidden="false" customHeight="false" outlineLevel="0" collapsed="false">
      <c r="A99" s="12" t="s">
        <v>23</v>
      </c>
      <c r="B99" s="12" t="s">
        <v>391</v>
      </c>
      <c r="C99" s="10" t="s">
        <v>241</v>
      </c>
      <c r="D99" s="30" t="s">
        <v>392</v>
      </c>
      <c r="E99" s="10" t="s">
        <v>144</v>
      </c>
      <c r="F99" s="10" t="s">
        <v>2459</v>
      </c>
      <c r="G99" s="30" t="s">
        <v>2460</v>
      </c>
      <c r="H99" s="12" t="s">
        <v>2265</v>
      </c>
      <c r="I99" s="10" t="s">
        <v>2266</v>
      </c>
      <c r="J99" s="12"/>
    </row>
    <row r="100" customFormat="false" ht="23.85" hidden="false" customHeight="false" outlineLevel="0" collapsed="false">
      <c r="A100" s="12" t="s">
        <v>23</v>
      </c>
      <c r="B100" s="12" t="s">
        <v>261</v>
      </c>
      <c r="C100" s="10" t="s">
        <v>262</v>
      </c>
      <c r="D100" s="30" t="s">
        <v>393</v>
      </c>
      <c r="E100" s="10" t="s">
        <v>144</v>
      </c>
      <c r="F100" s="10" t="s">
        <v>2461</v>
      </c>
      <c r="G100" s="30" t="s">
        <v>2462</v>
      </c>
      <c r="H100" s="12" t="s">
        <v>2265</v>
      </c>
      <c r="I100" s="10" t="s">
        <v>2266</v>
      </c>
      <c r="J100" s="12"/>
    </row>
    <row r="101" customFormat="false" ht="46.25" hidden="false" customHeight="false" outlineLevel="0" collapsed="false">
      <c r="A101" s="12" t="s">
        <v>23</v>
      </c>
      <c r="B101" s="12" t="s">
        <v>403</v>
      </c>
      <c r="C101" s="10" t="s">
        <v>404</v>
      </c>
      <c r="D101" s="30" t="s">
        <v>406</v>
      </c>
      <c r="E101" s="10" t="s">
        <v>919</v>
      </c>
      <c r="F101" s="10" t="s">
        <v>2463</v>
      </c>
      <c r="G101" s="30" t="s">
        <v>2464</v>
      </c>
      <c r="H101" s="12" t="s">
        <v>2298</v>
      </c>
      <c r="I101" s="10" t="s">
        <v>2465</v>
      </c>
      <c r="J101" s="30" t="s">
        <v>2182</v>
      </c>
    </row>
    <row r="102" customFormat="false" ht="23.85" hidden="false" customHeight="false" outlineLevel="0" collapsed="false">
      <c r="A102" s="12" t="s">
        <v>27</v>
      </c>
      <c r="B102" s="12" t="s">
        <v>75</v>
      </c>
      <c r="C102" s="10" t="s">
        <v>76</v>
      </c>
      <c r="D102" s="30" t="s">
        <v>315</v>
      </c>
      <c r="E102" s="10" t="s">
        <v>1044</v>
      </c>
      <c r="F102" s="10" t="s">
        <v>2466</v>
      </c>
      <c r="G102" s="30" t="s">
        <v>2467</v>
      </c>
      <c r="H102" s="12" t="s">
        <v>2302</v>
      </c>
      <c r="I102" s="10" t="s">
        <v>2303</v>
      </c>
      <c r="J102" s="12"/>
    </row>
    <row r="103" customFormat="false" ht="23.85" hidden="false" customHeight="false" outlineLevel="0" collapsed="false">
      <c r="A103" s="12" t="s">
        <v>27</v>
      </c>
      <c r="B103" s="12" t="s">
        <v>173</v>
      </c>
      <c r="C103" s="10" t="s">
        <v>174</v>
      </c>
      <c r="D103" s="30" t="s">
        <v>430</v>
      </c>
      <c r="E103" s="10" t="s">
        <v>1044</v>
      </c>
      <c r="F103" s="10" t="s">
        <v>2468</v>
      </c>
      <c r="G103" s="30" t="s">
        <v>2469</v>
      </c>
      <c r="H103" s="12" t="s">
        <v>2470</v>
      </c>
      <c r="I103" s="10" t="s">
        <v>2471</v>
      </c>
      <c r="J103" s="12"/>
    </row>
    <row r="104" customFormat="false" ht="23.85" hidden="false" customHeight="false" outlineLevel="0" collapsed="false">
      <c r="A104" s="12" t="s">
        <v>27</v>
      </c>
      <c r="B104" s="12" t="s">
        <v>173</v>
      </c>
      <c r="C104" s="10" t="s">
        <v>174</v>
      </c>
      <c r="D104" s="30" t="s">
        <v>430</v>
      </c>
      <c r="E104" s="10" t="s">
        <v>995</v>
      </c>
      <c r="F104" s="10" t="s">
        <v>2472</v>
      </c>
      <c r="G104" s="30" t="s">
        <v>2473</v>
      </c>
      <c r="H104" s="12" t="s">
        <v>2322</v>
      </c>
      <c r="I104" s="10" t="s">
        <v>2323</v>
      </c>
      <c r="J104" s="12"/>
    </row>
    <row r="105" customFormat="false" ht="23.85" hidden="false" customHeight="false" outlineLevel="0" collapsed="false">
      <c r="A105" s="12" t="s">
        <v>27</v>
      </c>
      <c r="B105" s="12" t="s">
        <v>89</v>
      </c>
      <c r="C105" s="10" t="s">
        <v>90</v>
      </c>
      <c r="D105" s="30" t="s">
        <v>316</v>
      </c>
      <c r="E105" s="10" t="s">
        <v>995</v>
      </c>
      <c r="F105" s="10" t="s">
        <v>2474</v>
      </c>
      <c r="G105" s="30" t="s">
        <v>2475</v>
      </c>
      <c r="H105" s="12" t="s">
        <v>2322</v>
      </c>
      <c r="I105" s="10" t="s">
        <v>2323</v>
      </c>
      <c r="J105" s="12"/>
    </row>
    <row r="106" customFormat="false" ht="35.05" hidden="false" customHeight="false" outlineLevel="0" collapsed="false">
      <c r="A106" s="12" t="s">
        <v>27</v>
      </c>
      <c r="B106" s="12" t="s">
        <v>269</v>
      </c>
      <c r="C106" s="10" t="s">
        <v>270</v>
      </c>
      <c r="D106" s="30" t="s">
        <v>378</v>
      </c>
      <c r="E106" s="10" t="s">
        <v>995</v>
      </c>
      <c r="F106" s="10" t="s">
        <v>2476</v>
      </c>
      <c r="G106" s="30" t="s">
        <v>1073</v>
      </c>
      <c r="H106" s="12" t="s">
        <v>2477</v>
      </c>
      <c r="I106" s="10" t="s">
        <v>2478</v>
      </c>
      <c r="J106" s="12"/>
    </row>
    <row r="107" customFormat="false" ht="23.85" hidden="false" customHeight="false" outlineLevel="0" collapsed="false">
      <c r="A107" s="12" t="s">
        <v>27</v>
      </c>
      <c r="B107" s="12" t="s">
        <v>107</v>
      </c>
      <c r="C107" s="10" t="s">
        <v>108</v>
      </c>
      <c r="D107" s="30" t="s">
        <v>317</v>
      </c>
      <c r="E107" s="10" t="s">
        <v>2289</v>
      </c>
      <c r="F107" s="10" t="s">
        <v>2479</v>
      </c>
      <c r="G107" s="30" t="s">
        <v>2480</v>
      </c>
      <c r="H107" s="12" t="s">
        <v>2292</v>
      </c>
      <c r="I107" s="10" t="s">
        <v>2293</v>
      </c>
      <c r="J107" s="12"/>
    </row>
    <row r="108" customFormat="false" ht="35.05" hidden="false" customHeight="false" outlineLevel="0" collapsed="false">
      <c r="A108" s="12" t="s">
        <v>27</v>
      </c>
      <c r="B108" s="12" t="s">
        <v>107</v>
      </c>
      <c r="C108" s="10" t="s">
        <v>108</v>
      </c>
      <c r="D108" s="30" t="s">
        <v>317</v>
      </c>
      <c r="E108" s="10" t="s">
        <v>2481</v>
      </c>
      <c r="F108" s="10" t="s">
        <v>2482</v>
      </c>
      <c r="G108" s="30" t="s">
        <v>2182</v>
      </c>
      <c r="H108" s="12" t="s">
        <v>2269</v>
      </c>
      <c r="I108" s="10" t="s">
        <v>2483</v>
      </c>
      <c r="J108" s="12"/>
    </row>
    <row r="109" customFormat="false" ht="23.85" hidden="false" customHeight="false" outlineLevel="0" collapsed="false">
      <c r="A109" s="12" t="s">
        <v>27</v>
      </c>
      <c r="B109" s="12" t="s">
        <v>107</v>
      </c>
      <c r="C109" s="10" t="s">
        <v>108</v>
      </c>
      <c r="D109" s="30" t="s">
        <v>317</v>
      </c>
      <c r="E109" s="10" t="s">
        <v>1044</v>
      </c>
      <c r="F109" s="10" t="s">
        <v>2484</v>
      </c>
      <c r="G109" s="30" t="s">
        <v>2485</v>
      </c>
      <c r="H109" s="12" t="s">
        <v>2302</v>
      </c>
      <c r="I109" s="10" t="s">
        <v>2303</v>
      </c>
      <c r="J109" s="12"/>
    </row>
    <row r="110" customFormat="false" ht="23.85" hidden="false" customHeight="false" outlineLevel="0" collapsed="false">
      <c r="A110" s="12" t="s">
        <v>27</v>
      </c>
      <c r="B110" s="12" t="s">
        <v>120</v>
      </c>
      <c r="C110" s="10" t="s">
        <v>121</v>
      </c>
      <c r="D110" s="30" t="s">
        <v>325</v>
      </c>
      <c r="E110" s="10" t="s">
        <v>995</v>
      </c>
      <c r="F110" s="10" t="s">
        <v>2486</v>
      </c>
      <c r="G110" s="30" t="s">
        <v>2487</v>
      </c>
      <c r="H110" s="12" t="s">
        <v>2322</v>
      </c>
      <c r="I110" s="10" t="s">
        <v>2323</v>
      </c>
      <c r="J110" s="12"/>
    </row>
    <row r="111" customFormat="false" ht="35.05" hidden="false" customHeight="false" outlineLevel="0" collapsed="false">
      <c r="A111" s="12" t="s">
        <v>27</v>
      </c>
      <c r="B111" s="12" t="s">
        <v>114</v>
      </c>
      <c r="C111" s="10" t="s">
        <v>115</v>
      </c>
      <c r="D111" s="30" t="s">
        <v>304</v>
      </c>
      <c r="E111" s="10" t="s">
        <v>888</v>
      </c>
      <c r="F111" s="10" t="s">
        <v>2482</v>
      </c>
      <c r="G111" s="30" t="s">
        <v>2182</v>
      </c>
      <c r="H111" s="12" t="s">
        <v>2269</v>
      </c>
      <c r="I111" s="10" t="s">
        <v>2488</v>
      </c>
      <c r="J111" s="12"/>
    </row>
    <row r="112" customFormat="false" ht="23.85" hidden="false" customHeight="false" outlineLevel="0" collapsed="false">
      <c r="A112" s="12" t="s">
        <v>27</v>
      </c>
      <c r="B112" s="12" t="s">
        <v>229</v>
      </c>
      <c r="C112" s="10" t="s">
        <v>230</v>
      </c>
      <c r="D112" s="30" t="s">
        <v>434</v>
      </c>
      <c r="E112" s="10" t="s">
        <v>144</v>
      </c>
      <c r="F112" s="10" t="s">
        <v>2489</v>
      </c>
      <c r="G112" s="30" t="s">
        <v>2490</v>
      </c>
      <c r="H112" s="12" t="s">
        <v>2265</v>
      </c>
      <c r="I112" s="10" t="s">
        <v>2266</v>
      </c>
      <c r="J112" s="12"/>
    </row>
    <row r="113" customFormat="false" ht="35.05" hidden="false" customHeight="false" outlineLevel="0" collapsed="false">
      <c r="A113" s="12" t="s">
        <v>27</v>
      </c>
      <c r="B113" s="12" t="s">
        <v>229</v>
      </c>
      <c r="C113" s="10" t="s">
        <v>230</v>
      </c>
      <c r="D113" s="30" t="s">
        <v>434</v>
      </c>
      <c r="E113" s="10" t="s">
        <v>1044</v>
      </c>
      <c r="F113" s="10" t="s">
        <v>2491</v>
      </c>
      <c r="G113" s="30" t="s">
        <v>2492</v>
      </c>
      <c r="H113" s="12" t="s">
        <v>2302</v>
      </c>
      <c r="I113" s="10" t="s">
        <v>2303</v>
      </c>
      <c r="J113" s="12"/>
    </row>
    <row r="114" customFormat="false" ht="35.05" hidden="false" customHeight="false" outlineLevel="0" collapsed="false">
      <c r="A114" s="12" t="s">
        <v>27</v>
      </c>
      <c r="B114" s="12" t="s">
        <v>170</v>
      </c>
      <c r="C114" s="10" t="s">
        <v>171</v>
      </c>
      <c r="D114" s="30" t="s">
        <v>429</v>
      </c>
      <c r="E114" s="10" t="s">
        <v>1044</v>
      </c>
      <c r="F114" s="10" t="s">
        <v>2493</v>
      </c>
      <c r="G114" s="30" t="s">
        <v>2494</v>
      </c>
      <c r="H114" s="12" t="s">
        <v>2302</v>
      </c>
      <c r="I114" s="10" t="s">
        <v>2303</v>
      </c>
      <c r="J114" s="12"/>
    </row>
    <row r="115" customFormat="false" ht="23.85" hidden="false" customHeight="false" outlineLevel="0" collapsed="false">
      <c r="A115" s="12" t="s">
        <v>27</v>
      </c>
      <c r="B115" s="12" t="s">
        <v>431</v>
      </c>
      <c r="C115" s="10" t="s">
        <v>432</v>
      </c>
      <c r="D115" s="30" t="s">
        <v>433</v>
      </c>
      <c r="E115" s="10" t="s">
        <v>144</v>
      </c>
      <c r="F115" s="10" t="s">
        <v>2495</v>
      </c>
      <c r="G115" s="30" t="s">
        <v>2496</v>
      </c>
      <c r="H115" s="12" t="s">
        <v>2265</v>
      </c>
      <c r="I115" s="10" t="s">
        <v>2266</v>
      </c>
      <c r="J115" s="12"/>
    </row>
    <row r="116" customFormat="false" ht="23.85" hidden="false" customHeight="false" outlineLevel="0" collapsed="false">
      <c r="A116" s="12" t="s">
        <v>27</v>
      </c>
      <c r="B116" s="12" t="s">
        <v>167</v>
      </c>
      <c r="C116" s="10" t="s">
        <v>168</v>
      </c>
      <c r="D116" s="30" t="s">
        <v>427</v>
      </c>
      <c r="E116" s="10" t="s">
        <v>995</v>
      </c>
      <c r="F116" s="10" t="s">
        <v>2497</v>
      </c>
      <c r="G116" s="30" t="s">
        <v>2498</v>
      </c>
      <c r="H116" s="12" t="s">
        <v>2477</v>
      </c>
      <c r="I116" s="10" t="s">
        <v>2478</v>
      </c>
      <c r="J116" s="12"/>
    </row>
    <row r="117" customFormat="false" ht="35.05" hidden="false" customHeight="false" outlineLevel="0" collapsed="false">
      <c r="A117" s="12" t="s">
        <v>27</v>
      </c>
      <c r="B117" s="12" t="s">
        <v>365</v>
      </c>
      <c r="C117" s="10" t="s">
        <v>366</v>
      </c>
      <c r="D117" s="30" t="s">
        <v>367</v>
      </c>
      <c r="E117" s="10" t="s">
        <v>1044</v>
      </c>
      <c r="F117" s="10" t="s">
        <v>2499</v>
      </c>
      <c r="G117" s="30" t="s">
        <v>2500</v>
      </c>
      <c r="H117" s="12" t="s">
        <v>2302</v>
      </c>
      <c r="I117" s="10" t="s">
        <v>2303</v>
      </c>
      <c r="J117" s="12"/>
    </row>
    <row r="118" customFormat="false" ht="23.85" hidden="false" customHeight="false" outlineLevel="0" collapsed="false">
      <c r="A118" s="12" t="s">
        <v>27</v>
      </c>
      <c r="B118" s="12" t="s">
        <v>400</v>
      </c>
      <c r="C118" s="10" t="s">
        <v>401</v>
      </c>
      <c r="D118" s="30" t="s">
        <v>402</v>
      </c>
      <c r="E118" s="10" t="s">
        <v>1044</v>
      </c>
      <c r="F118" s="10" t="s">
        <v>2501</v>
      </c>
      <c r="G118" s="30" t="s">
        <v>2502</v>
      </c>
      <c r="H118" s="12" t="s">
        <v>2302</v>
      </c>
      <c r="I118" s="10" t="s">
        <v>2303</v>
      </c>
      <c r="J118" s="12"/>
    </row>
    <row r="119" customFormat="false" ht="23.85" hidden="false" customHeight="false" outlineLevel="0" collapsed="false">
      <c r="A119" s="12" t="s">
        <v>27</v>
      </c>
      <c r="B119" s="12" t="s">
        <v>440</v>
      </c>
      <c r="C119" s="10" t="s">
        <v>441</v>
      </c>
      <c r="D119" s="30" t="s">
        <v>443</v>
      </c>
      <c r="E119" s="10" t="s">
        <v>1044</v>
      </c>
      <c r="F119" s="10" t="s">
        <v>2503</v>
      </c>
      <c r="G119" s="30" t="s">
        <v>2504</v>
      </c>
      <c r="H119" s="12" t="s">
        <v>2302</v>
      </c>
      <c r="I119" s="10" t="s">
        <v>2303</v>
      </c>
      <c r="J119" s="12"/>
    </row>
    <row r="120" customFormat="false" ht="23.85" hidden="false" customHeight="false" outlineLevel="0" collapsed="false">
      <c r="A120" s="12" t="s">
        <v>27</v>
      </c>
      <c r="B120" s="12" t="s">
        <v>312</v>
      </c>
      <c r="C120" s="10" t="s">
        <v>313</v>
      </c>
      <c r="D120" s="30" t="s">
        <v>314</v>
      </c>
      <c r="E120" s="10" t="s">
        <v>144</v>
      </c>
      <c r="F120" s="10" t="s">
        <v>2505</v>
      </c>
      <c r="G120" s="30" t="s">
        <v>2506</v>
      </c>
      <c r="H120" s="12" t="s">
        <v>2265</v>
      </c>
      <c r="I120" s="10" t="s">
        <v>2266</v>
      </c>
      <c r="J120" s="12"/>
    </row>
    <row r="121" customFormat="false" ht="23.85" hidden="false" customHeight="false" outlineLevel="0" collapsed="false">
      <c r="A121" s="12" t="s">
        <v>27</v>
      </c>
      <c r="B121" s="12" t="s">
        <v>435</v>
      </c>
      <c r="C121" s="10" t="s">
        <v>436</v>
      </c>
      <c r="D121" s="30" t="s">
        <v>437</v>
      </c>
      <c r="E121" s="10" t="s">
        <v>995</v>
      </c>
      <c r="F121" s="10" t="s">
        <v>2507</v>
      </c>
      <c r="G121" s="30" t="s">
        <v>1070</v>
      </c>
      <c r="H121" s="12" t="s">
        <v>2477</v>
      </c>
      <c r="I121" s="10" t="s">
        <v>2478</v>
      </c>
      <c r="J121" s="12"/>
    </row>
    <row r="122" customFormat="false" ht="35.05" hidden="false" customHeight="false" outlineLevel="0" collapsed="false">
      <c r="A122" s="12" t="s">
        <v>27</v>
      </c>
      <c r="B122" s="12" t="s">
        <v>117</v>
      </c>
      <c r="C122" s="10" t="s">
        <v>118</v>
      </c>
      <c r="D122" s="30" t="s">
        <v>428</v>
      </c>
      <c r="E122" s="10" t="s">
        <v>1975</v>
      </c>
      <c r="F122" s="10" t="s">
        <v>2482</v>
      </c>
      <c r="G122" s="30" t="s">
        <v>2182</v>
      </c>
      <c r="H122" s="12" t="s">
        <v>2269</v>
      </c>
      <c r="I122" s="10" t="s">
        <v>2508</v>
      </c>
      <c r="J122" s="12"/>
    </row>
    <row r="123" customFormat="false" ht="35.05" hidden="false" customHeight="false" outlineLevel="0" collapsed="false">
      <c r="A123" s="12" t="s">
        <v>27</v>
      </c>
      <c r="B123" s="12" t="s">
        <v>117</v>
      </c>
      <c r="C123" s="10" t="s">
        <v>118</v>
      </c>
      <c r="D123" s="30" t="s">
        <v>428</v>
      </c>
      <c r="E123" s="10" t="s">
        <v>1044</v>
      </c>
      <c r="F123" s="10" t="s">
        <v>2509</v>
      </c>
      <c r="G123" s="30" t="s">
        <v>2194</v>
      </c>
      <c r="H123" s="12" t="s">
        <v>2510</v>
      </c>
      <c r="I123" s="10" t="s">
        <v>2511</v>
      </c>
      <c r="J123" s="12"/>
    </row>
    <row r="124" customFormat="false" ht="23.85" hidden="false" customHeight="false" outlineLevel="0" collapsed="false">
      <c r="A124" s="12" t="s">
        <v>27</v>
      </c>
      <c r="B124" s="12" t="s">
        <v>117</v>
      </c>
      <c r="C124" s="10" t="s">
        <v>118</v>
      </c>
      <c r="D124" s="30" t="s">
        <v>428</v>
      </c>
      <c r="E124" s="10" t="s">
        <v>995</v>
      </c>
      <c r="F124" s="10" t="s">
        <v>2512</v>
      </c>
      <c r="G124" s="30" t="s">
        <v>2513</v>
      </c>
      <c r="H124" s="12" t="s">
        <v>2322</v>
      </c>
      <c r="I124" s="10" t="s">
        <v>2323</v>
      </c>
      <c r="J124" s="12"/>
    </row>
    <row r="125" customFormat="false" ht="23.85" hidden="false" customHeight="false" outlineLevel="0" collapsed="false">
      <c r="A125" s="12" t="s">
        <v>27</v>
      </c>
      <c r="B125" s="12" t="s">
        <v>178</v>
      </c>
      <c r="C125" s="10" t="s">
        <v>179</v>
      </c>
      <c r="D125" s="30" t="s">
        <v>438</v>
      </c>
      <c r="E125" s="10" t="s">
        <v>995</v>
      </c>
      <c r="F125" s="10" t="s">
        <v>2514</v>
      </c>
      <c r="G125" s="30" t="s">
        <v>2515</v>
      </c>
      <c r="H125" s="12" t="s">
        <v>2322</v>
      </c>
      <c r="I125" s="10" t="s">
        <v>2323</v>
      </c>
      <c r="J125" s="12"/>
    </row>
    <row r="126" customFormat="false" ht="23.85" hidden="false" customHeight="false" outlineLevel="0" collapsed="false">
      <c r="A126" s="12" t="s">
        <v>27</v>
      </c>
      <c r="B126" s="12" t="s">
        <v>195</v>
      </c>
      <c r="C126" s="10" t="s">
        <v>196</v>
      </c>
      <c r="D126" s="30" t="s">
        <v>351</v>
      </c>
      <c r="E126" s="10" t="s">
        <v>144</v>
      </c>
      <c r="F126" s="10" t="s">
        <v>2516</v>
      </c>
      <c r="G126" s="30" t="s">
        <v>2517</v>
      </c>
      <c r="H126" s="12" t="s">
        <v>2265</v>
      </c>
      <c r="I126" s="10" t="s">
        <v>2266</v>
      </c>
      <c r="J126" s="12"/>
    </row>
    <row r="127" customFormat="false" ht="23.85" hidden="false" customHeight="false" outlineLevel="0" collapsed="false">
      <c r="A127" s="12" t="s">
        <v>27</v>
      </c>
      <c r="B127" s="12" t="s">
        <v>247</v>
      </c>
      <c r="C127" s="10" t="s">
        <v>248</v>
      </c>
      <c r="D127" s="30" t="s">
        <v>439</v>
      </c>
      <c r="E127" s="10" t="s">
        <v>995</v>
      </c>
      <c r="F127" s="10" t="s">
        <v>2518</v>
      </c>
      <c r="G127" s="30" t="s">
        <v>2519</v>
      </c>
      <c r="H127" s="12" t="s">
        <v>2322</v>
      </c>
      <c r="I127" s="10" t="s">
        <v>2323</v>
      </c>
      <c r="J127" s="12"/>
    </row>
    <row r="128" customFormat="false" ht="23.85" hidden="false" customHeight="false" outlineLevel="0" collapsed="false">
      <c r="A128" s="12" t="s">
        <v>27</v>
      </c>
      <c r="B128" s="12" t="s">
        <v>164</v>
      </c>
      <c r="C128" s="10" t="s">
        <v>165</v>
      </c>
      <c r="D128" s="30" t="s">
        <v>426</v>
      </c>
      <c r="E128" s="10" t="s">
        <v>1044</v>
      </c>
      <c r="F128" s="10" t="s">
        <v>2520</v>
      </c>
      <c r="G128" s="30" t="s">
        <v>2521</v>
      </c>
      <c r="H128" s="12" t="s">
        <v>2302</v>
      </c>
      <c r="I128" s="10" t="s">
        <v>2303</v>
      </c>
      <c r="J128" s="12"/>
    </row>
    <row r="129" customFormat="false" ht="23.85" hidden="false" customHeight="false" outlineLevel="0" collapsed="false">
      <c r="A129" s="12" t="s">
        <v>27</v>
      </c>
      <c r="B129" s="12" t="s">
        <v>444</v>
      </c>
      <c r="C129" s="10" t="s">
        <v>445</v>
      </c>
      <c r="D129" s="30" t="s">
        <v>446</v>
      </c>
      <c r="E129" s="10" t="s">
        <v>995</v>
      </c>
      <c r="F129" s="10" t="s">
        <v>2522</v>
      </c>
      <c r="G129" s="30" t="s">
        <v>2523</v>
      </c>
      <c r="H129" s="12" t="s">
        <v>2477</v>
      </c>
      <c r="I129" s="10" t="s">
        <v>2478</v>
      </c>
      <c r="J129" s="12"/>
    </row>
    <row r="130" customFormat="false" ht="23.85" hidden="false" customHeight="false" outlineLevel="0" collapsed="false">
      <c r="A130" s="12" t="s">
        <v>27</v>
      </c>
      <c r="B130" s="12" t="s">
        <v>403</v>
      </c>
      <c r="C130" s="10" t="s">
        <v>404</v>
      </c>
      <c r="D130" s="30" t="s">
        <v>406</v>
      </c>
      <c r="E130" s="10" t="s">
        <v>995</v>
      </c>
      <c r="F130" s="10" t="s">
        <v>2524</v>
      </c>
      <c r="G130" s="30" t="s">
        <v>2525</v>
      </c>
      <c r="H130" s="12" t="s">
        <v>2322</v>
      </c>
      <c r="I130" s="10" t="s">
        <v>2323</v>
      </c>
      <c r="J130" s="12"/>
    </row>
    <row r="131" customFormat="false" ht="35.05" hidden="false" customHeight="false" outlineLevel="0" collapsed="false">
      <c r="A131" s="12" t="s">
        <v>25</v>
      </c>
      <c r="B131" s="12" t="s">
        <v>75</v>
      </c>
      <c r="C131" s="10" t="s">
        <v>76</v>
      </c>
      <c r="D131" s="30" t="s">
        <v>315</v>
      </c>
      <c r="E131" s="10" t="s">
        <v>2289</v>
      </c>
      <c r="F131" s="10" t="s">
        <v>2526</v>
      </c>
      <c r="G131" s="30" t="s">
        <v>2527</v>
      </c>
      <c r="H131" s="12" t="s">
        <v>2292</v>
      </c>
      <c r="I131" s="10" t="s">
        <v>2293</v>
      </c>
      <c r="J131" s="12"/>
    </row>
    <row r="132" customFormat="false" ht="23.85" hidden="false" customHeight="false" outlineLevel="0" collapsed="false">
      <c r="A132" s="12" t="s">
        <v>25</v>
      </c>
      <c r="B132" s="12" t="s">
        <v>75</v>
      </c>
      <c r="C132" s="10" t="s">
        <v>76</v>
      </c>
      <c r="D132" s="30" t="s">
        <v>315</v>
      </c>
      <c r="E132" s="10" t="s">
        <v>948</v>
      </c>
      <c r="F132" s="10" t="s">
        <v>2528</v>
      </c>
      <c r="G132" s="30" t="s">
        <v>2529</v>
      </c>
      <c r="H132" s="12" t="s">
        <v>2283</v>
      </c>
      <c r="I132" s="10" t="s">
        <v>2284</v>
      </c>
      <c r="J132" s="12"/>
    </row>
    <row r="133" customFormat="false" ht="147" hidden="false" customHeight="false" outlineLevel="0" collapsed="false">
      <c r="A133" s="12" t="s">
        <v>25</v>
      </c>
      <c r="B133" s="12" t="s">
        <v>75</v>
      </c>
      <c r="C133" s="10" t="s">
        <v>76</v>
      </c>
      <c r="D133" s="30" t="s">
        <v>315</v>
      </c>
      <c r="E133" s="10" t="s">
        <v>1590</v>
      </c>
      <c r="F133" s="10" t="s">
        <v>2530</v>
      </c>
      <c r="G133" s="30" t="s">
        <v>2531</v>
      </c>
      <c r="H133" s="12" t="s">
        <v>2532</v>
      </c>
      <c r="I133" s="10" t="s">
        <v>2533</v>
      </c>
      <c r="J133" s="30" t="s">
        <v>2182</v>
      </c>
    </row>
    <row r="134" customFormat="false" ht="23.85" hidden="false" customHeight="false" outlineLevel="0" collapsed="false">
      <c r="A134" s="12" t="s">
        <v>25</v>
      </c>
      <c r="B134" s="12" t="s">
        <v>75</v>
      </c>
      <c r="C134" s="10" t="s">
        <v>76</v>
      </c>
      <c r="D134" s="30" t="s">
        <v>315</v>
      </c>
      <c r="E134" s="10" t="s">
        <v>1044</v>
      </c>
      <c r="F134" s="10" t="s">
        <v>2534</v>
      </c>
      <c r="G134" s="30" t="s">
        <v>2535</v>
      </c>
      <c r="H134" s="12" t="s">
        <v>2302</v>
      </c>
      <c r="I134" s="10" t="s">
        <v>2303</v>
      </c>
      <c r="J134" s="12"/>
    </row>
    <row r="135" customFormat="false" ht="23.85" hidden="false" customHeight="false" outlineLevel="0" collapsed="false">
      <c r="A135" s="12" t="s">
        <v>25</v>
      </c>
      <c r="B135" s="12" t="s">
        <v>75</v>
      </c>
      <c r="C135" s="10" t="s">
        <v>76</v>
      </c>
      <c r="D135" s="30" t="s">
        <v>315</v>
      </c>
      <c r="E135" s="10" t="s">
        <v>995</v>
      </c>
      <c r="F135" s="10" t="s">
        <v>2536</v>
      </c>
      <c r="G135" s="30" t="s">
        <v>2537</v>
      </c>
      <c r="H135" s="12" t="s">
        <v>2322</v>
      </c>
      <c r="I135" s="10" t="s">
        <v>2323</v>
      </c>
      <c r="J135" s="12"/>
    </row>
    <row r="136" customFormat="false" ht="23.85" hidden="false" customHeight="false" outlineLevel="0" collapsed="false">
      <c r="A136" s="12" t="s">
        <v>25</v>
      </c>
      <c r="B136" s="12" t="s">
        <v>455</v>
      </c>
      <c r="C136" s="10" t="s">
        <v>456</v>
      </c>
      <c r="D136" s="30" t="s">
        <v>457</v>
      </c>
      <c r="E136" s="10" t="s">
        <v>144</v>
      </c>
      <c r="F136" s="10" t="s">
        <v>2538</v>
      </c>
      <c r="G136" s="30" t="s">
        <v>2539</v>
      </c>
      <c r="H136" s="12" t="s">
        <v>2306</v>
      </c>
      <c r="I136" s="10" t="s">
        <v>2307</v>
      </c>
      <c r="J136" s="12"/>
    </row>
    <row r="137" customFormat="false" ht="23.85" hidden="false" customHeight="false" outlineLevel="0" collapsed="false">
      <c r="A137" s="12" t="s">
        <v>25</v>
      </c>
      <c r="B137" s="12" t="s">
        <v>89</v>
      </c>
      <c r="C137" s="10" t="s">
        <v>90</v>
      </c>
      <c r="D137" s="30" t="s">
        <v>316</v>
      </c>
      <c r="E137" s="10" t="s">
        <v>144</v>
      </c>
      <c r="F137" s="10" t="s">
        <v>2540</v>
      </c>
      <c r="G137" s="30" t="s">
        <v>2305</v>
      </c>
      <c r="H137" s="12" t="s">
        <v>2306</v>
      </c>
      <c r="I137" s="10" t="s">
        <v>2307</v>
      </c>
      <c r="J137" s="12"/>
    </row>
    <row r="138" customFormat="false" ht="35.05" hidden="false" customHeight="false" outlineLevel="0" collapsed="false">
      <c r="A138" s="12" t="s">
        <v>25</v>
      </c>
      <c r="B138" s="12" t="s">
        <v>89</v>
      </c>
      <c r="C138" s="10" t="s">
        <v>90</v>
      </c>
      <c r="D138" s="30" t="s">
        <v>316</v>
      </c>
      <c r="E138" s="10" t="s">
        <v>2289</v>
      </c>
      <c r="F138" s="10" t="s">
        <v>2541</v>
      </c>
      <c r="G138" s="30" t="s">
        <v>2542</v>
      </c>
      <c r="H138" s="12" t="s">
        <v>2292</v>
      </c>
      <c r="I138" s="10" t="s">
        <v>2293</v>
      </c>
      <c r="J138" s="12"/>
    </row>
    <row r="139" customFormat="false" ht="46.25" hidden="false" customHeight="false" outlineLevel="0" collapsed="false">
      <c r="A139" s="12" t="s">
        <v>25</v>
      </c>
      <c r="B139" s="12" t="s">
        <v>89</v>
      </c>
      <c r="C139" s="10" t="s">
        <v>90</v>
      </c>
      <c r="D139" s="30" t="s">
        <v>316</v>
      </c>
      <c r="E139" s="10" t="s">
        <v>96</v>
      </c>
      <c r="F139" s="10" t="s">
        <v>2543</v>
      </c>
      <c r="G139" s="30" t="s">
        <v>2182</v>
      </c>
      <c r="H139" s="12" t="s">
        <v>2269</v>
      </c>
      <c r="I139" s="10" t="s">
        <v>2544</v>
      </c>
      <c r="J139" s="12"/>
    </row>
    <row r="140" customFormat="false" ht="23.85" hidden="false" customHeight="false" outlineLevel="0" collapsed="false">
      <c r="A140" s="12" t="s">
        <v>25</v>
      </c>
      <c r="B140" s="12" t="s">
        <v>89</v>
      </c>
      <c r="C140" s="10" t="s">
        <v>90</v>
      </c>
      <c r="D140" s="30" t="s">
        <v>316</v>
      </c>
      <c r="E140" s="10" t="s">
        <v>948</v>
      </c>
      <c r="F140" s="10" t="s">
        <v>2545</v>
      </c>
      <c r="G140" s="30" t="s">
        <v>2546</v>
      </c>
      <c r="H140" s="12" t="s">
        <v>2283</v>
      </c>
      <c r="I140" s="10" t="s">
        <v>2284</v>
      </c>
      <c r="J140" s="12"/>
    </row>
    <row r="141" customFormat="false" ht="68.65" hidden="false" customHeight="false" outlineLevel="0" collapsed="false">
      <c r="A141" s="12" t="s">
        <v>25</v>
      </c>
      <c r="B141" s="12" t="s">
        <v>89</v>
      </c>
      <c r="C141" s="10" t="s">
        <v>90</v>
      </c>
      <c r="D141" s="30" t="s">
        <v>316</v>
      </c>
      <c r="E141" s="10" t="s">
        <v>2547</v>
      </c>
      <c r="F141" s="10" t="s">
        <v>2543</v>
      </c>
      <c r="G141" s="30" t="s">
        <v>2548</v>
      </c>
      <c r="H141" s="12" t="s">
        <v>2298</v>
      </c>
      <c r="I141" s="10" t="s">
        <v>2549</v>
      </c>
      <c r="J141" s="30" t="s">
        <v>2182</v>
      </c>
    </row>
    <row r="142" customFormat="false" ht="23.85" hidden="false" customHeight="false" outlineLevel="0" collapsed="false">
      <c r="A142" s="12" t="s">
        <v>25</v>
      </c>
      <c r="B142" s="12" t="s">
        <v>89</v>
      </c>
      <c r="C142" s="10" t="s">
        <v>90</v>
      </c>
      <c r="D142" s="30" t="s">
        <v>316</v>
      </c>
      <c r="E142" s="10" t="s">
        <v>995</v>
      </c>
      <c r="F142" s="10" t="s">
        <v>2550</v>
      </c>
      <c r="G142" s="30" t="s">
        <v>2551</v>
      </c>
      <c r="H142" s="12" t="s">
        <v>2322</v>
      </c>
      <c r="I142" s="10" t="s">
        <v>2323</v>
      </c>
      <c r="J142" s="12"/>
    </row>
    <row r="143" customFormat="false" ht="23.85" hidden="false" customHeight="false" outlineLevel="0" collapsed="false">
      <c r="A143" s="12" t="s">
        <v>25</v>
      </c>
      <c r="B143" s="12" t="s">
        <v>162</v>
      </c>
      <c r="C143" s="10" t="s">
        <v>163</v>
      </c>
      <c r="D143" s="30" t="s">
        <v>305</v>
      </c>
      <c r="E143" s="10" t="s">
        <v>144</v>
      </c>
      <c r="F143" s="10" t="s">
        <v>2552</v>
      </c>
      <c r="G143" s="30" t="s">
        <v>2553</v>
      </c>
      <c r="H143" s="12" t="s">
        <v>2265</v>
      </c>
      <c r="I143" s="10" t="s">
        <v>2266</v>
      </c>
      <c r="J143" s="12"/>
    </row>
    <row r="144" customFormat="false" ht="35.05" hidden="false" customHeight="false" outlineLevel="0" collapsed="false">
      <c r="A144" s="12" t="s">
        <v>25</v>
      </c>
      <c r="B144" s="12" t="s">
        <v>162</v>
      </c>
      <c r="C144" s="10" t="s">
        <v>163</v>
      </c>
      <c r="D144" s="30" t="s">
        <v>305</v>
      </c>
      <c r="E144" s="10" t="s">
        <v>1044</v>
      </c>
      <c r="F144" s="10" t="s">
        <v>2554</v>
      </c>
      <c r="G144" s="30" t="s">
        <v>2555</v>
      </c>
      <c r="H144" s="12" t="s">
        <v>2302</v>
      </c>
      <c r="I144" s="10" t="s">
        <v>2303</v>
      </c>
      <c r="J144" s="12"/>
    </row>
    <row r="145" customFormat="false" ht="23.85" hidden="false" customHeight="false" outlineLevel="0" collapsed="false">
      <c r="A145" s="12" t="s">
        <v>25</v>
      </c>
      <c r="B145" s="12" t="s">
        <v>124</v>
      </c>
      <c r="C145" s="10" t="s">
        <v>125</v>
      </c>
      <c r="D145" s="30" t="s">
        <v>321</v>
      </c>
      <c r="E145" s="10" t="s">
        <v>144</v>
      </c>
      <c r="F145" s="10" t="s">
        <v>2556</v>
      </c>
      <c r="G145" s="30" t="s">
        <v>2557</v>
      </c>
      <c r="H145" s="12" t="s">
        <v>2265</v>
      </c>
      <c r="I145" s="10" t="s">
        <v>2266</v>
      </c>
      <c r="J145" s="12"/>
    </row>
    <row r="146" customFormat="false" ht="46.25" hidden="false" customHeight="false" outlineLevel="0" collapsed="false">
      <c r="A146" s="12" t="s">
        <v>25</v>
      </c>
      <c r="B146" s="12" t="s">
        <v>124</v>
      </c>
      <c r="C146" s="10" t="s">
        <v>125</v>
      </c>
      <c r="D146" s="30" t="s">
        <v>321</v>
      </c>
      <c r="E146" s="10" t="s">
        <v>2558</v>
      </c>
      <c r="F146" s="10" t="s">
        <v>2559</v>
      </c>
      <c r="G146" s="30" t="s">
        <v>2560</v>
      </c>
      <c r="H146" s="12" t="s">
        <v>2298</v>
      </c>
      <c r="I146" s="10" t="s">
        <v>2561</v>
      </c>
      <c r="J146" s="30" t="s">
        <v>2182</v>
      </c>
    </row>
    <row r="147" customFormat="false" ht="35.05" hidden="false" customHeight="false" outlineLevel="0" collapsed="false">
      <c r="A147" s="12" t="s">
        <v>25</v>
      </c>
      <c r="B147" s="12" t="s">
        <v>107</v>
      </c>
      <c r="C147" s="10" t="s">
        <v>108</v>
      </c>
      <c r="D147" s="30" t="s">
        <v>317</v>
      </c>
      <c r="E147" s="10" t="s">
        <v>2289</v>
      </c>
      <c r="F147" s="10" t="s">
        <v>2562</v>
      </c>
      <c r="G147" s="30" t="s">
        <v>2563</v>
      </c>
      <c r="H147" s="12" t="s">
        <v>2292</v>
      </c>
      <c r="I147" s="10" t="s">
        <v>2293</v>
      </c>
      <c r="J147" s="12"/>
    </row>
    <row r="148" customFormat="false" ht="46.25" hidden="false" customHeight="false" outlineLevel="0" collapsed="false">
      <c r="A148" s="12" t="s">
        <v>25</v>
      </c>
      <c r="B148" s="12" t="s">
        <v>107</v>
      </c>
      <c r="C148" s="10" t="s">
        <v>108</v>
      </c>
      <c r="D148" s="30" t="s">
        <v>317</v>
      </c>
      <c r="E148" s="10" t="s">
        <v>96</v>
      </c>
      <c r="F148" s="10" t="s">
        <v>2543</v>
      </c>
      <c r="G148" s="30" t="s">
        <v>2182</v>
      </c>
      <c r="H148" s="12" t="s">
        <v>2269</v>
      </c>
      <c r="I148" s="10" t="s">
        <v>2564</v>
      </c>
      <c r="J148" s="12"/>
    </row>
    <row r="149" customFormat="false" ht="23.85" hidden="false" customHeight="false" outlineLevel="0" collapsed="false">
      <c r="A149" s="12" t="s">
        <v>25</v>
      </c>
      <c r="B149" s="12" t="s">
        <v>107</v>
      </c>
      <c r="C149" s="10" t="s">
        <v>108</v>
      </c>
      <c r="D149" s="30" t="s">
        <v>317</v>
      </c>
      <c r="E149" s="10" t="s">
        <v>948</v>
      </c>
      <c r="F149" s="10" t="s">
        <v>2565</v>
      </c>
      <c r="G149" s="30" t="s">
        <v>2566</v>
      </c>
      <c r="H149" s="12" t="s">
        <v>2283</v>
      </c>
      <c r="I149" s="10" t="s">
        <v>2284</v>
      </c>
      <c r="J149" s="12"/>
    </row>
    <row r="150" customFormat="false" ht="57.45" hidden="false" customHeight="false" outlineLevel="0" collapsed="false">
      <c r="A150" s="12" t="s">
        <v>25</v>
      </c>
      <c r="B150" s="12" t="s">
        <v>107</v>
      </c>
      <c r="C150" s="10" t="s">
        <v>108</v>
      </c>
      <c r="D150" s="30" t="s">
        <v>317</v>
      </c>
      <c r="E150" s="10" t="s">
        <v>2567</v>
      </c>
      <c r="F150" s="10" t="s">
        <v>2543</v>
      </c>
      <c r="G150" s="30" t="s">
        <v>2568</v>
      </c>
      <c r="H150" s="12" t="s">
        <v>2298</v>
      </c>
      <c r="I150" s="10" t="s">
        <v>2569</v>
      </c>
      <c r="J150" s="30" t="s">
        <v>2182</v>
      </c>
    </row>
    <row r="151" customFormat="false" ht="23.85" hidden="false" customHeight="false" outlineLevel="0" collapsed="false">
      <c r="A151" s="12" t="s">
        <v>25</v>
      </c>
      <c r="B151" s="12" t="s">
        <v>107</v>
      </c>
      <c r="C151" s="10" t="s">
        <v>108</v>
      </c>
      <c r="D151" s="30" t="s">
        <v>317</v>
      </c>
      <c r="E151" s="10" t="s">
        <v>1044</v>
      </c>
      <c r="F151" s="10" t="s">
        <v>2570</v>
      </c>
      <c r="G151" s="30" t="s">
        <v>2571</v>
      </c>
      <c r="H151" s="12" t="s">
        <v>2302</v>
      </c>
      <c r="I151" s="10" t="s">
        <v>2303</v>
      </c>
      <c r="J151" s="12"/>
    </row>
    <row r="152" customFormat="false" ht="23.85" hidden="false" customHeight="false" outlineLevel="0" collapsed="false">
      <c r="A152" s="12" t="s">
        <v>25</v>
      </c>
      <c r="B152" s="12" t="s">
        <v>451</v>
      </c>
      <c r="C152" s="10" t="s">
        <v>452</v>
      </c>
      <c r="D152" s="30" t="s">
        <v>453</v>
      </c>
      <c r="E152" s="10" t="s">
        <v>144</v>
      </c>
      <c r="F152" s="10" t="s">
        <v>2572</v>
      </c>
      <c r="G152" s="30" t="s">
        <v>2573</v>
      </c>
      <c r="H152" s="12" t="s">
        <v>2265</v>
      </c>
      <c r="I152" s="10" t="s">
        <v>2266</v>
      </c>
      <c r="J152" s="12"/>
    </row>
    <row r="153" customFormat="false" ht="23.85" hidden="false" customHeight="false" outlineLevel="0" collapsed="false">
      <c r="A153" s="12" t="s">
        <v>25</v>
      </c>
      <c r="B153" s="12" t="s">
        <v>291</v>
      </c>
      <c r="C153" s="10" t="s">
        <v>292</v>
      </c>
      <c r="D153" s="30" t="s">
        <v>307</v>
      </c>
      <c r="E153" s="10" t="s">
        <v>144</v>
      </c>
      <c r="F153" s="10" t="s">
        <v>2574</v>
      </c>
      <c r="G153" s="30" t="s">
        <v>2272</v>
      </c>
      <c r="H153" s="12" t="s">
        <v>2265</v>
      </c>
      <c r="I153" s="10" t="s">
        <v>2266</v>
      </c>
      <c r="J153" s="12"/>
    </row>
    <row r="154" customFormat="false" ht="23.85" hidden="false" customHeight="false" outlineLevel="0" collapsed="false">
      <c r="A154" s="12" t="s">
        <v>25</v>
      </c>
      <c r="B154" s="12" t="s">
        <v>411</v>
      </c>
      <c r="C154" s="10" t="s">
        <v>412</v>
      </c>
      <c r="D154" s="30" t="s">
        <v>414</v>
      </c>
      <c r="E154" s="10" t="s">
        <v>144</v>
      </c>
      <c r="F154" s="10" t="s">
        <v>2575</v>
      </c>
      <c r="G154" s="30" t="s">
        <v>2576</v>
      </c>
      <c r="H154" s="12" t="s">
        <v>2265</v>
      </c>
      <c r="I154" s="10" t="s">
        <v>2266</v>
      </c>
      <c r="J154" s="12"/>
    </row>
    <row r="155" customFormat="false" ht="23.85" hidden="false" customHeight="false" outlineLevel="0" collapsed="false">
      <c r="A155" s="12" t="s">
        <v>25</v>
      </c>
      <c r="B155" s="12" t="s">
        <v>131</v>
      </c>
      <c r="C155" s="10" t="s">
        <v>132</v>
      </c>
      <c r="D155" s="30" t="s">
        <v>449</v>
      </c>
      <c r="E155" s="10" t="s">
        <v>144</v>
      </c>
      <c r="F155" s="10" t="s">
        <v>2577</v>
      </c>
      <c r="G155" s="30" t="s">
        <v>2578</v>
      </c>
      <c r="H155" s="12" t="s">
        <v>2265</v>
      </c>
      <c r="I155" s="10" t="s">
        <v>2266</v>
      </c>
      <c r="J155" s="12"/>
    </row>
    <row r="156" customFormat="false" ht="23.85" hidden="false" customHeight="false" outlineLevel="0" collapsed="false">
      <c r="A156" s="12" t="s">
        <v>25</v>
      </c>
      <c r="B156" s="12" t="s">
        <v>131</v>
      </c>
      <c r="C156" s="10" t="s">
        <v>132</v>
      </c>
      <c r="D156" s="30" t="s">
        <v>449</v>
      </c>
      <c r="E156" s="10" t="s">
        <v>2289</v>
      </c>
      <c r="F156" s="10" t="s">
        <v>2579</v>
      </c>
      <c r="G156" s="30" t="s">
        <v>1166</v>
      </c>
      <c r="H156" s="12" t="s">
        <v>2404</v>
      </c>
      <c r="I156" s="10" t="s">
        <v>2405</v>
      </c>
      <c r="J156" s="12"/>
    </row>
    <row r="157" customFormat="false" ht="35.05" hidden="false" customHeight="false" outlineLevel="0" collapsed="false">
      <c r="A157" s="12" t="s">
        <v>25</v>
      </c>
      <c r="B157" s="12" t="s">
        <v>131</v>
      </c>
      <c r="C157" s="10" t="s">
        <v>132</v>
      </c>
      <c r="D157" s="30" t="s">
        <v>449</v>
      </c>
      <c r="E157" s="10" t="s">
        <v>96</v>
      </c>
      <c r="F157" s="10" t="s">
        <v>2580</v>
      </c>
      <c r="G157" s="30" t="s">
        <v>2182</v>
      </c>
      <c r="H157" s="12" t="s">
        <v>2269</v>
      </c>
      <c r="I157" s="10" t="s">
        <v>2581</v>
      </c>
      <c r="J157" s="12"/>
    </row>
    <row r="158" customFormat="false" ht="23.85" hidden="false" customHeight="false" outlineLevel="0" collapsed="false">
      <c r="A158" s="12" t="s">
        <v>25</v>
      </c>
      <c r="B158" s="12" t="s">
        <v>131</v>
      </c>
      <c r="C158" s="10" t="s">
        <v>132</v>
      </c>
      <c r="D158" s="30" t="s">
        <v>449</v>
      </c>
      <c r="E158" s="10" t="s">
        <v>948</v>
      </c>
      <c r="F158" s="10" t="s">
        <v>2582</v>
      </c>
      <c r="G158" s="30" t="s">
        <v>2583</v>
      </c>
      <c r="H158" s="12" t="s">
        <v>2283</v>
      </c>
      <c r="I158" s="10" t="s">
        <v>2284</v>
      </c>
      <c r="J158" s="12"/>
    </row>
    <row r="159" customFormat="false" ht="35.05" hidden="false" customHeight="false" outlineLevel="0" collapsed="false">
      <c r="A159" s="12" t="s">
        <v>25</v>
      </c>
      <c r="B159" s="12" t="s">
        <v>131</v>
      </c>
      <c r="C159" s="10" t="s">
        <v>132</v>
      </c>
      <c r="D159" s="30" t="s">
        <v>449</v>
      </c>
      <c r="E159" s="10" t="s">
        <v>2584</v>
      </c>
      <c r="F159" s="10" t="s">
        <v>2580</v>
      </c>
      <c r="G159" s="30" t="s">
        <v>2182</v>
      </c>
      <c r="H159" s="12" t="s">
        <v>2269</v>
      </c>
      <c r="I159" s="10" t="s">
        <v>2585</v>
      </c>
      <c r="J159" s="12"/>
    </row>
    <row r="160" customFormat="false" ht="23.85" hidden="false" customHeight="false" outlineLevel="0" collapsed="false">
      <c r="A160" s="12" t="s">
        <v>25</v>
      </c>
      <c r="B160" s="12" t="s">
        <v>131</v>
      </c>
      <c r="C160" s="10" t="s">
        <v>132</v>
      </c>
      <c r="D160" s="30" t="s">
        <v>449</v>
      </c>
      <c r="E160" s="10" t="s">
        <v>1044</v>
      </c>
      <c r="F160" s="10" t="s">
        <v>2586</v>
      </c>
      <c r="G160" s="30" t="s">
        <v>2587</v>
      </c>
      <c r="H160" s="12" t="s">
        <v>2302</v>
      </c>
      <c r="I160" s="10" t="s">
        <v>2303</v>
      </c>
      <c r="J160" s="12"/>
    </row>
    <row r="161" customFormat="false" ht="23.85" hidden="false" customHeight="false" outlineLevel="0" collapsed="false">
      <c r="A161" s="12" t="s">
        <v>25</v>
      </c>
      <c r="B161" s="12" t="s">
        <v>131</v>
      </c>
      <c r="C161" s="10" t="s">
        <v>132</v>
      </c>
      <c r="D161" s="30" t="s">
        <v>449</v>
      </c>
      <c r="E161" s="10" t="s">
        <v>995</v>
      </c>
      <c r="F161" s="10" t="s">
        <v>2588</v>
      </c>
      <c r="G161" s="30" t="s">
        <v>2589</v>
      </c>
      <c r="H161" s="12" t="s">
        <v>2477</v>
      </c>
      <c r="I161" s="10" t="s">
        <v>2478</v>
      </c>
      <c r="J161" s="12"/>
    </row>
    <row r="162" customFormat="false" ht="23.85" hidden="false" customHeight="false" outlineLevel="0" collapsed="false">
      <c r="A162" s="12" t="s">
        <v>25</v>
      </c>
      <c r="B162" s="12" t="s">
        <v>145</v>
      </c>
      <c r="C162" s="10" t="s">
        <v>146</v>
      </c>
      <c r="D162" s="30" t="s">
        <v>320</v>
      </c>
      <c r="E162" s="10" t="s">
        <v>948</v>
      </c>
      <c r="F162" s="10" t="s">
        <v>2590</v>
      </c>
      <c r="G162" s="30" t="s">
        <v>2591</v>
      </c>
      <c r="H162" s="12" t="s">
        <v>2283</v>
      </c>
      <c r="I162" s="10" t="s">
        <v>2284</v>
      </c>
      <c r="J162" s="12"/>
    </row>
    <row r="163" customFormat="false" ht="35.05" hidden="false" customHeight="false" outlineLevel="0" collapsed="false">
      <c r="A163" s="12" t="s">
        <v>25</v>
      </c>
      <c r="B163" s="12" t="s">
        <v>458</v>
      </c>
      <c r="C163" s="10" t="s">
        <v>459</v>
      </c>
      <c r="D163" s="30" t="s">
        <v>460</v>
      </c>
      <c r="E163" s="10" t="s">
        <v>1044</v>
      </c>
      <c r="F163" s="10" t="s">
        <v>2592</v>
      </c>
      <c r="G163" s="30" t="s">
        <v>2593</v>
      </c>
      <c r="H163" s="12" t="s">
        <v>2302</v>
      </c>
      <c r="I163" s="10" t="s">
        <v>2303</v>
      </c>
      <c r="J163" s="12"/>
    </row>
    <row r="164" customFormat="false" ht="23.85" hidden="false" customHeight="false" outlineLevel="0" collapsed="false">
      <c r="A164" s="12" t="s">
        <v>25</v>
      </c>
      <c r="B164" s="12" t="s">
        <v>114</v>
      </c>
      <c r="C164" s="10" t="s">
        <v>115</v>
      </c>
      <c r="D164" s="30" t="s">
        <v>304</v>
      </c>
      <c r="E164" s="10" t="s">
        <v>144</v>
      </c>
      <c r="F164" s="10" t="s">
        <v>2594</v>
      </c>
      <c r="G164" s="30" t="s">
        <v>2595</v>
      </c>
      <c r="H164" s="12" t="s">
        <v>2265</v>
      </c>
      <c r="I164" s="10" t="s">
        <v>2266</v>
      </c>
      <c r="J164" s="12"/>
    </row>
    <row r="165" customFormat="false" ht="35.05" hidden="false" customHeight="false" outlineLevel="0" collapsed="false">
      <c r="A165" s="12" t="s">
        <v>25</v>
      </c>
      <c r="B165" s="12" t="s">
        <v>114</v>
      </c>
      <c r="C165" s="10" t="s">
        <v>115</v>
      </c>
      <c r="D165" s="30" t="s">
        <v>304</v>
      </c>
      <c r="E165" s="10" t="s">
        <v>2289</v>
      </c>
      <c r="F165" s="10" t="s">
        <v>2596</v>
      </c>
      <c r="G165" s="30" t="s">
        <v>2597</v>
      </c>
      <c r="H165" s="12" t="s">
        <v>2292</v>
      </c>
      <c r="I165" s="10" t="s">
        <v>2293</v>
      </c>
      <c r="J165" s="12"/>
    </row>
    <row r="166" customFormat="false" ht="46.25" hidden="false" customHeight="false" outlineLevel="0" collapsed="false">
      <c r="A166" s="12" t="s">
        <v>25</v>
      </c>
      <c r="B166" s="12" t="s">
        <v>114</v>
      </c>
      <c r="C166" s="10" t="s">
        <v>115</v>
      </c>
      <c r="D166" s="30" t="s">
        <v>304</v>
      </c>
      <c r="E166" s="10" t="s">
        <v>96</v>
      </c>
      <c r="F166" s="10" t="s">
        <v>2598</v>
      </c>
      <c r="G166" s="30" t="s">
        <v>2182</v>
      </c>
      <c r="H166" s="12" t="s">
        <v>2269</v>
      </c>
      <c r="I166" s="10" t="s">
        <v>2599</v>
      </c>
      <c r="J166" s="12"/>
    </row>
    <row r="167" customFormat="false" ht="46.25" hidden="false" customHeight="false" outlineLevel="0" collapsed="false">
      <c r="A167" s="12" t="s">
        <v>25</v>
      </c>
      <c r="B167" s="12" t="s">
        <v>114</v>
      </c>
      <c r="C167" s="10" t="s">
        <v>115</v>
      </c>
      <c r="D167" s="30" t="s">
        <v>304</v>
      </c>
      <c r="E167" s="10" t="s">
        <v>2600</v>
      </c>
      <c r="F167" s="10" t="s">
        <v>2598</v>
      </c>
      <c r="G167" s="30" t="s">
        <v>2182</v>
      </c>
      <c r="H167" s="12" t="s">
        <v>2269</v>
      </c>
      <c r="I167" s="10" t="s">
        <v>2601</v>
      </c>
      <c r="J167" s="12"/>
    </row>
    <row r="168" customFormat="false" ht="15" hidden="false" customHeight="false" outlineLevel="0" collapsed="false">
      <c r="A168" s="12" t="s">
        <v>25</v>
      </c>
      <c r="B168" s="12" t="s">
        <v>114</v>
      </c>
      <c r="C168" s="10" t="s">
        <v>115</v>
      </c>
      <c r="D168" s="30" t="s">
        <v>304</v>
      </c>
      <c r="E168" s="10" t="s">
        <v>995</v>
      </c>
      <c r="F168" s="10" t="s">
        <v>2602</v>
      </c>
      <c r="G168" s="30" t="s">
        <v>2603</v>
      </c>
      <c r="H168" s="12" t="s">
        <v>2322</v>
      </c>
      <c r="I168" s="10" t="s">
        <v>2323</v>
      </c>
      <c r="J168" s="12"/>
    </row>
    <row r="169" customFormat="false" ht="35.05" hidden="false" customHeight="false" outlineLevel="0" collapsed="false">
      <c r="A169" s="12" t="s">
        <v>25</v>
      </c>
      <c r="B169" s="12" t="s">
        <v>368</v>
      </c>
      <c r="C169" s="10" t="s">
        <v>369</v>
      </c>
      <c r="D169" s="30" t="s">
        <v>370</v>
      </c>
      <c r="E169" s="10" t="s">
        <v>888</v>
      </c>
      <c r="F169" s="10" t="s">
        <v>2604</v>
      </c>
      <c r="G169" s="30" t="s">
        <v>2182</v>
      </c>
      <c r="H169" s="12" t="s">
        <v>2269</v>
      </c>
      <c r="I169" s="10" t="s">
        <v>2605</v>
      </c>
      <c r="J169" s="12"/>
    </row>
    <row r="170" customFormat="false" ht="23.85" hidden="false" customHeight="false" outlineLevel="0" collapsed="false">
      <c r="A170" s="12" t="s">
        <v>25</v>
      </c>
      <c r="B170" s="12" t="s">
        <v>374</v>
      </c>
      <c r="C170" s="10" t="s">
        <v>375</v>
      </c>
      <c r="D170" s="30" t="s">
        <v>377</v>
      </c>
      <c r="E170" s="10" t="s">
        <v>144</v>
      </c>
      <c r="F170" s="10" t="s">
        <v>2606</v>
      </c>
      <c r="G170" s="30" t="s">
        <v>2607</v>
      </c>
      <c r="H170" s="12" t="s">
        <v>2265</v>
      </c>
      <c r="I170" s="10" t="s">
        <v>2266</v>
      </c>
      <c r="J170" s="12"/>
    </row>
    <row r="171" customFormat="false" ht="23.85" hidden="false" customHeight="false" outlineLevel="0" collapsed="false">
      <c r="A171" s="12" t="s">
        <v>25</v>
      </c>
      <c r="B171" s="12" t="s">
        <v>461</v>
      </c>
      <c r="C171" s="10" t="s">
        <v>462</v>
      </c>
      <c r="D171" s="30" t="s">
        <v>463</v>
      </c>
      <c r="E171" s="10" t="s">
        <v>144</v>
      </c>
      <c r="F171" s="10" t="s">
        <v>2608</v>
      </c>
      <c r="G171" s="30" t="s">
        <v>2609</v>
      </c>
      <c r="H171" s="12" t="s">
        <v>2265</v>
      </c>
      <c r="I171" s="10" t="s">
        <v>2266</v>
      </c>
      <c r="J171" s="12"/>
    </row>
    <row r="172" customFormat="false" ht="23.85" hidden="false" customHeight="false" outlineLevel="0" collapsed="false">
      <c r="A172" s="12" t="s">
        <v>25</v>
      </c>
      <c r="B172" s="12" t="s">
        <v>400</v>
      </c>
      <c r="C172" s="10" t="s">
        <v>401</v>
      </c>
      <c r="D172" s="30" t="s">
        <v>402</v>
      </c>
      <c r="E172" s="10" t="s">
        <v>144</v>
      </c>
      <c r="F172" s="10" t="s">
        <v>2610</v>
      </c>
      <c r="G172" s="30" t="s">
        <v>2611</v>
      </c>
      <c r="H172" s="12" t="s">
        <v>2265</v>
      </c>
      <c r="I172" s="10" t="s">
        <v>2266</v>
      </c>
      <c r="J172" s="12"/>
    </row>
    <row r="173" customFormat="false" ht="35.05" hidden="false" customHeight="false" outlineLevel="0" collapsed="false">
      <c r="A173" s="12" t="s">
        <v>25</v>
      </c>
      <c r="B173" s="12" t="s">
        <v>400</v>
      </c>
      <c r="C173" s="10" t="s">
        <v>401</v>
      </c>
      <c r="D173" s="30" t="s">
        <v>402</v>
      </c>
      <c r="E173" s="10" t="s">
        <v>2612</v>
      </c>
      <c r="F173" s="10" t="s">
        <v>2613</v>
      </c>
      <c r="G173" s="30" t="s">
        <v>2182</v>
      </c>
      <c r="H173" s="12" t="s">
        <v>2269</v>
      </c>
      <c r="I173" s="10" t="s">
        <v>2614</v>
      </c>
      <c r="J173" s="12"/>
    </row>
    <row r="174" customFormat="false" ht="35.05" hidden="false" customHeight="false" outlineLevel="0" collapsed="false">
      <c r="A174" s="12" t="s">
        <v>25</v>
      </c>
      <c r="B174" s="12" t="s">
        <v>400</v>
      </c>
      <c r="C174" s="10" t="s">
        <v>401</v>
      </c>
      <c r="D174" s="30" t="s">
        <v>402</v>
      </c>
      <c r="E174" s="10" t="s">
        <v>1044</v>
      </c>
      <c r="F174" s="10" t="s">
        <v>2615</v>
      </c>
      <c r="G174" s="30" t="s">
        <v>2616</v>
      </c>
      <c r="H174" s="12" t="s">
        <v>2302</v>
      </c>
      <c r="I174" s="10" t="s">
        <v>2303</v>
      </c>
      <c r="J174" s="12"/>
    </row>
    <row r="175" customFormat="false" ht="23.85" hidden="false" customHeight="false" outlineLevel="0" collapsed="false">
      <c r="A175" s="12" t="s">
        <v>25</v>
      </c>
      <c r="B175" s="12" t="s">
        <v>312</v>
      </c>
      <c r="C175" s="10" t="s">
        <v>313</v>
      </c>
      <c r="D175" s="30" t="s">
        <v>314</v>
      </c>
      <c r="E175" s="10" t="s">
        <v>144</v>
      </c>
      <c r="F175" s="10" t="s">
        <v>2617</v>
      </c>
      <c r="G175" s="30" t="s">
        <v>2618</v>
      </c>
      <c r="H175" s="12" t="s">
        <v>2265</v>
      </c>
      <c r="I175" s="10" t="s">
        <v>2266</v>
      </c>
      <c r="J175" s="12"/>
    </row>
    <row r="176" customFormat="false" ht="23.85" hidden="false" customHeight="false" outlineLevel="0" collapsed="false">
      <c r="A176" s="12" t="s">
        <v>25</v>
      </c>
      <c r="B176" s="12" t="s">
        <v>112</v>
      </c>
      <c r="C176" s="10" t="s">
        <v>113</v>
      </c>
      <c r="D176" s="30" t="s">
        <v>318</v>
      </c>
      <c r="E176" s="10" t="s">
        <v>144</v>
      </c>
      <c r="F176" s="10" t="s">
        <v>2619</v>
      </c>
      <c r="G176" s="30" t="s">
        <v>2423</v>
      </c>
      <c r="H176" s="12" t="s">
        <v>2265</v>
      </c>
      <c r="I176" s="10" t="s">
        <v>2266</v>
      </c>
      <c r="J176" s="12"/>
    </row>
    <row r="177" customFormat="false" ht="23.85" hidden="false" customHeight="false" outlineLevel="0" collapsed="false">
      <c r="A177" s="12" t="s">
        <v>25</v>
      </c>
      <c r="B177" s="12" t="s">
        <v>415</v>
      </c>
      <c r="C177" s="10" t="s">
        <v>416</v>
      </c>
      <c r="D177" s="30" t="s">
        <v>417</v>
      </c>
      <c r="E177" s="10" t="s">
        <v>144</v>
      </c>
      <c r="F177" s="10" t="s">
        <v>2620</v>
      </c>
      <c r="G177" s="30" t="s">
        <v>2621</v>
      </c>
      <c r="H177" s="12" t="s">
        <v>2306</v>
      </c>
      <c r="I177" s="10" t="s">
        <v>2307</v>
      </c>
      <c r="J177" s="12"/>
    </row>
    <row r="178" customFormat="false" ht="23.85" hidden="false" customHeight="false" outlineLevel="0" collapsed="false">
      <c r="A178" s="12" t="s">
        <v>25</v>
      </c>
      <c r="B178" s="12" t="s">
        <v>265</v>
      </c>
      <c r="C178" s="10" t="s">
        <v>266</v>
      </c>
      <c r="D178" s="30" t="s">
        <v>454</v>
      </c>
      <c r="E178" s="10" t="s">
        <v>144</v>
      </c>
      <c r="F178" s="10" t="s">
        <v>2622</v>
      </c>
      <c r="G178" s="30" t="s">
        <v>2623</v>
      </c>
      <c r="H178" s="12" t="s">
        <v>2265</v>
      </c>
      <c r="I178" s="10" t="s">
        <v>2266</v>
      </c>
      <c r="J178" s="12"/>
    </row>
    <row r="179" customFormat="false" ht="23.85" hidden="false" customHeight="false" outlineLevel="0" collapsed="false">
      <c r="A179" s="12" t="s">
        <v>25</v>
      </c>
      <c r="B179" s="12" t="s">
        <v>265</v>
      </c>
      <c r="C179" s="10" t="s">
        <v>266</v>
      </c>
      <c r="D179" s="30" t="s">
        <v>454</v>
      </c>
      <c r="E179" s="10" t="s">
        <v>948</v>
      </c>
      <c r="F179" s="10" t="s">
        <v>2624</v>
      </c>
      <c r="G179" s="30" t="s">
        <v>2625</v>
      </c>
      <c r="H179" s="12" t="s">
        <v>2626</v>
      </c>
      <c r="I179" s="10" t="s">
        <v>2627</v>
      </c>
      <c r="J179" s="12"/>
    </row>
    <row r="180" customFormat="false" ht="23.85" hidden="false" customHeight="false" outlineLevel="0" collapsed="false">
      <c r="A180" s="12" t="s">
        <v>25</v>
      </c>
      <c r="B180" s="12" t="s">
        <v>117</v>
      </c>
      <c r="C180" s="10" t="s">
        <v>118</v>
      </c>
      <c r="D180" s="30" t="s">
        <v>428</v>
      </c>
      <c r="E180" s="10" t="s">
        <v>144</v>
      </c>
      <c r="F180" s="10" t="s">
        <v>2628</v>
      </c>
      <c r="G180" s="30" t="s">
        <v>2629</v>
      </c>
      <c r="H180" s="12" t="s">
        <v>2265</v>
      </c>
      <c r="I180" s="10" t="s">
        <v>2266</v>
      </c>
      <c r="J180" s="12"/>
    </row>
    <row r="181" customFormat="false" ht="35.05" hidden="false" customHeight="false" outlineLevel="0" collapsed="false">
      <c r="A181" s="12" t="s">
        <v>25</v>
      </c>
      <c r="B181" s="12" t="s">
        <v>117</v>
      </c>
      <c r="C181" s="10" t="s">
        <v>118</v>
      </c>
      <c r="D181" s="30" t="s">
        <v>428</v>
      </c>
      <c r="E181" s="10" t="s">
        <v>2289</v>
      </c>
      <c r="F181" s="10" t="s">
        <v>2630</v>
      </c>
      <c r="G181" s="30" t="s">
        <v>1163</v>
      </c>
      <c r="H181" s="12" t="s">
        <v>2404</v>
      </c>
      <c r="I181" s="10" t="s">
        <v>2405</v>
      </c>
      <c r="J181" s="12"/>
    </row>
    <row r="182" customFormat="false" ht="46.25" hidden="false" customHeight="false" outlineLevel="0" collapsed="false">
      <c r="A182" s="12" t="s">
        <v>25</v>
      </c>
      <c r="B182" s="12" t="s">
        <v>117</v>
      </c>
      <c r="C182" s="10" t="s">
        <v>118</v>
      </c>
      <c r="D182" s="30" t="s">
        <v>428</v>
      </c>
      <c r="E182" s="10" t="s">
        <v>96</v>
      </c>
      <c r="F182" s="10" t="s">
        <v>2631</v>
      </c>
      <c r="G182" s="30" t="s">
        <v>2182</v>
      </c>
      <c r="H182" s="12" t="s">
        <v>2269</v>
      </c>
      <c r="I182" s="10" t="s">
        <v>2632</v>
      </c>
      <c r="J182" s="12"/>
    </row>
    <row r="183" customFormat="false" ht="79.85" hidden="false" customHeight="false" outlineLevel="0" collapsed="false">
      <c r="A183" s="12" t="s">
        <v>25</v>
      </c>
      <c r="B183" s="12" t="s">
        <v>117</v>
      </c>
      <c r="C183" s="10" t="s">
        <v>118</v>
      </c>
      <c r="D183" s="30" t="s">
        <v>428</v>
      </c>
      <c r="E183" s="10" t="s">
        <v>2633</v>
      </c>
      <c r="F183" s="10" t="s">
        <v>2631</v>
      </c>
      <c r="G183" s="30" t="s">
        <v>2634</v>
      </c>
      <c r="H183" s="12" t="s">
        <v>2298</v>
      </c>
      <c r="I183" s="10" t="s">
        <v>2635</v>
      </c>
      <c r="J183" s="30" t="s">
        <v>2182</v>
      </c>
    </row>
    <row r="184" customFormat="false" ht="35.05" hidden="false" customHeight="false" outlineLevel="0" collapsed="false">
      <c r="A184" s="12" t="s">
        <v>25</v>
      </c>
      <c r="B184" s="12" t="s">
        <v>117</v>
      </c>
      <c r="C184" s="10" t="s">
        <v>118</v>
      </c>
      <c r="D184" s="30" t="s">
        <v>428</v>
      </c>
      <c r="E184" s="10" t="s">
        <v>1044</v>
      </c>
      <c r="F184" s="10" t="s">
        <v>2636</v>
      </c>
      <c r="G184" s="30" t="s">
        <v>2637</v>
      </c>
      <c r="H184" s="12" t="s">
        <v>2302</v>
      </c>
      <c r="I184" s="10" t="s">
        <v>2303</v>
      </c>
      <c r="J184" s="12"/>
    </row>
    <row r="185" customFormat="false" ht="23.85" hidden="false" customHeight="false" outlineLevel="0" collapsed="false">
      <c r="A185" s="12" t="s">
        <v>25</v>
      </c>
      <c r="B185" s="12" t="s">
        <v>117</v>
      </c>
      <c r="C185" s="10" t="s">
        <v>118</v>
      </c>
      <c r="D185" s="30" t="s">
        <v>428</v>
      </c>
      <c r="E185" s="10" t="s">
        <v>995</v>
      </c>
      <c r="F185" s="10" t="s">
        <v>2638</v>
      </c>
      <c r="G185" s="30" t="s">
        <v>2639</v>
      </c>
      <c r="H185" s="12" t="s">
        <v>2322</v>
      </c>
      <c r="I185" s="10" t="s">
        <v>2323</v>
      </c>
      <c r="J185" s="12"/>
    </row>
    <row r="186" customFormat="false" ht="35.05" hidden="false" customHeight="false" outlineLevel="0" collapsed="false">
      <c r="A186" s="12" t="s">
        <v>25</v>
      </c>
      <c r="B186" s="12" t="s">
        <v>158</v>
      </c>
      <c r="C186" s="10" t="s">
        <v>159</v>
      </c>
      <c r="D186" s="30" t="s">
        <v>447</v>
      </c>
      <c r="E186" s="10" t="s">
        <v>144</v>
      </c>
      <c r="F186" s="10" t="s">
        <v>2640</v>
      </c>
      <c r="G186" s="30" t="s">
        <v>2641</v>
      </c>
      <c r="H186" s="12" t="s">
        <v>2265</v>
      </c>
      <c r="I186" s="10" t="s">
        <v>2266</v>
      </c>
      <c r="J186" s="12"/>
    </row>
    <row r="187" customFormat="false" ht="23.85" hidden="false" customHeight="false" outlineLevel="0" collapsed="false">
      <c r="A187" s="12" t="s">
        <v>25</v>
      </c>
      <c r="B187" s="12" t="s">
        <v>308</v>
      </c>
      <c r="C187" s="10" t="s">
        <v>309</v>
      </c>
      <c r="D187" s="30" t="s">
        <v>311</v>
      </c>
      <c r="E187" s="10" t="s">
        <v>144</v>
      </c>
      <c r="F187" s="10" t="s">
        <v>2642</v>
      </c>
      <c r="G187" s="30" t="s">
        <v>2280</v>
      </c>
      <c r="H187" s="12" t="s">
        <v>2265</v>
      </c>
      <c r="I187" s="10" t="s">
        <v>2266</v>
      </c>
      <c r="J187" s="12"/>
    </row>
    <row r="188" customFormat="false" ht="35.05" hidden="false" customHeight="false" outlineLevel="0" collapsed="false">
      <c r="A188" s="12" t="s">
        <v>21</v>
      </c>
      <c r="B188" s="12" t="s">
        <v>480</v>
      </c>
      <c r="C188" s="10" t="s">
        <v>481</v>
      </c>
      <c r="D188" s="30" t="s">
        <v>482</v>
      </c>
      <c r="E188" s="10" t="s">
        <v>2289</v>
      </c>
      <c r="F188" s="10" t="s">
        <v>2643</v>
      </c>
      <c r="G188" s="30" t="s">
        <v>1255</v>
      </c>
      <c r="H188" s="12" t="s">
        <v>2404</v>
      </c>
      <c r="I188" s="10" t="s">
        <v>2405</v>
      </c>
      <c r="J188" s="12"/>
    </row>
    <row r="189" customFormat="false" ht="35.05" hidden="false" customHeight="false" outlineLevel="0" collapsed="false">
      <c r="A189" s="12" t="s">
        <v>21</v>
      </c>
      <c r="B189" s="12" t="s">
        <v>480</v>
      </c>
      <c r="C189" s="10" t="s">
        <v>481</v>
      </c>
      <c r="D189" s="30" t="s">
        <v>482</v>
      </c>
      <c r="E189" s="10" t="s">
        <v>96</v>
      </c>
      <c r="F189" s="10" t="s">
        <v>2644</v>
      </c>
      <c r="G189" s="30" t="s">
        <v>2182</v>
      </c>
      <c r="H189" s="12" t="s">
        <v>2269</v>
      </c>
      <c r="I189" s="10" t="s">
        <v>2645</v>
      </c>
      <c r="J189" s="12"/>
    </row>
    <row r="190" customFormat="false" ht="35.05" hidden="false" customHeight="false" outlineLevel="0" collapsed="false">
      <c r="A190" s="12" t="s">
        <v>21</v>
      </c>
      <c r="B190" s="12" t="s">
        <v>134</v>
      </c>
      <c r="C190" s="10" t="s">
        <v>135</v>
      </c>
      <c r="D190" s="30" t="s">
        <v>464</v>
      </c>
      <c r="E190" s="10" t="s">
        <v>2289</v>
      </c>
      <c r="F190" s="10" t="s">
        <v>2646</v>
      </c>
      <c r="G190" s="30" t="s">
        <v>1251</v>
      </c>
      <c r="H190" s="12" t="s">
        <v>2404</v>
      </c>
      <c r="I190" s="10" t="s">
        <v>2405</v>
      </c>
      <c r="J190" s="12"/>
    </row>
    <row r="191" customFormat="false" ht="35.05" hidden="false" customHeight="false" outlineLevel="0" collapsed="false">
      <c r="A191" s="12" t="s">
        <v>21</v>
      </c>
      <c r="B191" s="12" t="s">
        <v>134</v>
      </c>
      <c r="C191" s="10" t="s">
        <v>135</v>
      </c>
      <c r="D191" s="30" t="s">
        <v>464</v>
      </c>
      <c r="E191" s="10" t="s">
        <v>96</v>
      </c>
      <c r="F191" s="10" t="s">
        <v>2647</v>
      </c>
      <c r="G191" s="30" t="s">
        <v>2182</v>
      </c>
      <c r="H191" s="12" t="s">
        <v>2269</v>
      </c>
      <c r="I191" s="10" t="s">
        <v>2648</v>
      </c>
      <c r="J191" s="12"/>
    </row>
    <row r="192" customFormat="false" ht="23.85" hidden="false" customHeight="false" outlineLevel="0" collapsed="false">
      <c r="A192" s="12" t="s">
        <v>21</v>
      </c>
      <c r="B192" s="12" t="s">
        <v>134</v>
      </c>
      <c r="C192" s="10" t="s">
        <v>135</v>
      </c>
      <c r="D192" s="30" t="s">
        <v>464</v>
      </c>
      <c r="E192" s="10" t="s">
        <v>948</v>
      </c>
      <c r="F192" s="10" t="s">
        <v>2649</v>
      </c>
      <c r="G192" s="30" t="s">
        <v>2650</v>
      </c>
      <c r="H192" s="12" t="s">
        <v>2283</v>
      </c>
      <c r="I192" s="10" t="s">
        <v>2284</v>
      </c>
      <c r="J192" s="12"/>
    </row>
    <row r="193" customFormat="false" ht="35.05" hidden="false" customHeight="false" outlineLevel="0" collapsed="false">
      <c r="A193" s="12" t="s">
        <v>21</v>
      </c>
      <c r="B193" s="12" t="s">
        <v>134</v>
      </c>
      <c r="C193" s="10" t="s">
        <v>135</v>
      </c>
      <c r="D193" s="30" t="s">
        <v>464</v>
      </c>
      <c r="E193" s="10" t="s">
        <v>2651</v>
      </c>
      <c r="F193" s="10" t="s">
        <v>2647</v>
      </c>
      <c r="G193" s="30" t="s">
        <v>2182</v>
      </c>
      <c r="H193" s="12" t="s">
        <v>2269</v>
      </c>
      <c r="I193" s="10" t="s">
        <v>2652</v>
      </c>
      <c r="J193" s="12"/>
    </row>
    <row r="194" customFormat="false" ht="35.05" hidden="false" customHeight="false" outlineLevel="0" collapsed="false">
      <c r="A194" s="12" t="s">
        <v>21</v>
      </c>
      <c r="B194" s="12" t="s">
        <v>134</v>
      </c>
      <c r="C194" s="10" t="s">
        <v>135</v>
      </c>
      <c r="D194" s="30" t="s">
        <v>464</v>
      </c>
      <c r="E194" s="10" t="s">
        <v>1044</v>
      </c>
      <c r="F194" s="10" t="s">
        <v>2653</v>
      </c>
      <c r="G194" s="30" t="s">
        <v>2654</v>
      </c>
      <c r="H194" s="12" t="s">
        <v>2302</v>
      </c>
      <c r="I194" s="10" t="s">
        <v>2303</v>
      </c>
      <c r="J194" s="12"/>
    </row>
    <row r="195" customFormat="false" ht="35.05" hidden="false" customHeight="false" outlineLevel="0" collapsed="false">
      <c r="A195" s="12" t="s">
        <v>21</v>
      </c>
      <c r="B195" s="12" t="s">
        <v>352</v>
      </c>
      <c r="C195" s="10" t="s">
        <v>353</v>
      </c>
      <c r="D195" s="30" t="s">
        <v>355</v>
      </c>
      <c r="E195" s="10" t="s">
        <v>1263</v>
      </c>
      <c r="F195" s="10" t="s">
        <v>2655</v>
      </c>
      <c r="G195" s="30" t="s">
        <v>2182</v>
      </c>
      <c r="H195" s="12" t="s">
        <v>2269</v>
      </c>
      <c r="I195" s="10" t="s">
        <v>2656</v>
      </c>
      <c r="J195" s="12"/>
    </row>
    <row r="196" customFormat="false" ht="35.05" hidden="false" customHeight="false" outlineLevel="0" collapsed="false">
      <c r="A196" s="12" t="s">
        <v>21</v>
      </c>
      <c r="B196" s="12" t="s">
        <v>75</v>
      </c>
      <c r="C196" s="10" t="s">
        <v>76</v>
      </c>
      <c r="D196" s="30" t="s">
        <v>315</v>
      </c>
      <c r="E196" s="10" t="s">
        <v>2289</v>
      </c>
      <c r="F196" s="10" t="s">
        <v>2657</v>
      </c>
      <c r="G196" s="30" t="s">
        <v>2658</v>
      </c>
      <c r="H196" s="12" t="s">
        <v>2292</v>
      </c>
      <c r="I196" s="10" t="s">
        <v>2293</v>
      </c>
      <c r="J196" s="12"/>
    </row>
    <row r="197" customFormat="false" ht="35.05" hidden="false" customHeight="false" outlineLevel="0" collapsed="false">
      <c r="A197" s="12" t="s">
        <v>21</v>
      </c>
      <c r="B197" s="12" t="s">
        <v>75</v>
      </c>
      <c r="C197" s="10" t="s">
        <v>76</v>
      </c>
      <c r="D197" s="30" t="s">
        <v>315</v>
      </c>
      <c r="E197" s="10" t="s">
        <v>96</v>
      </c>
      <c r="F197" s="10" t="s">
        <v>2659</v>
      </c>
      <c r="G197" s="30" t="s">
        <v>2182</v>
      </c>
      <c r="H197" s="12" t="s">
        <v>2269</v>
      </c>
      <c r="I197" s="10" t="s">
        <v>2660</v>
      </c>
      <c r="J197" s="12"/>
    </row>
    <row r="198" customFormat="false" ht="46.25" hidden="false" customHeight="false" outlineLevel="0" collapsed="false">
      <c r="A198" s="12" t="s">
        <v>21</v>
      </c>
      <c r="B198" s="12" t="s">
        <v>75</v>
      </c>
      <c r="C198" s="10" t="s">
        <v>76</v>
      </c>
      <c r="D198" s="30" t="s">
        <v>315</v>
      </c>
      <c r="E198" s="10" t="s">
        <v>2661</v>
      </c>
      <c r="F198" s="10" t="s">
        <v>2659</v>
      </c>
      <c r="G198" s="30" t="s">
        <v>2662</v>
      </c>
      <c r="H198" s="12" t="s">
        <v>2298</v>
      </c>
      <c r="I198" s="10" t="s">
        <v>2663</v>
      </c>
      <c r="J198" s="30" t="s">
        <v>2182</v>
      </c>
    </row>
    <row r="199" customFormat="false" ht="35.05" hidden="false" customHeight="false" outlineLevel="0" collapsed="false">
      <c r="A199" s="12" t="s">
        <v>21</v>
      </c>
      <c r="B199" s="12" t="s">
        <v>89</v>
      </c>
      <c r="C199" s="10" t="s">
        <v>90</v>
      </c>
      <c r="D199" s="30" t="s">
        <v>316</v>
      </c>
      <c r="E199" s="10" t="s">
        <v>96</v>
      </c>
      <c r="F199" s="10" t="s">
        <v>2664</v>
      </c>
      <c r="G199" s="30" t="s">
        <v>2182</v>
      </c>
      <c r="H199" s="12" t="s">
        <v>2269</v>
      </c>
      <c r="I199" s="10" t="s">
        <v>2665</v>
      </c>
      <c r="J199" s="12"/>
    </row>
    <row r="200" customFormat="false" ht="23.85" hidden="false" customHeight="false" outlineLevel="0" collapsed="false">
      <c r="A200" s="12" t="s">
        <v>21</v>
      </c>
      <c r="B200" s="12" t="s">
        <v>89</v>
      </c>
      <c r="C200" s="10" t="s">
        <v>90</v>
      </c>
      <c r="D200" s="30" t="s">
        <v>316</v>
      </c>
      <c r="E200" s="10" t="s">
        <v>948</v>
      </c>
      <c r="F200" s="10" t="s">
        <v>2666</v>
      </c>
      <c r="G200" s="30" t="s">
        <v>2667</v>
      </c>
      <c r="H200" s="12" t="s">
        <v>2283</v>
      </c>
      <c r="I200" s="10" t="s">
        <v>2284</v>
      </c>
      <c r="J200" s="12"/>
    </row>
    <row r="201" customFormat="false" ht="46.25" hidden="false" customHeight="false" outlineLevel="0" collapsed="false">
      <c r="A201" s="12" t="s">
        <v>21</v>
      </c>
      <c r="B201" s="12" t="s">
        <v>89</v>
      </c>
      <c r="C201" s="10" t="s">
        <v>90</v>
      </c>
      <c r="D201" s="30" t="s">
        <v>316</v>
      </c>
      <c r="E201" s="10" t="s">
        <v>2668</v>
      </c>
      <c r="F201" s="10" t="s">
        <v>2664</v>
      </c>
      <c r="G201" s="30" t="s">
        <v>2669</v>
      </c>
      <c r="H201" s="12" t="s">
        <v>2298</v>
      </c>
      <c r="I201" s="10" t="s">
        <v>2670</v>
      </c>
      <c r="J201" s="30" t="s">
        <v>2182</v>
      </c>
    </row>
    <row r="202" customFormat="false" ht="23.85" hidden="false" customHeight="false" outlineLevel="0" collapsed="false">
      <c r="A202" s="12" t="s">
        <v>21</v>
      </c>
      <c r="B202" s="12" t="s">
        <v>477</v>
      </c>
      <c r="C202" s="10" t="s">
        <v>478</v>
      </c>
      <c r="D202" s="30" t="s">
        <v>479</v>
      </c>
      <c r="E202" s="10" t="s">
        <v>948</v>
      </c>
      <c r="F202" s="10" t="s">
        <v>2671</v>
      </c>
      <c r="G202" s="30" t="s">
        <v>2672</v>
      </c>
      <c r="H202" s="12" t="s">
        <v>2283</v>
      </c>
      <c r="I202" s="10" t="s">
        <v>2284</v>
      </c>
      <c r="J202" s="12"/>
    </row>
    <row r="203" customFormat="false" ht="23.85" hidden="false" customHeight="false" outlineLevel="0" collapsed="false">
      <c r="A203" s="12" t="s">
        <v>21</v>
      </c>
      <c r="B203" s="12" t="s">
        <v>124</v>
      </c>
      <c r="C203" s="10" t="s">
        <v>125</v>
      </c>
      <c r="D203" s="30" t="s">
        <v>321</v>
      </c>
      <c r="E203" s="10" t="s">
        <v>948</v>
      </c>
      <c r="F203" s="10" t="s">
        <v>2673</v>
      </c>
      <c r="G203" s="30" t="s">
        <v>2674</v>
      </c>
      <c r="H203" s="12" t="s">
        <v>2283</v>
      </c>
      <c r="I203" s="10" t="s">
        <v>2284</v>
      </c>
      <c r="J203" s="12"/>
    </row>
    <row r="204" customFormat="false" ht="35.05" hidden="false" customHeight="false" outlineLevel="0" collapsed="false">
      <c r="A204" s="12" t="s">
        <v>21</v>
      </c>
      <c r="B204" s="12" t="s">
        <v>107</v>
      </c>
      <c r="C204" s="10" t="s">
        <v>108</v>
      </c>
      <c r="D204" s="30" t="s">
        <v>317</v>
      </c>
      <c r="E204" s="10" t="s">
        <v>2289</v>
      </c>
      <c r="F204" s="10" t="s">
        <v>2675</v>
      </c>
      <c r="G204" s="30" t="s">
        <v>2676</v>
      </c>
      <c r="H204" s="12" t="s">
        <v>2292</v>
      </c>
      <c r="I204" s="10" t="s">
        <v>2293</v>
      </c>
      <c r="J204" s="12"/>
    </row>
    <row r="205" customFormat="false" ht="46.25" hidden="false" customHeight="false" outlineLevel="0" collapsed="false">
      <c r="A205" s="12" t="s">
        <v>21</v>
      </c>
      <c r="B205" s="12" t="s">
        <v>107</v>
      </c>
      <c r="C205" s="10" t="s">
        <v>108</v>
      </c>
      <c r="D205" s="30" t="s">
        <v>317</v>
      </c>
      <c r="E205" s="10" t="s">
        <v>2677</v>
      </c>
      <c r="F205" s="10" t="s">
        <v>2678</v>
      </c>
      <c r="G205" s="30" t="s">
        <v>2679</v>
      </c>
      <c r="H205" s="12" t="s">
        <v>2298</v>
      </c>
      <c r="I205" s="10" t="s">
        <v>2680</v>
      </c>
      <c r="J205" s="30" t="s">
        <v>2182</v>
      </c>
    </row>
    <row r="206" customFormat="false" ht="46.25" hidden="false" customHeight="false" outlineLevel="0" collapsed="false">
      <c r="A206" s="12" t="s">
        <v>21</v>
      </c>
      <c r="B206" s="12" t="s">
        <v>131</v>
      </c>
      <c r="C206" s="10" t="s">
        <v>132</v>
      </c>
      <c r="D206" s="30" t="s">
        <v>449</v>
      </c>
      <c r="E206" s="10" t="s">
        <v>1271</v>
      </c>
      <c r="F206" s="10" t="s">
        <v>2681</v>
      </c>
      <c r="G206" s="30" t="s">
        <v>2682</v>
      </c>
      <c r="H206" s="12" t="s">
        <v>2298</v>
      </c>
      <c r="I206" s="10" t="s">
        <v>2683</v>
      </c>
      <c r="J206" s="30" t="s">
        <v>2182</v>
      </c>
    </row>
    <row r="207" customFormat="false" ht="35.05" hidden="false" customHeight="false" outlineLevel="0" collapsed="false">
      <c r="A207" s="12" t="s">
        <v>21</v>
      </c>
      <c r="B207" s="12" t="s">
        <v>473</v>
      </c>
      <c r="C207" s="10" t="s">
        <v>474</v>
      </c>
      <c r="D207" s="30" t="s">
        <v>476</v>
      </c>
      <c r="E207" s="10" t="s">
        <v>96</v>
      </c>
      <c r="F207" s="10" t="s">
        <v>2684</v>
      </c>
      <c r="G207" s="30" t="s">
        <v>2182</v>
      </c>
      <c r="H207" s="12" t="s">
        <v>2269</v>
      </c>
      <c r="I207" s="10" t="s">
        <v>2685</v>
      </c>
      <c r="J207" s="12"/>
    </row>
    <row r="208" customFormat="false" ht="46.25" hidden="false" customHeight="false" outlineLevel="0" collapsed="false">
      <c r="A208" s="12" t="s">
        <v>21</v>
      </c>
      <c r="B208" s="12" t="s">
        <v>473</v>
      </c>
      <c r="C208" s="10" t="s">
        <v>474</v>
      </c>
      <c r="D208" s="30" t="s">
        <v>476</v>
      </c>
      <c r="E208" s="10" t="s">
        <v>2686</v>
      </c>
      <c r="F208" s="10" t="s">
        <v>2684</v>
      </c>
      <c r="G208" s="30" t="s">
        <v>2687</v>
      </c>
      <c r="H208" s="12" t="s">
        <v>2298</v>
      </c>
      <c r="I208" s="10" t="s">
        <v>2688</v>
      </c>
      <c r="J208" s="30" t="s">
        <v>2182</v>
      </c>
    </row>
    <row r="209" customFormat="false" ht="23.85" hidden="false" customHeight="false" outlineLevel="0" collapsed="false">
      <c r="A209" s="12" t="s">
        <v>21</v>
      </c>
      <c r="B209" s="12" t="s">
        <v>170</v>
      </c>
      <c r="C209" s="10" t="s">
        <v>171</v>
      </c>
      <c r="D209" s="30" t="s">
        <v>429</v>
      </c>
      <c r="E209" s="10" t="s">
        <v>948</v>
      </c>
      <c r="F209" s="10" t="s">
        <v>2689</v>
      </c>
      <c r="G209" s="30" t="s">
        <v>2690</v>
      </c>
      <c r="H209" s="12" t="s">
        <v>2283</v>
      </c>
      <c r="I209" s="10" t="s">
        <v>2284</v>
      </c>
      <c r="J209" s="12"/>
    </row>
    <row r="210" customFormat="false" ht="46.25" hidden="false" customHeight="false" outlineLevel="0" collapsed="false">
      <c r="A210" s="12" t="s">
        <v>21</v>
      </c>
      <c r="B210" s="12" t="s">
        <v>170</v>
      </c>
      <c r="C210" s="10" t="s">
        <v>171</v>
      </c>
      <c r="D210" s="30" t="s">
        <v>429</v>
      </c>
      <c r="E210" s="10" t="s">
        <v>2691</v>
      </c>
      <c r="F210" s="10" t="s">
        <v>2692</v>
      </c>
      <c r="G210" s="30" t="s">
        <v>2693</v>
      </c>
      <c r="H210" s="12" t="s">
        <v>2298</v>
      </c>
      <c r="I210" s="10" t="s">
        <v>2694</v>
      </c>
      <c r="J210" s="30" t="s">
        <v>2182</v>
      </c>
    </row>
    <row r="211" customFormat="false" ht="35.05" hidden="false" customHeight="false" outlineLevel="0" collapsed="false">
      <c r="A211" s="12" t="s">
        <v>21</v>
      </c>
      <c r="B211" s="12" t="s">
        <v>128</v>
      </c>
      <c r="C211" s="10" t="s">
        <v>129</v>
      </c>
      <c r="D211" s="30" t="s">
        <v>341</v>
      </c>
      <c r="E211" s="10" t="s">
        <v>2289</v>
      </c>
      <c r="F211" s="10" t="s">
        <v>2695</v>
      </c>
      <c r="G211" s="30" t="s">
        <v>2696</v>
      </c>
      <c r="H211" s="12" t="s">
        <v>2292</v>
      </c>
      <c r="I211" s="10" t="s">
        <v>2293</v>
      </c>
      <c r="J211" s="12"/>
    </row>
    <row r="212" customFormat="false" ht="35.05" hidden="false" customHeight="false" outlineLevel="0" collapsed="false">
      <c r="A212" s="12" t="s">
        <v>21</v>
      </c>
      <c r="B212" s="12" t="s">
        <v>128</v>
      </c>
      <c r="C212" s="10" t="s">
        <v>129</v>
      </c>
      <c r="D212" s="30" t="s">
        <v>341</v>
      </c>
      <c r="E212" s="10" t="s">
        <v>96</v>
      </c>
      <c r="F212" s="10" t="s">
        <v>2697</v>
      </c>
      <c r="G212" s="30" t="s">
        <v>2182</v>
      </c>
      <c r="H212" s="12" t="s">
        <v>2269</v>
      </c>
      <c r="I212" s="10" t="s">
        <v>2698</v>
      </c>
      <c r="J212" s="12"/>
    </row>
    <row r="213" customFormat="false" ht="23.85" hidden="false" customHeight="false" outlineLevel="0" collapsed="false">
      <c r="A213" s="12" t="s">
        <v>21</v>
      </c>
      <c r="B213" s="12" t="s">
        <v>128</v>
      </c>
      <c r="C213" s="10" t="s">
        <v>129</v>
      </c>
      <c r="D213" s="30" t="s">
        <v>341</v>
      </c>
      <c r="E213" s="10" t="s">
        <v>948</v>
      </c>
      <c r="F213" s="10" t="s">
        <v>2699</v>
      </c>
      <c r="G213" s="30" t="s">
        <v>2700</v>
      </c>
      <c r="H213" s="12" t="s">
        <v>2283</v>
      </c>
      <c r="I213" s="10" t="s">
        <v>2284</v>
      </c>
      <c r="J213" s="12"/>
    </row>
    <row r="214" customFormat="false" ht="68.65" hidden="false" customHeight="false" outlineLevel="0" collapsed="false">
      <c r="A214" s="12" t="s">
        <v>21</v>
      </c>
      <c r="B214" s="12" t="s">
        <v>128</v>
      </c>
      <c r="C214" s="10" t="s">
        <v>129</v>
      </c>
      <c r="D214" s="30" t="s">
        <v>341</v>
      </c>
      <c r="E214" s="10" t="s">
        <v>2701</v>
      </c>
      <c r="F214" s="10" t="s">
        <v>2697</v>
      </c>
      <c r="G214" s="30" t="s">
        <v>2702</v>
      </c>
      <c r="H214" s="12" t="s">
        <v>2298</v>
      </c>
      <c r="I214" s="10" t="s">
        <v>2703</v>
      </c>
      <c r="J214" s="30" t="s">
        <v>2182</v>
      </c>
    </row>
    <row r="215" customFormat="false" ht="35.05" hidden="false" customHeight="false" outlineLevel="0" collapsed="false">
      <c r="A215" s="12" t="s">
        <v>21</v>
      </c>
      <c r="B215" s="12" t="s">
        <v>128</v>
      </c>
      <c r="C215" s="10" t="s">
        <v>129</v>
      </c>
      <c r="D215" s="30" t="s">
        <v>341</v>
      </c>
      <c r="E215" s="10" t="s">
        <v>1044</v>
      </c>
      <c r="F215" s="10" t="s">
        <v>2704</v>
      </c>
      <c r="G215" s="30" t="s">
        <v>2705</v>
      </c>
      <c r="H215" s="12" t="s">
        <v>2302</v>
      </c>
      <c r="I215" s="10" t="s">
        <v>2303</v>
      </c>
      <c r="J215" s="12"/>
    </row>
    <row r="216" customFormat="false" ht="35.05" hidden="false" customHeight="false" outlineLevel="0" collapsed="false">
      <c r="A216" s="12" t="s">
        <v>21</v>
      </c>
      <c r="B216" s="12" t="s">
        <v>208</v>
      </c>
      <c r="C216" s="10" t="s">
        <v>209</v>
      </c>
      <c r="D216" s="30" t="s">
        <v>470</v>
      </c>
      <c r="E216" s="10" t="s">
        <v>2289</v>
      </c>
      <c r="F216" s="10" t="s">
        <v>2706</v>
      </c>
      <c r="G216" s="30" t="s">
        <v>1243</v>
      </c>
      <c r="H216" s="12" t="s">
        <v>2404</v>
      </c>
      <c r="I216" s="10" t="s">
        <v>2405</v>
      </c>
      <c r="J216" s="12"/>
    </row>
    <row r="217" customFormat="false" ht="35.05" hidden="false" customHeight="false" outlineLevel="0" collapsed="false">
      <c r="A217" s="12" t="s">
        <v>21</v>
      </c>
      <c r="B217" s="12" t="s">
        <v>208</v>
      </c>
      <c r="C217" s="10" t="s">
        <v>209</v>
      </c>
      <c r="D217" s="30" t="s">
        <v>470</v>
      </c>
      <c r="E217" s="10" t="s">
        <v>96</v>
      </c>
      <c r="F217" s="10" t="s">
        <v>2664</v>
      </c>
      <c r="G217" s="30" t="s">
        <v>2182</v>
      </c>
      <c r="H217" s="12" t="s">
        <v>2269</v>
      </c>
      <c r="I217" s="10" t="s">
        <v>2707</v>
      </c>
      <c r="J217" s="12"/>
    </row>
    <row r="218" customFormat="false" ht="46.25" hidden="false" customHeight="false" outlineLevel="0" collapsed="false">
      <c r="A218" s="12" t="s">
        <v>21</v>
      </c>
      <c r="B218" s="12" t="s">
        <v>208</v>
      </c>
      <c r="C218" s="10" t="s">
        <v>209</v>
      </c>
      <c r="D218" s="30" t="s">
        <v>470</v>
      </c>
      <c r="E218" s="10" t="s">
        <v>2708</v>
      </c>
      <c r="F218" s="10" t="s">
        <v>2664</v>
      </c>
      <c r="G218" s="30" t="s">
        <v>2709</v>
      </c>
      <c r="H218" s="12" t="s">
        <v>2298</v>
      </c>
      <c r="I218" s="10" t="s">
        <v>2710</v>
      </c>
      <c r="J218" s="30" t="s">
        <v>2182</v>
      </c>
    </row>
    <row r="219" customFormat="false" ht="23.85" hidden="false" customHeight="false" outlineLevel="0" collapsed="false">
      <c r="A219" s="12" t="s">
        <v>21</v>
      </c>
      <c r="B219" s="12" t="s">
        <v>461</v>
      </c>
      <c r="C219" s="10" t="s">
        <v>462</v>
      </c>
      <c r="D219" s="30" t="s">
        <v>463</v>
      </c>
      <c r="E219" s="10" t="s">
        <v>948</v>
      </c>
      <c r="F219" s="10" t="s">
        <v>2711</v>
      </c>
      <c r="G219" s="30" t="s">
        <v>2712</v>
      </c>
      <c r="H219" s="12" t="s">
        <v>2283</v>
      </c>
      <c r="I219" s="10" t="s">
        <v>2284</v>
      </c>
      <c r="J219" s="12"/>
    </row>
    <row r="220" customFormat="false" ht="35.05" hidden="false" customHeight="false" outlineLevel="0" collapsed="false">
      <c r="A220" s="12" t="s">
        <v>21</v>
      </c>
      <c r="B220" s="12" t="s">
        <v>210</v>
      </c>
      <c r="C220" s="10" t="s">
        <v>211</v>
      </c>
      <c r="D220" s="30" t="s">
        <v>361</v>
      </c>
      <c r="E220" s="10" t="s">
        <v>888</v>
      </c>
      <c r="F220" s="10" t="s">
        <v>2713</v>
      </c>
      <c r="G220" s="30" t="s">
        <v>2182</v>
      </c>
      <c r="H220" s="12" t="s">
        <v>2269</v>
      </c>
      <c r="I220" s="10" t="s">
        <v>2714</v>
      </c>
      <c r="J220" s="12"/>
    </row>
    <row r="221" customFormat="false" ht="35.05" hidden="false" customHeight="false" outlineLevel="0" collapsed="false">
      <c r="A221" s="12" t="s">
        <v>21</v>
      </c>
      <c r="B221" s="12" t="s">
        <v>180</v>
      </c>
      <c r="C221" s="10" t="s">
        <v>181</v>
      </c>
      <c r="D221" s="30" t="s">
        <v>356</v>
      </c>
      <c r="E221" s="10" t="s">
        <v>2289</v>
      </c>
      <c r="F221" s="10" t="s">
        <v>2715</v>
      </c>
      <c r="G221" s="30" t="s">
        <v>844</v>
      </c>
      <c r="H221" s="12" t="s">
        <v>2404</v>
      </c>
      <c r="I221" s="10" t="s">
        <v>2405</v>
      </c>
      <c r="J221" s="12"/>
    </row>
    <row r="222" customFormat="false" ht="35.05" hidden="false" customHeight="false" outlineLevel="0" collapsed="false">
      <c r="A222" s="12" t="s">
        <v>21</v>
      </c>
      <c r="B222" s="12" t="s">
        <v>180</v>
      </c>
      <c r="C222" s="10" t="s">
        <v>181</v>
      </c>
      <c r="D222" s="30" t="s">
        <v>356</v>
      </c>
      <c r="E222" s="10" t="s">
        <v>96</v>
      </c>
      <c r="F222" s="10" t="s">
        <v>2659</v>
      </c>
      <c r="G222" s="30" t="s">
        <v>2182</v>
      </c>
      <c r="H222" s="12" t="s">
        <v>2269</v>
      </c>
      <c r="I222" s="10" t="s">
        <v>2716</v>
      </c>
      <c r="J222" s="12"/>
    </row>
    <row r="223" customFormat="false" ht="46.25" hidden="false" customHeight="false" outlineLevel="0" collapsed="false">
      <c r="A223" s="12" t="s">
        <v>21</v>
      </c>
      <c r="B223" s="12" t="s">
        <v>180</v>
      </c>
      <c r="C223" s="10" t="s">
        <v>181</v>
      </c>
      <c r="D223" s="30" t="s">
        <v>356</v>
      </c>
      <c r="E223" s="10" t="s">
        <v>2717</v>
      </c>
      <c r="F223" s="10" t="s">
        <v>2659</v>
      </c>
      <c r="G223" s="30" t="s">
        <v>2718</v>
      </c>
      <c r="H223" s="12" t="s">
        <v>2298</v>
      </c>
      <c r="I223" s="10" t="s">
        <v>2719</v>
      </c>
      <c r="J223" s="30" t="s">
        <v>2182</v>
      </c>
    </row>
    <row r="224" customFormat="false" ht="46.25" hidden="false" customHeight="false" outlineLevel="0" collapsed="false">
      <c r="A224" s="12" t="s">
        <v>21</v>
      </c>
      <c r="B224" s="12" t="s">
        <v>137</v>
      </c>
      <c r="C224" s="10" t="s">
        <v>138</v>
      </c>
      <c r="D224" s="30" t="s">
        <v>465</v>
      </c>
      <c r="E224" s="10" t="s">
        <v>2289</v>
      </c>
      <c r="F224" s="10" t="s">
        <v>2720</v>
      </c>
      <c r="G224" s="30" t="s">
        <v>1237</v>
      </c>
      <c r="H224" s="12" t="s">
        <v>2404</v>
      </c>
      <c r="I224" s="10" t="s">
        <v>2405</v>
      </c>
      <c r="J224" s="12"/>
    </row>
    <row r="225" customFormat="false" ht="35.05" hidden="false" customHeight="false" outlineLevel="0" collapsed="false">
      <c r="A225" s="12" t="s">
        <v>21</v>
      </c>
      <c r="B225" s="12" t="s">
        <v>137</v>
      </c>
      <c r="C225" s="10" t="s">
        <v>138</v>
      </c>
      <c r="D225" s="30" t="s">
        <v>465</v>
      </c>
      <c r="E225" s="10" t="s">
        <v>96</v>
      </c>
      <c r="F225" s="10" t="s">
        <v>2664</v>
      </c>
      <c r="G225" s="30" t="s">
        <v>2182</v>
      </c>
      <c r="H225" s="12" t="s">
        <v>2269</v>
      </c>
      <c r="I225" s="10" t="s">
        <v>2721</v>
      </c>
      <c r="J225" s="12"/>
    </row>
    <row r="226" customFormat="false" ht="23.85" hidden="false" customHeight="false" outlineLevel="0" collapsed="false">
      <c r="A226" s="12" t="s">
        <v>21</v>
      </c>
      <c r="B226" s="12" t="s">
        <v>137</v>
      </c>
      <c r="C226" s="10" t="s">
        <v>138</v>
      </c>
      <c r="D226" s="30" t="s">
        <v>465</v>
      </c>
      <c r="E226" s="10" t="s">
        <v>948</v>
      </c>
      <c r="F226" s="10" t="s">
        <v>2722</v>
      </c>
      <c r="G226" s="30" t="s">
        <v>2723</v>
      </c>
      <c r="H226" s="12" t="s">
        <v>2283</v>
      </c>
      <c r="I226" s="10" t="s">
        <v>2284</v>
      </c>
      <c r="J226" s="12"/>
    </row>
    <row r="227" customFormat="false" ht="46.25" hidden="false" customHeight="false" outlineLevel="0" collapsed="false">
      <c r="A227" s="12" t="s">
        <v>21</v>
      </c>
      <c r="B227" s="12" t="s">
        <v>137</v>
      </c>
      <c r="C227" s="10" t="s">
        <v>138</v>
      </c>
      <c r="D227" s="30" t="s">
        <v>465</v>
      </c>
      <c r="E227" s="10" t="s">
        <v>2724</v>
      </c>
      <c r="F227" s="10" t="s">
        <v>2664</v>
      </c>
      <c r="G227" s="30" t="s">
        <v>2725</v>
      </c>
      <c r="H227" s="12" t="s">
        <v>2298</v>
      </c>
      <c r="I227" s="10" t="s">
        <v>2726</v>
      </c>
      <c r="J227" s="30" t="s">
        <v>2182</v>
      </c>
    </row>
    <row r="228" customFormat="false" ht="35.05" hidden="false" customHeight="false" outlineLevel="0" collapsed="false">
      <c r="A228" s="12" t="s">
        <v>21</v>
      </c>
      <c r="B228" s="12" t="s">
        <v>137</v>
      </c>
      <c r="C228" s="10" t="s">
        <v>138</v>
      </c>
      <c r="D228" s="30" t="s">
        <v>465</v>
      </c>
      <c r="E228" s="10" t="s">
        <v>1044</v>
      </c>
      <c r="F228" s="10" t="s">
        <v>2727</v>
      </c>
      <c r="G228" s="30" t="s">
        <v>2728</v>
      </c>
      <c r="H228" s="12" t="s">
        <v>2302</v>
      </c>
      <c r="I228" s="10" t="s">
        <v>2303</v>
      </c>
      <c r="J228" s="12"/>
    </row>
    <row r="229" customFormat="false" ht="23.85" hidden="false" customHeight="false" outlineLevel="0" collapsed="false">
      <c r="A229" s="12" t="s">
        <v>21</v>
      </c>
      <c r="B229" s="12" t="s">
        <v>112</v>
      </c>
      <c r="C229" s="10" t="s">
        <v>113</v>
      </c>
      <c r="D229" s="30" t="s">
        <v>318</v>
      </c>
      <c r="E229" s="10" t="s">
        <v>2289</v>
      </c>
      <c r="F229" s="10" t="s">
        <v>2729</v>
      </c>
      <c r="G229" s="30" t="s">
        <v>2730</v>
      </c>
      <c r="H229" s="12" t="s">
        <v>2292</v>
      </c>
      <c r="I229" s="10" t="s">
        <v>2293</v>
      </c>
      <c r="J229" s="12"/>
    </row>
    <row r="230" customFormat="false" ht="46.25" hidden="false" customHeight="false" outlineLevel="0" collapsed="false">
      <c r="A230" s="12" t="s">
        <v>21</v>
      </c>
      <c r="B230" s="12" t="s">
        <v>112</v>
      </c>
      <c r="C230" s="10" t="s">
        <v>113</v>
      </c>
      <c r="D230" s="30" t="s">
        <v>318</v>
      </c>
      <c r="E230" s="10" t="s">
        <v>2717</v>
      </c>
      <c r="F230" s="10" t="s">
        <v>2731</v>
      </c>
      <c r="G230" s="30" t="s">
        <v>2732</v>
      </c>
      <c r="H230" s="12" t="s">
        <v>2298</v>
      </c>
      <c r="I230" s="10" t="s">
        <v>2733</v>
      </c>
      <c r="J230" s="30" t="s">
        <v>2182</v>
      </c>
    </row>
    <row r="231" customFormat="false" ht="23.85" hidden="false" customHeight="false" outlineLevel="0" collapsed="false">
      <c r="A231" s="12" t="s">
        <v>21</v>
      </c>
      <c r="B231" s="12" t="s">
        <v>466</v>
      </c>
      <c r="C231" s="10" t="s">
        <v>467</v>
      </c>
      <c r="D231" s="30" t="s">
        <v>468</v>
      </c>
      <c r="E231" s="10" t="s">
        <v>948</v>
      </c>
      <c r="F231" s="10" t="s">
        <v>2734</v>
      </c>
      <c r="G231" s="30" t="s">
        <v>2735</v>
      </c>
      <c r="H231" s="12" t="s">
        <v>2283</v>
      </c>
      <c r="I231" s="10" t="s">
        <v>2284</v>
      </c>
      <c r="J231" s="12"/>
    </row>
    <row r="232" customFormat="false" ht="23.85" hidden="false" customHeight="false" outlineLevel="0" collapsed="false">
      <c r="A232" s="12" t="s">
        <v>21</v>
      </c>
      <c r="B232" s="12" t="s">
        <v>117</v>
      </c>
      <c r="C232" s="10" t="s">
        <v>118</v>
      </c>
      <c r="D232" s="30" t="s">
        <v>428</v>
      </c>
      <c r="E232" s="10" t="s">
        <v>2289</v>
      </c>
      <c r="F232" s="10" t="s">
        <v>2736</v>
      </c>
      <c r="G232" s="30" t="s">
        <v>1226</v>
      </c>
      <c r="H232" s="12" t="s">
        <v>2404</v>
      </c>
      <c r="I232" s="10" t="s">
        <v>2405</v>
      </c>
      <c r="J232" s="12"/>
    </row>
    <row r="233" customFormat="false" ht="35.05" hidden="false" customHeight="false" outlineLevel="0" collapsed="false">
      <c r="A233" s="12" t="s">
        <v>21</v>
      </c>
      <c r="B233" s="12" t="s">
        <v>117</v>
      </c>
      <c r="C233" s="10" t="s">
        <v>118</v>
      </c>
      <c r="D233" s="30" t="s">
        <v>428</v>
      </c>
      <c r="E233" s="10" t="s">
        <v>96</v>
      </c>
      <c r="F233" s="10" t="s">
        <v>2737</v>
      </c>
      <c r="G233" s="30" t="s">
        <v>2182</v>
      </c>
      <c r="H233" s="12" t="s">
        <v>2269</v>
      </c>
      <c r="I233" s="10" t="s">
        <v>2738</v>
      </c>
      <c r="J233" s="12"/>
    </row>
    <row r="234" customFormat="false" ht="35.05" hidden="false" customHeight="false" outlineLevel="0" collapsed="false">
      <c r="A234" s="12" t="s">
        <v>21</v>
      </c>
      <c r="B234" s="12" t="s">
        <v>117</v>
      </c>
      <c r="C234" s="10" t="s">
        <v>118</v>
      </c>
      <c r="D234" s="30" t="s">
        <v>428</v>
      </c>
      <c r="E234" s="10" t="s">
        <v>2739</v>
      </c>
      <c r="F234" s="10" t="s">
        <v>2737</v>
      </c>
      <c r="G234" s="30" t="s">
        <v>2182</v>
      </c>
      <c r="H234" s="12" t="s">
        <v>2269</v>
      </c>
      <c r="I234" s="10" t="s">
        <v>2740</v>
      </c>
      <c r="J234" s="12"/>
    </row>
    <row r="235" customFormat="false" ht="35.05" hidden="false" customHeight="false" outlineLevel="0" collapsed="false">
      <c r="A235" s="12" t="s">
        <v>31</v>
      </c>
      <c r="B235" s="12" t="s">
        <v>75</v>
      </c>
      <c r="C235" s="10" t="s">
        <v>76</v>
      </c>
      <c r="D235" s="30" t="s">
        <v>315</v>
      </c>
      <c r="E235" s="10" t="s">
        <v>1333</v>
      </c>
      <c r="F235" s="10" t="s">
        <v>2741</v>
      </c>
      <c r="G235" s="30" t="s">
        <v>2182</v>
      </c>
      <c r="H235" s="12" t="s">
        <v>2269</v>
      </c>
      <c r="I235" s="10" t="s">
        <v>2742</v>
      </c>
      <c r="J235" s="12"/>
    </row>
    <row r="236" customFormat="false" ht="57.45" hidden="false" customHeight="false" outlineLevel="0" collapsed="false">
      <c r="A236" s="12" t="s">
        <v>31</v>
      </c>
      <c r="B236" s="12" t="s">
        <v>89</v>
      </c>
      <c r="C236" s="10" t="s">
        <v>90</v>
      </c>
      <c r="D236" s="30" t="s">
        <v>316</v>
      </c>
      <c r="E236" s="10" t="s">
        <v>2743</v>
      </c>
      <c r="F236" s="10" t="s">
        <v>2741</v>
      </c>
      <c r="G236" s="30" t="s">
        <v>2182</v>
      </c>
      <c r="H236" s="12" t="s">
        <v>2269</v>
      </c>
      <c r="I236" s="10" t="s">
        <v>2744</v>
      </c>
      <c r="J236" s="12"/>
    </row>
    <row r="237" customFormat="false" ht="23.85" hidden="false" customHeight="false" outlineLevel="0" collapsed="false">
      <c r="A237" s="12" t="s">
        <v>31</v>
      </c>
      <c r="B237" s="12" t="s">
        <v>89</v>
      </c>
      <c r="C237" s="10" t="s">
        <v>90</v>
      </c>
      <c r="D237" s="30" t="s">
        <v>316</v>
      </c>
      <c r="E237" s="10" t="s">
        <v>1044</v>
      </c>
      <c r="F237" s="10" t="s">
        <v>2745</v>
      </c>
      <c r="G237" s="30" t="s">
        <v>2746</v>
      </c>
      <c r="H237" s="12" t="s">
        <v>2302</v>
      </c>
      <c r="I237" s="10" t="s">
        <v>2303</v>
      </c>
      <c r="J237" s="12"/>
    </row>
    <row r="238" customFormat="false" ht="23.85" hidden="false" customHeight="false" outlineLevel="0" collapsed="false">
      <c r="A238" s="12" t="s">
        <v>31</v>
      </c>
      <c r="B238" s="12" t="s">
        <v>131</v>
      </c>
      <c r="C238" s="10" t="s">
        <v>132</v>
      </c>
      <c r="D238" s="30" t="s">
        <v>449</v>
      </c>
      <c r="E238" s="10" t="s">
        <v>144</v>
      </c>
      <c r="F238" s="10" t="s">
        <v>2747</v>
      </c>
      <c r="G238" s="30" t="s">
        <v>2748</v>
      </c>
      <c r="H238" s="12" t="s">
        <v>2265</v>
      </c>
      <c r="I238" s="10" t="s">
        <v>2266</v>
      </c>
      <c r="J238" s="12"/>
    </row>
    <row r="239" customFormat="false" ht="23.85" hidden="false" customHeight="false" outlineLevel="0" collapsed="false">
      <c r="A239" s="12" t="s">
        <v>31</v>
      </c>
      <c r="B239" s="12" t="s">
        <v>131</v>
      </c>
      <c r="C239" s="10" t="s">
        <v>132</v>
      </c>
      <c r="D239" s="30" t="s">
        <v>449</v>
      </c>
      <c r="E239" s="10" t="s">
        <v>2289</v>
      </c>
      <c r="F239" s="10" t="s">
        <v>2749</v>
      </c>
      <c r="G239" s="30" t="s">
        <v>2750</v>
      </c>
      <c r="H239" s="12" t="s">
        <v>2292</v>
      </c>
      <c r="I239" s="10" t="s">
        <v>2293</v>
      </c>
      <c r="J239" s="12"/>
    </row>
    <row r="240" customFormat="false" ht="35.05" hidden="false" customHeight="false" outlineLevel="0" collapsed="false">
      <c r="A240" s="12" t="s">
        <v>31</v>
      </c>
      <c r="B240" s="12" t="s">
        <v>131</v>
      </c>
      <c r="C240" s="10" t="s">
        <v>132</v>
      </c>
      <c r="D240" s="30" t="s">
        <v>449</v>
      </c>
      <c r="E240" s="10" t="s">
        <v>96</v>
      </c>
      <c r="F240" s="10" t="s">
        <v>2751</v>
      </c>
      <c r="G240" s="30" t="s">
        <v>2182</v>
      </c>
      <c r="H240" s="12" t="s">
        <v>2269</v>
      </c>
      <c r="I240" s="10" t="s">
        <v>2752</v>
      </c>
      <c r="J240" s="12"/>
    </row>
    <row r="241" customFormat="false" ht="35.05" hidden="false" customHeight="false" outlineLevel="0" collapsed="false">
      <c r="A241" s="12" t="s">
        <v>31</v>
      </c>
      <c r="B241" s="12" t="s">
        <v>131</v>
      </c>
      <c r="C241" s="10" t="s">
        <v>132</v>
      </c>
      <c r="D241" s="30" t="s">
        <v>449</v>
      </c>
      <c r="E241" s="10" t="s">
        <v>2753</v>
      </c>
      <c r="F241" s="10" t="s">
        <v>2751</v>
      </c>
      <c r="G241" s="30" t="s">
        <v>2182</v>
      </c>
      <c r="H241" s="12" t="s">
        <v>2269</v>
      </c>
      <c r="I241" s="10" t="s">
        <v>2754</v>
      </c>
      <c r="J241" s="12"/>
    </row>
    <row r="242" customFormat="false" ht="23.85" hidden="false" customHeight="false" outlineLevel="0" collapsed="false">
      <c r="A242" s="12" t="s">
        <v>31</v>
      </c>
      <c r="B242" s="12" t="s">
        <v>114</v>
      </c>
      <c r="C242" s="10" t="s">
        <v>115</v>
      </c>
      <c r="D242" s="30" t="s">
        <v>304</v>
      </c>
      <c r="E242" s="10" t="s">
        <v>144</v>
      </c>
      <c r="F242" s="10" t="s">
        <v>2755</v>
      </c>
      <c r="G242" s="30" t="s">
        <v>2756</v>
      </c>
      <c r="H242" s="12" t="s">
        <v>2265</v>
      </c>
      <c r="I242" s="10" t="s">
        <v>2266</v>
      </c>
      <c r="J242" s="12"/>
    </row>
    <row r="243" customFormat="false" ht="35.05" hidden="false" customHeight="false" outlineLevel="0" collapsed="false">
      <c r="A243" s="12" t="s">
        <v>31</v>
      </c>
      <c r="B243" s="12" t="s">
        <v>114</v>
      </c>
      <c r="C243" s="10" t="s">
        <v>115</v>
      </c>
      <c r="D243" s="30" t="s">
        <v>304</v>
      </c>
      <c r="E243" s="10" t="s">
        <v>2289</v>
      </c>
      <c r="F243" s="10" t="s">
        <v>2757</v>
      </c>
      <c r="G243" s="30" t="s">
        <v>2758</v>
      </c>
      <c r="H243" s="12" t="s">
        <v>2292</v>
      </c>
      <c r="I243" s="10" t="s">
        <v>2293</v>
      </c>
      <c r="J243" s="12"/>
    </row>
    <row r="244" customFormat="false" ht="35.05" hidden="false" customHeight="false" outlineLevel="0" collapsed="false">
      <c r="A244" s="12" t="s">
        <v>31</v>
      </c>
      <c r="B244" s="12" t="s">
        <v>114</v>
      </c>
      <c r="C244" s="10" t="s">
        <v>115</v>
      </c>
      <c r="D244" s="30" t="s">
        <v>304</v>
      </c>
      <c r="E244" s="10" t="s">
        <v>96</v>
      </c>
      <c r="F244" s="10" t="s">
        <v>2759</v>
      </c>
      <c r="G244" s="30" t="s">
        <v>2182</v>
      </c>
      <c r="H244" s="12" t="s">
        <v>2269</v>
      </c>
      <c r="I244" s="10" t="s">
        <v>2760</v>
      </c>
      <c r="J244" s="12"/>
    </row>
    <row r="245" customFormat="false" ht="35.05" hidden="false" customHeight="false" outlineLevel="0" collapsed="false">
      <c r="A245" s="12" t="s">
        <v>31</v>
      </c>
      <c r="B245" s="12" t="s">
        <v>114</v>
      </c>
      <c r="C245" s="10" t="s">
        <v>115</v>
      </c>
      <c r="D245" s="30" t="s">
        <v>304</v>
      </c>
      <c r="E245" s="10" t="s">
        <v>2761</v>
      </c>
      <c r="F245" s="10" t="s">
        <v>2759</v>
      </c>
      <c r="G245" s="30" t="s">
        <v>2182</v>
      </c>
      <c r="H245" s="12" t="s">
        <v>2269</v>
      </c>
      <c r="I245" s="10" t="s">
        <v>2762</v>
      </c>
      <c r="J245" s="12"/>
    </row>
    <row r="246" customFormat="false" ht="35.05" hidden="false" customHeight="false" outlineLevel="0" collapsed="false">
      <c r="A246" s="12" t="s">
        <v>31</v>
      </c>
      <c r="B246" s="12" t="s">
        <v>112</v>
      </c>
      <c r="C246" s="10" t="s">
        <v>113</v>
      </c>
      <c r="D246" s="30" t="s">
        <v>318</v>
      </c>
      <c r="E246" s="10" t="s">
        <v>1344</v>
      </c>
      <c r="F246" s="10" t="s">
        <v>2763</v>
      </c>
      <c r="G246" s="30" t="s">
        <v>2182</v>
      </c>
      <c r="H246" s="12" t="s">
        <v>2269</v>
      </c>
      <c r="I246" s="10" t="s">
        <v>2764</v>
      </c>
      <c r="J246" s="12"/>
    </row>
    <row r="247" customFormat="false" ht="35.05" hidden="false" customHeight="false" outlineLevel="0" collapsed="false">
      <c r="A247" s="12" t="s">
        <v>31</v>
      </c>
      <c r="B247" s="12" t="s">
        <v>117</v>
      </c>
      <c r="C247" s="10" t="s">
        <v>118</v>
      </c>
      <c r="D247" s="30" t="s">
        <v>428</v>
      </c>
      <c r="E247" s="10" t="s">
        <v>2289</v>
      </c>
      <c r="F247" s="10" t="s">
        <v>2765</v>
      </c>
      <c r="G247" s="30" t="s">
        <v>2766</v>
      </c>
      <c r="H247" s="12" t="s">
        <v>2292</v>
      </c>
      <c r="I247" s="10" t="s">
        <v>2293</v>
      </c>
      <c r="J247" s="12"/>
    </row>
    <row r="248" customFormat="false" ht="35.05" hidden="false" customHeight="false" outlineLevel="0" collapsed="false">
      <c r="A248" s="12" t="s">
        <v>31</v>
      </c>
      <c r="B248" s="12" t="s">
        <v>117</v>
      </c>
      <c r="C248" s="10" t="s">
        <v>118</v>
      </c>
      <c r="D248" s="30" t="s">
        <v>428</v>
      </c>
      <c r="E248" s="10" t="s">
        <v>96</v>
      </c>
      <c r="F248" s="10" t="s">
        <v>2759</v>
      </c>
      <c r="G248" s="30" t="s">
        <v>2182</v>
      </c>
      <c r="H248" s="12" t="s">
        <v>2269</v>
      </c>
      <c r="I248" s="10" t="s">
        <v>2767</v>
      </c>
      <c r="J248" s="12"/>
    </row>
    <row r="249" customFormat="false" ht="35.05" hidden="false" customHeight="false" outlineLevel="0" collapsed="false">
      <c r="A249" s="12" t="s">
        <v>31</v>
      </c>
      <c r="B249" s="12" t="s">
        <v>117</v>
      </c>
      <c r="C249" s="10" t="s">
        <v>118</v>
      </c>
      <c r="D249" s="30" t="s">
        <v>428</v>
      </c>
      <c r="E249" s="10" t="s">
        <v>2768</v>
      </c>
      <c r="F249" s="10" t="s">
        <v>2759</v>
      </c>
      <c r="G249" s="30" t="s">
        <v>2182</v>
      </c>
      <c r="H249" s="12" t="s">
        <v>2269</v>
      </c>
      <c r="I249" s="10" t="s">
        <v>2769</v>
      </c>
      <c r="J249" s="12"/>
    </row>
    <row r="250" customFormat="false" ht="23.85" hidden="false" customHeight="false" outlineLevel="0" collapsed="false">
      <c r="A250" s="12" t="s">
        <v>29</v>
      </c>
      <c r="B250" s="12" t="s">
        <v>75</v>
      </c>
      <c r="C250" s="10" t="s">
        <v>76</v>
      </c>
      <c r="D250" s="30" t="s">
        <v>315</v>
      </c>
      <c r="E250" s="10" t="s">
        <v>2289</v>
      </c>
      <c r="F250" s="10" t="s">
        <v>2770</v>
      </c>
      <c r="G250" s="30" t="s">
        <v>2771</v>
      </c>
      <c r="H250" s="12" t="s">
        <v>2292</v>
      </c>
      <c r="I250" s="10" t="s">
        <v>2293</v>
      </c>
      <c r="J250" s="12"/>
    </row>
    <row r="251" customFormat="false" ht="35.05" hidden="false" customHeight="false" outlineLevel="0" collapsed="false">
      <c r="A251" s="12" t="s">
        <v>29</v>
      </c>
      <c r="B251" s="12" t="s">
        <v>75</v>
      </c>
      <c r="C251" s="10" t="s">
        <v>76</v>
      </c>
      <c r="D251" s="30" t="s">
        <v>315</v>
      </c>
      <c r="E251" s="10" t="s">
        <v>96</v>
      </c>
      <c r="F251" s="10" t="s">
        <v>2772</v>
      </c>
      <c r="G251" s="30" t="s">
        <v>2182</v>
      </c>
      <c r="H251" s="12" t="s">
        <v>2269</v>
      </c>
      <c r="I251" s="10" t="s">
        <v>2773</v>
      </c>
      <c r="J251" s="12"/>
    </row>
    <row r="252" customFormat="false" ht="23.85" hidden="false" customHeight="false" outlineLevel="0" collapsed="false">
      <c r="A252" s="12" t="s">
        <v>29</v>
      </c>
      <c r="B252" s="12" t="s">
        <v>89</v>
      </c>
      <c r="C252" s="10" t="s">
        <v>90</v>
      </c>
      <c r="D252" s="30" t="s">
        <v>316</v>
      </c>
      <c r="E252" s="10" t="s">
        <v>144</v>
      </c>
      <c r="F252" s="10" t="s">
        <v>2774</v>
      </c>
      <c r="G252" s="30" t="s">
        <v>2775</v>
      </c>
      <c r="H252" s="12" t="s">
        <v>2265</v>
      </c>
      <c r="I252" s="10" t="s">
        <v>2266</v>
      </c>
      <c r="J252" s="12"/>
    </row>
    <row r="253" customFormat="false" ht="23.85" hidden="false" customHeight="false" outlineLevel="0" collapsed="false">
      <c r="A253" s="12" t="s">
        <v>29</v>
      </c>
      <c r="B253" s="12" t="s">
        <v>89</v>
      </c>
      <c r="C253" s="10" t="s">
        <v>90</v>
      </c>
      <c r="D253" s="30" t="s">
        <v>316</v>
      </c>
      <c r="E253" s="10" t="s">
        <v>2289</v>
      </c>
      <c r="F253" s="10" t="s">
        <v>2776</v>
      </c>
      <c r="G253" s="30" t="s">
        <v>2777</v>
      </c>
      <c r="H253" s="12" t="s">
        <v>2292</v>
      </c>
      <c r="I253" s="10" t="s">
        <v>2293</v>
      </c>
      <c r="J253" s="12"/>
    </row>
    <row r="254" customFormat="false" ht="35.05" hidden="false" customHeight="false" outlineLevel="0" collapsed="false">
      <c r="A254" s="12" t="s">
        <v>29</v>
      </c>
      <c r="B254" s="12" t="s">
        <v>89</v>
      </c>
      <c r="C254" s="10" t="s">
        <v>90</v>
      </c>
      <c r="D254" s="30" t="s">
        <v>316</v>
      </c>
      <c r="E254" s="10" t="s">
        <v>96</v>
      </c>
      <c r="F254" s="10" t="s">
        <v>2778</v>
      </c>
      <c r="G254" s="30" t="s">
        <v>2182</v>
      </c>
      <c r="H254" s="12" t="s">
        <v>2269</v>
      </c>
      <c r="I254" s="10" t="s">
        <v>2779</v>
      </c>
      <c r="J254" s="12"/>
    </row>
    <row r="255" customFormat="false" ht="35.05" hidden="false" customHeight="false" outlineLevel="0" collapsed="false">
      <c r="A255" s="12" t="s">
        <v>29</v>
      </c>
      <c r="B255" s="12" t="s">
        <v>89</v>
      </c>
      <c r="C255" s="10" t="s">
        <v>90</v>
      </c>
      <c r="D255" s="30" t="s">
        <v>316</v>
      </c>
      <c r="E255" s="10" t="s">
        <v>2780</v>
      </c>
      <c r="F255" s="10" t="s">
        <v>2778</v>
      </c>
      <c r="G255" s="30" t="s">
        <v>2182</v>
      </c>
      <c r="H255" s="12" t="s">
        <v>2269</v>
      </c>
      <c r="I255" s="10" t="s">
        <v>2781</v>
      </c>
      <c r="J255" s="12"/>
    </row>
    <row r="256" customFormat="false" ht="23.85" hidden="false" customHeight="false" outlineLevel="0" collapsed="false">
      <c r="A256" s="12" t="s">
        <v>29</v>
      </c>
      <c r="B256" s="12" t="s">
        <v>89</v>
      </c>
      <c r="C256" s="10" t="s">
        <v>90</v>
      </c>
      <c r="D256" s="30" t="s">
        <v>316</v>
      </c>
      <c r="E256" s="10" t="s">
        <v>1044</v>
      </c>
      <c r="F256" s="10" t="s">
        <v>2782</v>
      </c>
      <c r="G256" s="30" t="s">
        <v>2783</v>
      </c>
      <c r="H256" s="12" t="s">
        <v>2302</v>
      </c>
      <c r="I256" s="10" t="s">
        <v>2303</v>
      </c>
      <c r="J256" s="12"/>
    </row>
    <row r="257" customFormat="false" ht="23.85" hidden="false" customHeight="false" outlineLevel="0" collapsed="false">
      <c r="A257" s="12" t="s">
        <v>29</v>
      </c>
      <c r="B257" s="12" t="s">
        <v>89</v>
      </c>
      <c r="C257" s="10" t="s">
        <v>90</v>
      </c>
      <c r="D257" s="30" t="s">
        <v>316</v>
      </c>
      <c r="E257" s="10" t="s">
        <v>995</v>
      </c>
      <c r="F257" s="10" t="s">
        <v>2784</v>
      </c>
      <c r="G257" s="30" t="s">
        <v>1405</v>
      </c>
      <c r="H257" s="12" t="s">
        <v>2477</v>
      </c>
      <c r="I257" s="10" t="s">
        <v>2478</v>
      </c>
      <c r="J257" s="12"/>
    </row>
    <row r="258" customFormat="false" ht="23.85" hidden="false" customHeight="false" outlineLevel="0" collapsed="false">
      <c r="A258" s="12" t="s">
        <v>29</v>
      </c>
      <c r="B258" s="12" t="s">
        <v>221</v>
      </c>
      <c r="C258" s="10" t="s">
        <v>222</v>
      </c>
      <c r="D258" s="30" t="s">
        <v>488</v>
      </c>
      <c r="E258" s="10" t="s">
        <v>2289</v>
      </c>
      <c r="F258" s="10" t="s">
        <v>2785</v>
      </c>
      <c r="G258" s="30" t="s">
        <v>2786</v>
      </c>
      <c r="H258" s="12" t="s">
        <v>2292</v>
      </c>
      <c r="I258" s="10" t="s">
        <v>2293</v>
      </c>
      <c r="J258" s="12"/>
    </row>
    <row r="259" customFormat="false" ht="35.05" hidden="false" customHeight="false" outlineLevel="0" collapsed="false">
      <c r="A259" s="12" t="s">
        <v>29</v>
      </c>
      <c r="B259" s="12" t="s">
        <v>221</v>
      </c>
      <c r="C259" s="10" t="s">
        <v>222</v>
      </c>
      <c r="D259" s="30" t="s">
        <v>488</v>
      </c>
      <c r="E259" s="10" t="s">
        <v>96</v>
      </c>
      <c r="F259" s="10" t="s">
        <v>2787</v>
      </c>
      <c r="G259" s="30" t="s">
        <v>2182</v>
      </c>
      <c r="H259" s="12" t="s">
        <v>2269</v>
      </c>
      <c r="I259" s="10" t="s">
        <v>2788</v>
      </c>
      <c r="J259" s="12"/>
    </row>
    <row r="260" customFormat="false" ht="35.05" hidden="false" customHeight="false" outlineLevel="0" collapsed="false">
      <c r="A260" s="12" t="s">
        <v>29</v>
      </c>
      <c r="B260" s="12" t="s">
        <v>221</v>
      </c>
      <c r="C260" s="10" t="s">
        <v>222</v>
      </c>
      <c r="D260" s="30" t="s">
        <v>488</v>
      </c>
      <c r="E260" s="10" t="s">
        <v>2789</v>
      </c>
      <c r="F260" s="10" t="s">
        <v>2787</v>
      </c>
      <c r="G260" s="30" t="s">
        <v>2182</v>
      </c>
      <c r="H260" s="12" t="s">
        <v>2269</v>
      </c>
      <c r="I260" s="10" t="s">
        <v>2790</v>
      </c>
      <c r="J260" s="12"/>
    </row>
    <row r="261" customFormat="false" ht="23.85" hidden="false" customHeight="false" outlineLevel="0" collapsed="false">
      <c r="A261" s="12" t="s">
        <v>29</v>
      </c>
      <c r="B261" s="12" t="s">
        <v>223</v>
      </c>
      <c r="C261" s="10" t="s">
        <v>224</v>
      </c>
      <c r="D261" s="30" t="s">
        <v>407</v>
      </c>
      <c r="E261" s="10" t="s">
        <v>144</v>
      </c>
      <c r="F261" s="10" t="s">
        <v>2791</v>
      </c>
      <c r="G261" s="30" t="s">
        <v>2792</v>
      </c>
      <c r="H261" s="12" t="s">
        <v>2265</v>
      </c>
      <c r="I261" s="10" t="s">
        <v>2266</v>
      </c>
      <c r="J261" s="12"/>
    </row>
    <row r="262" customFormat="false" ht="23.85" hidden="false" customHeight="false" outlineLevel="0" collapsed="false">
      <c r="A262" s="12" t="s">
        <v>29</v>
      </c>
      <c r="B262" s="12" t="s">
        <v>235</v>
      </c>
      <c r="C262" s="10" t="s">
        <v>236</v>
      </c>
      <c r="D262" s="30" t="s">
        <v>495</v>
      </c>
      <c r="E262" s="10" t="s">
        <v>144</v>
      </c>
      <c r="F262" s="10" t="s">
        <v>2793</v>
      </c>
      <c r="G262" s="30" t="s">
        <v>2794</v>
      </c>
      <c r="H262" s="12" t="s">
        <v>2306</v>
      </c>
      <c r="I262" s="10" t="s">
        <v>2307</v>
      </c>
      <c r="J262" s="12"/>
    </row>
    <row r="263" customFormat="false" ht="23.85" hidden="false" customHeight="false" outlineLevel="0" collapsed="false">
      <c r="A263" s="12" t="s">
        <v>29</v>
      </c>
      <c r="B263" s="12" t="s">
        <v>107</v>
      </c>
      <c r="C263" s="10" t="s">
        <v>108</v>
      </c>
      <c r="D263" s="30" t="s">
        <v>317</v>
      </c>
      <c r="E263" s="10" t="s">
        <v>2289</v>
      </c>
      <c r="F263" s="10" t="s">
        <v>2795</v>
      </c>
      <c r="G263" s="30" t="s">
        <v>2796</v>
      </c>
      <c r="H263" s="12" t="s">
        <v>2292</v>
      </c>
      <c r="I263" s="10" t="s">
        <v>2293</v>
      </c>
      <c r="J263" s="12"/>
    </row>
    <row r="264" customFormat="false" ht="35.05" hidden="false" customHeight="false" outlineLevel="0" collapsed="false">
      <c r="A264" s="12" t="s">
        <v>29</v>
      </c>
      <c r="B264" s="12" t="s">
        <v>107</v>
      </c>
      <c r="C264" s="10" t="s">
        <v>108</v>
      </c>
      <c r="D264" s="30" t="s">
        <v>317</v>
      </c>
      <c r="E264" s="10" t="s">
        <v>96</v>
      </c>
      <c r="F264" s="10" t="s">
        <v>2778</v>
      </c>
      <c r="G264" s="30" t="s">
        <v>2182</v>
      </c>
      <c r="H264" s="12" t="s">
        <v>2269</v>
      </c>
      <c r="I264" s="10" t="s">
        <v>2797</v>
      </c>
      <c r="J264" s="12"/>
    </row>
    <row r="265" customFormat="false" ht="35.05" hidden="false" customHeight="false" outlineLevel="0" collapsed="false">
      <c r="A265" s="12" t="s">
        <v>29</v>
      </c>
      <c r="B265" s="12" t="s">
        <v>107</v>
      </c>
      <c r="C265" s="10" t="s">
        <v>108</v>
      </c>
      <c r="D265" s="30" t="s">
        <v>317</v>
      </c>
      <c r="E265" s="10" t="s">
        <v>2780</v>
      </c>
      <c r="F265" s="10" t="s">
        <v>2778</v>
      </c>
      <c r="G265" s="30" t="s">
        <v>2182</v>
      </c>
      <c r="H265" s="12" t="s">
        <v>2269</v>
      </c>
      <c r="I265" s="10" t="s">
        <v>2798</v>
      </c>
      <c r="J265" s="12"/>
    </row>
    <row r="266" customFormat="false" ht="23.85" hidden="false" customHeight="false" outlineLevel="0" collapsed="false">
      <c r="A266" s="12" t="s">
        <v>29</v>
      </c>
      <c r="B266" s="12" t="s">
        <v>485</v>
      </c>
      <c r="C266" s="10" t="s">
        <v>486</v>
      </c>
      <c r="D266" s="30" t="s">
        <v>487</v>
      </c>
      <c r="E266" s="10" t="s">
        <v>995</v>
      </c>
      <c r="F266" s="10" t="s">
        <v>2799</v>
      </c>
      <c r="G266" s="30" t="s">
        <v>991</v>
      </c>
      <c r="H266" s="12" t="s">
        <v>2800</v>
      </c>
      <c r="I266" s="10" t="s">
        <v>2801</v>
      </c>
      <c r="J266" s="12"/>
    </row>
    <row r="267" customFormat="false" ht="23.85" hidden="false" customHeight="false" outlineLevel="0" collapsed="false">
      <c r="A267" s="12" t="s">
        <v>29</v>
      </c>
      <c r="B267" s="12" t="s">
        <v>170</v>
      </c>
      <c r="C267" s="10" t="s">
        <v>171</v>
      </c>
      <c r="D267" s="30" t="s">
        <v>429</v>
      </c>
      <c r="E267" s="10" t="s">
        <v>144</v>
      </c>
      <c r="F267" s="10" t="s">
        <v>2802</v>
      </c>
      <c r="G267" s="30" t="s">
        <v>2803</v>
      </c>
      <c r="H267" s="12" t="s">
        <v>2306</v>
      </c>
      <c r="I267" s="10" t="s">
        <v>2307</v>
      </c>
      <c r="J267" s="12"/>
    </row>
    <row r="268" customFormat="false" ht="23.85" hidden="false" customHeight="false" outlineLevel="0" collapsed="false">
      <c r="A268" s="12" t="s">
        <v>29</v>
      </c>
      <c r="B268" s="12" t="s">
        <v>492</v>
      </c>
      <c r="C268" s="10" t="s">
        <v>493</v>
      </c>
      <c r="D268" s="30" t="s">
        <v>494</v>
      </c>
      <c r="E268" s="10" t="s">
        <v>144</v>
      </c>
      <c r="F268" s="10" t="s">
        <v>2804</v>
      </c>
      <c r="G268" s="30" t="s">
        <v>2805</v>
      </c>
      <c r="H268" s="12" t="s">
        <v>2265</v>
      </c>
      <c r="I268" s="10" t="s">
        <v>2266</v>
      </c>
      <c r="J268" s="12"/>
    </row>
    <row r="269" customFormat="false" ht="23.85" hidden="false" customHeight="false" outlineLevel="0" collapsed="false">
      <c r="A269" s="12" t="s">
        <v>29</v>
      </c>
      <c r="B269" s="12" t="s">
        <v>182</v>
      </c>
      <c r="C269" s="10" t="s">
        <v>183</v>
      </c>
      <c r="D269" s="30" t="s">
        <v>483</v>
      </c>
      <c r="E269" s="10" t="s">
        <v>144</v>
      </c>
      <c r="F269" s="10" t="s">
        <v>2806</v>
      </c>
      <c r="G269" s="30" t="s">
        <v>2807</v>
      </c>
      <c r="H269" s="12" t="s">
        <v>2265</v>
      </c>
      <c r="I269" s="10" t="s">
        <v>2266</v>
      </c>
      <c r="J269" s="12"/>
    </row>
    <row r="270" customFormat="false" ht="35.05" hidden="false" customHeight="false" outlineLevel="0" collapsed="false">
      <c r="A270" s="12" t="s">
        <v>29</v>
      </c>
      <c r="B270" s="12" t="s">
        <v>128</v>
      </c>
      <c r="C270" s="10" t="s">
        <v>129</v>
      </c>
      <c r="D270" s="30" t="s">
        <v>341</v>
      </c>
      <c r="E270" s="10" t="s">
        <v>2289</v>
      </c>
      <c r="F270" s="10" t="s">
        <v>2808</v>
      </c>
      <c r="G270" s="30" t="s">
        <v>2809</v>
      </c>
      <c r="H270" s="12" t="s">
        <v>2292</v>
      </c>
      <c r="I270" s="10" t="s">
        <v>2293</v>
      </c>
      <c r="J270" s="12"/>
    </row>
    <row r="271" customFormat="false" ht="35.05" hidden="false" customHeight="false" outlineLevel="0" collapsed="false">
      <c r="A271" s="12" t="s">
        <v>29</v>
      </c>
      <c r="B271" s="12" t="s">
        <v>128</v>
      </c>
      <c r="C271" s="10" t="s">
        <v>129</v>
      </c>
      <c r="D271" s="30" t="s">
        <v>341</v>
      </c>
      <c r="E271" s="10" t="s">
        <v>96</v>
      </c>
      <c r="F271" s="10" t="s">
        <v>2778</v>
      </c>
      <c r="G271" s="30" t="s">
        <v>2182</v>
      </c>
      <c r="H271" s="12" t="s">
        <v>2269</v>
      </c>
      <c r="I271" s="10" t="s">
        <v>2810</v>
      </c>
      <c r="J271" s="12"/>
    </row>
    <row r="272" customFormat="false" ht="35.05" hidden="false" customHeight="false" outlineLevel="0" collapsed="false">
      <c r="A272" s="12" t="s">
        <v>29</v>
      </c>
      <c r="B272" s="12" t="s">
        <v>128</v>
      </c>
      <c r="C272" s="10" t="s">
        <v>129</v>
      </c>
      <c r="D272" s="30" t="s">
        <v>341</v>
      </c>
      <c r="E272" s="10" t="s">
        <v>2780</v>
      </c>
      <c r="F272" s="10" t="s">
        <v>2778</v>
      </c>
      <c r="G272" s="30" t="s">
        <v>2182</v>
      </c>
      <c r="H272" s="12" t="s">
        <v>2269</v>
      </c>
      <c r="I272" s="10" t="s">
        <v>2811</v>
      </c>
      <c r="J272" s="12"/>
    </row>
    <row r="273" customFormat="false" ht="35.05" hidden="false" customHeight="false" outlineLevel="0" collapsed="false">
      <c r="A273" s="12" t="s">
        <v>29</v>
      </c>
      <c r="B273" s="12" t="s">
        <v>289</v>
      </c>
      <c r="C273" s="10" t="s">
        <v>290</v>
      </c>
      <c r="D273" s="30" t="s">
        <v>306</v>
      </c>
      <c r="E273" s="10" t="s">
        <v>144</v>
      </c>
      <c r="F273" s="10" t="s">
        <v>2812</v>
      </c>
      <c r="G273" s="30" t="s">
        <v>2813</v>
      </c>
      <c r="H273" s="12" t="s">
        <v>2306</v>
      </c>
      <c r="I273" s="10" t="s">
        <v>2307</v>
      </c>
      <c r="J273" s="12"/>
    </row>
    <row r="274" customFormat="false" ht="23.85" hidden="false" customHeight="false" outlineLevel="0" collapsed="false">
      <c r="A274" s="12" t="s">
        <v>29</v>
      </c>
      <c r="B274" s="12" t="s">
        <v>400</v>
      </c>
      <c r="C274" s="10" t="s">
        <v>401</v>
      </c>
      <c r="D274" s="30" t="s">
        <v>402</v>
      </c>
      <c r="E274" s="10" t="s">
        <v>995</v>
      </c>
      <c r="F274" s="10" t="s">
        <v>2814</v>
      </c>
      <c r="G274" s="30" t="s">
        <v>2815</v>
      </c>
      <c r="H274" s="12" t="s">
        <v>2477</v>
      </c>
      <c r="I274" s="10" t="s">
        <v>2478</v>
      </c>
      <c r="J274" s="12"/>
    </row>
    <row r="275" customFormat="false" ht="23.85" hidden="false" customHeight="false" outlineLevel="0" collapsed="false">
      <c r="A275" s="12" t="s">
        <v>29</v>
      </c>
      <c r="B275" s="12" t="s">
        <v>180</v>
      </c>
      <c r="C275" s="10" t="s">
        <v>181</v>
      </c>
      <c r="D275" s="30" t="s">
        <v>356</v>
      </c>
      <c r="E275" s="10" t="s">
        <v>2289</v>
      </c>
      <c r="F275" s="10" t="s">
        <v>2816</v>
      </c>
      <c r="G275" s="30" t="s">
        <v>844</v>
      </c>
      <c r="H275" s="12" t="s">
        <v>2404</v>
      </c>
      <c r="I275" s="10" t="s">
        <v>2405</v>
      </c>
      <c r="J275" s="12"/>
    </row>
    <row r="276" customFormat="false" ht="35.05" hidden="false" customHeight="false" outlineLevel="0" collapsed="false">
      <c r="A276" s="12" t="s">
        <v>29</v>
      </c>
      <c r="B276" s="12" t="s">
        <v>180</v>
      </c>
      <c r="C276" s="10" t="s">
        <v>181</v>
      </c>
      <c r="D276" s="30" t="s">
        <v>356</v>
      </c>
      <c r="E276" s="10" t="s">
        <v>96</v>
      </c>
      <c r="F276" s="10" t="s">
        <v>2778</v>
      </c>
      <c r="G276" s="30" t="s">
        <v>2182</v>
      </c>
      <c r="H276" s="12" t="s">
        <v>2269</v>
      </c>
      <c r="I276" s="10" t="s">
        <v>2817</v>
      </c>
      <c r="J276" s="12"/>
    </row>
    <row r="277" customFormat="false" ht="35.05" hidden="false" customHeight="false" outlineLevel="0" collapsed="false">
      <c r="A277" s="12" t="s">
        <v>29</v>
      </c>
      <c r="B277" s="12" t="s">
        <v>180</v>
      </c>
      <c r="C277" s="10" t="s">
        <v>181</v>
      </c>
      <c r="D277" s="30" t="s">
        <v>356</v>
      </c>
      <c r="E277" s="10" t="s">
        <v>2780</v>
      </c>
      <c r="F277" s="10" t="s">
        <v>2778</v>
      </c>
      <c r="G277" s="30" t="s">
        <v>2182</v>
      </c>
      <c r="H277" s="12" t="s">
        <v>2269</v>
      </c>
      <c r="I277" s="10" t="s">
        <v>2818</v>
      </c>
      <c r="J277" s="12"/>
    </row>
    <row r="278" customFormat="false" ht="23.85" hidden="false" customHeight="false" outlineLevel="0" collapsed="false">
      <c r="A278" s="12" t="s">
        <v>29</v>
      </c>
      <c r="B278" s="12" t="s">
        <v>112</v>
      </c>
      <c r="C278" s="10" t="s">
        <v>113</v>
      </c>
      <c r="D278" s="30" t="s">
        <v>318</v>
      </c>
      <c r="E278" s="10" t="s">
        <v>144</v>
      </c>
      <c r="F278" s="10" t="s">
        <v>2819</v>
      </c>
      <c r="G278" s="30" t="s">
        <v>2820</v>
      </c>
      <c r="H278" s="12" t="s">
        <v>2265</v>
      </c>
      <c r="I278" s="10" t="s">
        <v>2266</v>
      </c>
      <c r="J278" s="12"/>
    </row>
    <row r="279" customFormat="false" ht="23.85" hidden="false" customHeight="false" outlineLevel="0" collapsed="false">
      <c r="A279" s="12" t="s">
        <v>29</v>
      </c>
      <c r="B279" s="12" t="s">
        <v>112</v>
      </c>
      <c r="C279" s="10" t="s">
        <v>113</v>
      </c>
      <c r="D279" s="30" t="s">
        <v>318</v>
      </c>
      <c r="E279" s="10" t="s">
        <v>2289</v>
      </c>
      <c r="F279" s="10" t="s">
        <v>2821</v>
      </c>
      <c r="G279" s="30" t="s">
        <v>2822</v>
      </c>
      <c r="H279" s="12" t="s">
        <v>2292</v>
      </c>
      <c r="I279" s="10" t="s">
        <v>2293</v>
      </c>
      <c r="J279" s="12"/>
    </row>
    <row r="280" customFormat="false" ht="35.05" hidden="false" customHeight="false" outlineLevel="0" collapsed="false">
      <c r="A280" s="12" t="s">
        <v>29</v>
      </c>
      <c r="B280" s="12" t="s">
        <v>112</v>
      </c>
      <c r="C280" s="10" t="s">
        <v>113</v>
      </c>
      <c r="D280" s="30" t="s">
        <v>318</v>
      </c>
      <c r="E280" s="10" t="s">
        <v>96</v>
      </c>
      <c r="F280" s="10" t="s">
        <v>2778</v>
      </c>
      <c r="G280" s="30" t="s">
        <v>2182</v>
      </c>
      <c r="H280" s="12" t="s">
        <v>2269</v>
      </c>
      <c r="I280" s="10" t="s">
        <v>2823</v>
      </c>
      <c r="J280" s="12"/>
    </row>
    <row r="281" customFormat="false" ht="35.05" hidden="false" customHeight="false" outlineLevel="0" collapsed="false">
      <c r="A281" s="12" t="s">
        <v>29</v>
      </c>
      <c r="B281" s="12" t="s">
        <v>112</v>
      </c>
      <c r="C281" s="10" t="s">
        <v>113</v>
      </c>
      <c r="D281" s="30" t="s">
        <v>318</v>
      </c>
      <c r="E281" s="10" t="s">
        <v>2780</v>
      </c>
      <c r="F281" s="10" t="s">
        <v>2778</v>
      </c>
      <c r="G281" s="30" t="s">
        <v>2182</v>
      </c>
      <c r="H281" s="12" t="s">
        <v>2269</v>
      </c>
      <c r="I281" s="10" t="s">
        <v>2824</v>
      </c>
      <c r="J281" s="12"/>
    </row>
    <row r="282" customFormat="false" ht="23.85" hidden="false" customHeight="false" outlineLevel="0" collapsed="false">
      <c r="A282" s="12" t="s">
        <v>29</v>
      </c>
      <c r="B282" s="12" t="s">
        <v>112</v>
      </c>
      <c r="C282" s="10" t="s">
        <v>113</v>
      </c>
      <c r="D282" s="30" t="s">
        <v>318</v>
      </c>
      <c r="E282" s="10" t="s">
        <v>995</v>
      </c>
      <c r="F282" s="10" t="s">
        <v>2825</v>
      </c>
      <c r="G282" s="30" t="s">
        <v>1417</v>
      </c>
      <c r="H282" s="12" t="s">
        <v>2477</v>
      </c>
      <c r="I282" s="10" t="s">
        <v>2478</v>
      </c>
      <c r="J282" s="12"/>
    </row>
    <row r="283" customFormat="false" ht="23.85" hidden="false" customHeight="false" outlineLevel="0" collapsed="false">
      <c r="A283" s="12" t="s">
        <v>29</v>
      </c>
      <c r="B283" s="12" t="s">
        <v>466</v>
      </c>
      <c r="C283" s="10" t="s">
        <v>467</v>
      </c>
      <c r="D283" s="30" t="s">
        <v>468</v>
      </c>
      <c r="E283" s="10" t="s">
        <v>144</v>
      </c>
      <c r="F283" s="10" t="s">
        <v>2826</v>
      </c>
      <c r="G283" s="30" t="s">
        <v>2827</v>
      </c>
      <c r="H283" s="12" t="s">
        <v>2306</v>
      </c>
      <c r="I283" s="10" t="s">
        <v>2307</v>
      </c>
      <c r="J283" s="12"/>
    </row>
    <row r="284" customFormat="false" ht="35.05" hidden="false" customHeight="false" outlineLevel="0" collapsed="false">
      <c r="A284" s="12" t="s">
        <v>29</v>
      </c>
      <c r="B284" s="12" t="s">
        <v>240</v>
      </c>
      <c r="C284" s="10" t="s">
        <v>241</v>
      </c>
      <c r="D284" s="30" t="s">
        <v>484</v>
      </c>
      <c r="E284" s="10" t="s">
        <v>96</v>
      </c>
      <c r="F284" s="10" t="s">
        <v>2772</v>
      </c>
      <c r="G284" s="30" t="s">
        <v>2182</v>
      </c>
      <c r="H284" s="12" t="s">
        <v>2269</v>
      </c>
      <c r="I284" s="10" t="s">
        <v>2828</v>
      </c>
      <c r="J284" s="12"/>
    </row>
    <row r="285" customFormat="false" ht="23.85" hidden="false" customHeight="false" outlineLevel="0" collapsed="false">
      <c r="A285" s="12" t="s">
        <v>29</v>
      </c>
      <c r="B285" s="12" t="s">
        <v>489</v>
      </c>
      <c r="C285" s="10" t="s">
        <v>490</v>
      </c>
      <c r="D285" s="30" t="s">
        <v>491</v>
      </c>
      <c r="E285" s="10" t="s">
        <v>144</v>
      </c>
      <c r="F285" s="10" t="s">
        <v>2829</v>
      </c>
      <c r="G285" s="30" t="s">
        <v>2830</v>
      </c>
      <c r="H285" s="12" t="s">
        <v>2306</v>
      </c>
      <c r="I285" s="10" t="s">
        <v>2307</v>
      </c>
      <c r="J285" s="12"/>
    </row>
    <row r="286" customFormat="false" ht="23.85" hidden="false" customHeight="false" outlineLevel="0" collapsed="false">
      <c r="A286" s="12" t="s">
        <v>29</v>
      </c>
      <c r="B286" s="12" t="s">
        <v>265</v>
      </c>
      <c r="C286" s="10" t="s">
        <v>266</v>
      </c>
      <c r="D286" s="30" t="s">
        <v>454</v>
      </c>
      <c r="E286" s="10" t="s">
        <v>144</v>
      </c>
      <c r="F286" s="10" t="s">
        <v>2831</v>
      </c>
      <c r="G286" s="30" t="s">
        <v>2832</v>
      </c>
      <c r="H286" s="12" t="s">
        <v>2265</v>
      </c>
      <c r="I286" s="10" t="s">
        <v>2266</v>
      </c>
      <c r="J286" s="12"/>
    </row>
    <row r="287" customFormat="false" ht="23.85" hidden="false" customHeight="false" outlineLevel="0" collapsed="false">
      <c r="A287" s="12" t="s">
        <v>29</v>
      </c>
      <c r="B287" s="12" t="s">
        <v>117</v>
      </c>
      <c r="C287" s="10" t="s">
        <v>118</v>
      </c>
      <c r="D287" s="30" t="s">
        <v>428</v>
      </c>
      <c r="E287" s="10" t="s">
        <v>144</v>
      </c>
      <c r="F287" s="10" t="s">
        <v>2833</v>
      </c>
      <c r="G287" s="30" t="s">
        <v>2834</v>
      </c>
      <c r="H287" s="12" t="s">
        <v>2265</v>
      </c>
      <c r="I287" s="10" t="s">
        <v>2266</v>
      </c>
      <c r="J287" s="12"/>
    </row>
    <row r="288" customFormat="false" ht="23.85" hidden="false" customHeight="false" outlineLevel="0" collapsed="false">
      <c r="A288" s="12" t="s">
        <v>29</v>
      </c>
      <c r="B288" s="12" t="s">
        <v>117</v>
      </c>
      <c r="C288" s="10" t="s">
        <v>118</v>
      </c>
      <c r="D288" s="30" t="s">
        <v>428</v>
      </c>
      <c r="E288" s="10" t="s">
        <v>2289</v>
      </c>
      <c r="F288" s="10" t="s">
        <v>2835</v>
      </c>
      <c r="G288" s="30" t="s">
        <v>1329</v>
      </c>
      <c r="H288" s="12" t="s">
        <v>2404</v>
      </c>
      <c r="I288" s="10" t="s">
        <v>2405</v>
      </c>
      <c r="J288" s="12"/>
    </row>
    <row r="289" customFormat="false" ht="35.05" hidden="false" customHeight="false" outlineLevel="0" collapsed="false">
      <c r="A289" s="12" t="s">
        <v>29</v>
      </c>
      <c r="B289" s="12" t="s">
        <v>117</v>
      </c>
      <c r="C289" s="10" t="s">
        <v>118</v>
      </c>
      <c r="D289" s="30" t="s">
        <v>428</v>
      </c>
      <c r="E289" s="10" t="s">
        <v>96</v>
      </c>
      <c r="F289" s="10" t="s">
        <v>2778</v>
      </c>
      <c r="G289" s="30" t="s">
        <v>2182</v>
      </c>
      <c r="H289" s="12" t="s">
        <v>2269</v>
      </c>
      <c r="I289" s="10" t="s">
        <v>2836</v>
      </c>
      <c r="J289" s="12"/>
    </row>
    <row r="290" customFormat="false" ht="35.05" hidden="false" customHeight="false" outlineLevel="0" collapsed="false">
      <c r="A290" s="12" t="s">
        <v>29</v>
      </c>
      <c r="B290" s="12" t="s">
        <v>117</v>
      </c>
      <c r="C290" s="10" t="s">
        <v>118</v>
      </c>
      <c r="D290" s="30" t="s">
        <v>428</v>
      </c>
      <c r="E290" s="10" t="s">
        <v>2780</v>
      </c>
      <c r="F290" s="10" t="s">
        <v>2778</v>
      </c>
      <c r="G290" s="30" t="s">
        <v>2182</v>
      </c>
      <c r="H290" s="12" t="s">
        <v>2269</v>
      </c>
      <c r="I290" s="10" t="s">
        <v>2837</v>
      </c>
      <c r="J290" s="12"/>
    </row>
    <row r="291" customFormat="false" ht="23.85" hidden="false" customHeight="false" outlineLevel="0" collapsed="false">
      <c r="A291" s="12" t="s">
        <v>29</v>
      </c>
      <c r="B291" s="12" t="s">
        <v>117</v>
      </c>
      <c r="C291" s="10" t="s">
        <v>118</v>
      </c>
      <c r="D291" s="30" t="s">
        <v>428</v>
      </c>
      <c r="E291" s="10" t="s">
        <v>995</v>
      </c>
      <c r="F291" s="10" t="s">
        <v>2838</v>
      </c>
      <c r="G291" s="30" t="s">
        <v>1414</v>
      </c>
      <c r="H291" s="12" t="s">
        <v>2477</v>
      </c>
      <c r="I291" s="10" t="s">
        <v>2478</v>
      </c>
      <c r="J291" s="12"/>
    </row>
    <row r="292" customFormat="false" ht="35.05" hidden="false" customHeight="false" outlineLevel="0" collapsed="false">
      <c r="A292" s="12" t="s">
        <v>29</v>
      </c>
      <c r="B292" s="12" t="s">
        <v>178</v>
      </c>
      <c r="C292" s="10" t="s">
        <v>179</v>
      </c>
      <c r="D292" s="30" t="s">
        <v>438</v>
      </c>
      <c r="E292" s="10" t="s">
        <v>2289</v>
      </c>
      <c r="F292" s="10" t="s">
        <v>2839</v>
      </c>
      <c r="G292" s="30" t="s">
        <v>2840</v>
      </c>
      <c r="H292" s="12" t="s">
        <v>2292</v>
      </c>
      <c r="I292" s="10" t="s">
        <v>2293</v>
      </c>
      <c r="J292" s="12"/>
    </row>
    <row r="293" customFormat="false" ht="35.05" hidden="false" customHeight="false" outlineLevel="0" collapsed="false">
      <c r="A293" s="12" t="s">
        <v>29</v>
      </c>
      <c r="B293" s="12" t="s">
        <v>178</v>
      </c>
      <c r="C293" s="10" t="s">
        <v>179</v>
      </c>
      <c r="D293" s="30" t="s">
        <v>438</v>
      </c>
      <c r="E293" s="10" t="s">
        <v>96</v>
      </c>
      <c r="F293" s="10" t="s">
        <v>2772</v>
      </c>
      <c r="G293" s="30" t="s">
        <v>2182</v>
      </c>
      <c r="H293" s="12" t="s">
        <v>2269</v>
      </c>
      <c r="I293" s="10" t="s">
        <v>2841</v>
      </c>
      <c r="J293" s="12"/>
    </row>
    <row r="294" customFormat="false" ht="23.85" hidden="false" customHeight="false" outlineLevel="0" collapsed="false">
      <c r="A294" s="12" t="s">
        <v>29</v>
      </c>
      <c r="B294" s="12" t="s">
        <v>261</v>
      </c>
      <c r="C294" s="10" t="s">
        <v>262</v>
      </c>
      <c r="D294" s="30" t="s">
        <v>393</v>
      </c>
      <c r="E294" s="10" t="s">
        <v>144</v>
      </c>
      <c r="F294" s="10" t="s">
        <v>2842</v>
      </c>
      <c r="G294" s="30" t="s">
        <v>2843</v>
      </c>
      <c r="H294" s="12" t="s">
        <v>2306</v>
      </c>
      <c r="I294" s="10" t="s">
        <v>2307</v>
      </c>
      <c r="J294" s="12"/>
    </row>
    <row r="295" customFormat="false" ht="35.05" hidden="false" customHeight="false" outlineLevel="0" collapsed="false">
      <c r="A295" s="12" t="s">
        <v>19</v>
      </c>
      <c r="B295" s="12" t="s">
        <v>535</v>
      </c>
      <c r="C295" s="10" t="s">
        <v>536</v>
      </c>
      <c r="D295" s="30" t="s">
        <v>537</v>
      </c>
      <c r="E295" s="10" t="s">
        <v>96</v>
      </c>
      <c r="F295" s="10" t="s">
        <v>2844</v>
      </c>
      <c r="G295" s="30" t="s">
        <v>2182</v>
      </c>
      <c r="H295" s="12" t="s">
        <v>2269</v>
      </c>
      <c r="I295" s="10" t="s">
        <v>2845</v>
      </c>
      <c r="J295" s="12"/>
    </row>
    <row r="296" customFormat="false" ht="23.85" hidden="false" customHeight="false" outlineLevel="0" collapsed="false">
      <c r="A296" s="12" t="s">
        <v>19</v>
      </c>
      <c r="B296" s="12" t="s">
        <v>535</v>
      </c>
      <c r="C296" s="10" t="s">
        <v>536</v>
      </c>
      <c r="D296" s="30" t="s">
        <v>537</v>
      </c>
      <c r="E296" s="10" t="s">
        <v>995</v>
      </c>
      <c r="F296" s="10" t="s">
        <v>2846</v>
      </c>
      <c r="G296" s="30" t="s">
        <v>2847</v>
      </c>
      <c r="H296" s="12" t="s">
        <v>2322</v>
      </c>
      <c r="I296" s="10" t="s">
        <v>2323</v>
      </c>
      <c r="J296" s="12"/>
    </row>
    <row r="297" customFormat="false" ht="35.05" hidden="false" customHeight="false" outlineLevel="0" collapsed="false">
      <c r="A297" s="12" t="s">
        <v>19</v>
      </c>
      <c r="B297" s="12" t="s">
        <v>93</v>
      </c>
      <c r="C297" s="10" t="s">
        <v>94</v>
      </c>
      <c r="D297" s="30" t="s">
        <v>497</v>
      </c>
      <c r="E297" s="10" t="s">
        <v>96</v>
      </c>
      <c r="F297" s="10" t="s">
        <v>2848</v>
      </c>
      <c r="G297" s="30" t="s">
        <v>2182</v>
      </c>
      <c r="H297" s="12" t="s">
        <v>2269</v>
      </c>
      <c r="I297" s="10" t="s">
        <v>2849</v>
      </c>
      <c r="J297" s="12"/>
    </row>
    <row r="298" customFormat="false" ht="23.85" hidden="false" customHeight="false" outlineLevel="0" collapsed="false">
      <c r="A298" s="12" t="s">
        <v>19</v>
      </c>
      <c r="B298" s="12" t="s">
        <v>93</v>
      </c>
      <c r="C298" s="10" t="s">
        <v>94</v>
      </c>
      <c r="D298" s="30" t="s">
        <v>497</v>
      </c>
      <c r="E298" s="10" t="s">
        <v>2850</v>
      </c>
      <c r="F298" s="10" t="s">
        <v>2848</v>
      </c>
      <c r="G298" s="30" t="s">
        <v>2182</v>
      </c>
      <c r="H298" s="12" t="s">
        <v>2269</v>
      </c>
      <c r="I298" s="10" t="s">
        <v>2851</v>
      </c>
      <c r="J298" s="12"/>
    </row>
    <row r="299" customFormat="false" ht="23.85" hidden="false" customHeight="false" outlineLevel="0" collapsed="false">
      <c r="A299" s="12" t="s">
        <v>19</v>
      </c>
      <c r="B299" s="12" t="s">
        <v>357</v>
      </c>
      <c r="C299" s="10" t="s">
        <v>358</v>
      </c>
      <c r="D299" s="30" t="s">
        <v>359</v>
      </c>
      <c r="E299" s="10" t="s">
        <v>144</v>
      </c>
      <c r="F299" s="10" t="s">
        <v>2852</v>
      </c>
      <c r="G299" s="30" t="s">
        <v>2853</v>
      </c>
      <c r="H299" s="12" t="s">
        <v>2265</v>
      </c>
      <c r="I299" s="10" t="s">
        <v>2266</v>
      </c>
      <c r="J299" s="12"/>
    </row>
    <row r="300" customFormat="false" ht="35.05" hidden="false" customHeight="false" outlineLevel="0" collapsed="false">
      <c r="A300" s="12" t="s">
        <v>19</v>
      </c>
      <c r="B300" s="12" t="s">
        <v>357</v>
      </c>
      <c r="C300" s="10" t="s">
        <v>358</v>
      </c>
      <c r="D300" s="30" t="s">
        <v>359</v>
      </c>
      <c r="E300" s="10" t="s">
        <v>96</v>
      </c>
      <c r="F300" s="10" t="s">
        <v>2854</v>
      </c>
      <c r="G300" s="30" t="s">
        <v>2182</v>
      </c>
      <c r="H300" s="12" t="s">
        <v>2269</v>
      </c>
      <c r="I300" s="10" t="s">
        <v>2855</v>
      </c>
      <c r="J300" s="12"/>
    </row>
    <row r="301" customFormat="false" ht="46.25" hidden="false" customHeight="false" outlineLevel="0" collapsed="false">
      <c r="A301" s="12" t="s">
        <v>19</v>
      </c>
      <c r="B301" s="12" t="s">
        <v>357</v>
      </c>
      <c r="C301" s="10" t="s">
        <v>358</v>
      </c>
      <c r="D301" s="30" t="s">
        <v>359</v>
      </c>
      <c r="E301" s="10" t="s">
        <v>2856</v>
      </c>
      <c r="F301" s="10" t="s">
        <v>2854</v>
      </c>
      <c r="G301" s="30" t="s">
        <v>2857</v>
      </c>
      <c r="H301" s="12" t="s">
        <v>2298</v>
      </c>
      <c r="I301" s="10" t="s">
        <v>2858</v>
      </c>
      <c r="J301" s="30" t="s">
        <v>2182</v>
      </c>
    </row>
    <row r="302" customFormat="false" ht="35.05" hidden="false" customHeight="false" outlineLevel="0" collapsed="false">
      <c r="A302" s="12" t="s">
        <v>19</v>
      </c>
      <c r="B302" s="12" t="s">
        <v>553</v>
      </c>
      <c r="C302" s="10" t="s">
        <v>241</v>
      </c>
      <c r="D302" s="30" t="s">
        <v>554</v>
      </c>
      <c r="E302" s="10" t="s">
        <v>96</v>
      </c>
      <c r="F302" s="10" t="s">
        <v>2859</v>
      </c>
      <c r="G302" s="30" t="s">
        <v>2182</v>
      </c>
      <c r="H302" s="12" t="s">
        <v>2269</v>
      </c>
      <c r="I302" s="10" t="s">
        <v>2860</v>
      </c>
      <c r="J302" s="12"/>
    </row>
    <row r="303" customFormat="false" ht="23.85" hidden="false" customHeight="false" outlineLevel="0" collapsed="false">
      <c r="A303" s="12" t="s">
        <v>19</v>
      </c>
      <c r="B303" s="12" t="s">
        <v>526</v>
      </c>
      <c r="C303" s="10" t="s">
        <v>527</v>
      </c>
      <c r="D303" s="30" t="s">
        <v>528</v>
      </c>
      <c r="E303" s="10" t="s">
        <v>144</v>
      </c>
      <c r="F303" s="10" t="s">
        <v>2861</v>
      </c>
      <c r="G303" s="30" t="s">
        <v>2862</v>
      </c>
      <c r="H303" s="12" t="s">
        <v>2265</v>
      </c>
      <c r="I303" s="10" t="s">
        <v>2266</v>
      </c>
      <c r="J303" s="12"/>
    </row>
    <row r="304" customFormat="false" ht="35.05" hidden="false" customHeight="false" outlineLevel="0" collapsed="false">
      <c r="A304" s="12" t="s">
        <v>19</v>
      </c>
      <c r="B304" s="12" t="s">
        <v>526</v>
      </c>
      <c r="C304" s="10" t="s">
        <v>527</v>
      </c>
      <c r="D304" s="30" t="s">
        <v>528</v>
      </c>
      <c r="E304" s="10" t="s">
        <v>2289</v>
      </c>
      <c r="F304" s="10" t="s">
        <v>2863</v>
      </c>
      <c r="G304" s="30" t="s">
        <v>2864</v>
      </c>
      <c r="H304" s="12" t="s">
        <v>2292</v>
      </c>
      <c r="I304" s="10" t="s">
        <v>2293</v>
      </c>
      <c r="J304" s="12"/>
    </row>
    <row r="305" customFormat="false" ht="35.05" hidden="false" customHeight="false" outlineLevel="0" collapsed="false">
      <c r="A305" s="12" t="s">
        <v>19</v>
      </c>
      <c r="B305" s="12" t="s">
        <v>526</v>
      </c>
      <c r="C305" s="10" t="s">
        <v>527</v>
      </c>
      <c r="D305" s="30" t="s">
        <v>528</v>
      </c>
      <c r="E305" s="10" t="s">
        <v>96</v>
      </c>
      <c r="F305" s="10" t="s">
        <v>2865</v>
      </c>
      <c r="G305" s="30" t="s">
        <v>2182</v>
      </c>
      <c r="H305" s="12" t="s">
        <v>2269</v>
      </c>
      <c r="I305" s="10" t="s">
        <v>2866</v>
      </c>
      <c r="J305" s="12"/>
    </row>
    <row r="306" customFormat="false" ht="68.65" hidden="false" customHeight="false" outlineLevel="0" collapsed="false">
      <c r="A306" s="12" t="s">
        <v>19</v>
      </c>
      <c r="B306" s="12" t="s">
        <v>526</v>
      </c>
      <c r="C306" s="10" t="s">
        <v>527</v>
      </c>
      <c r="D306" s="30" t="s">
        <v>528</v>
      </c>
      <c r="E306" s="10" t="s">
        <v>2867</v>
      </c>
      <c r="F306" s="10" t="s">
        <v>2865</v>
      </c>
      <c r="G306" s="30" t="s">
        <v>2868</v>
      </c>
      <c r="H306" s="12" t="s">
        <v>2298</v>
      </c>
      <c r="I306" s="10" t="s">
        <v>2869</v>
      </c>
      <c r="J306" s="30" t="s">
        <v>2182</v>
      </c>
    </row>
    <row r="307" customFormat="false" ht="35.05" hidden="false" customHeight="false" outlineLevel="0" collapsed="false">
      <c r="A307" s="12" t="s">
        <v>19</v>
      </c>
      <c r="B307" s="12" t="s">
        <v>75</v>
      </c>
      <c r="C307" s="10" t="s">
        <v>76</v>
      </c>
      <c r="D307" s="30" t="s">
        <v>315</v>
      </c>
      <c r="E307" s="10" t="s">
        <v>2289</v>
      </c>
      <c r="F307" s="10" t="s">
        <v>2870</v>
      </c>
      <c r="G307" s="30" t="s">
        <v>2871</v>
      </c>
      <c r="H307" s="12" t="s">
        <v>2292</v>
      </c>
      <c r="I307" s="10" t="s">
        <v>2293</v>
      </c>
      <c r="J307" s="12"/>
    </row>
    <row r="308" customFormat="false" ht="147" hidden="false" customHeight="false" outlineLevel="0" collapsed="false">
      <c r="A308" s="12" t="s">
        <v>19</v>
      </c>
      <c r="B308" s="12" t="s">
        <v>75</v>
      </c>
      <c r="C308" s="10" t="s">
        <v>76</v>
      </c>
      <c r="D308" s="30" t="s">
        <v>315</v>
      </c>
      <c r="E308" s="10" t="s">
        <v>1590</v>
      </c>
      <c r="F308" s="10" t="s">
        <v>2872</v>
      </c>
      <c r="G308" s="30" t="s">
        <v>2873</v>
      </c>
      <c r="H308" s="12" t="s">
        <v>2532</v>
      </c>
      <c r="I308" s="10" t="s">
        <v>2874</v>
      </c>
      <c r="J308" s="30" t="s">
        <v>2182</v>
      </c>
    </row>
    <row r="309" customFormat="false" ht="23.85" hidden="false" customHeight="false" outlineLevel="0" collapsed="false">
      <c r="A309" s="12" t="s">
        <v>19</v>
      </c>
      <c r="B309" s="12" t="s">
        <v>75</v>
      </c>
      <c r="C309" s="10" t="s">
        <v>76</v>
      </c>
      <c r="D309" s="30" t="s">
        <v>315</v>
      </c>
      <c r="E309" s="10" t="s">
        <v>1044</v>
      </c>
      <c r="F309" s="10" t="s">
        <v>2875</v>
      </c>
      <c r="G309" s="30" t="s">
        <v>2876</v>
      </c>
      <c r="H309" s="12" t="s">
        <v>2302</v>
      </c>
      <c r="I309" s="10" t="s">
        <v>2303</v>
      </c>
      <c r="J309" s="12"/>
    </row>
    <row r="310" customFormat="false" ht="23.85" hidden="false" customHeight="false" outlineLevel="0" collapsed="false">
      <c r="A310" s="12" t="s">
        <v>19</v>
      </c>
      <c r="B310" s="12" t="s">
        <v>455</v>
      </c>
      <c r="C310" s="10" t="s">
        <v>456</v>
      </c>
      <c r="D310" s="30" t="s">
        <v>457</v>
      </c>
      <c r="E310" s="10" t="s">
        <v>144</v>
      </c>
      <c r="F310" s="10" t="s">
        <v>2877</v>
      </c>
      <c r="G310" s="30" t="s">
        <v>2878</v>
      </c>
      <c r="H310" s="12" t="s">
        <v>2265</v>
      </c>
      <c r="I310" s="10" t="s">
        <v>2266</v>
      </c>
      <c r="J310" s="12"/>
    </row>
    <row r="311" customFormat="false" ht="35.05" hidden="false" customHeight="false" outlineLevel="0" collapsed="false">
      <c r="A311" s="12" t="s">
        <v>19</v>
      </c>
      <c r="B311" s="12" t="s">
        <v>455</v>
      </c>
      <c r="C311" s="10" t="s">
        <v>456</v>
      </c>
      <c r="D311" s="30" t="s">
        <v>457</v>
      </c>
      <c r="E311" s="10" t="s">
        <v>2289</v>
      </c>
      <c r="F311" s="10" t="s">
        <v>2879</v>
      </c>
      <c r="G311" s="30" t="s">
        <v>2880</v>
      </c>
      <c r="H311" s="12" t="s">
        <v>2292</v>
      </c>
      <c r="I311" s="10" t="s">
        <v>2293</v>
      </c>
      <c r="J311" s="12"/>
    </row>
    <row r="312" customFormat="false" ht="35.05" hidden="false" customHeight="false" outlineLevel="0" collapsed="false">
      <c r="A312" s="12" t="s">
        <v>19</v>
      </c>
      <c r="B312" s="12" t="s">
        <v>455</v>
      </c>
      <c r="C312" s="10" t="s">
        <v>456</v>
      </c>
      <c r="D312" s="30" t="s">
        <v>457</v>
      </c>
      <c r="E312" s="10" t="s">
        <v>96</v>
      </c>
      <c r="F312" s="10" t="s">
        <v>2881</v>
      </c>
      <c r="G312" s="30" t="s">
        <v>2182</v>
      </c>
      <c r="H312" s="12" t="s">
        <v>2269</v>
      </c>
      <c r="I312" s="10" t="s">
        <v>2882</v>
      </c>
      <c r="J312" s="12"/>
    </row>
    <row r="313" customFormat="false" ht="46.25" hidden="false" customHeight="false" outlineLevel="0" collapsed="false">
      <c r="A313" s="12" t="s">
        <v>19</v>
      </c>
      <c r="B313" s="12" t="s">
        <v>455</v>
      </c>
      <c r="C313" s="10" t="s">
        <v>456</v>
      </c>
      <c r="D313" s="30" t="s">
        <v>457</v>
      </c>
      <c r="E313" s="10" t="s">
        <v>2883</v>
      </c>
      <c r="F313" s="10" t="s">
        <v>2881</v>
      </c>
      <c r="G313" s="30" t="s">
        <v>2884</v>
      </c>
      <c r="H313" s="12" t="s">
        <v>2298</v>
      </c>
      <c r="I313" s="10" t="s">
        <v>2885</v>
      </c>
      <c r="J313" s="30" t="s">
        <v>2182</v>
      </c>
    </row>
    <row r="314" customFormat="false" ht="35.05" hidden="false" customHeight="false" outlineLevel="0" collapsed="false">
      <c r="A314" s="12" t="s">
        <v>19</v>
      </c>
      <c r="B314" s="12" t="s">
        <v>173</v>
      </c>
      <c r="C314" s="10" t="s">
        <v>174</v>
      </c>
      <c r="D314" s="30" t="s">
        <v>430</v>
      </c>
      <c r="E314" s="10" t="s">
        <v>2289</v>
      </c>
      <c r="F314" s="10" t="s">
        <v>2886</v>
      </c>
      <c r="G314" s="30" t="s">
        <v>1533</v>
      </c>
      <c r="H314" s="12" t="s">
        <v>2404</v>
      </c>
      <c r="I314" s="10" t="s">
        <v>2405</v>
      </c>
      <c r="J314" s="12"/>
    </row>
    <row r="315" customFormat="false" ht="35.05" hidden="false" customHeight="false" outlineLevel="0" collapsed="false">
      <c r="A315" s="12" t="s">
        <v>19</v>
      </c>
      <c r="B315" s="12" t="s">
        <v>173</v>
      </c>
      <c r="C315" s="10" t="s">
        <v>174</v>
      </c>
      <c r="D315" s="30" t="s">
        <v>430</v>
      </c>
      <c r="E315" s="10" t="s">
        <v>96</v>
      </c>
      <c r="F315" s="10" t="s">
        <v>2881</v>
      </c>
      <c r="G315" s="30" t="s">
        <v>2182</v>
      </c>
      <c r="H315" s="12" t="s">
        <v>2269</v>
      </c>
      <c r="I315" s="10" t="s">
        <v>2887</v>
      </c>
      <c r="J315" s="12"/>
    </row>
    <row r="316" customFormat="false" ht="79.85" hidden="false" customHeight="false" outlineLevel="0" collapsed="false">
      <c r="A316" s="12" t="s">
        <v>19</v>
      </c>
      <c r="B316" s="12" t="s">
        <v>173</v>
      </c>
      <c r="C316" s="10" t="s">
        <v>174</v>
      </c>
      <c r="D316" s="30" t="s">
        <v>430</v>
      </c>
      <c r="E316" s="10" t="s">
        <v>2888</v>
      </c>
      <c r="F316" s="10" t="s">
        <v>2881</v>
      </c>
      <c r="G316" s="30" t="s">
        <v>2889</v>
      </c>
      <c r="H316" s="12" t="s">
        <v>2298</v>
      </c>
      <c r="I316" s="10" t="s">
        <v>2890</v>
      </c>
      <c r="J316" s="30" t="s">
        <v>2182</v>
      </c>
    </row>
    <row r="317" customFormat="false" ht="23.85" hidden="false" customHeight="false" outlineLevel="0" collapsed="false">
      <c r="A317" s="12" t="s">
        <v>19</v>
      </c>
      <c r="B317" s="12" t="s">
        <v>173</v>
      </c>
      <c r="C317" s="10" t="s">
        <v>174</v>
      </c>
      <c r="D317" s="30" t="s">
        <v>430</v>
      </c>
      <c r="E317" s="10" t="s">
        <v>1044</v>
      </c>
      <c r="F317" s="10" t="s">
        <v>2891</v>
      </c>
      <c r="G317" s="30" t="s">
        <v>2892</v>
      </c>
      <c r="H317" s="12" t="s">
        <v>2302</v>
      </c>
      <c r="I317" s="10" t="s">
        <v>2303</v>
      </c>
      <c r="J317" s="12"/>
    </row>
    <row r="318" customFormat="false" ht="35.05" hidden="false" customHeight="false" outlineLevel="0" collapsed="false">
      <c r="A318" s="12" t="s">
        <v>19</v>
      </c>
      <c r="B318" s="12" t="s">
        <v>89</v>
      </c>
      <c r="C318" s="10" t="s">
        <v>90</v>
      </c>
      <c r="D318" s="30" t="s">
        <v>316</v>
      </c>
      <c r="E318" s="10" t="s">
        <v>2289</v>
      </c>
      <c r="F318" s="10" t="s">
        <v>2893</v>
      </c>
      <c r="G318" s="30" t="s">
        <v>2894</v>
      </c>
      <c r="H318" s="12" t="s">
        <v>2292</v>
      </c>
      <c r="I318" s="10" t="s">
        <v>2293</v>
      </c>
      <c r="J318" s="12"/>
    </row>
    <row r="319" customFormat="false" ht="46.25" hidden="false" customHeight="false" outlineLevel="0" collapsed="false">
      <c r="A319" s="12" t="s">
        <v>19</v>
      </c>
      <c r="B319" s="12" t="s">
        <v>89</v>
      </c>
      <c r="C319" s="10" t="s">
        <v>90</v>
      </c>
      <c r="D319" s="30" t="s">
        <v>316</v>
      </c>
      <c r="E319" s="10" t="s">
        <v>96</v>
      </c>
      <c r="F319" s="10" t="s">
        <v>2848</v>
      </c>
      <c r="G319" s="30" t="s">
        <v>2895</v>
      </c>
      <c r="H319" s="12" t="s">
        <v>2532</v>
      </c>
      <c r="I319" s="10" t="s">
        <v>2896</v>
      </c>
      <c r="J319" s="30" t="s">
        <v>2182</v>
      </c>
    </row>
    <row r="320" customFormat="false" ht="147" hidden="false" customHeight="false" outlineLevel="0" collapsed="false">
      <c r="A320" s="12" t="s">
        <v>19</v>
      </c>
      <c r="B320" s="12" t="s">
        <v>89</v>
      </c>
      <c r="C320" s="10" t="s">
        <v>90</v>
      </c>
      <c r="D320" s="30" t="s">
        <v>316</v>
      </c>
      <c r="E320" s="10" t="s">
        <v>1590</v>
      </c>
      <c r="F320" s="10" t="s">
        <v>2848</v>
      </c>
      <c r="G320" s="30" t="s">
        <v>2895</v>
      </c>
      <c r="H320" s="12" t="s">
        <v>2532</v>
      </c>
      <c r="I320" s="10" t="s">
        <v>2897</v>
      </c>
      <c r="J320" s="30" t="s">
        <v>2182</v>
      </c>
    </row>
    <row r="321" customFormat="false" ht="23.85" hidden="false" customHeight="false" outlineLevel="0" collapsed="false">
      <c r="A321" s="12" t="s">
        <v>19</v>
      </c>
      <c r="B321" s="12" t="s">
        <v>89</v>
      </c>
      <c r="C321" s="10" t="s">
        <v>90</v>
      </c>
      <c r="D321" s="30" t="s">
        <v>316</v>
      </c>
      <c r="E321" s="10" t="s">
        <v>1044</v>
      </c>
      <c r="F321" s="10" t="s">
        <v>2898</v>
      </c>
      <c r="G321" s="30" t="s">
        <v>2899</v>
      </c>
      <c r="H321" s="12" t="s">
        <v>2302</v>
      </c>
      <c r="I321" s="10" t="s">
        <v>2303</v>
      </c>
      <c r="J321" s="12"/>
    </row>
    <row r="322" customFormat="false" ht="23.85" hidden="false" customHeight="false" outlineLevel="0" collapsed="false">
      <c r="A322" s="12" t="s">
        <v>19</v>
      </c>
      <c r="B322" s="12" t="s">
        <v>89</v>
      </c>
      <c r="C322" s="10" t="s">
        <v>90</v>
      </c>
      <c r="D322" s="30" t="s">
        <v>316</v>
      </c>
      <c r="E322" s="10" t="s">
        <v>995</v>
      </c>
      <c r="F322" s="10" t="s">
        <v>2900</v>
      </c>
      <c r="G322" s="30" t="s">
        <v>1737</v>
      </c>
      <c r="H322" s="12" t="s">
        <v>2477</v>
      </c>
      <c r="I322" s="10" t="s">
        <v>2478</v>
      </c>
      <c r="J322" s="12"/>
    </row>
    <row r="323" customFormat="false" ht="46.25" hidden="false" customHeight="false" outlineLevel="0" collapsed="false">
      <c r="A323" s="12" t="s">
        <v>19</v>
      </c>
      <c r="B323" s="12" t="s">
        <v>269</v>
      </c>
      <c r="C323" s="10" t="s">
        <v>270</v>
      </c>
      <c r="D323" s="30" t="s">
        <v>378</v>
      </c>
      <c r="E323" s="10" t="s">
        <v>1571</v>
      </c>
      <c r="F323" s="10" t="s">
        <v>2901</v>
      </c>
      <c r="G323" s="30" t="s">
        <v>2902</v>
      </c>
      <c r="H323" s="12" t="s">
        <v>2298</v>
      </c>
      <c r="I323" s="10" t="s">
        <v>2903</v>
      </c>
      <c r="J323" s="30" t="s">
        <v>2182</v>
      </c>
    </row>
    <row r="324" customFormat="false" ht="35.05" hidden="false" customHeight="false" outlineLevel="0" collapsed="false">
      <c r="A324" s="12" t="s">
        <v>19</v>
      </c>
      <c r="B324" s="12" t="s">
        <v>201</v>
      </c>
      <c r="C324" s="10" t="s">
        <v>202</v>
      </c>
      <c r="D324" s="30" t="s">
        <v>350</v>
      </c>
      <c r="E324" s="10" t="s">
        <v>1263</v>
      </c>
      <c r="F324" s="10" t="s">
        <v>2872</v>
      </c>
      <c r="G324" s="30" t="s">
        <v>2182</v>
      </c>
      <c r="H324" s="12" t="s">
        <v>2269</v>
      </c>
      <c r="I324" s="10" t="s">
        <v>2904</v>
      </c>
      <c r="J324" s="12"/>
    </row>
    <row r="325" customFormat="false" ht="35.05" hidden="false" customHeight="false" outlineLevel="0" collapsed="false">
      <c r="A325" s="12" t="s">
        <v>19</v>
      </c>
      <c r="B325" s="12" t="s">
        <v>245</v>
      </c>
      <c r="C325" s="10" t="s">
        <v>246</v>
      </c>
      <c r="D325" s="30" t="s">
        <v>534</v>
      </c>
      <c r="E325" s="10" t="s">
        <v>2289</v>
      </c>
      <c r="F325" s="10" t="s">
        <v>2905</v>
      </c>
      <c r="G325" s="30" t="s">
        <v>1529</v>
      </c>
      <c r="H325" s="12" t="s">
        <v>2404</v>
      </c>
      <c r="I325" s="10" t="s">
        <v>2405</v>
      </c>
      <c r="J325" s="12"/>
    </row>
    <row r="326" customFormat="false" ht="35.05" hidden="false" customHeight="false" outlineLevel="0" collapsed="false">
      <c r="A326" s="12" t="s">
        <v>19</v>
      </c>
      <c r="B326" s="12" t="s">
        <v>245</v>
      </c>
      <c r="C326" s="10" t="s">
        <v>246</v>
      </c>
      <c r="D326" s="30" t="s">
        <v>534</v>
      </c>
      <c r="E326" s="10" t="s">
        <v>96</v>
      </c>
      <c r="F326" s="10" t="s">
        <v>2881</v>
      </c>
      <c r="G326" s="30" t="s">
        <v>2182</v>
      </c>
      <c r="H326" s="12" t="s">
        <v>2269</v>
      </c>
      <c r="I326" s="10" t="s">
        <v>2906</v>
      </c>
      <c r="J326" s="12"/>
    </row>
    <row r="327" customFormat="false" ht="57.45" hidden="false" customHeight="false" outlineLevel="0" collapsed="false">
      <c r="A327" s="12" t="s">
        <v>19</v>
      </c>
      <c r="B327" s="12" t="s">
        <v>245</v>
      </c>
      <c r="C327" s="10" t="s">
        <v>246</v>
      </c>
      <c r="D327" s="30" t="s">
        <v>534</v>
      </c>
      <c r="E327" s="10" t="s">
        <v>2907</v>
      </c>
      <c r="F327" s="10" t="s">
        <v>2881</v>
      </c>
      <c r="G327" s="30" t="s">
        <v>2908</v>
      </c>
      <c r="H327" s="12" t="s">
        <v>2298</v>
      </c>
      <c r="I327" s="10" t="s">
        <v>2909</v>
      </c>
      <c r="J327" s="30" t="s">
        <v>2182</v>
      </c>
    </row>
    <row r="328" customFormat="false" ht="35.05" hidden="false" customHeight="false" outlineLevel="0" collapsed="false">
      <c r="A328" s="12" t="s">
        <v>19</v>
      </c>
      <c r="B328" s="12" t="s">
        <v>245</v>
      </c>
      <c r="C328" s="10" t="s">
        <v>246</v>
      </c>
      <c r="D328" s="30" t="s">
        <v>534</v>
      </c>
      <c r="E328" s="10" t="s">
        <v>1044</v>
      </c>
      <c r="F328" s="10" t="s">
        <v>2910</v>
      </c>
      <c r="G328" s="30" t="s">
        <v>2911</v>
      </c>
      <c r="H328" s="12" t="s">
        <v>2470</v>
      </c>
      <c r="I328" s="10" t="s">
        <v>2471</v>
      </c>
      <c r="J328" s="12"/>
    </row>
    <row r="329" customFormat="false" ht="46.25" hidden="false" customHeight="false" outlineLevel="0" collapsed="false">
      <c r="A329" s="12" t="s">
        <v>19</v>
      </c>
      <c r="B329" s="12" t="s">
        <v>477</v>
      </c>
      <c r="C329" s="10" t="s">
        <v>478</v>
      </c>
      <c r="D329" s="30" t="s">
        <v>479</v>
      </c>
      <c r="E329" s="10" t="s">
        <v>2289</v>
      </c>
      <c r="F329" s="10" t="s">
        <v>2912</v>
      </c>
      <c r="G329" s="30" t="s">
        <v>2913</v>
      </c>
      <c r="H329" s="12" t="s">
        <v>2292</v>
      </c>
      <c r="I329" s="10" t="s">
        <v>2293</v>
      </c>
      <c r="J329" s="12"/>
    </row>
    <row r="330" customFormat="false" ht="46.25" hidden="false" customHeight="false" outlineLevel="0" collapsed="false">
      <c r="A330" s="12" t="s">
        <v>19</v>
      </c>
      <c r="B330" s="12" t="s">
        <v>477</v>
      </c>
      <c r="C330" s="10" t="s">
        <v>478</v>
      </c>
      <c r="D330" s="30" t="s">
        <v>479</v>
      </c>
      <c r="E330" s="10" t="s">
        <v>96</v>
      </c>
      <c r="F330" s="10" t="s">
        <v>2914</v>
      </c>
      <c r="G330" s="30" t="s">
        <v>2182</v>
      </c>
      <c r="H330" s="12" t="s">
        <v>2269</v>
      </c>
      <c r="I330" s="10" t="s">
        <v>2915</v>
      </c>
      <c r="J330" s="12"/>
    </row>
    <row r="331" customFormat="false" ht="102.2" hidden="false" customHeight="false" outlineLevel="0" collapsed="false">
      <c r="A331" s="12" t="s">
        <v>19</v>
      </c>
      <c r="B331" s="12" t="s">
        <v>477</v>
      </c>
      <c r="C331" s="10" t="s">
        <v>478</v>
      </c>
      <c r="D331" s="30" t="s">
        <v>479</v>
      </c>
      <c r="E331" s="10" t="s">
        <v>2916</v>
      </c>
      <c r="F331" s="10" t="s">
        <v>2914</v>
      </c>
      <c r="G331" s="30" t="s">
        <v>2917</v>
      </c>
      <c r="H331" s="12" t="s">
        <v>2298</v>
      </c>
      <c r="I331" s="10" t="s">
        <v>2918</v>
      </c>
      <c r="J331" s="30" t="s">
        <v>2182</v>
      </c>
    </row>
    <row r="332" customFormat="false" ht="35.05" hidden="false" customHeight="false" outlineLevel="0" collapsed="false">
      <c r="A332" s="12" t="s">
        <v>19</v>
      </c>
      <c r="B332" s="12" t="s">
        <v>124</v>
      </c>
      <c r="C332" s="10" t="s">
        <v>125</v>
      </c>
      <c r="D332" s="30" t="s">
        <v>321</v>
      </c>
      <c r="E332" s="10" t="s">
        <v>2289</v>
      </c>
      <c r="F332" s="10" t="s">
        <v>2919</v>
      </c>
      <c r="G332" s="30" t="s">
        <v>2920</v>
      </c>
      <c r="H332" s="12" t="s">
        <v>2292</v>
      </c>
      <c r="I332" s="10" t="s">
        <v>2293</v>
      </c>
      <c r="J332" s="12"/>
    </row>
    <row r="333" customFormat="false" ht="46.25" hidden="false" customHeight="false" outlineLevel="0" collapsed="false">
      <c r="A333" s="12" t="s">
        <v>19</v>
      </c>
      <c r="B333" s="12" t="s">
        <v>124</v>
      </c>
      <c r="C333" s="10" t="s">
        <v>125</v>
      </c>
      <c r="D333" s="30" t="s">
        <v>321</v>
      </c>
      <c r="E333" s="10" t="s">
        <v>96</v>
      </c>
      <c r="F333" s="10" t="s">
        <v>2921</v>
      </c>
      <c r="G333" s="30" t="s">
        <v>2182</v>
      </c>
      <c r="H333" s="12" t="s">
        <v>2269</v>
      </c>
      <c r="I333" s="10" t="s">
        <v>2922</v>
      </c>
      <c r="J333" s="12"/>
    </row>
    <row r="334" customFormat="false" ht="102.2" hidden="false" customHeight="false" outlineLevel="0" collapsed="false">
      <c r="A334" s="12" t="s">
        <v>19</v>
      </c>
      <c r="B334" s="12" t="s">
        <v>124</v>
      </c>
      <c r="C334" s="10" t="s">
        <v>125</v>
      </c>
      <c r="D334" s="30" t="s">
        <v>321</v>
      </c>
      <c r="E334" s="10" t="s">
        <v>2923</v>
      </c>
      <c r="F334" s="10" t="s">
        <v>2921</v>
      </c>
      <c r="G334" s="30" t="s">
        <v>2182</v>
      </c>
      <c r="H334" s="12" t="s">
        <v>2269</v>
      </c>
      <c r="I334" s="10" t="s">
        <v>2924</v>
      </c>
      <c r="J334" s="12"/>
    </row>
    <row r="335" customFormat="false" ht="35.05" hidden="false" customHeight="false" outlineLevel="0" collapsed="false">
      <c r="A335" s="12" t="s">
        <v>19</v>
      </c>
      <c r="B335" s="12" t="s">
        <v>124</v>
      </c>
      <c r="C335" s="10" t="s">
        <v>125</v>
      </c>
      <c r="D335" s="30" t="s">
        <v>321</v>
      </c>
      <c r="E335" s="10" t="s">
        <v>1044</v>
      </c>
      <c r="F335" s="10" t="s">
        <v>2925</v>
      </c>
      <c r="G335" s="30" t="s">
        <v>2926</v>
      </c>
      <c r="H335" s="12" t="s">
        <v>2302</v>
      </c>
      <c r="I335" s="10" t="s">
        <v>2303</v>
      </c>
      <c r="J335" s="12"/>
    </row>
    <row r="336" customFormat="false" ht="35.05" hidden="false" customHeight="false" outlineLevel="0" collapsed="false">
      <c r="A336" s="12" t="s">
        <v>19</v>
      </c>
      <c r="B336" s="12" t="s">
        <v>546</v>
      </c>
      <c r="C336" s="10" t="s">
        <v>547</v>
      </c>
      <c r="D336" s="30" t="s">
        <v>548</v>
      </c>
      <c r="E336" s="10" t="s">
        <v>2289</v>
      </c>
      <c r="F336" s="10" t="s">
        <v>2927</v>
      </c>
      <c r="G336" s="30" t="s">
        <v>1517</v>
      </c>
      <c r="H336" s="12" t="s">
        <v>2404</v>
      </c>
      <c r="I336" s="10" t="s">
        <v>2405</v>
      </c>
      <c r="J336" s="12"/>
    </row>
    <row r="337" customFormat="false" ht="46.25" hidden="false" customHeight="false" outlineLevel="0" collapsed="false">
      <c r="A337" s="12" t="s">
        <v>19</v>
      </c>
      <c r="B337" s="12" t="s">
        <v>546</v>
      </c>
      <c r="C337" s="10" t="s">
        <v>547</v>
      </c>
      <c r="D337" s="30" t="s">
        <v>548</v>
      </c>
      <c r="E337" s="10" t="s">
        <v>96</v>
      </c>
      <c r="F337" s="10" t="s">
        <v>2928</v>
      </c>
      <c r="G337" s="30" t="s">
        <v>2182</v>
      </c>
      <c r="H337" s="12" t="s">
        <v>2269</v>
      </c>
      <c r="I337" s="10" t="s">
        <v>2929</v>
      </c>
      <c r="J337" s="12"/>
    </row>
    <row r="338" customFormat="false" ht="124.6" hidden="false" customHeight="false" outlineLevel="0" collapsed="false">
      <c r="A338" s="12" t="s">
        <v>19</v>
      </c>
      <c r="B338" s="12" t="s">
        <v>546</v>
      </c>
      <c r="C338" s="10" t="s">
        <v>547</v>
      </c>
      <c r="D338" s="30" t="s">
        <v>548</v>
      </c>
      <c r="E338" s="10" t="s">
        <v>2930</v>
      </c>
      <c r="F338" s="10" t="s">
        <v>2928</v>
      </c>
      <c r="G338" s="30" t="s">
        <v>2931</v>
      </c>
      <c r="H338" s="12" t="s">
        <v>2298</v>
      </c>
      <c r="I338" s="10" t="s">
        <v>2932</v>
      </c>
      <c r="J338" s="30" t="s">
        <v>2182</v>
      </c>
    </row>
    <row r="339" customFormat="false" ht="23.85" hidden="false" customHeight="false" outlineLevel="0" collapsed="false">
      <c r="A339" s="12" t="s">
        <v>19</v>
      </c>
      <c r="B339" s="12" t="s">
        <v>546</v>
      </c>
      <c r="C339" s="10" t="s">
        <v>547</v>
      </c>
      <c r="D339" s="30" t="s">
        <v>548</v>
      </c>
      <c r="E339" s="10" t="s">
        <v>1044</v>
      </c>
      <c r="F339" s="10" t="s">
        <v>2933</v>
      </c>
      <c r="G339" s="30" t="s">
        <v>2934</v>
      </c>
      <c r="H339" s="12" t="s">
        <v>2302</v>
      </c>
      <c r="I339" s="10" t="s">
        <v>2303</v>
      </c>
      <c r="J339" s="12"/>
    </row>
    <row r="340" customFormat="false" ht="23.85" hidden="false" customHeight="false" outlineLevel="0" collapsed="false">
      <c r="A340" s="12" t="s">
        <v>19</v>
      </c>
      <c r="B340" s="12" t="s">
        <v>107</v>
      </c>
      <c r="C340" s="10" t="s">
        <v>108</v>
      </c>
      <c r="D340" s="30" t="s">
        <v>317</v>
      </c>
      <c r="E340" s="10" t="s">
        <v>2289</v>
      </c>
      <c r="F340" s="10" t="s">
        <v>2935</v>
      </c>
      <c r="G340" s="30" t="s">
        <v>2936</v>
      </c>
      <c r="H340" s="12" t="s">
        <v>2292</v>
      </c>
      <c r="I340" s="10" t="s">
        <v>2293</v>
      </c>
      <c r="J340" s="12"/>
    </row>
    <row r="341" customFormat="false" ht="46.25" hidden="false" customHeight="false" outlineLevel="0" collapsed="false">
      <c r="A341" s="12" t="s">
        <v>19</v>
      </c>
      <c r="B341" s="12" t="s">
        <v>107</v>
      </c>
      <c r="C341" s="10" t="s">
        <v>108</v>
      </c>
      <c r="D341" s="30" t="s">
        <v>317</v>
      </c>
      <c r="E341" s="10" t="s">
        <v>96</v>
      </c>
      <c r="F341" s="10" t="s">
        <v>2937</v>
      </c>
      <c r="G341" s="30" t="s">
        <v>2182</v>
      </c>
      <c r="H341" s="12" t="s">
        <v>2269</v>
      </c>
      <c r="I341" s="10" t="s">
        <v>2938</v>
      </c>
      <c r="J341" s="12"/>
    </row>
    <row r="342" customFormat="false" ht="91" hidden="false" customHeight="false" outlineLevel="0" collapsed="false">
      <c r="A342" s="12" t="s">
        <v>19</v>
      </c>
      <c r="B342" s="12" t="s">
        <v>107</v>
      </c>
      <c r="C342" s="10" t="s">
        <v>108</v>
      </c>
      <c r="D342" s="30" t="s">
        <v>317</v>
      </c>
      <c r="E342" s="10" t="s">
        <v>2939</v>
      </c>
      <c r="F342" s="10" t="s">
        <v>2937</v>
      </c>
      <c r="G342" s="30" t="s">
        <v>2940</v>
      </c>
      <c r="H342" s="12" t="s">
        <v>2298</v>
      </c>
      <c r="I342" s="10" t="s">
        <v>2941</v>
      </c>
      <c r="J342" s="30" t="s">
        <v>2182</v>
      </c>
    </row>
    <row r="343" customFormat="false" ht="23.85" hidden="false" customHeight="false" outlineLevel="0" collapsed="false">
      <c r="A343" s="12" t="s">
        <v>19</v>
      </c>
      <c r="B343" s="12" t="s">
        <v>107</v>
      </c>
      <c r="C343" s="10" t="s">
        <v>108</v>
      </c>
      <c r="D343" s="30" t="s">
        <v>317</v>
      </c>
      <c r="E343" s="10" t="s">
        <v>1044</v>
      </c>
      <c r="F343" s="10" t="s">
        <v>2942</v>
      </c>
      <c r="G343" s="30" t="s">
        <v>2943</v>
      </c>
      <c r="H343" s="12" t="s">
        <v>2302</v>
      </c>
      <c r="I343" s="10" t="s">
        <v>2303</v>
      </c>
      <c r="J343" s="12"/>
    </row>
    <row r="344" customFormat="false" ht="23.85" hidden="false" customHeight="false" outlineLevel="0" collapsed="false">
      <c r="A344" s="12" t="s">
        <v>19</v>
      </c>
      <c r="B344" s="12" t="s">
        <v>107</v>
      </c>
      <c r="C344" s="10" t="s">
        <v>108</v>
      </c>
      <c r="D344" s="30" t="s">
        <v>317</v>
      </c>
      <c r="E344" s="10" t="s">
        <v>995</v>
      </c>
      <c r="F344" s="10" t="s">
        <v>2944</v>
      </c>
      <c r="G344" s="30" t="s">
        <v>2945</v>
      </c>
      <c r="H344" s="12" t="s">
        <v>2322</v>
      </c>
      <c r="I344" s="10" t="s">
        <v>2323</v>
      </c>
      <c r="J344" s="12"/>
    </row>
    <row r="345" customFormat="false" ht="35.05" hidden="false" customHeight="false" outlineLevel="0" collapsed="false">
      <c r="A345" s="12" t="s">
        <v>19</v>
      </c>
      <c r="B345" s="12" t="s">
        <v>540</v>
      </c>
      <c r="C345" s="10" t="s">
        <v>509</v>
      </c>
      <c r="D345" s="30" t="s">
        <v>541</v>
      </c>
      <c r="E345" s="10" t="s">
        <v>2289</v>
      </c>
      <c r="F345" s="10" t="s">
        <v>2946</v>
      </c>
      <c r="G345" s="30" t="s">
        <v>2947</v>
      </c>
      <c r="H345" s="12" t="s">
        <v>2292</v>
      </c>
      <c r="I345" s="10" t="s">
        <v>2293</v>
      </c>
      <c r="J345" s="12"/>
    </row>
    <row r="346" customFormat="false" ht="147" hidden="false" customHeight="false" outlineLevel="0" collapsed="false">
      <c r="A346" s="12" t="s">
        <v>19</v>
      </c>
      <c r="B346" s="12" t="s">
        <v>540</v>
      </c>
      <c r="C346" s="10" t="s">
        <v>509</v>
      </c>
      <c r="D346" s="30" t="s">
        <v>541</v>
      </c>
      <c r="E346" s="10" t="s">
        <v>1590</v>
      </c>
      <c r="F346" s="10" t="s">
        <v>2872</v>
      </c>
      <c r="G346" s="30" t="s">
        <v>2948</v>
      </c>
      <c r="H346" s="12" t="s">
        <v>2532</v>
      </c>
      <c r="I346" s="10" t="s">
        <v>2949</v>
      </c>
      <c r="J346" s="30" t="s">
        <v>2182</v>
      </c>
    </row>
    <row r="347" customFormat="false" ht="23.85" hidden="false" customHeight="false" outlineLevel="0" collapsed="false">
      <c r="A347" s="12" t="s">
        <v>19</v>
      </c>
      <c r="B347" s="12" t="s">
        <v>505</v>
      </c>
      <c r="C347" s="10" t="s">
        <v>506</v>
      </c>
      <c r="D347" s="30" t="s">
        <v>507</v>
      </c>
      <c r="E347" s="10" t="s">
        <v>2289</v>
      </c>
      <c r="F347" s="10" t="s">
        <v>2950</v>
      </c>
      <c r="G347" s="30" t="s">
        <v>2951</v>
      </c>
      <c r="H347" s="12" t="s">
        <v>2404</v>
      </c>
      <c r="I347" s="10" t="s">
        <v>2405</v>
      </c>
      <c r="J347" s="12"/>
    </row>
    <row r="348" customFormat="false" ht="147" hidden="false" customHeight="false" outlineLevel="0" collapsed="false">
      <c r="A348" s="12" t="s">
        <v>19</v>
      </c>
      <c r="B348" s="12" t="s">
        <v>505</v>
      </c>
      <c r="C348" s="10" t="s">
        <v>506</v>
      </c>
      <c r="D348" s="30" t="s">
        <v>507</v>
      </c>
      <c r="E348" s="10" t="s">
        <v>1590</v>
      </c>
      <c r="F348" s="10" t="s">
        <v>2872</v>
      </c>
      <c r="G348" s="30" t="s">
        <v>2952</v>
      </c>
      <c r="H348" s="12" t="s">
        <v>2532</v>
      </c>
      <c r="I348" s="10" t="s">
        <v>2953</v>
      </c>
      <c r="J348" s="30" t="s">
        <v>2182</v>
      </c>
    </row>
    <row r="349" customFormat="false" ht="23.85" hidden="false" customHeight="false" outlineLevel="0" collapsed="false">
      <c r="A349" s="12" t="s">
        <v>19</v>
      </c>
      <c r="B349" s="12" t="s">
        <v>505</v>
      </c>
      <c r="C349" s="10" t="s">
        <v>506</v>
      </c>
      <c r="D349" s="30" t="s">
        <v>507</v>
      </c>
      <c r="E349" s="10" t="s">
        <v>1044</v>
      </c>
      <c r="F349" s="10" t="s">
        <v>2954</v>
      </c>
      <c r="G349" s="30" t="s">
        <v>2955</v>
      </c>
      <c r="H349" s="12" t="s">
        <v>2302</v>
      </c>
      <c r="I349" s="10" t="s">
        <v>2303</v>
      </c>
      <c r="J349" s="12"/>
    </row>
    <row r="350" customFormat="false" ht="46.25" hidden="false" customHeight="false" outlineLevel="0" collapsed="false">
      <c r="A350" s="12" t="s">
        <v>19</v>
      </c>
      <c r="B350" s="12" t="s">
        <v>120</v>
      </c>
      <c r="C350" s="10" t="s">
        <v>121</v>
      </c>
      <c r="D350" s="30" t="s">
        <v>325</v>
      </c>
      <c r="E350" s="10" t="s">
        <v>96</v>
      </c>
      <c r="F350" s="10" t="s">
        <v>2928</v>
      </c>
      <c r="G350" s="30" t="s">
        <v>2956</v>
      </c>
      <c r="H350" s="12" t="s">
        <v>2532</v>
      </c>
      <c r="I350" s="10" t="s">
        <v>2957</v>
      </c>
      <c r="J350" s="30" t="s">
        <v>2182</v>
      </c>
    </row>
    <row r="351" customFormat="false" ht="23.85" hidden="false" customHeight="false" outlineLevel="0" collapsed="false">
      <c r="A351" s="12" t="s">
        <v>19</v>
      </c>
      <c r="B351" s="12" t="s">
        <v>120</v>
      </c>
      <c r="C351" s="10" t="s">
        <v>121</v>
      </c>
      <c r="D351" s="30" t="s">
        <v>325</v>
      </c>
      <c r="E351" s="10" t="s">
        <v>948</v>
      </c>
      <c r="F351" s="10" t="s">
        <v>2958</v>
      </c>
      <c r="G351" s="30" t="s">
        <v>2959</v>
      </c>
      <c r="H351" s="12" t="s">
        <v>2283</v>
      </c>
      <c r="I351" s="10" t="s">
        <v>2284</v>
      </c>
      <c r="J351" s="12"/>
    </row>
    <row r="352" customFormat="false" ht="147" hidden="false" customHeight="false" outlineLevel="0" collapsed="false">
      <c r="A352" s="12" t="s">
        <v>19</v>
      </c>
      <c r="B352" s="12" t="s">
        <v>120</v>
      </c>
      <c r="C352" s="10" t="s">
        <v>121</v>
      </c>
      <c r="D352" s="30" t="s">
        <v>325</v>
      </c>
      <c r="E352" s="10" t="s">
        <v>1590</v>
      </c>
      <c r="F352" s="10" t="s">
        <v>2928</v>
      </c>
      <c r="G352" s="30" t="s">
        <v>2956</v>
      </c>
      <c r="H352" s="12" t="s">
        <v>2532</v>
      </c>
      <c r="I352" s="10" t="s">
        <v>2960</v>
      </c>
      <c r="J352" s="30" t="s">
        <v>2182</v>
      </c>
    </row>
    <row r="353" customFormat="false" ht="35.05" hidden="false" customHeight="false" outlineLevel="0" collapsed="false">
      <c r="A353" s="12" t="s">
        <v>19</v>
      </c>
      <c r="B353" s="12" t="s">
        <v>120</v>
      </c>
      <c r="C353" s="10" t="s">
        <v>121</v>
      </c>
      <c r="D353" s="30" t="s">
        <v>325</v>
      </c>
      <c r="E353" s="10" t="s">
        <v>1044</v>
      </c>
      <c r="F353" s="10" t="s">
        <v>2961</v>
      </c>
      <c r="G353" s="30" t="s">
        <v>2962</v>
      </c>
      <c r="H353" s="12" t="s">
        <v>2302</v>
      </c>
      <c r="I353" s="10" t="s">
        <v>2303</v>
      </c>
      <c r="J353" s="12"/>
    </row>
    <row r="354" customFormat="false" ht="23.85" hidden="false" customHeight="false" outlineLevel="0" collapsed="false">
      <c r="A354" s="12" t="s">
        <v>19</v>
      </c>
      <c r="B354" s="12" t="s">
        <v>120</v>
      </c>
      <c r="C354" s="10" t="s">
        <v>121</v>
      </c>
      <c r="D354" s="30" t="s">
        <v>325</v>
      </c>
      <c r="E354" s="10" t="s">
        <v>995</v>
      </c>
      <c r="F354" s="10" t="s">
        <v>2963</v>
      </c>
      <c r="G354" s="30" t="s">
        <v>2964</v>
      </c>
      <c r="H354" s="12" t="s">
        <v>2322</v>
      </c>
      <c r="I354" s="10" t="s">
        <v>2323</v>
      </c>
      <c r="J354" s="12"/>
    </row>
    <row r="355" customFormat="false" ht="46.25" hidden="false" customHeight="false" outlineLevel="0" collapsed="false">
      <c r="A355" s="12" t="s">
        <v>19</v>
      </c>
      <c r="B355" s="12" t="s">
        <v>523</v>
      </c>
      <c r="C355" s="10" t="s">
        <v>524</v>
      </c>
      <c r="D355" s="30" t="s">
        <v>525</v>
      </c>
      <c r="E355" s="10" t="s">
        <v>1546</v>
      </c>
      <c r="F355" s="10" t="s">
        <v>2965</v>
      </c>
      <c r="G355" s="30" t="s">
        <v>2966</v>
      </c>
      <c r="H355" s="12" t="s">
        <v>2298</v>
      </c>
      <c r="I355" s="10" t="s">
        <v>2967</v>
      </c>
      <c r="J355" s="30" t="s">
        <v>2182</v>
      </c>
    </row>
    <row r="356" customFormat="false" ht="35.05" hidden="false" customHeight="false" outlineLevel="0" collapsed="false">
      <c r="A356" s="12" t="s">
        <v>19</v>
      </c>
      <c r="B356" s="12" t="s">
        <v>342</v>
      </c>
      <c r="C356" s="10" t="s">
        <v>343</v>
      </c>
      <c r="D356" s="30" t="s">
        <v>345</v>
      </c>
      <c r="E356" s="10" t="s">
        <v>2289</v>
      </c>
      <c r="F356" s="10" t="s">
        <v>2968</v>
      </c>
      <c r="G356" s="30" t="s">
        <v>1514</v>
      </c>
      <c r="H356" s="12" t="s">
        <v>2404</v>
      </c>
      <c r="I356" s="10" t="s">
        <v>2405</v>
      </c>
      <c r="J356" s="12"/>
    </row>
    <row r="357" customFormat="false" ht="46.25" hidden="false" customHeight="false" outlineLevel="0" collapsed="false">
      <c r="A357" s="12" t="s">
        <v>19</v>
      </c>
      <c r="B357" s="12" t="s">
        <v>342</v>
      </c>
      <c r="C357" s="10" t="s">
        <v>343</v>
      </c>
      <c r="D357" s="30" t="s">
        <v>345</v>
      </c>
      <c r="E357" s="10" t="s">
        <v>96</v>
      </c>
      <c r="F357" s="10" t="s">
        <v>2928</v>
      </c>
      <c r="G357" s="30" t="s">
        <v>2182</v>
      </c>
      <c r="H357" s="12" t="s">
        <v>2269</v>
      </c>
      <c r="I357" s="10" t="s">
        <v>2969</v>
      </c>
      <c r="J357" s="12"/>
    </row>
    <row r="358" customFormat="false" ht="102.2" hidden="false" customHeight="false" outlineLevel="0" collapsed="false">
      <c r="A358" s="12" t="s">
        <v>19</v>
      </c>
      <c r="B358" s="12" t="s">
        <v>342</v>
      </c>
      <c r="C358" s="10" t="s">
        <v>343</v>
      </c>
      <c r="D358" s="30" t="s">
        <v>345</v>
      </c>
      <c r="E358" s="10" t="s">
        <v>2970</v>
      </c>
      <c r="F358" s="10" t="s">
        <v>2928</v>
      </c>
      <c r="G358" s="30" t="s">
        <v>2971</v>
      </c>
      <c r="H358" s="12" t="s">
        <v>2298</v>
      </c>
      <c r="I358" s="10" t="s">
        <v>2972</v>
      </c>
      <c r="J358" s="30" t="s">
        <v>2182</v>
      </c>
    </row>
    <row r="359" customFormat="false" ht="35.05" hidden="false" customHeight="false" outlineLevel="0" collapsed="false">
      <c r="A359" s="12" t="s">
        <v>19</v>
      </c>
      <c r="B359" s="12" t="s">
        <v>342</v>
      </c>
      <c r="C359" s="10" t="s">
        <v>343</v>
      </c>
      <c r="D359" s="30" t="s">
        <v>345</v>
      </c>
      <c r="E359" s="10" t="s">
        <v>1044</v>
      </c>
      <c r="F359" s="10" t="s">
        <v>2973</v>
      </c>
      <c r="G359" s="30" t="s">
        <v>2974</v>
      </c>
      <c r="H359" s="12" t="s">
        <v>2470</v>
      </c>
      <c r="I359" s="10" t="s">
        <v>2471</v>
      </c>
      <c r="J359" s="12"/>
    </row>
    <row r="360" customFormat="false" ht="23.85" hidden="false" customHeight="false" outlineLevel="0" collapsed="false">
      <c r="A360" s="12" t="s">
        <v>19</v>
      </c>
      <c r="B360" s="12" t="s">
        <v>342</v>
      </c>
      <c r="C360" s="10" t="s">
        <v>343</v>
      </c>
      <c r="D360" s="30" t="s">
        <v>345</v>
      </c>
      <c r="E360" s="10" t="s">
        <v>995</v>
      </c>
      <c r="F360" s="10" t="s">
        <v>2975</v>
      </c>
      <c r="G360" s="30" t="s">
        <v>2976</v>
      </c>
      <c r="H360" s="12" t="s">
        <v>2477</v>
      </c>
      <c r="I360" s="10" t="s">
        <v>2478</v>
      </c>
      <c r="J360" s="12"/>
    </row>
    <row r="361" customFormat="false" ht="147" hidden="false" customHeight="false" outlineLevel="0" collapsed="false">
      <c r="A361" s="12" t="s">
        <v>19</v>
      </c>
      <c r="B361" s="12" t="s">
        <v>142</v>
      </c>
      <c r="C361" s="10" t="s">
        <v>143</v>
      </c>
      <c r="D361" s="30" t="s">
        <v>319</v>
      </c>
      <c r="E361" s="10" t="s">
        <v>1590</v>
      </c>
      <c r="F361" s="10" t="s">
        <v>2872</v>
      </c>
      <c r="G361" s="30" t="s">
        <v>2977</v>
      </c>
      <c r="H361" s="12" t="s">
        <v>2532</v>
      </c>
      <c r="I361" s="10" t="s">
        <v>2978</v>
      </c>
      <c r="J361" s="30" t="s">
        <v>2182</v>
      </c>
    </row>
    <row r="362" customFormat="false" ht="57.45" hidden="false" customHeight="false" outlineLevel="0" collapsed="false">
      <c r="A362" s="12" t="s">
        <v>19</v>
      </c>
      <c r="B362" s="12" t="s">
        <v>131</v>
      </c>
      <c r="C362" s="10" t="s">
        <v>132</v>
      </c>
      <c r="D362" s="30" t="s">
        <v>449</v>
      </c>
      <c r="E362" s="10" t="s">
        <v>1593</v>
      </c>
      <c r="F362" s="10" t="s">
        <v>2979</v>
      </c>
      <c r="G362" s="30" t="s">
        <v>2182</v>
      </c>
      <c r="H362" s="12" t="s">
        <v>2269</v>
      </c>
      <c r="I362" s="10" t="s">
        <v>2980</v>
      </c>
      <c r="J362" s="12"/>
    </row>
    <row r="363" customFormat="false" ht="35.05" hidden="false" customHeight="false" outlineLevel="0" collapsed="false">
      <c r="A363" s="12" t="s">
        <v>19</v>
      </c>
      <c r="B363" s="12" t="s">
        <v>473</v>
      </c>
      <c r="C363" s="10" t="s">
        <v>474</v>
      </c>
      <c r="D363" s="30" t="s">
        <v>476</v>
      </c>
      <c r="E363" s="10" t="s">
        <v>2289</v>
      </c>
      <c r="F363" s="10" t="s">
        <v>2981</v>
      </c>
      <c r="G363" s="30" t="s">
        <v>1511</v>
      </c>
      <c r="H363" s="12" t="s">
        <v>2404</v>
      </c>
      <c r="I363" s="10" t="s">
        <v>2405</v>
      </c>
      <c r="J363" s="12"/>
    </row>
    <row r="364" customFormat="false" ht="35.05" hidden="false" customHeight="false" outlineLevel="0" collapsed="false">
      <c r="A364" s="12" t="s">
        <v>19</v>
      </c>
      <c r="B364" s="12" t="s">
        <v>473</v>
      </c>
      <c r="C364" s="10" t="s">
        <v>474</v>
      </c>
      <c r="D364" s="30" t="s">
        <v>476</v>
      </c>
      <c r="E364" s="10" t="s">
        <v>96</v>
      </c>
      <c r="F364" s="10" t="s">
        <v>2982</v>
      </c>
      <c r="G364" s="30" t="s">
        <v>2182</v>
      </c>
      <c r="H364" s="12" t="s">
        <v>2269</v>
      </c>
      <c r="I364" s="10" t="s">
        <v>2983</v>
      </c>
      <c r="J364" s="12"/>
    </row>
    <row r="365" customFormat="false" ht="35.05" hidden="false" customHeight="false" outlineLevel="0" collapsed="false">
      <c r="A365" s="12" t="s">
        <v>19</v>
      </c>
      <c r="B365" s="12" t="s">
        <v>473</v>
      </c>
      <c r="C365" s="10" t="s">
        <v>474</v>
      </c>
      <c r="D365" s="30" t="s">
        <v>476</v>
      </c>
      <c r="E365" s="10" t="s">
        <v>2984</v>
      </c>
      <c r="F365" s="10" t="s">
        <v>2982</v>
      </c>
      <c r="G365" s="30" t="s">
        <v>2182</v>
      </c>
      <c r="H365" s="12" t="s">
        <v>2269</v>
      </c>
      <c r="I365" s="10" t="s">
        <v>2985</v>
      </c>
      <c r="J365" s="12"/>
    </row>
    <row r="366" customFormat="false" ht="35.05" hidden="false" customHeight="false" outlineLevel="0" collapsed="false">
      <c r="A366" s="12" t="s">
        <v>19</v>
      </c>
      <c r="B366" s="12" t="s">
        <v>423</v>
      </c>
      <c r="C366" s="10" t="s">
        <v>424</v>
      </c>
      <c r="D366" s="30" t="s">
        <v>425</v>
      </c>
      <c r="E366" s="10" t="s">
        <v>96</v>
      </c>
      <c r="F366" s="10" t="s">
        <v>2859</v>
      </c>
      <c r="G366" s="30" t="s">
        <v>2182</v>
      </c>
      <c r="H366" s="12" t="s">
        <v>2269</v>
      </c>
      <c r="I366" s="10" t="s">
        <v>2986</v>
      </c>
      <c r="J366" s="12"/>
    </row>
    <row r="367" customFormat="false" ht="35.05" hidden="false" customHeight="false" outlineLevel="0" collapsed="false">
      <c r="A367" s="12" t="s">
        <v>19</v>
      </c>
      <c r="B367" s="12" t="s">
        <v>499</v>
      </c>
      <c r="C367" s="10" t="s">
        <v>500</v>
      </c>
      <c r="D367" s="30" t="s">
        <v>501</v>
      </c>
      <c r="E367" s="10" t="s">
        <v>2289</v>
      </c>
      <c r="F367" s="10" t="s">
        <v>2987</v>
      </c>
      <c r="G367" s="30" t="s">
        <v>1509</v>
      </c>
      <c r="H367" s="12" t="s">
        <v>2404</v>
      </c>
      <c r="I367" s="10" t="s">
        <v>2405</v>
      </c>
      <c r="J367" s="12"/>
    </row>
    <row r="368" customFormat="false" ht="46.25" hidden="false" customHeight="false" outlineLevel="0" collapsed="false">
      <c r="A368" s="12" t="s">
        <v>19</v>
      </c>
      <c r="B368" s="12" t="s">
        <v>499</v>
      </c>
      <c r="C368" s="10" t="s">
        <v>500</v>
      </c>
      <c r="D368" s="30" t="s">
        <v>501</v>
      </c>
      <c r="E368" s="10" t="s">
        <v>96</v>
      </c>
      <c r="F368" s="10" t="s">
        <v>2937</v>
      </c>
      <c r="G368" s="30" t="s">
        <v>2182</v>
      </c>
      <c r="H368" s="12" t="s">
        <v>2269</v>
      </c>
      <c r="I368" s="10" t="s">
        <v>2988</v>
      </c>
      <c r="J368" s="12"/>
    </row>
    <row r="369" customFormat="false" ht="102.2" hidden="false" customHeight="false" outlineLevel="0" collapsed="false">
      <c r="A369" s="12" t="s">
        <v>19</v>
      </c>
      <c r="B369" s="12" t="s">
        <v>499</v>
      </c>
      <c r="C369" s="10" t="s">
        <v>500</v>
      </c>
      <c r="D369" s="30" t="s">
        <v>501</v>
      </c>
      <c r="E369" s="10" t="s">
        <v>2989</v>
      </c>
      <c r="F369" s="10" t="s">
        <v>2937</v>
      </c>
      <c r="G369" s="30" t="s">
        <v>2990</v>
      </c>
      <c r="H369" s="12" t="s">
        <v>2298</v>
      </c>
      <c r="I369" s="10" t="s">
        <v>2991</v>
      </c>
      <c r="J369" s="30" t="s">
        <v>2182</v>
      </c>
    </row>
    <row r="370" customFormat="false" ht="35.05" hidden="false" customHeight="false" outlineLevel="0" collapsed="false">
      <c r="A370" s="12" t="s">
        <v>19</v>
      </c>
      <c r="B370" s="12" t="s">
        <v>394</v>
      </c>
      <c r="C370" s="10" t="s">
        <v>395</v>
      </c>
      <c r="D370" s="30" t="s">
        <v>396</v>
      </c>
      <c r="E370" s="10" t="s">
        <v>2289</v>
      </c>
      <c r="F370" s="10" t="s">
        <v>2992</v>
      </c>
      <c r="G370" s="30" t="s">
        <v>1507</v>
      </c>
      <c r="H370" s="12" t="s">
        <v>2404</v>
      </c>
      <c r="I370" s="10" t="s">
        <v>2405</v>
      </c>
      <c r="J370" s="12"/>
    </row>
    <row r="371" customFormat="false" ht="46.25" hidden="false" customHeight="false" outlineLevel="0" collapsed="false">
      <c r="A371" s="12" t="s">
        <v>19</v>
      </c>
      <c r="B371" s="12" t="s">
        <v>394</v>
      </c>
      <c r="C371" s="10" t="s">
        <v>395</v>
      </c>
      <c r="D371" s="30" t="s">
        <v>396</v>
      </c>
      <c r="E371" s="10" t="s">
        <v>96</v>
      </c>
      <c r="F371" s="10" t="s">
        <v>2928</v>
      </c>
      <c r="G371" s="30" t="s">
        <v>2182</v>
      </c>
      <c r="H371" s="12" t="s">
        <v>2269</v>
      </c>
      <c r="I371" s="10" t="s">
        <v>2993</v>
      </c>
      <c r="J371" s="12"/>
    </row>
    <row r="372" customFormat="false" ht="23.85" hidden="false" customHeight="false" outlineLevel="0" collapsed="false">
      <c r="A372" s="12" t="s">
        <v>19</v>
      </c>
      <c r="B372" s="12" t="s">
        <v>394</v>
      </c>
      <c r="C372" s="10" t="s">
        <v>395</v>
      </c>
      <c r="D372" s="30" t="s">
        <v>396</v>
      </c>
      <c r="E372" s="10" t="s">
        <v>948</v>
      </c>
      <c r="F372" s="10" t="s">
        <v>2994</v>
      </c>
      <c r="G372" s="30" t="s">
        <v>2995</v>
      </c>
      <c r="H372" s="12" t="s">
        <v>2283</v>
      </c>
      <c r="I372" s="10" t="s">
        <v>2284</v>
      </c>
      <c r="J372" s="12"/>
    </row>
    <row r="373" customFormat="false" ht="135.8" hidden="false" customHeight="false" outlineLevel="0" collapsed="false">
      <c r="A373" s="12" t="s">
        <v>19</v>
      </c>
      <c r="B373" s="12" t="s">
        <v>394</v>
      </c>
      <c r="C373" s="10" t="s">
        <v>395</v>
      </c>
      <c r="D373" s="30" t="s">
        <v>396</v>
      </c>
      <c r="E373" s="10" t="s">
        <v>2996</v>
      </c>
      <c r="F373" s="10" t="s">
        <v>2928</v>
      </c>
      <c r="G373" s="30" t="s">
        <v>2997</v>
      </c>
      <c r="H373" s="12" t="s">
        <v>2298</v>
      </c>
      <c r="I373" s="10" t="s">
        <v>2998</v>
      </c>
      <c r="J373" s="30" t="s">
        <v>2182</v>
      </c>
    </row>
    <row r="374" customFormat="false" ht="23.85" hidden="false" customHeight="false" outlineLevel="0" collapsed="false">
      <c r="A374" s="12" t="s">
        <v>19</v>
      </c>
      <c r="B374" s="12" t="s">
        <v>114</v>
      </c>
      <c r="C374" s="10" t="s">
        <v>115</v>
      </c>
      <c r="D374" s="30" t="s">
        <v>304</v>
      </c>
      <c r="E374" s="10" t="s">
        <v>144</v>
      </c>
      <c r="F374" s="10" t="s">
        <v>2999</v>
      </c>
      <c r="G374" s="30" t="s">
        <v>3000</v>
      </c>
      <c r="H374" s="12" t="s">
        <v>2265</v>
      </c>
      <c r="I374" s="10" t="s">
        <v>2266</v>
      </c>
      <c r="J374" s="12"/>
    </row>
    <row r="375" customFormat="false" ht="35.05" hidden="false" customHeight="false" outlineLevel="0" collapsed="false">
      <c r="A375" s="12" t="s">
        <v>19</v>
      </c>
      <c r="B375" s="12" t="s">
        <v>114</v>
      </c>
      <c r="C375" s="10" t="s">
        <v>115</v>
      </c>
      <c r="D375" s="30" t="s">
        <v>304</v>
      </c>
      <c r="E375" s="10" t="s">
        <v>2289</v>
      </c>
      <c r="F375" s="10" t="s">
        <v>3001</v>
      </c>
      <c r="G375" s="30" t="s">
        <v>3002</v>
      </c>
      <c r="H375" s="12" t="s">
        <v>2292</v>
      </c>
      <c r="I375" s="10" t="s">
        <v>2293</v>
      </c>
      <c r="J375" s="12"/>
    </row>
    <row r="376" customFormat="false" ht="46.25" hidden="false" customHeight="false" outlineLevel="0" collapsed="false">
      <c r="A376" s="12" t="s">
        <v>19</v>
      </c>
      <c r="B376" s="12" t="s">
        <v>114</v>
      </c>
      <c r="C376" s="10" t="s">
        <v>115</v>
      </c>
      <c r="D376" s="30" t="s">
        <v>304</v>
      </c>
      <c r="E376" s="10" t="s">
        <v>96</v>
      </c>
      <c r="F376" s="10" t="s">
        <v>2928</v>
      </c>
      <c r="G376" s="30" t="s">
        <v>2182</v>
      </c>
      <c r="H376" s="12" t="s">
        <v>2269</v>
      </c>
      <c r="I376" s="10" t="s">
        <v>3003</v>
      </c>
      <c r="J376" s="12"/>
    </row>
    <row r="377" customFormat="false" ht="124.6" hidden="false" customHeight="false" outlineLevel="0" collapsed="false">
      <c r="A377" s="12" t="s">
        <v>19</v>
      </c>
      <c r="B377" s="12" t="s">
        <v>114</v>
      </c>
      <c r="C377" s="10" t="s">
        <v>115</v>
      </c>
      <c r="D377" s="30" t="s">
        <v>304</v>
      </c>
      <c r="E377" s="10" t="s">
        <v>3004</v>
      </c>
      <c r="F377" s="10" t="s">
        <v>2928</v>
      </c>
      <c r="G377" s="30" t="s">
        <v>3005</v>
      </c>
      <c r="H377" s="12" t="s">
        <v>2298</v>
      </c>
      <c r="I377" s="10" t="s">
        <v>3006</v>
      </c>
      <c r="J377" s="30" t="s">
        <v>2182</v>
      </c>
    </row>
    <row r="378" customFormat="false" ht="35.05" hidden="false" customHeight="false" outlineLevel="0" collapsed="false">
      <c r="A378" s="12" t="s">
        <v>19</v>
      </c>
      <c r="B378" s="12" t="s">
        <v>114</v>
      </c>
      <c r="C378" s="10" t="s">
        <v>115</v>
      </c>
      <c r="D378" s="30" t="s">
        <v>304</v>
      </c>
      <c r="E378" s="10" t="s">
        <v>1044</v>
      </c>
      <c r="F378" s="10" t="s">
        <v>3007</v>
      </c>
      <c r="G378" s="30" t="s">
        <v>3008</v>
      </c>
      <c r="H378" s="12" t="s">
        <v>2302</v>
      </c>
      <c r="I378" s="10" t="s">
        <v>2303</v>
      </c>
      <c r="J378" s="12"/>
    </row>
    <row r="379" customFormat="false" ht="23.85" hidden="false" customHeight="false" outlineLevel="0" collapsed="false">
      <c r="A379" s="12" t="s">
        <v>19</v>
      </c>
      <c r="B379" s="12" t="s">
        <v>114</v>
      </c>
      <c r="C379" s="10" t="s">
        <v>115</v>
      </c>
      <c r="D379" s="30" t="s">
        <v>304</v>
      </c>
      <c r="E379" s="10" t="s">
        <v>995</v>
      </c>
      <c r="F379" s="10" t="s">
        <v>3009</v>
      </c>
      <c r="G379" s="30" t="s">
        <v>3010</v>
      </c>
      <c r="H379" s="12" t="s">
        <v>2477</v>
      </c>
      <c r="I379" s="10" t="s">
        <v>2478</v>
      </c>
      <c r="J379" s="12"/>
    </row>
    <row r="380" customFormat="false" ht="35.05" hidden="false" customHeight="false" outlineLevel="0" collapsed="false">
      <c r="A380" s="12" t="s">
        <v>19</v>
      </c>
      <c r="B380" s="12" t="s">
        <v>485</v>
      </c>
      <c r="C380" s="10" t="s">
        <v>486</v>
      </c>
      <c r="D380" s="30" t="s">
        <v>487</v>
      </c>
      <c r="E380" s="10" t="s">
        <v>96</v>
      </c>
      <c r="F380" s="10" t="s">
        <v>3011</v>
      </c>
      <c r="G380" s="30" t="s">
        <v>2182</v>
      </c>
      <c r="H380" s="12" t="s">
        <v>2269</v>
      </c>
      <c r="I380" s="10" t="s">
        <v>3012</v>
      </c>
      <c r="J380" s="12"/>
    </row>
    <row r="381" customFormat="false" ht="35.05" hidden="false" customHeight="false" outlineLevel="0" collapsed="false">
      <c r="A381" s="12" t="s">
        <v>19</v>
      </c>
      <c r="B381" s="12" t="s">
        <v>485</v>
      </c>
      <c r="C381" s="10" t="s">
        <v>486</v>
      </c>
      <c r="D381" s="30" t="s">
        <v>487</v>
      </c>
      <c r="E381" s="10" t="s">
        <v>3013</v>
      </c>
      <c r="F381" s="10" t="s">
        <v>3011</v>
      </c>
      <c r="G381" s="30" t="s">
        <v>2182</v>
      </c>
      <c r="H381" s="12" t="s">
        <v>2269</v>
      </c>
      <c r="I381" s="10" t="s">
        <v>3014</v>
      </c>
      <c r="J381" s="12"/>
    </row>
    <row r="382" customFormat="false" ht="35.05" hidden="false" customHeight="false" outlineLevel="0" collapsed="false">
      <c r="A382" s="12" t="s">
        <v>19</v>
      </c>
      <c r="B382" s="12" t="s">
        <v>485</v>
      </c>
      <c r="C382" s="10" t="s">
        <v>486</v>
      </c>
      <c r="D382" s="30" t="s">
        <v>487</v>
      </c>
      <c r="E382" s="10" t="s">
        <v>1044</v>
      </c>
      <c r="F382" s="10" t="s">
        <v>3015</v>
      </c>
      <c r="G382" s="30" t="s">
        <v>3016</v>
      </c>
      <c r="H382" s="12" t="s">
        <v>2302</v>
      </c>
      <c r="I382" s="10" t="s">
        <v>2303</v>
      </c>
      <c r="J382" s="12"/>
    </row>
    <row r="383" customFormat="false" ht="35.05" hidden="false" customHeight="false" outlineLevel="0" collapsed="false">
      <c r="A383" s="12" t="s">
        <v>19</v>
      </c>
      <c r="B383" s="12" t="s">
        <v>558</v>
      </c>
      <c r="C383" s="10" t="s">
        <v>559</v>
      </c>
      <c r="D383" s="30" t="s">
        <v>560</v>
      </c>
      <c r="E383" s="10" t="s">
        <v>96</v>
      </c>
      <c r="F383" s="10" t="s">
        <v>2859</v>
      </c>
      <c r="G383" s="30" t="s">
        <v>2182</v>
      </c>
      <c r="H383" s="12" t="s">
        <v>2269</v>
      </c>
      <c r="I383" s="10" t="s">
        <v>3017</v>
      </c>
      <c r="J383" s="12"/>
    </row>
    <row r="384" customFormat="false" ht="23.85" hidden="false" customHeight="false" outlineLevel="0" collapsed="false">
      <c r="A384" s="12" t="s">
        <v>19</v>
      </c>
      <c r="B384" s="12" t="s">
        <v>368</v>
      </c>
      <c r="C384" s="10" t="s">
        <v>369</v>
      </c>
      <c r="D384" s="30" t="s">
        <v>370</v>
      </c>
      <c r="E384" s="10" t="s">
        <v>144</v>
      </c>
      <c r="F384" s="10" t="s">
        <v>3018</v>
      </c>
      <c r="G384" s="30" t="s">
        <v>3019</v>
      </c>
      <c r="H384" s="12" t="s">
        <v>2265</v>
      </c>
      <c r="I384" s="10" t="s">
        <v>2266</v>
      </c>
      <c r="J384" s="12"/>
    </row>
    <row r="385" customFormat="false" ht="35.05" hidden="false" customHeight="false" outlineLevel="0" collapsed="false">
      <c r="A385" s="12" t="s">
        <v>19</v>
      </c>
      <c r="B385" s="12" t="s">
        <v>368</v>
      </c>
      <c r="C385" s="10" t="s">
        <v>369</v>
      </c>
      <c r="D385" s="30" t="s">
        <v>370</v>
      </c>
      <c r="E385" s="10" t="s">
        <v>2289</v>
      </c>
      <c r="F385" s="10" t="s">
        <v>3020</v>
      </c>
      <c r="G385" s="30" t="s">
        <v>3021</v>
      </c>
      <c r="H385" s="12" t="s">
        <v>2292</v>
      </c>
      <c r="I385" s="10" t="s">
        <v>2293</v>
      </c>
      <c r="J385" s="12"/>
    </row>
    <row r="386" customFormat="false" ht="147" hidden="false" customHeight="false" outlineLevel="0" collapsed="false">
      <c r="A386" s="12" t="s">
        <v>19</v>
      </c>
      <c r="B386" s="12" t="s">
        <v>368</v>
      </c>
      <c r="C386" s="10" t="s">
        <v>369</v>
      </c>
      <c r="D386" s="30" t="s">
        <v>370</v>
      </c>
      <c r="E386" s="10" t="s">
        <v>1590</v>
      </c>
      <c r="F386" s="10" t="s">
        <v>2872</v>
      </c>
      <c r="G386" s="30" t="s">
        <v>3022</v>
      </c>
      <c r="H386" s="12" t="s">
        <v>2532</v>
      </c>
      <c r="I386" s="10" t="s">
        <v>3023</v>
      </c>
      <c r="J386" s="30" t="s">
        <v>2182</v>
      </c>
    </row>
    <row r="387" customFormat="false" ht="35.05" hidden="false" customHeight="false" outlineLevel="0" collapsed="false">
      <c r="A387" s="12" t="s">
        <v>19</v>
      </c>
      <c r="B387" s="12" t="s">
        <v>515</v>
      </c>
      <c r="C387" s="10" t="s">
        <v>516</v>
      </c>
      <c r="D387" s="30" t="s">
        <v>518</v>
      </c>
      <c r="E387" s="10" t="s">
        <v>96</v>
      </c>
      <c r="F387" s="10" t="s">
        <v>2881</v>
      </c>
      <c r="G387" s="30" t="s">
        <v>2182</v>
      </c>
      <c r="H387" s="12" t="s">
        <v>2269</v>
      </c>
      <c r="I387" s="10" t="s">
        <v>3024</v>
      </c>
      <c r="J387" s="12"/>
    </row>
    <row r="388" customFormat="false" ht="46.25" hidden="false" customHeight="false" outlineLevel="0" collapsed="false">
      <c r="A388" s="12" t="s">
        <v>19</v>
      </c>
      <c r="B388" s="12" t="s">
        <v>515</v>
      </c>
      <c r="C388" s="10" t="s">
        <v>516</v>
      </c>
      <c r="D388" s="30" t="s">
        <v>518</v>
      </c>
      <c r="E388" s="10" t="s">
        <v>3025</v>
      </c>
      <c r="F388" s="10" t="s">
        <v>2881</v>
      </c>
      <c r="G388" s="30" t="s">
        <v>3026</v>
      </c>
      <c r="H388" s="12" t="s">
        <v>2298</v>
      </c>
      <c r="I388" s="10" t="s">
        <v>3027</v>
      </c>
      <c r="J388" s="30" t="s">
        <v>2182</v>
      </c>
    </row>
    <row r="389" customFormat="false" ht="35.05" hidden="false" customHeight="false" outlineLevel="0" collapsed="false">
      <c r="A389" s="12" t="s">
        <v>19</v>
      </c>
      <c r="B389" s="12" t="s">
        <v>508</v>
      </c>
      <c r="C389" s="10" t="s">
        <v>509</v>
      </c>
      <c r="D389" s="30" t="s">
        <v>510</v>
      </c>
      <c r="E389" s="10" t="s">
        <v>2289</v>
      </c>
      <c r="F389" s="10" t="s">
        <v>3028</v>
      </c>
      <c r="G389" s="30" t="s">
        <v>3029</v>
      </c>
      <c r="H389" s="12" t="s">
        <v>2292</v>
      </c>
      <c r="I389" s="10" t="s">
        <v>2293</v>
      </c>
      <c r="J389" s="12"/>
    </row>
    <row r="390" customFormat="false" ht="147" hidden="false" customHeight="false" outlineLevel="0" collapsed="false">
      <c r="A390" s="12" t="s">
        <v>19</v>
      </c>
      <c r="B390" s="12" t="s">
        <v>508</v>
      </c>
      <c r="C390" s="10" t="s">
        <v>509</v>
      </c>
      <c r="D390" s="30" t="s">
        <v>510</v>
      </c>
      <c r="E390" s="10" t="s">
        <v>1590</v>
      </c>
      <c r="F390" s="10" t="s">
        <v>2872</v>
      </c>
      <c r="G390" s="30" t="s">
        <v>3030</v>
      </c>
      <c r="H390" s="12" t="s">
        <v>2532</v>
      </c>
      <c r="I390" s="10" t="s">
        <v>3031</v>
      </c>
      <c r="J390" s="30" t="s">
        <v>2182</v>
      </c>
    </row>
    <row r="391" customFormat="false" ht="35.05" hidden="false" customHeight="false" outlineLevel="0" collapsed="false">
      <c r="A391" s="12" t="s">
        <v>19</v>
      </c>
      <c r="B391" s="12" t="s">
        <v>492</v>
      </c>
      <c r="C391" s="10" t="s">
        <v>493</v>
      </c>
      <c r="D391" s="30" t="s">
        <v>494</v>
      </c>
      <c r="E391" s="10" t="s">
        <v>96</v>
      </c>
      <c r="F391" s="10" t="s">
        <v>3011</v>
      </c>
      <c r="G391" s="30" t="s">
        <v>2182</v>
      </c>
      <c r="H391" s="12" t="s">
        <v>2269</v>
      </c>
      <c r="I391" s="10" t="s">
        <v>3032</v>
      </c>
      <c r="J391" s="12"/>
    </row>
    <row r="392" customFormat="false" ht="46.25" hidden="false" customHeight="false" outlineLevel="0" collapsed="false">
      <c r="A392" s="12" t="s">
        <v>19</v>
      </c>
      <c r="B392" s="12" t="s">
        <v>492</v>
      </c>
      <c r="C392" s="10" t="s">
        <v>493</v>
      </c>
      <c r="D392" s="30" t="s">
        <v>494</v>
      </c>
      <c r="E392" s="10" t="s">
        <v>3033</v>
      </c>
      <c r="F392" s="10" t="s">
        <v>3011</v>
      </c>
      <c r="G392" s="30" t="s">
        <v>2182</v>
      </c>
      <c r="H392" s="12" t="s">
        <v>2269</v>
      </c>
      <c r="I392" s="10" t="s">
        <v>3034</v>
      </c>
      <c r="J392" s="12"/>
    </row>
    <row r="393" customFormat="false" ht="23.85" hidden="false" customHeight="false" outlineLevel="0" collapsed="false">
      <c r="A393" s="12" t="s">
        <v>19</v>
      </c>
      <c r="B393" s="12" t="s">
        <v>492</v>
      </c>
      <c r="C393" s="10" t="s">
        <v>493</v>
      </c>
      <c r="D393" s="30" t="s">
        <v>494</v>
      </c>
      <c r="E393" s="10" t="s">
        <v>1044</v>
      </c>
      <c r="F393" s="10" t="s">
        <v>3035</v>
      </c>
      <c r="G393" s="30" t="s">
        <v>3036</v>
      </c>
      <c r="H393" s="12" t="s">
        <v>2302</v>
      </c>
      <c r="I393" s="10" t="s">
        <v>2303</v>
      </c>
      <c r="J393" s="12"/>
    </row>
    <row r="394" customFormat="false" ht="35.05" hidden="false" customHeight="false" outlineLevel="0" collapsed="false">
      <c r="A394" s="12" t="s">
        <v>19</v>
      </c>
      <c r="B394" s="12" t="s">
        <v>128</v>
      </c>
      <c r="C394" s="10" t="s">
        <v>129</v>
      </c>
      <c r="D394" s="30" t="s">
        <v>341</v>
      </c>
      <c r="E394" s="10" t="s">
        <v>2289</v>
      </c>
      <c r="F394" s="10" t="s">
        <v>3037</v>
      </c>
      <c r="G394" s="30" t="s">
        <v>3038</v>
      </c>
      <c r="H394" s="12" t="s">
        <v>2292</v>
      </c>
      <c r="I394" s="10" t="s">
        <v>2293</v>
      </c>
      <c r="J394" s="12"/>
    </row>
    <row r="395" customFormat="false" ht="35.05" hidden="false" customHeight="false" outlineLevel="0" collapsed="false">
      <c r="A395" s="12" t="s">
        <v>19</v>
      </c>
      <c r="B395" s="12" t="s">
        <v>128</v>
      </c>
      <c r="C395" s="10" t="s">
        <v>129</v>
      </c>
      <c r="D395" s="30" t="s">
        <v>341</v>
      </c>
      <c r="E395" s="10" t="s">
        <v>96</v>
      </c>
      <c r="F395" s="10" t="s">
        <v>2844</v>
      </c>
      <c r="G395" s="30" t="s">
        <v>2182</v>
      </c>
      <c r="H395" s="12" t="s">
        <v>2269</v>
      </c>
      <c r="I395" s="10" t="s">
        <v>3039</v>
      </c>
      <c r="J395" s="12"/>
    </row>
    <row r="396" customFormat="false" ht="35.05" hidden="false" customHeight="false" outlineLevel="0" collapsed="false">
      <c r="A396" s="12" t="s">
        <v>19</v>
      </c>
      <c r="B396" s="12" t="s">
        <v>289</v>
      </c>
      <c r="C396" s="10" t="s">
        <v>290</v>
      </c>
      <c r="D396" s="30" t="s">
        <v>306</v>
      </c>
      <c r="E396" s="10" t="s">
        <v>2289</v>
      </c>
      <c r="F396" s="10" t="s">
        <v>3040</v>
      </c>
      <c r="G396" s="30" t="s">
        <v>1502</v>
      </c>
      <c r="H396" s="12" t="s">
        <v>2404</v>
      </c>
      <c r="I396" s="10" t="s">
        <v>2405</v>
      </c>
      <c r="J396" s="12"/>
    </row>
    <row r="397" customFormat="false" ht="46.25" hidden="false" customHeight="false" outlineLevel="0" collapsed="false">
      <c r="A397" s="12" t="s">
        <v>19</v>
      </c>
      <c r="B397" s="12" t="s">
        <v>289</v>
      </c>
      <c r="C397" s="10" t="s">
        <v>290</v>
      </c>
      <c r="D397" s="30" t="s">
        <v>306</v>
      </c>
      <c r="E397" s="10" t="s">
        <v>96</v>
      </c>
      <c r="F397" s="10" t="s">
        <v>2928</v>
      </c>
      <c r="G397" s="30" t="s">
        <v>2182</v>
      </c>
      <c r="H397" s="12" t="s">
        <v>2269</v>
      </c>
      <c r="I397" s="10" t="s">
        <v>3041</v>
      </c>
      <c r="J397" s="12"/>
    </row>
    <row r="398" customFormat="false" ht="35.05" hidden="false" customHeight="false" outlineLevel="0" collapsed="false">
      <c r="A398" s="12" t="s">
        <v>19</v>
      </c>
      <c r="B398" s="12" t="s">
        <v>289</v>
      </c>
      <c r="C398" s="10" t="s">
        <v>290</v>
      </c>
      <c r="D398" s="30" t="s">
        <v>306</v>
      </c>
      <c r="E398" s="10" t="s">
        <v>948</v>
      </c>
      <c r="F398" s="10" t="s">
        <v>3042</v>
      </c>
      <c r="G398" s="30" t="s">
        <v>3043</v>
      </c>
      <c r="H398" s="12" t="s">
        <v>2283</v>
      </c>
      <c r="I398" s="10" t="s">
        <v>2284</v>
      </c>
      <c r="J398" s="12"/>
    </row>
    <row r="399" customFormat="false" ht="124.6" hidden="false" customHeight="false" outlineLevel="0" collapsed="false">
      <c r="A399" s="12" t="s">
        <v>19</v>
      </c>
      <c r="B399" s="12" t="s">
        <v>289</v>
      </c>
      <c r="C399" s="10" t="s">
        <v>290</v>
      </c>
      <c r="D399" s="30" t="s">
        <v>306</v>
      </c>
      <c r="E399" s="10" t="s">
        <v>3044</v>
      </c>
      <c r="F399" s="10" t="s">
        <v>2928</v>
      </c>
      <c r="G399" s="30" t="s">
        <v>3045</v>
      </c>
      <c r="H399" s="12" t="s">
        <v>2298</v>
      </c>
      <c r="I399" s="10" t="s">
        <v>3046</v>
      </c>
      <c r="J399" s="30" t="s">
        <v>2182</v>
      </c>
    </row>
    <row r="400" customFormat="false" ht="35.05" hidden="false" customHeight="false" outlineLevel="0" collapsed="false">
      <c r="A400" s="12" t="s">
        <v>19</v>
      </c>
      <c r="B400" s="12" t="s">
        <v>289</v>
      </c>
      <c r="C400" s="10" t="s">
        <v>290</v>
      </c>
      <c r="D400" s="30" t="s">
        <v>306</v>
      </c>
      <c r="E400" s="10" t="s">
        <v>1044</v>
      </c>
      <c r="F400" s="10" t="s">
        <v>3047</v>
      </c>
      <c r="G400" s="30" t="s">
        <v>3048</v>
      </c>
      <c r="H400" s="12" t="s">
        <v>2470</v>
      </c>
      <c r="I400" s="10" t="s">
        <v>2471</v>
      </c>
      <c r="J400" s="12"/>
    </row>
    <row r="401" customFormat="false" ht="46.25" hidden="false" customHeight="false" outlineLevel="0" collapsed="false">
      <c r="A401" s="12" t="s">
        <v>19</v>
      </c>
      <c r="B401" s="12" t="s">
        <v>542</v>
      </c>
      <c r="C401" s="10" t="s">
        <v>543</v>
      </c>
      <c r="D401" s="30" t="s">
        <v>545</v>
      </c>
      <c r="E401" s="10" t="s">
        <v>96</v>
      </c>
      <c r="F401" s="10" t="s">
        <v>2937</v>
      </c>
      <c r="G401" s="30" t="s">
        <v>2182</v>
      </c>
      <c r="H401" s="12" t="s">
        <v>2269</v>
      </c>
      <c r="I401" s="10" t="s">
        <v>3049</v>
      </c>
      <c r="J401" s="12"/>
    </row>
    <row r="402" customFormat="false" ht="102.2" hidden="false" customHeight="false" outlineLevel="0" collapsed="false">
      <c r="A402" s="12" t="s">
        <v>19</v>
      </c>
      <c r="B402" s="12" t="s">
        <v>542</v>
      </c>
      <c r="C402" s="10" t="s">
        <v>543</v>
      </c>
      <c r="D402" s="30" t="s">
        <v>545</v>
      </c>
      <c r="E402" s="10" t="s">
        <v>3050</v>
      </c>
      <c r="F402" s="10" t="s">
        <v>2937</v>
      </c>
      <c r="G402" s="30" t="s">
        <v>3051</v>
      </c>
      <c r="H402" s="12" t="s">
        <v>2298</v>
      </c>
      <c r="I402" s="10" t="s">
        <v>3052</v>
      </c>
      <c r="J402" s="30" t="s">
        <v>2182</v>
      </c>
    </row>
    <row r="403" customFormat="false" ht="35.05" hidden="false" customHeight="false" outlineLevel="0" collapsed="false">
      <c r="A403" s="12" t="s">
        <v>19</v>
      </c>
      <c r="B403" s="12" t="s">
        <v>542</v>
      </c>
      <c r="C403" s="10" t="s">
        <v>543</v>
      </c>
      <c r="D403" s="30" t="s">
        <v>545</v>
      </c>
      <c r="E403" s="10" t="s">
        <v>1044</v>
      </c>
      <c r="F403" s="10" t="s">
        <v>3053</v>
      </c>
      <c r="G403" s="30" t="s">
        <v>3054</v>
      </c>
      <c r="H403" s="12" t="s">
        <v>2302</v>
      </c>
      <c r="I403" s="10" t="s">
        <v>2303</v>
      </c>
      <c r="J403" s="12"/>
    </row>
    <row r="404" customFormat="false" ht="35.05" hidden="false" customHeight="false" outlineLevel="0" collapsed="false">
      <c r="A404" s="12" t="s">
        <v>19</v>
      </c>
      <c r="B404" s="12" t="s">
        <v>151</v>
      </c>
      <c r="C404" s="10" t="s">
        <v>152</v>
      </c>
      <c r="D404" s="30" t="s">
        <v>324</v>
      </c>
      <c r="E404" s="10" t="s">
        <v>2289</v>
      </c>
      <c r="F404" s="10" t="s">
        <v>3055</v>
      </c>
      <c r="G404" s="30" t="s">
        <v>1500</v>
      </c>
      <c r="H404" s="12" t="s">
        <v>2404</v>
      </c>
      <c r="I404" s="10" t="s">
        <v>2405</v>
      </c>
      <c r="J404" s="12"/>
    </row>
    <row r="405" customFormat="false" ht="35.05" hidden="false" customHeight="false" outlineLevel="0" collapsed="false">
      <c r="A405" s="12" t="s">
        <v>19</v>
      </c>
      <c r="B405" s="12" t="s">
        <v>151</v>
      </c>
      <c r="C405" s="10" t="s">
        <v>152</v>
      </c>
      <c r="D405" s="30" t="s">
        <v>324</v>
      </c>
      <c r="E405" s="10" t="s">
        <v>96</v>
      </c>
      <c r="F405" s="10" t="s">
        <v>2881</v>
      </c>
      <c r="G405" s="30" t="s">
        <v>2182</v>
      </c>
      <c r="H405" s="12" t="s">
        <v>2269</v>
      </c>
      <c r="I405" s="10" t="s">
        <v>3056</v>
      </c>
      <c r="J405" s="12"/>
    </row>
    <row r="406" customFormat="false" ht="23.85" hidden="false" customHeight="false" outlineLevel="0" collapsed="false">
      <c r="A406" s="12" t="s">
        <v>19</v>
      </c>
      <c r="B406" s="12" t="s">
        <v>151</v>
      </c>
      <c r="C406" s="10" t="s">
        <v>152</v>
      </c>
      <c r="D406" s="30" t="s">
        <v>324</v>
      </c>
      <c r="E406" s="10" t="s">
        <v>948</v>
      </c>
      <c r="F406" s="10" t="s">
        <v>3057</v>
      </c>
      <c r="G406" s="30" t="s">
        <v>3058</v>
      </c>
      <c r="H406" s="12" t="s">
        <v>2283</v>
      </c>
      <c r="I406" s="10" t="s">
        <v>2284</v>
      </c>
      <c r="J406" s="12"/>
    </row>
    <row r="407" customFormat="false" ht="79.85" hidden="false" customHeight="false" outlineLevel="0" collapsed="false">
      <c r="A407" s="12" t="s">
        <v>19</v>
      </c>
      <c r="B407" s="12" t="s">
        <v>151</v>
      </c>
      <c r="C407" s="10" t="s">
        <v>152</v>
      </c>
      <c r="D407" s="30" t="s">
        <v>324</v>
      </c>
      <c r="E407" s="10" t="s">
        <v>3059</v>
      </c>
      <c r="F407" s="10" t="s">
        <v>2881</v>
      </c>
      <c r="G407" s="30" t="s">
        <v>3060</v>
      </c>
      <c r="H407" s="12" t="s">
        <v>2298</v>
      </c>
      <c r="I407" s="10" t="s">
        <v>3061</v>
      </c>
      <c r="J407" s="30" t="s">
        <v>2182</v>
      </c>
    </row>
    <row r="408" customFormat="false" ht="35.05" hidden="false" customHeight="false" outlineLevel="0" collapsed="false">
      <c r="A408" s="12" t="s">
        <v>19</v>
      </c>
      <c r="B408" s="12" t="s">
        <v>530</v>
      </c>
      <c r="C408" s="10" t="s">
        <v>531</v>
      </c>
      <c r="D408" s="30" t="s">
        <v>533</v>
      </c>
      <c r="E408" s="10" t="s">
        <v>96</v>
      </c>
      <c r="F408" s="10" t="s">
        <v>3062</v>
      </c>
      <c r="G408" s="30" t="s">
        <v>2182</v>
      </c>
      <c r="H408" s="12" t="s">
        <v>2269</v>
      </c>
      <c r="I408" s="10" t="s">
        <v>3063</v>
      </c>
      <c r="J408" s="12"/>
    </row>
    <row r="409" customFormat="false" ht="46.25" hidden="false" customHeight="false" outlineLevel="0" collapsed="false">
      <c r="A409" s="12" t="s">
        <v>19</v>
      </c>
      <c r="B409" s="12" t="s">
        <v>530</v>
      </c>
      <c r="C409" s="10" t="s">
        <v>531</v>
      </c>
      <c r="D409" s="30" t="s">
        <v>533</v>
      </c>
      <c r="E409" s="10" t="s">
        <v>3064</v>
      </c>
      <c r="F409" s="10" t="s">
        <v>3062</v>
      </c>
      <c r="G409" s="30" t="s">
        <v>3065</v>
      </c>
      <c r="H409" s="12" t="s">
        <v>2298</v>
      </c>
      <c r="I409" s="10" t="s">
        <v>3066</v>
      </c>
      <c r="J409" s="30" t="s">
        <v>2182</v>
      </c>
    </row>
    <row r="410" customFormat="false" ht="23.85" hidden="false" customHeight="false" outlineLevel="0" collapsed="false">
      <c r="A410" s="12" t="s">
        <v>19</v>
      </c>
      <c r="B410" s="12" t="s">
        <v>374</v>
      </c>
      <c r="C410" s="10" t="s">
        <v>375</v>
      </c>
      <c r="D410" s="30" t="s">
        <v>377</v>
      </c>
      <c r="E410" s="10" t="s">
        <v>144</v>
      </c>
      <c r="F410" s="10" t="s">
        <v>3067</v>
      </c>
      <c r="G410" s="30" t="s">
        <v>3068</v>
      </c>
      <c r="H410" s="12" t="s">
        <v>2306</v>
      </c>
      <c r="I410" s="10" t="s">
        <v>2307</v>
      </c>
      <c r="J410" s="12"/>
    </row>
    <row r="411" customFormat="false" ht="35.05" hidden="false" customHeight="false" outlineLevel="0" collapsed="false">
      <c r="A411" s="12" t="s">
        <v>19</v>
      </c>
      <c r="B411" s="12" t="s">
        <v>374</v>
      </c>
      <c r="C411" s="10" t="s">
        <v>375</v>
      </c>
      <c r="D411" s="30" t="s">
        <v>377</v>
      </c>
      <c r="E411" s="10" t="s">
        <v>2289</v>
      </c>
      <c r="F411" s="10" t="s">
        <v>3069</v>
      </c>
      <c r="G411" s="30" t="s">
        <v>3070</v>
      </c>
      <c r="H411" s="12" t="s">
        <v>2292</v>
      </c>
      <c r="I411" s="10" t="s">
        <v>2293</v>
      </c>
      <c r="J411" s="12"/>
    </row>
    <row r="412" customFormat="false" ht="46.25" hidden="false" customHeight="false" outlineLevel="0" collapsed="false">
      <c r="A412" s="12" t="s">
        <v>19</v>
      </c>
      <c r="B412" s="12" t="s">
        <v>374</v>
      </c>
      <c r="C412" s="10" t="s">
        <v>375</v>
      </c>
      <c r="D412" s="30" t="s">
        <v>377</v>
      </c>
      <c r="E412" s="10" t="s">
        <v>96</v>
      </c>
      <c r="F412" s="10" t="s">
        <v>2914</v>
      </c>
      <c r="G412" s="30" t="s">
        <v>2182</v>
      </c>
      <c r="H412" s="12" t="s">
        <v>2269</v>
      </c>
      <c r="I412" s="10" t="s">
        <v>3071</v>
      </c>
      <c r="J412" s="12"/>
    </row>
    <row r="413" customFormat="false" ht="68.65" hidden="false" customHeight="false" outlineLevel="0" collapsed="false">
      <c r="A413" s="12" t="s">
        <v>19</v>
      </c>
      <c r="B413" s="12" t="s">
        <v>374</v>
      </c>
      <c r="C413" s="10" t="s">
        <v>375</v>
      </c>
      <c r="D413" s="30" t="s">
        <v>377</v>
      </c>
      <c r="E413" s="10" t="s">
        <v>3072</v>
      </c>
      <c r="F413" s="10" t="s">
        <v>2914</v>
      </c>
      <c r="G413" s="30" t="s">
        <v>2182</v>
      </c>
      <c r="H413" s="12" t="s">
        <v>2269</v>
      </c>
      <c r="I413" s="10" t="s">
        <v>3073</v>
      </c>
      <c r="J413" s="12"/>
    </row>
    <row r="414" customFormat="false" ht="23.85" hidden="false" customHeight="false" outlineLevel="0" collapsed="false">
      <c r="A414" s="12" t="s">
        <v>19</v>
      </c>
      <c r="B414" s="12" t="s">
        <v>210</v>
      </c>
      <c r="C414" s="10" t="s">
        <v>211</v>
      </c>
      <c r="D414" s="30" t="s">
        <v>361</v>
      </c>
      <c r="E414" s="10" t="s">
        <v>144</v>
      </c>
      <c r="F414" s="10" t="s">
        <v>3074</v>
      </c>
      <c r="G414" s="30" t="s">
        <v>3075</v>
      </c>
      <c r="H414" s="12" t="s">
        <v>2265</v>
      </c>
      <c r="I414" s="10" t="s">
        <v>2266</v>
      </c>
      <c r="J414" s="12"/>
    </row>
    <row r="415" customFormat="false" ht="35.05" hidden="false" customHeight="false" outlineLevel="0" collapsed="false">
      <c r="A415" s="12" t="s">
        <v>19</v>
      </c>
      <c r="B415" s="12" t="s">
        <v>210</v>
      </c>
      <c r="C415" s="10" t="s">
        <v>211</v>
      </c>
      <c r="D415" s="30" t="s">
        <v>361</v>
      </c>
      <c r="E415" s="10" t="s">
        <v>2289</v>
      </c>
      <c r="F415" s="10" t="s">
        <v>3076</v>
      </c>
      <c r="G415" s="30" t="s">
        <v>1496</v>
      </c>
      <c r="H415" s="12" t="s">
        <v>2404</v>
      </c>
      <c r="I415" s="10" t="s">
        <v>2405</v>
      </c>
      <c r="J415" s="12"/>
    </row>
    <row r="416" customFormat="false" ht="46.25" hidden="false" customHeight="false" outlineLevel="0" collapsed="false">
      <c r="A416" s="12" t="s">
        <v>19</v>
      </c>
      <c r="B416" s="12" t="s">
        <v>210</v>
      </c>
      <c r="C416" s="10" t="s">
        <v>211</v>
      </c>
      <c r="D416" s="30" t="s">
        <v>361</v>
      </c>
      <c r="E416" s="10" t="s">
        <v>96</v>
      </c>
      <c r="F416" s="10" t="s">
        <v>2937</v>
      </c>
      <c r="G416" s="30" t="s">
        <v>2182</v>
      </c>
      <c r="H416" s="12" t="s">
        <v>2269</v>
      </c>
      <c r="I416" s="10" t="s">
        <v>3077</v>
      </c>
      <c r="J416" s="12"/>
    </row>
    <row r="417" customFormat="false" ht="113.4" hidden="false" customHeight="false" outlineLevel="0" collapsed="false">
      <c r="A417" s="12" t="s">
        <v>19</v>
      </c>
      <c r="B417" s="12" t="s">
        <v>210</v>
      </c>
      <c r="C417" s="10" t="s">
        <v>211</v>
      </c>
      <c r="D417" s="30" t="s">
        <v>361</v>
      </c>
      <c r="E417" s="10" t="s">
        <v>3078</v>
      </c>
      <c r="F417" s="10" t="s">
        <v>2937</v>
      </c>
      <c r="G417" s="30" t="s">
        <v>3079</v>
      </c>
      <c r="H417" s="12" t="s">
        <v>2298</v>
      </c>
      <c r="I417" s="10" t="s">
        <v>3080</v>
      </c>
      <c r="J417" s="30" t="s">
        <v>2182</v>
      </c>
    </row>
    <row r="418" customFormat="false" ht="35.05" hidden="false" customHeight="false" outlineLevel="0" collapsed="false">
      <c r="A418" s="12" t="s">
        <v>19</v>
      </c>
      <c r="B418" s="12" t="s">
        <v>210</v>
      </c>
      <c r="C418" s="10" t="s">
        <v>211</v>
      </c>
      <c r="D418" s="30" t="s">
        <v>361</v>
      </c>
      <c r="E418" s="10" t="s">
        <v>1044</v>
      </c>
      <c r="F418" s="10" t="s">
        <v>3081</v>
      </c>
      <c r="G418" s="30" t="s">
        <v>3082</v>
      </c>
      <c r="H418" s="12" t="s">
        <v>2302</v>
      </c>
      <c r="I418" s="10" t="s">
        <v>2303</v>
      </c>
      <c r="J418" s="12"/>
    </row>
    <row r="419" customFormat="false" ht="46.25" hidden="false" customHeight="false" outlineLevel="0" collapsed="false">
      <c r="A419" s="12" t="s">
        <v>19</v>
      </c>
      <c r="B419" s="12" t="s">
        <v>100</v>
      </c>
      <c r="C419" s="10" t="s">
        <v>101</v>
      </c>
      <c r="D419" s="30" t="s">
        <v>498</v>
      </c>
      <c r="E419" s="10" t="s">
        <v>96</v>
      </c>
      <c r="F419" s="10" t="s">
        <v>2928</v>
      </c>
      <c r="G419" s="30" t="s">
        <v>3083</v>
      </c>
      <c r="H419" s="12" t="s">
        <v>2532</v>
      </c>
      <c r="I419" s="10" t="s">
        <v>3084</v>
      </c>
      <c r="J419" s="30" t="s">
        <v>2182</v>
      </c>
    </row>
    <row r="420" customFormat="false" ht="23.85" hidden="false" customHeight="false" outlineLevel="0" collapsed="false">
      <c r="A420" s="12" t="s">
        <v>19</v>
      </c>
      <c r="B420" s="12" t="s">
        <v>100</v>
      </c>
      <c r="C420" s="10" t="s">
        <v>101</v>
      </c>
      <c r="D420" s="30" t="s">
        <v>498</v>
      </c>
      <c r="E420" s="10" t="s">
        <v>948</v>
      </c>
      <c r="F420" s="10" t="s">
        <v>3085</v>
      </c>
      <c r="G420" s="30" t="s">
        <v>3086</v>
      </c>
      <c r="H420" s="12" t="s">
        <v>2283</v>
      </c>
      <c r="I420" s="10" t="s">
        <v>2284</v>
      </c>
      <c r="J420" s="12"/>
    </row>
    <row r="421" customFormat="false" ht="147" hidden="false" customHeight="false" outlineLevel="0" collapsed="false">
      <c r="A421" s="12" t="s">
        <v>19</v>
      </c>
      <c r="B421" s="12" t="s">
        <v>100</v>
      </c>
      <c r="C421" s="10" t="s">
        <v>101</v>
      </c>
      <c r="D421" s="30" t="s">
        <v>498</v>
      </c>
      <c r="E421" s="10" t="s">
        <v>1590</v>
      </c>
      <c r="F421" s="10" t="s">
        <v>2928</v>
      </c>
      <c r="G421" s="30" t="s">
        <v>3083</v>
      </c>
      <c r="H421" s="12" t="s">
        <v>2532</v>
      </c>
      <c r="I421" s="10" t="s">
        <v>3087</v>
      </c>
      <c r="J421" s="30" t="s">
        <v>2182</v>
      </c>
    </row>
    <row r="422" customFormat="false" ht="35.05" hidden="false" customHeight="false" outlineLevel="0" collapsed="false">
      <c r="A422" s="12" t="s">
        <v>19</v>
      </c>
      <c r="B422" s="12" t="s">
        <v>400</v>
      </c>
      <c r="C422" s="10" t="s">
        <v>401</v>
      </c>
      <c r="D422" s="30" t="s">
        <v>402</v>
      </c>
      <c r="E422" s="10" t="s">
        <v>2289</v>
      </c>
      <c r="F422" s="10" t="s">
        <v>3088</v>
      </c>
      <c r="G422" s="30" t="s">
        <v>3089</v>
      </c>
      <c r="H422" s="12" t="s">
        <v>2292</v>
      </c>
      <c r="I422" s="10" t="s">
        <v>2293</v>
      </c>
      <c r="J422" s="12"/>
    </row>
    <row r="423" customFormat="false" ht="147" hidden="false" customHeight="false" outlineLevel="0" collapsed="false">
      <c r="A423" s="12" t="s">
        <v>19</v>
      </c>
      <c r="B423" s="12" t="s">
        <v>400</v>
      </c>
      <c r="C423" s="10" t="s">
        <v>401</v>
      </c>
      <c r="D423" s="30" t="s">
        <v>402</v>
      </c>
      <c r="E423" s="10" t="s">
        <v>1590</v>
      </c>
      <c r="F423" s="10" t="s">
        <v>2872</v>
      </c>
      <c r="G423" s="30" t="s">
        <v>3090</v>
      </c>
      <c r="H423" s="12" t="s">
        <v>2532</v>
      </c>
      <c r="I423" s="10" t="s">
        <v>3091</v>
      </c>
      <c r="J423" s="30" t="s">
        <v>2182</v>
      </c>
    </row>
    <row r="424" customFormat="false" ht="23.85" hidden="false" customHeight="false" outlineLevel="0" collapsed="false">
      <c r="A424" s="12" t="s">
        <v>19</v>
      </c>
      <c r="B424" s="12" t="s">
        <v>400</v>
      </c>
      <c r="C424" s="10" t="s">
        <v>401</v>
      </c>
      <c r="D424" s="30" t="s">
        <v>402</v>
      </c>
      <c r="E424" s="10" t="s">
        <v>995</v>
      </c>
      <c r="F424" s="10" t="s">
        <v>3092</v>
      </c>
      <c r="G424" s="30" t="s">
        <v>3093</v>
      </c>
      <c r="H424" s="12" t="s">
        <v>2477</v>
      </c>
      <c r="I424" s="10" t="s">
        <v>2478</v>
      </c>
      <c r="J424" s="12"/>
    </row>
    <row r="425" customFormat="false" ht="23.85" hidden="false" customHeight="false" outlineLevel="0" collapsed="false">
      <c r="A425" s="12" t="s">
        <v>19</v>
      </c>
      <c r="B425" s="12" t="s">
        <v>180</v>
      </c>
      <c r="C425" s="10" t="s">
        <v>181</v>
      </c>
      <c r="D425" s="30" t="s">
        <v>356</v>
      </c>
      <c r="E425" s="10" t="s">
        <v>2289</v>
      </c>
      <c r="F425" s="10" t="s">
        <v>3094</v>
      </c>
      <c r="G425" s="30" t="s">
        <v>844</v>
      </c>
      <c r="H425" s="12" t="s">
        <v>2404</v>
      </c>
      <c r="I425" s="10" t="s">
        <v>2405</v>
      </c>
      <c r="J425" s="12"/>
    </row>
    <row r="426" customFormat="false" ht="35.05" hidden="false" customHeight="false" outlineLevel="0" collapsed="false">
      <c r="A426" s="12" t="s">
        <v>19</v>
      </c>
      <c r="B426" s="12" t="s">
        <v>180</v>
      </c>
      <c r="C426" s="10" t="s">
        <v>181</v>
      </c>
      <c r="D426" s="30" t="s">
        <v>356</v>
      </c>
      <c r="E426" s="10" t="s">
        <v>96</v>
      </c>
      <c r="F426" s="10" t="s">
        <v>3095</v>
      </c>
      <c r="G426" s="30" t="s">
        <v>2182</v>
      </c>
      <c r="H426" s="12" t="s">
        <v>2269</v>
      </c>
      <c r="I426" s="10" t="s">
        <v>3096</v>
      </c>
      <c r="J426" s="12"/>
    </row>
    <row r="427" customFormat="false" ht="79.85" hidden="false" customHeight="false" outlineLevel="0" collapsed="false">
      <c r="A427" s="12" t="s">
        <v>19</v>
      </c>
      <c r="B427" s="12" t="s">
        <v>180</v>
      </c>
      <c r="C427" s="10" t="s">
        <v>181</v>
      </c>
      <c r="D427" s="30" t="s">
        <v>356</v>
      </c>
      <c r="E427" s="10" t="s">
        <v>3097</v>
      </c>
      <c r="F427" s="10" t="s">
        <v>3095</v>
      </c>
      <c r="G427" s="30" t="s">
        <v>2182</v>
      </c>
      <c r="H427" s="12" t="s">
        <v>2269</v>
      </c>
      <c r="I427" s="10" t="s">
        <v>3098</v>
      </c>
      <c r="J427" s="12"/>
    </row>
    <row r="428" customFormat="false" ht="23.85" hidden="false" customHeight="false" outlineLevel="0" collapsed="false">
      <c r="A428" s="12" t="s">
        <v>19</v>
      </c>
      <c r="B428" s="12" t="s">
        <v>549</v>
      </c>
      <c r="C428" s="10" t="s">
        <v>550</v>
      </c>
      <c r="D428" s="30" t="s">
        <v>552</v>
      </c>
      <c r="E428" s="10" t="s">
        <v>144</v>
      </c>
      <c r="F428" s="10" t="s">
        <v>3099</v>
      </c>
      <c r="G428" s="30" t="s">
        <v>3100</v>
      </c>
      <c r="H428" s="12" t="s">
        <v>2265</v>
      </c>
      <c r="I428" s="10" t="s">
        <v>2266</v>
      </c>
      <c r="J428" s="12"/>
    </row>
    <row r="429" customFormat="false" ht="46.25" hidden="false" customHeight="false" outlineLevel="0" collapsed="false">
      <c r="A429" s="12" t="s">
        <v>19</v>
      </c>
      <c r="B429" s="12" t="s">
        <v>549</v>
      </c>
      <c r="C429" s="10" t="s">
        <v>550</v>
      </c>
      <c r="D429" s="30" t="s">
        <v>552</v>
      </c>
      <c r="E429" s="10" t="s">
        <v>3101</v>
      </c>
      <c r="F429" s="10" t="s">
        <v>3102</v>
      </c>
      <c r="G429" s="30" t="s">
        <v>2182</v>
      </c>
      <c r="H429" s="12" t="s">
        <v>2269</v>
      </c>
      <c r="I429" s="10" t="s">
        <v>3103</v>
      </c>
      <c r="J429" s="12"/>
    </row>
    <row r="430" customFormat="false" ht="23.85" hidden="false" customHeight="false" outlineLevel="0" collapsed="false">
      <c r="A430" s="12" t="s">
        <v>19</v>
      </c>
      <c r="B430" s="12" t="s">
        <v>83</v>
      </c>
      <c r="C430" s="10" t="s">
        <v>84</v>
      </c>
      <c r="D430" s="30" t="s">
        <v>496</v>
      </c>
      <c r="E430" s="10" t="s">
        <v>2289</v>
      </c>
      <c r="F430" s="10" t="s">
        <v>3104</v>
      </c>
      <c r="G430" s="30" t="s">
        <v>3105</v>
      </c>
      <c r="H430" s="12" t="s">
        <v>2292</v>
      </c>
      <c r="I430" s="10" t="s">
        <v>2293</v>
      </c>
      <c r="J430" s="12"/>
    </row>
    <row r="431" customFormat="false" ht="147" hidden="false" customHeight="false" outlineLevel="0" collapsed="false">
      <c r="A431" s="12" t="s">
        <v>19</v>
      </c>
      <c r="B431" s="12" t="s">
        <v>83</v>
      </c>
      <c r="C431" s="10" t="s">
        <v>84</v>
      </c>
      <c r="D431" s="30" t="s">
        <v>496</v>
      </c>
      <c r="E431" s="10" t="s">
        <v>1590</v>
      </c>
      <c r="F431" s="10" t="s">
        <v>2872</v>
      </c>
      <c r="G431" s="30" t="s">
        <v>3106</v>
      </c>
      <c r="H431" s="12" t="s">
        <v>2532</v>
      </c>
      <c r="I431" s="10" t="s">
        <v>3107</v>
      </c>
      <c r="J431" s="30" t="s">
        <v>2182</v>
      </c>
    </row>
    <row r="432" customFormat="false" ht="35.05" hidden="false" customHeight="false" outlineLevel="0" collapsed="false">
      <c r="A432" s="12" t="s">
        <v>19</v>
      </c>
      <c r="B432" s="12" t="s">
        <v>440</v>
      </c>
      <c r="C432" s="10" t="s">
        <v>441</v>
      </c>
      <c r="D432" s="30" t="s">
        <v>443</v>
      </c>
      <c r="E432" s="10" t="s">
        <v>1044</v>
      </c>
      <c r="F432" s="10" t="s">
        <v>3108</v>
      </c>
      <c r="G432" s="30" t="s">
        <v>3109</v>
      </c>
      <c r="H432" s="12" t="s">
        <v>2302</v>
      </c>
      <c r="I432" s="10" t="s">
        <v>2303</v>
      </c>
      <c r="J432" s="12"/>
    </row>
    <row r="433" customFormat="false" ht="23.85" hidden="false" customHeight="false" outlineLevel="0" collapsed="false">
      <c r="A433" s="12" t="s">
        <v>19</v>
      </c>
      <c r="B433" s="12" t="s">
        <v>440</v>
      </c>
      <c r="C433" s="10" t="s">
        <v>441</v>
      </c>
      <c r="D433" s="30" t="s">
        <v>443</v>
      </c>
      <c r="E433" s="10" t="s">
        <v>995</v>
      </c>
      <c r="F433" s="10" t="s">
        <v>3110</v>
      </c>
      <c r="G433" s="30" t="s">
        <v>1727</v>
      </c>
      <c r="H433" s="12" t="s">
        <v>2477</v>
      </c>
      <c r="I433" s="10" t="s">
        <v>2478</v>
      </c>
      <c r="J433" s="12"/>
    </row>
    <row r="434" customFormat="false" ht="35.05" hidden="false" customHeight="false" outlineLevel="0" collapsed="false">
      <c r="A434" s="12" t="s">
        <v>19</v>
      </c>
      <c r="B434" s="12" t="s">
        <v>561</v>
      </c>
      <c r="C434" s="10" t="s">
        <v>562</v>
      </c>
      <c r="D434" s="30" t="s">
        <v>563</v>
      </c>
      <c r="E434" s="10" t="s">
        <v>96</v>
      </c>
      <c r="F434" s="10" t="s">
        <v>2848</v>
      </c>
      <c r="G434" s="30" t="s">
        <v>2182</v>
      </c>
      <c r="H434" s="12" t="s">
        <v>2269</v>
      </c>
      <c r="I434" s="10" t="s">
        <v>3111</v>
      </c>
      <c r="J434" s="12"/>
    </row>
    <row r="435" customFormat="false" ht="35.05" hidden="false" customHeight="false" outlineLevel="0" collapsed="false">
      <c r="A435" s="12" t="s">
        <v>19</v>
      </c>
      <c r="B435" s="12" t="s">
        <v>561</v>
      </c>
      <c r="C435" s="10" t="s">
        <v>562</v>
      </c>
      <c r="D435" s="30" t="s">
        <v>563</v>
      </c>
      <c r="E435" s="10" t="s">
        <v>2850</v>
      </c>
      <c r="F435" s="10" t="s">
        <v>2848</v>
      </c>
      <c r="G435" s="30" t="s">
        <v>2182</v>
      </c>
      <c r="H435" s="12" t="s">
        <v>2269</v>
      </c>
      <c r="I435" s="10" t="s">
        <v>3112</v>
      </c>
      <c r="J435" s="12"/>
    </row>
    <row r="436" customFormat="false" ht="23.85" hidden="false" customHeight="false" outlineLevel="0" collapsed="false">
      <c r="A436" s="12" t="s">
        <v>19</v>
      </c>
      <c r="B436" s="12" t="s">
        <v>112</v>
      </c>
      <c r="C436" s="10" t="s">
        <v>113</v>
      </c>
      <c r="D436" s="30" t="s">
        <v>318</v>
      </c>
      <c r="E436" s="10" t="s">
        <v>2289</v>
      </c>
      <c r="F436" s="10" t="s">
        <v>3113</v>
      </c>
      <c r="G436" s="30" t="s">
        <v>2730</v>
      </c>
      <c r="H436" s="12" t="s">
        <v>2292</v>
      </c>
      <c r="I436" s="10" t="s">
        <v>2293</v>
      </c>
      <c r="J436" s="12"/>
    </row>
    <row r="437" customFormat="false" ht="147" hidden="false" customHeight="false" outlineLevel="0" collapsed="false">
      <c r="A437" s="12" t="s">
        <v>19</v>
      </c>
      <c r="B437" s="12" t="s">
        <v>112</v>
      </c>
      <c r="C437" s="10" t="s">
        <v>113</v>
      </c>
      <c r="D437" s="30" t="s">
        <v>318</v>
      </c>
      <c r="E437" s="10" t="s">
        <v>1590</v>
      </c>
      <c r="F437" s="10" t="s">
        <v>2872</v>
      </c>
      <c r="G437" s="30" t="s">
        <v>3114</v>
      </c>
      <c r="H437" s="12" t="s">
        <v>2532</v>
      </c>
      <c r="I437" s="10" t="s">
        <v>3115</v>
      </c>
      <c r="J437" s="30" t="s">
        <v>2182</v>
      </c>
    </row>
    <row r="438" customFormat="false" ht="23.85" hidden="false" customHeight="false" outlineLevel="0" collapsed="false">
      <c r="A438" s="12" t="s">
        <v>19</v>
      </c>
      <c r="B438" s="12" t="s">
        <v>112</v>
      </c>
      <c r="C438" s="10" t="s">
        <v>113</v>
      </c>
      <c r="D438" s="30" t="s">
        <v>318</v>
      </c>
      <c r="E438" s="10" t="s">
        <v>1044</v>
      </c>
      <c r="F438" s="10" t="s">
        <v>3116</v>
      </c>
      <c r="G438" s="30" t="s">
        <v>3117</v>
      </c>
      <c r="H438" s="12" t="s">
        <v>2302</v>
      </c>
      <c r="I438" s="10" t="s">
        <v>2303</v>
      </c>
      <c r="J438" s="12"/>
    </row>
    <row r="439" customFormat="false" ht="23.85" hidden="false" customHeight="false" outlineLevel="0" collapsed="false">
      <c r="A439" s="12" t="s">
        <v>19</v>
      </c>
      <c r="B439" s="12" t="s">
        <v>388</v>
      </c>
      <c r="C439" s="10" t="s">
        <v>389</v>
      </c>
      <c r="D439" s="30" t="s">
        <v>390</v>
      </c>
      <c r="E439" s="10" t="s">
        <v>144</v>
      </c>
      <c r="F439" s="10" t="s">
        <v>3118</v>
      </c>
      <c r="G439" s="30" t="s">
        <v>3119</v>
      </c>
      <c r="H439" s="12" t="s">
        <v>2306</v>
      </c>
      <c r="I439" s="10" t="s">
        <v>2307</v>
      </c>
      <c r="J439" s="12"/>
    </row>
    <row r="440" customFormat="false" ht="23.85" hidden="false" customHeight="false" outlineLevel="0" collapsed="false">
      <c r="A440" s="12" t="s">
        <v>19</v>
      </c>
      <c r="B440" s="12" t="s">
        <v>512</v>
      </c>
      <c r="C440" s="10" t="s">
        <v>513</v>
      </c>
      <c r="D440" s="30" t="s">
        <v>514</v>
      </c>
      <c r="E440" s="10" t="s">
        <v>2289</v>
      </c>
      <c r="F440" s="10" t="s">
        <v>3120</v>
      </c>
      <c r="G440" s="30" t="s">
        <v>3121</v>
      </c>
      <c r="H440" s="12" t="s">
        <v>2292</v>
      </c>
      <c r="I440" s="10" t="s">
        <v>2293</v>
      </c>
      <c r="J440" s="12"/>
    </row>
    <row r="441" customFormat="false" ht="23.85" hidden="false" customHeight="false" outlineLevel="0" collapsed="false">
      <c r="A441" s="12" t="s">
        <v>19</v>
      </c>
      <c r="B441" s="12" t="s">
        <v>415</v>
      </c>
      <c r="C441" s="10" t="s">
        <v>416</v>
      </c>
      <c r="D441" s="30" t="s">
        <v>417</v>
      </c>
      <c r="E441" s="10" t="s">
        <v>144</v>
      </c>
      <c r="F441" s="10" t="s">
        <v>3122</v>
      </c>
      <c r="G441" s="30" t="s">
        <v>2621</v>
      </c>
      <c r="H441" s="12" t="s">
        <v>2306</v>
      </c>
      <c r="I441" s="10" t="s">
        <v>2307</v>
      </c>
      <c r="J441" s="12"/>
    </row>
    <row r="442" customFormat="false" ht="35.05" hidden="false" customHeight="false" outlineLevel="0" collapsed="false">
      <c r="A442" s="12" t="s">
        <v>19</v>
      </c>
      <c r="B442" s="12" t="s">
        <v>240</v>
      </c>
      <c r="C442" s="10" t="s">
        <v>241</v>
      </c>
      <c r="D442" s="30" t="s">
        <v>484</v>
      </c>
      <c r="E442" s="10" t="s">
        <v>96</v>
      </c>
      <c r="F442" s="10" t="s">
        <v>3123</v>
      </c>
      <c r="G442" s="30" t="s">
        <v>2182</v>
      </c>
      <c r="H442" s="12" t="s">
        <v>2269</v>
      </c>
      <c r="I442" s="10" t="s">
        <v>3124</v>
      </c>
      <c r="J442" s="12"/>
    </row>
    <row r="443" customFormat="false" ht="57.45" hidden="false" customHeight="false" outlineLevel="0" collapsed="false">
      <c r="A443" s="12" t="s">
        <v>19</v>
      </c>
      <c r="B443" s="12" t="s">
        <v>240</v>
      </c>
      <c r="C443" s="10" t="s">
        <v>241</v>
      </c>
      <c r="D443" s="30" t="s">
        <v>484</v>
      </c>
      <c r="E443" s="10" t="s">
        <v>3125</v>
      </c>
      <c r="F443" s="10" t="s">
        <v>3123</v>
      </c>
      <c r="G443" s="30" t="s">
        <v>2182</v>
      </c>
      <c r="H443" s="12" t="s">
        <v>2269</v>
      </c>
      <c r="I443" s="10" t="s">
        <v>3126</v>
      </c>
      <c r="J443" s="12"/>
    </row>
    <row r="444" customFormat="false" ht="23.85" hidden="false" customHeight="false" outlineLevel="0" collapsed="false">
      <c r="A444" s="12" t="s">
        <v>19</v>
      </c>
      <c r="B444" s="12" t="s">
        <v>265</v>
      </c>
      <c r="C444" s="10" t="s">
        <v>266</v>
      </c>
      <c r="D444" s="30" t="s">
        <v>454</v>
      </c>
      <c r="E444" s="10" t="s">
        <v>1044</v>
      </c>
      <c r="F444" s="10" t="s">
        <v>3127</v>
      </c>
      <c r="G444" s="30" t="s">
        <v>2194</v>
      </c>
      <c r="H444" s="12" t="s">
        <v>2510</v>
      </c>
      <c r="I444" s="10" t="s">
        <v>2511</v>
      </c>
      <c r="J444" s="12"/>
    </row>
    <row r="445" customFormat="false" ht="23.85" hidden="false" customHeight="false" outlineLevel="0" collapsed="false">
      <c r="A445" s="12" t="s">
        <v>19</v>
      </c>
      <c r="B445" s="12" t="s">
        <v>117</v>
      </c>
      <c r="C445" s="10" t="s">
        <v>118</v>
      </c>
      <c r="D445" s="30" t="s">
        <v>428</v>
      </c>
      <c r="E445" s="10" t="s">
        <v>2289</v>
      </c>
      <c r="F445" s="10" t="s">
        <v>3128</v>
      </c>
      <c r="G445" s="30" t="s">
        <v>3129</v>
      </c>
      <c r="H445" s="12" t="s">
        <v>2292</v>
      </c>
      <c r="I445" s="10" t="s">
        <v>2293</v>
      </c>
      <c r="J445" s="12"/>
    </row>
    <row r="446" customFormat="false" ht="46.25" hidden="false" customHeight="false" outlineLevel="0" collapsed="false">
      <c r="A446" s="12" t="s">
        <v>19</v>
      </c>
      <c r="B446" s="12" t="s">
        <v>117</v>
      </c>
      <c r="C446" s="10" t="s">
        <v>118</v>
      </c>
      <c r="D446" s="30" t="s">
        <v>428</v>
      </c>
      <c r="E446" s="10" t="s">
        <v>96</v>
      </c>
      <c r="F446" s="10" t="s">
        <v>2928</v>
      </c>
      <c r="G446" s="30" t="s">
        <v>2182</v>
      </c>
      <c r="H446" s="12" t="s">
        <v>2269</v>
      </c>
      <c r="I446" s="10" t="s">
        <v>3130</v>
      </c>
      <c r="J446" s="12"/>
    </row>
    <row r="447" customFormat="false" ht="91" hidden="false" customHeight="false" outlineLevel="0" collapsed="false">
      <c r="A447" s="12" t="s">
        <v>19</v>
      </c>
      <c r="B447" s="12" t="s">
        <v>117</v>
      </c>
      <c r="C447" s="10" t="s">
        <v>118</v>
      </c>
      <c r="D447" s="30" t="s">
        <v>428</v>
      </c>
      <c r="E447" s="10" t="s">
        <v>3131</v>
      </c>
      <c r="F447" s="10" t="s">
        <v>2928</v>
      </c>
      <c r="G447" s="30" t="s">
        <v>3132</v>
      </c>
      <c r="H447" s="12" t="s">
        <v>2298</v>
      </c>
      <c r="I447" s="10" t="s">
        <v>3133</v>
      </c>
      <c r="J447" s="30" t="s">
        <v>2182</v>
      </c>
    </row>
    <row r="448" customFormat="false" ht="35.05" hidden="false" customHeight="false" outlineLevel="0" collapsed="false">
      <c r="A448" s="12" t="s">
        <v>19</v>
      </c>
      <c r="B448" s="12" t="s">
        <v>117</v>
      </c>
      <c r="C448" s="10" t="s">
        <v>118</v>
      </c>
      <c r="D448" s="30" t="s">
        <v>428</v>
      </c>
      <c r="E448" s="10" t="s">
        <v>1044</v>
      </c>
      <c r="F448" s="10" t="s">
        <v>3134</v>
      </c>
      <c r="G448" s="30" t="s">
        <v>3135</v>
      </c>
      <c r="H448" s="12" t="s">
        <v>2302</v>
      </c>
      <c r="I448" s="10" t="s">
        <v>2303</v>
      </c>
      <c r="J448" s="12"/>
    </row>
    <row r="449" customFormat="false" ht="35.05" hidden="false" customHeight="false" outlineLevel="0" collapsed="false">
      <c r="A449" s="12" t="s">
        <v>19</v>
      </c>
      <c r="B449" s="12" t="s">
        <v>178</v>
      </c>
      <c r="C449" s="10" t="s">
        <v>179</v>
      </c>
      <c r="D449" s="30" t="s">
        <v>438</v>
      </c>
      <c r="E449" s="10" t="s">
        <v>1630</v>
      </c>
      <c r="F449" s="10" t="s">
        <v>3136</v>
      </c>
      <c r="G449" s="30" t="s">
        <v>2182</v>
      </c>
      <c r="H449" s="12" t="s">
        <v>2269</v>
      </c>
      <c r="I449" s="10" t="s">
        <v>3137</v>
      </c>
      <c r="J449" s="12"/>
    </row>
    <row r="450" customFormat="false" ht="147" hidden="false" customHeight="false" outlineLevel="0" collapsed="false">
      <c r="A450" s="12" t="s">
        <v>19</v>
      </c>
      <c r="B450" s="12" t="s">
        <v>519</v>
      </c>
      <c r="C450" s="10" t="s">
        <v>520</v>
      </c>
      <c r="D450" s="30" t="s">
        <v>521</v>
      </c>
      <c r="E450" s="10" t="s">
        <v>1590</v>
      </c>
      <c r="F450" s="10" t="s">
        <v>2872</v>
      </c>
      <c r="G450" s="30" t="s">
        <v>3138</v>
      </c>
      <c r="H450" s="12" t="s">
        <v>2532</v>
      </c>
      <c r="I450" s="10" t="s">
        <v>3139</v>
      </c>
      <c r="J450" s="30" t="s">
        <v>2182</v>
      </c>
    </row>
    <row r="451" customFormat="false" ht="23.85" hidden="false" customHeight="false" outlineLevel="0" collapsed="false">
      <c r="A451" s="12" t="s">
        <v>19</v>
      </c>
      <c r="B451" s="12" t="s">
        <v>519</v>
      </c>
      <c r="C451" s="10" t="s">
        <v>520</v>
      </c>
      <c r="D451" s="30" t="s">
        <v>521</v>
      </c>
      <c r="E451" s="10" t="s">
        <v>1044</v>
      </c>
      <c r="F451" s="10" t="s">
        <v>3140</v>
      </c>
      <c r="G451" s="30" t="s">
        <v>3141</v>
      </c>
      <c r="H451" s="12" t="s">
        <v>2302</v>
      </c>
      <c r="I451" s="10" t="s">
        <v>2303</v>
      </c>
      <c r="J451" s="12"/>
    </row>
    <row r="452" customFormat="false" ht="35.05" hidden="false" customHeight="false" outlineLevel="0" collapsed="false">
      <c r="A452" s="12" t="s">
        <v>19</v>
      </c>
      <c r="B452" s="12" t="s">
        <v>502</v>
      </c>
      <c r="C452" s="10" t="s">
        <v>503</v>
      </c>
      <c r="D452" s="30" t="s">
        <v>504</v>
      </c>
      <c r="E452" s="10" t="s">
        <v>2289</v>
      </c>
      <c r="F452" s="10" t="s">
        <v>3142</v>
      </c>
      <c r="G452" s="30" t="s">
        <v>3143</v>
      </c>
      <c r="H452" s="12" t="s">
        <v>2292</v>
      </c>
      <c r="I452" s="10" t="s">
        <v>2293</v>
      </c>
      <c r="J452" s="12"/>
    </row>
    <row r="453" customFormat="false" ht="46.25" hidden="false" customHeight="false" outlineLevel="0" collapsed="false">
      <c r="A453" s="12" t="s">
        <v>19</v>
      </c>
      <c r="B453" s="12" t="s">
        <v>502</v>
      </c>
      <c r="C453" s="10" t="s">
        <v>503</v>
      </c>
      <c r="D453" s="30" t="s">
        <v>504</v>
      </c>
      <c r="E453" s="10" t="s">
        <v>96</v>
      </c>
      <c r="F453" s="10" t="s">
        <v>2848</v>
      </c>
      <c r="G453" s="30" t="s">
        <v>3144</v>
      </c>
      <c r="H453" s="12" t="s">
        <v>2532</v>
      </c>
      <c r="I453" s="10" t="s">
        <v>3145</v>
      </c>
      <c r="J453" s="30" t="s">
        <v>2182</v>
      </c>
    </row>
    <row r="454" customFormat="false" ht="147" hidden="false" customHeight="false" outlineLevel="0" collapsed="false">
      <c r="A454" s="12" t="s">
        <v>19</v>
      </c>
      <c r="B454" s="12" t="s">
        <v>502</v>
      </c>
      <c r="C454" s="10" t="s">
        <v>503</v>
      </c>
      <c r="D454" s="30" t="s">
        <v>504</v>
      </c>
      <c r="E454" s="10" t="s">
        <v>1590</v>
      </c>
      <c r="F454" s="10" t="s">
        <v>2848</v>
      </c>
      <c r="G454" s="30" t="s">
        <v>3144</v>
      </c>
      <c r="H454" s="12" t="s">
        <v>2532</v>
      </c>
      <c r="I454" s="10" t="s">
        <v>3146</v>
      </c>
      <c r="J454" s="30" t="s">
        <v>2182</v>
      </c>
    </row>
    <row r="455" customFormat="false" ht="23.85" hidden="false" customHeight="false" outlineLevel="0" collapsed="false">
      <c r="A455" s="12" t="s">
        <v>19</v>
      </c>
      <c r="B455" s="12" t="s">
        <v>555</v>
      </c>
      <c r="C455" s="10" t="s">
        <v>556</v>
      </c>
      <c r="D455" s="30" t="s">
        <v>557</v>
      </c>
      <c r="E455" s="10" t="s">
        <v>995</v>
      </c>
      <c r="F455" s="10" t="s">
        <v>3147</v>
      </c>
      <c r="G455" s="30" t="s">
        <v>3148</v>
      </c>
      <c r="H455" s="12" t="s">
        <v>2322</v>
      </c>
      <c r="I455" s="10" t="s">
        <v>2323</v>
      </c>
      <c r="J455" s="12"/>
    </row>
    <row r="456" customFormat="false" ht="46.25" hidden="false" customHeight="false" outlineLevel="0" collapsed="false">
      <c r="A456" s="12" t="s">
        <v>19</v>
      </c>
      <c r="B456" s="12" t="s">
        <v>403</v>
      </c>
      <c r="C456" s="10" t="s">
        <v>404</v>
      </c>
      <c r="D456" s="30" t="s">
        <v>406</v>
      </c>
      <c r="E456" s="10" t="s">
        <v>96</v>
      </c>
      <c r="F456" s="10" t="s">
        <v>2921</v>
      </c>
      <c r="G456" s="30" t="s">
        <v>2182</v>
      </c>
      <c r="H456" s="12" t="s">
        <v>2269</v>
      </c>
      <c r="I456" s="10" t="s">
        <v>3149</v>
      </c>
      <c r="J456" s="12"/>
    </row>
    <row r="457" customFormat="false" ht="102.2" hidden="false" customHeight="false" outlineLevel="0" collapsed="false">
      <c r="A457" s="12" t="s">
        <v>19</v>
      </c>
      <c r="B457" s="12" t="s">
        <v>403</v>
      </c>
      <c r="C457" s="10" t="s">
        <v>404</v>
      </c>
      <c r="D457" s="30" t="s">
        <v>406</v>
      </c>
      <c r="E457" s="10" t="s">
        <v>3150</v>
      </c>
      <c r="F457" s="10" t="s">
        <v>2921</v>
      </c>
      <c r="G457" s="30" t="s">
        <v>3151</v>
      </c>
      <c r="H457" s="12" t="s">
        <v>2298</v>
      </c>
      <c r="I457" s="10" t="s">
        <v>3152</v>
      </c>
      <c r="J457" s="30" t="s">
        <v>2182</v>
      </c>
    </row>
    <row r="458" customFormat="false" ht="23.85" hidden="false" customHeight="false" outlineLevel="0" collapsed="false">
      <c r="A458" s="12" t="s">
        <v>43</v>
      </c>
      <c r="B458" s="12" t="s">
        <v>273</v>
      </c>
      <c r="C458" s="10" t="s">
        <v>274</v>
      </c>
      <c r="D458" s="30" t="s">
        <v>567</v>
      </c>
      <c r="E458" s="10" t="s">
        <v>1044</v>
      </c>
      <c r="F458" s="10" t="s">
        <v>3153</v>
      </c>
      <c r="G458" s="30" t="s">
        <v>3154</v>
      </c>
      <c r="H458" s="12" t="s">
        <v>2470</v>
      </c>
      <c r="I458" s="10" t="s">
        <v>2471</v>
      </c>
      <c r="J458" s="12"/>
    </row>
    <row r="459" customFormat="false" ht="35.05" hidden="false" customHeight="false" outlineLevel="0" collapsed="false">
      <c r="A459" s="12" t="s">
        <v>43</v>
      </c>
      <c r="B459" s="12" t="s">
        <v>572</v>
      </c>
      <c r="C459" s="10" t="s">
        <v>573</v>
      </c>
      <c r="D459" s="30" t="s">
        <v>574</v>
      </c>
      <c r="E459" s="10" t="s">
        <v>1044</v>
      </c>
      <c r="F459" s="10" t="s">
        <v>3155</v>
      </c>
      <c r="G459" s="30" t="s">
        <v>3156</v>
      </c>
      <c r="H459" s="12" t="s">
        <v>2302</v>
      </c>
      <c r="I459" s="10" t="s">
        <v>2303</v>
      </c>
      <c r="J459" s="12"/>
    </row>
    <row r="460" customFormat="false" ht="35.05" hidden="false" customHeight="false" outlineLevel="0" collapsed="false">
      <c r="A460" s="12" t="s">
        <v>43</v>
      </c>
      <c r="B460" s="12" t="s">
        <v>245</v>
      </c>
      <c r="C460" s="10" t="s">
        <v>246</v>
      </c>
      <c r="D460" s="30" t="s">
        <v>534</v>
      </c>
      <c r="E460" s="10" t="s">
        <v>1044</v>
      </c>
      <c r="F460" s="10" t="s">
        <v>3157</v>
      </c>
      <c r="G460" s="30" t="s">
        <v>3158</v>
      </c>
      <c r="H460" s="12" t="s">
        <v>2470</v>
      </c>
      <c r="I460" s="10" t="s">
        <v>2471</v>
      </c>
      <c r="J460" s="12"/>
    </row>
    <row r="461" customFormat="false" ht="23.85" hidden="false" customHeight="false" outlineLevel="0" collapsed="false">
      <c r="A461" s="12" t="s">
        <v>43</v>
      </c>
      <c r="B461" s="12" t="s">
        <v>107</v>
      </c>
      <c r="C461" s="10" t="s">
        <v>108</v>
      </c>
      <c r="D461" s="30" t="s">
        <v>317</v>
      </c>
      <c r="E461" s="10" t="s">
        <v>1044</v>
      </c>
      <c r="F461" s="10" t="s">
        <v>3159</v>
      </c>
      <c r="G461" s="30" t="s">
        <v>3160</v>
      </c>
      <c r="H461" s="12" t="s">
        <v>2302</v>
      </c>
      <c r="I461" s="10" t="s">
        <v>2303</v>
      </c>
      <c r="J461" s="12"/>
    </row>
    <row r="462" customFormat="false" ht="23.85" hidden="false" customHeight="false" outlineLevel="0" collapsed="false">
      <c r="A462" s="12" t="s">
        <v>43</v>
      </c>
      <c r="B462" s="12" t="s">
        <v>291</v>
      </c>
      <c r="C462" s="10" t="s">
        <v>292</v>
      </c>
      <c r="D462" s="30" t="s">
        <v>307</v>
      </c>
      <c r="E462" s="10" t="s">
        <v>144</v>
      </c>
      <c r="F462" s="10" t="s">
        <v>3161</v>
      </c>
      <c r="G462" s="30" t="s">
        <v>3162</v>
      </c>
      <c r="H462" s="12" t="s">
        <v>2306</v>
      </c>
      <c r="I462" s="10" t="s">
        <v>2307</v>
      </c>
      <c r="J462" s="12"/>
    </row>
    <row r="463" customFormat="false" ht="35.05" hidden="false" customHeight="false" outlineLevel="0" collapsed="false">
      <c r="A463" s="12" t="s">
        <v>43</v>
      </c>
      <c r="B463" s="12" t="s">
        <v>569</v>
      </c>
      <c r="C463" s="10" t="s">
        <v>570</v>
      </c>
      <c r="D463" s="30" t="s">
        <v>571</v>
      </c>
      <c r="E463" s="10" t="s">
        <v>1044</v>
      </c>
      <c r="F463" s="10" t="s">
        <v>3163</v>
      </c>
      <c r="G463" s="30" t="s">
        <v>3164</v>
      </c>
      <c r="H463" s="12" t="s">
        <v>2302</v>
      </c>
      <c r="I463" s="10" t="s">
        <v>2303</v>
      </c>
      <c r="J463" s="12"/>
    </row>
    <row r="464" customFormat="false" ht="23.85" hidden="false" customHeight="false" outlineLevel="0" collapsed="false">
      <c r="A464" s="12" t="s">
        <v>43</v>
      </c>
      <c r="B464" s="12" t="s">
        <v>251</v>
      </c>
      <c r="C464" s="10" t="s">
        <v>252</v>
      </c>
      <c r="D464" s="30" t="s">
        <v>565</v>
      </c>
      <c r="E464" s="10" t="s">
        <v>995</v>
      </c>
      <c r="F464" s="10" t="s">
        <v>3165</v>
      </c>
      <c r="G464" s="30" t="s">
        <v>3166</v>
      </c>
      <c r="H464" s="12" t="s">
        <v>2477</v>
      </c>
      <c r="I464" s="10" t="s">
        <v>2478</v>
      </c>
      <c r="J464" s="12"/>
    </row>
    <row r="465" customFormat="false" ht="35.05" hidden="false" customHeight="false" outlineLevel="0" collapsed="false">
      <c r="A465" s="12" t="s">
        <v>43</v>
      </c>
      <c r="B465" s="12" t="s">
        <v>411</v>
      </c>
      <c r="C465" s="10" t="s">
        <v>412</v>
      </c>
      <c r="D465" s="30" t="s">
        <v>414</v>
      </c>
      <c r="E465" s="10" t="s">
        <v>1044</v>
      </c>
      <c r="F465" s="10" t="s">
        <v>3167</v>
      </c>
      <c r="G465" s="30" t="s">
        <v>3168</v>
      </c>
      <c r="H465" s="12" t="s">
        <v>2302</v>
      </c>
      <c r="I465" s="10" t="s">
        <v>2303</v>
      </c>
      <c r="J465" s="12"/>
    </row>
    <row r="466" customFormat="false" ht="23.85" hidden="false" customHeight="false" outlineLevel="0" collapsed="false">
      <c r="A466" s="12" t="s">
        <v>43</v>
      </c>
      <c r="B466" s="12" t="s">
        <v>145</v>
      </c>
      <c r="C466" s="10" t="s">
        <v>146</v>
      </c>
      <c r="D466" s="30" t="s">
        <v>320</v>
      </c>
      <c r="E466" s="10" t="s">
        <v>995</v>
      </c>
      <c r="F466" s="10" t="s">
        <v>3169</v>
      </c>
      <c r="G466" s="30" t="s">
        <v>3170</v>
      </c>
      <c r="H466" s="12" t="s">
        <v>2477</v>
      </c>
      <c r="I466" s="10" t="s">
        <v>2478</v>
      </c>
      <c r="J466" s="12"/>
    </row>
    <row r="467" customFormat="false" ht="23.85" hidden="false" customHeight="false" outlineLevel="0" collapsed="false">
      <c r="A467" s="12" t="s">
        <v>43</v>
      </c>
      <c r="B467" s="12" t="s">
        <v>575</v>
      </c>
      <c r="C467" s="10" t="s">
        <v>576</v>
      </c>
      <c r="D467" s="30" t="s">
        <v>577</v>
      </c>
      <c r="E467" s="10" t="s">
        <v>144</v>
      </c>
      <c r="F467" s="10" t="s">
        <v>3171</v>
      </c>
      <c r="G467" s="30" t="s">
        <v>3172</v>
      </c>
      <c r="H467" s="12" t="s">
        <v>2306</v>
      </c>
      <c r="I467" s="10" t="s">
        <v>2307</v>
      </c>
      <c r="J467" s="12"/>
    </row>
    <row r="468" customFormat="false" ht="23.85" hidden="false" customHeight="false" outlineLevel="0" collapsed="false">
      <c r="A468" s="12" t="s">
        <v>43</v>
      </c>
      <c r="B468" s="12" t="s">
        <v>277</v>
      </c>
      <c r="C468" s="10" t="s">
        <v>278</v>
      </c>
      <c r="D468" s="30" t="s">
        <v>568</v>
      </c>
      <c r="E468" s="10" t="s">
        <v>1044</v>
      </c>
      <c r="F468" s="10" t="s">
        <v>3173</v>
      </c>
      <c r="G468" s="30" t="s">
        <v>3174</v>
      </c>
      <c r="H468" s="12" t="s">
        <v>2470</v>
      </c>
      <c r="I468" s="10" t="s">
        <v>2471</v>
      </c>
      <c r="J468" s="12"/>
    </row>
    <row r="469" customFormat="false" ht="23.85" hidden="false" customHeight="false" outlineLevel="0" collapsed="false">
      <c r="A469" s="12" t="s">
        <v>43</v>
      </c>
      <c r="B469" s="12" t="s">
        <v>148</v>
      </c>
      <c r="C469" s="10" t="s">
        <v>149</v>
      </c>
      <c r="D469" s="30" t="s">
        <v>322</v>
      </c>
      <c r="E469" s="10" t="s">
        <v>1044</v>
      </c>
      <c r="F469" s="10" t="s">
        <v>3175</v>
      </c>
      <c r="G469" s="30" t="s">
        <v>3176</v>
      </c>
      <c r="H469" s="12" t="s">
        <v>2470</v>
      </c>
      <c r="I469" s="10" t="s">
        <v>2471</v>
      </c>
      <c r="J469" s="12"/>
    </row>
    <row r="470" customFormat="false" ht="23.85" hidden="false" customHeight="false" outlineLevel="0" collapsed="false">
      <c r="A470" s="12" t="s">
        <v>43</v>
      </c>
      <c r="B470" s="12" t="s">
        <v>148</v>
      </c>
      <c r="C470" s="10" t="s">
        <v>149</v>
      </c>
      <c r="D470" s="30" t="s">
        <v>322</v>
      </c>
      <c r="E470" s="10" t="s">
        <v>995</v>
      </c>
      <c r="F470" s="10" t="s">
        <v>3177</v>
      </c>
      <c r="G470" s="30" t="s">
        <v>3178</v>
      </c>
      <c r="H470" s="12" t="s">
        <v>2322</v>
      </c>
      <c r="I470" s="10" t="s">
        <v>2323</v>
      </c>
      <c r="J470" s="12"/>
    </row>
    <row r="471" customFormat="false" ht="35.05" hidden="false" customHeight="false" outlineLevel="0" collapsed="false">
      <c r="A471" s="12" t="s">
        <v>43</v>
      </c>
      <c r="B471" s="12" t="s">
        <v>208</v>
      </c>
      <c r="C471" s="10" t="s">
        <v>209</v>
      </c>
      <c r="D471" s="30" t="s">
        <v>470</v>
      </c>
      <c r="E471" s="10" t="s">
        <v>1044</v>
      </c>
      <c r="F471" s="10" t="s">
        <v>3179</v>
      </c>
      <c r="G471" s="30" t="s">
        <v>3180</v>
      </c>
      <c r="H471" s="12" t="s">
        <v>2470</v>
      </c>
      <c r="I471" s="10" t="s">
        <v>2471</v>
      </c>
      <c r="J471" s="12"/>
    </row>
    <row r="472" customFormat="false" ht="23.85" hidden="false" customHeight="false" outlineLevel="0" collapsed="false">
      <c r="A472" s="12" t="s">
        <v>43</v>
      </c>
      <c r="B472" s="12" t="s">
        <v>253</v>
      </c>
      <c r="C472" s="10" t="s">
        <v>254</v>
      </c>
      <c r="D472" s="30" t="s">
        <v>566</v>
      </c>
      <c r="E472" s="10" t="s">
        <v>1044</v>
      </c>
      <c r="F472" s="10" t="s">
        <v>3181</v>
      </c>
      <c r="G472" s="30" t="s">
        <v>3182</v>
      </c>
      <c r="H472" s="12" t="s">
        <v>2302</v>
      </c>
      <c r="I472" s="10" t="s">
        <v>2303</v>
      </c>
      <c r="J472" s="12"/>
    </row>
    <row r="473" customFormat="false" ht="23.85" hidden="false" customHeight="false" outlineLevel="0" collapsed="false">
      <c r="A473" s="12" t="s">
        <v>43</v>
      </c>
      <c r="B473" s="12" t="s">
        <v>249</v>
      </c>
      <c r="C473" s="10" t="s">
        <v>250</v>
      </c>
      <c r="D473" s="30" t="s">
        <v>564</v>
      </c>
      <c r="E473" s="10" t="s">
        <v>1044</v>
      </c>
      <c r="F473" s="10" t="s">
        <v>3183</v>
      </c>
      <c r="G473" s="30" t="s">
        <v>3184</v>
      </c>
      <c r="H473" s="12" t="s">
        <v>2470</v>
      </c>
      <c r="I473" s="10" t="s">
        <v>2471</v>
      </c>
      <c r="J473" s="12"/>
    </row>
    <row r="474" customFormat="false" ht="23.85" hidden="false" customHeight="false" outlineLevel="0" collapsed="false">
      <c r="A474" s="12" t="s">
        <v>43</v>
      </c>
      <c r="B474" s="12" t="s">
        <v>275</v>
      </c>
      <c r="C474" s="10" t="s">
        <v>276</v>
      </c>
      <c r="D474" s="30" t="s">
        <v>422</v>
      </c>
      <c r="E474" s="10" t="s">
        <v>995</v>
      </c>
      <c r="F474" s="10" t="s">
        <v>3185</v>
      </c>
      <c r="G474" s="30" t="s">
        <v>3186</v>
      </c>
      <c r="H474" s="12" t="s">
        <v>2322</v>
      </c>
      <c r="I474" s="10" t="s">
        <v>2323</v>
      </c>
      <c r="J474" s="12"/>
    </row>
    <row r="475" customFormat="false" ht="23.85" hidden="false" customHeight="false" outlineLevel="0" collapsed="false">
      <c r="A475" s="12" t="s">
        <v>43</v>
      </c>
      <c r="B475" s="12" t="s">
        <v>117</v>
      </c>
      <c r="C475" s="10" t="s">
        <v>118</v>
      </c>
      <c r="D475" s="30" t="s">
        <v>428</v>
      </c>
      <c r="E475" s="10" t="s">
        <v>144</v>
      </c>
      <c r="F475" s="10" t="s">
        <v>3187</v>
      </c>
      <c r="G475" s="30" t="s">
        <v>3188</v>
      </c>
      <c r="H475" s="12" t="s">
        <v>2265</v>
      </c>
      <c r="I475" s="10" t="s">
        <v>2266</v>
      </c>
      <c r="J475" s="12"/>
    </row>
    <row r="476" customFormat="false" ht="35.05" hidden="false" customHeight="false" outlineLevel="0" collapsed="false">
      <c r="A476" s="12" t="s">
        <v>43</v>
      </c>
      <c r="B476" s="12" t="s">
        <v>117</v>
      </c>
      <c r="C476" s="10" t="s">
        <v>118</v>
      </c>
      <c r="D476" s="30" t="s">
        <v>428</v>
      </c>
      <c r="E476" s="10" t="s">
        <v>1044</v>
      </c>
      <c r="F476" s="10" t="s">
        <v>3189</v>
      </c>
      <c r="G476" s="30" t="s">
        <v>3190</v>
      </c>
      <c r="H476" s="12" t="s">
        <v>2302</v>
      </c>
      <c r="I476" s="10" t="s">
        <v>2303</v>
      </c>
      <c r="J476" s="12"/>
    </row>
    <row r="477" customFormat="false" ht="35.05" hidden="false" customHeight="false" outlineLevel="0" collapsed="false">
      <c r="A477" s="12" t="s">
        <v>43</v>
      </c>
      <c r="B477" s="12" t="s">
        <v>178</v>
      </c>
      <c r="C477" s="10" t="s">
        <v>179</v>
      </c>
      <c r="D477" s="30" t="s">
        <v>438</v>
      </c>
      <c r="E477" s="10" t="s">
        <v>1044</v>
      </c>
      <c r="F477" s="10" t="s">
        <v>3191</v>
      </c>
      <c r="G477" s="30" t="s">
        <v>3192</v>
      </c>
      <c r="H477" s="12" t="s">
        <v>2302</v>
      </c>
      <c r="I477" s="10" t="s">
        <v>2303</v>
      </c>
      <c r="J477" s="12"/>
    </row>
    <row r="478" customFormat="false" ht="23.85" hidden="false" customHeight="false" outlineLevel="0" collapsed="false">
      <c r="A478" s="12" t="s">
        <v>43</v>
      </c>
      <c r="B478" s="12" t="s">
        <v>178</v>
      </c>
      <c r="C478" s="10" t="s">
        <v>179</v>
      </c>
      <c r="D478" s="30" t="s">
        <v>438</v>
      </c>
      <c r="E478" s="10" t="s">
        <v>995</v>
      </c>
      <c r="F478" s="10" t="s">
        <v>3193</v>
      </c>
      <c r="G478" s="30" t="s">
        <v>3194</v>
      </c>
      <c r="H478" s="12" t="s">
        <v>2477</v>
      </c>
      <c r="I478" s="10" t="s">
        <v>2478</v>
      </c>
      <c r="J478" s="12"/>
    </row>
    <row r="479" customFormat="false" ht="23.85" hidden="false" customHeight="false" outlineLevel="0" collapsed="false">
      <c r="A479" s="12" t="s">
        <v>43</v>
      </c>
      <c r="B479" s="12" t="s">
        <v>247</v>
      </c>
      <c r="C479" s="10" t="s">
        <v>248</v>
      </c>
      <c r="D479" s="30" t="s">
        <v>439</v>
      </c>
      <c r="E479" s="10" t="s">
        <v>995</v>
      </c>
      <c r="F479" s="10" t="s">
        <v>3195</v>
      </c>
      <c r="G479" s="30" t="s">
        <v>3196</v>
      </c>
      <c r="H479" s="12" t="s">
        <v>2477</v>
      </c>
      <c r="I479" s="10" t="s">
        <v>2478</v>
      </c>
      <c r="J479" s="12"/>
    </row>
    <row r="480" customFormat="false" ht="23.85" hidden="false" customHeight="false" outlineLevel="0" collapsed="false">
      <c r="A480" s="12" t="s">
        <v>37</v>
      </c>
      <c r="B480" s="12" t="s">
        <v>89</v>
      </c>
      <c r="C480" s="10" t="s">
        <v>90</v>
      </c>
      <c r="D480" s="30" t="s">
        <v>316</v>
      </c>
      <c r="E480" s="10" t="s">
        <v>144</v>
      </c>
      <c r="F480" s="10" t="s">
        <v>3197</v>
      </c>
      <c r="G480" s="30" t="s">
        <v>3198</v>
      </c>
      <c r="H480" s="12" t="s">
        <v>2265</v>
      </c>
      <c r="I480" s="10" t="s">
        <v>2266</v>
      </c>
      <c r="J480" s="12"/>
    </row>
    <row r="481" customFormat="false" ht="35.05" hidden="false" customHeight="false" outlineLevel="0" collapsed="false">
      <c r="A481" s="12" t="s">
        <v>37</v>
      </c>
      <c r="B481" s="12" t="s">
        <v>89</v>
      </c>
      <c r="C481" s="10" t="s">
        <v>90</v>
      </c>
      <c r="D481" s="30" t="s">
        <v>316</v>
      </c>
      <c r="E481" s="10" t="s">
        <v>2289</v>
      </c>
      <c r="F481" s="10" t="s">
        <v>3199</v>
      </c>
      <c r="G481" s="30" t="s">
        <v>3200</v>
      </c>
      <c r="H481" s="12" t="s">
        <v>2292</v>
      </c>
      <c r="I481" s="10" t="s">
        <v>2293</v>
      </c>
      <c r="J481" s="12"/>
    </row>
    <row r="482" customFormat="false" ht="35.05" hidden="false" customHeight="false" outlineLevel="0" collapsed="false">
      <c r="A482" s="12" t="s">
        <v>37</v>
      </c>
      <c r="B482" s="12" t="s">
        <v>89</v>
      </c>
      <c r="C482" s="10" t="s">
        <v>90</v>
      </c>
      <c r="D482" s="30" t="s">
        <v>316</v>
      </c>
      <c r="E482" s="10" t="s">
        <v>96</v>
      </c>
      <c r="F482" s="10" t="s">
        <v>3201</v>
      </c>
      <c r="G482" s="30" t="s">
        <v>2182</v>
      </c>
      <c r="H482" s="12" t="s">
        <v>2269</v>
      </c>
      <c r="I482" s="10" t="s">
        <v>3202</v>
      </c>
      <c r="J482" s="12"/>
    </row>
    <row r="483" customFormat="false" ht="35.05" hidden="false" customHeight="false" outlineLevel="0" collapsed="false">
      <c r="A483" s="12" t="s">
        <v>37</v>
      </c>
      <c r="B483" s="12" t="s">
        <v>89</v>
      </c>
      <c r="C483" s="10" t="s">
        <v>90</v>
      </c>
      <c r="D483" s="30" t="s">
        <v>316</v>
      </c>
      <c r="E483" s="10" t="s">
        <v>3203</v>
      </c>
      <c r="F483" s="10" t="s">
        <v>3201</v>
      </c>
      <c r="G483" s="30" t="s">
        <v>2182</v>
      </c>
      <c r="H483" s="12" t="s">
        <v>2269</v>
      </c>
      <c r="I483" s="10" t="s">
        <v>3204</v>
      </c>
      <c r="J483" s="12"/>
    </row>
    <row r="484" customFormat="false" ht="23.85" hidden="false" customHeight="false" outlineLevel="0" collapsed="false">
      <c r="A484" s="12" t="s">
        <v>37</v>
      </c>
      <c r="B484" s="12" t="s">
        <v>89</v>
      </c>
      <c r="C484" s="10" t="s">
        <v>90</v>
      </c>
      <c r="D484" s="30" t="s">
        <v>316</v>
      </c>
      <c r="E484" s="10" t="s">
        <v>1044</v>
      </c>
      <c r="F484" s="10" t="s">
        <v>3205</v>
      </c>
      <c r="G484" s="30" t="s">
        <v>3206</v>
      </c>
      <c r="H484" s="12" t="s">
        <v>2302</v>
      </c>
      <c r="I484" s="10" t="s">
        <v>2303</v>
      </c>
      <c r="J484" s="12"/>
    </row>
    <row r="485" customFormat="false" ht="23.85" hidden="false" customHeight="false" outlineLevel="0" collapsed="false">
      <c r="A485" s="12" t="s">
        <v>37</v>
      </c>
      <c r="B485" s="12" t="s">
        <v>221</v>
      </c>
      <c r="C485" s="10" t="s">
        <v>222</v>
      </c>
      <c r="D485" s="30" t="s">
        <v>488</v>
      </c>
      <c r="E485" s="10" t="s">
        <v>144</v>
      </c>
      <c r="F485" s="10" t="s">
        <v>3207</v>
      </c>
      <c r="G485" s="30" t="s">
        <v>3208</v>
      </c>
      <c r="H485" s="12" t="s">
        <v>2265</v>
      </c>
      <c r="I485" s="10" t="s">
        <v>2266</v>
      </c>
      <c r="J485" s="12"/>
    </row>
    <row r="486" customFormat="false" ht="23.85" hidden="false" customHeight="false" outlineLevel="0" collapsed="false">
      <c r="A486" s="12" t="s">
        <v>37</v>
      </c>
      <c r="B486" s="12" t="s">
        <v>223</v>
      </c>
      <c r="C486" s="10" t="s">
        <v>224</v>
      </c>
      <c r="D486" s="30" t="s">
        <v>407</v>
      </c>
      <c r="E486" s="10" t="s">
        <v>144</v>
      </c>
      <c r="F486" s="10" t="s">
        <v>3209</v>
      </c>
      <c r="G486" s="30" t="s">
        <v>3210</v>
      </c>
      <c r="H486" s="12" t="s">
        <v>2265</v>
      </c>
      <c r="I486" s="10" t="s">
        <v>2266</v>
      </c>
      <c r="J486" s="12"/>
    </row>
    <row r="487" customFormat="false" ht="23.85" hidden="false" customHeight="false" outlineLevel="0" collapsed="false">
      <c r="A487" s="12" t="s">
        <v>37</v>
      </c>
      <c r="B487" s="12" t="s">
        <v>217</v>
      </c>
      <c r="C487" s="10" t="s">
        <v>218</v>
      </c>
      <c r="D487" s="30" t="s">
        <v>349</v>
      </c>
      <c r="E487" s="10" t="s">
        <v>144</v>
      </c>
      <c r="F487" s="10" t="s">
        <v>3211</v>
      </c>
      <c r="G487" s="30" t="s">
        <v>3212</v>
      </c>
      <c r="H487" s="12" t="s">
        <v>2306</v>
      </c>
      <c r="I487" s="10" t="s">
        <v>2307</v>
      </c>
      <c r="J487" s="12"/>
    </row>
    <row r="488" customFormat="false" ht="35.05" hidden="false" customHeight="false" outlineLevel="0" collapsed="false">
      <c r="A488" s="12" t="s">
        <v>37</v>
      </c>
      <c r="B488" s="12" t="s">
        <v>219</v>
      </c>
      <c r="C488" s="10" t="s">
        <v>220</v>
      </c>
      <c r="D488" s="30" t="s">
        <v>578</v>
      </c>
      <c r="E488" s="10" t="s">
        <v>2289</v>
      </c>
      <c r="F488" s="10" t="s">
        <v>3213</v>
      </c>
      <c r="G488" s="30" t="s">
        <v>3214</v>
      </c>
      <c r="H488" s="12" t="s">
        <v>2292</v>
      </c>
      <c r="I488" s="10" t="s">
        <v>2293</v>
      </c>
      <c r="J488" s="12"/>
    </row>
    <row r="489" customFormat="false" ht="35.05" hidden="false" customHeight="false" outlineLevel="0" collapsed="false">
      <c r="A489" s="12" t="s">
        <v>37</v>
      </c>
      <c r="B489" s="12" t="s">
        <v>219</v>
      </c>
      <c r="C489" s="10" t="s">
        <v>220</v>
      </c>
      <c r="D489" s="30" t="s">
        <v>578</v>
      </c>
      <c r="E489" s="10" t="s">
        <v>96</v>
      </c>
      <c r="F489" s="10" t="s">
        <v>3215</v>
      </c>
      <c r="G489" s="30" t="s">
        <v>2182</v>
      </c>
      <c r="H489" s="12" t="s">
        <v>2269</v>
      </c>
      <c r="I489" s="10" t="s">
        <v>3216</v>
      </c>
      <c r="J489" s="12"/>
    </row>
    <row r="490" customFormat="false" ht="23.85" hidden="false" customHeight="false" outlineLevel="0" collapsed="false">
      <c r="A490" s="12" t="s">
        <v>37</v>
      </c>
      <c r="B490" s="12" t="s">
        <v>112</v>
      </c>
      <c r="C490" s="10" t="s">
        <v>113</v>
      </c>
      <c r="D490" s="30" t="s">
        <v>318</v>
      </c>
      <c r="E490" s="10" t="s">
        <v>144</v>
      </c>
      <c r="F490" s="10" t="s">
        <v>3217</v>
      </c>
      <c r="G490" s="30" t="s">
        <v>2423</v>
      </c>
      <c r="H490" s="12" t="s">
        <v>2265</v>
      </c>
      <c r="I490" s="10" t="s">
        <v>2266</v>
      </c>
      <c r="J490" s="12"/>
    </row>
    <row r="491" customFormat="false" ht="46.25" hidden="false" customHeight="false" outlineLevel="0" collapsed="false">
      <c r="A491" s="12" t="s">
        <v>37</v>
      </c>
      <c r="B491" s="12" t="s">
        <v>112</v>
      </c>
      <c r="C491" s="10" t="s">
        <v>113</v>
      </c>
      <c r="D491" s="30" t="s">
        <v>318</v>
      </c>
      <c r="E491" s="10" t="s">
        <v>3218</v>
      </c>
      <c r="F491" s="10" t="s">
        <v>3219</v>
      </c>
      <c r="G491" s="30" t="s">
        <v>2182</v>
      </c>
      <c r="H491" s="12" t="s">
        <v>2269</v>
      </c>
      <c r="I491" s="10" t="s">
        <v>3220</v>
      </c>
      <c r="J491" s="12"/>
    </row>
    <row r="492" customFormat="false" ht="23.85" hidden="false" customHeight="false" outlineLevel="0" collapsed="false">
      <c r="A492" s="12" t="s">
        <v>37</v>
      </c>
      <c r="B492" s="12" t="s">
        <v>117</v>
      </c>
      <c r="C492" s="10" t="s">
        <v>118</v>
      </c>
      <c r="D492" s="30" t="s">
        <v>428</v>
      </c>
      <c r="E492" s="10" t="s">
        <v>144</v>
      </c>
      <c r="F492" s="10" t="s">
        <v>3221</v>
      </c>
      <c r="G492" s="30" t="s">
        <v>3222</v>
      </c>
      <c r="H492" s="12" t="s">
        <v>2265</v>
      </c>
      <c r="I492" s="10" t="s">
        <v>2266</v>
      </c>
      <c r="J492" s="12"/>
    </row>
    <row r="493" customFormat="false" ht="35.05" hidden="false" customHeight="false" outlineLevel="0" collapsed="false">
      <c r="A493" s="12" t="s">
        <v>37</v>
      </c>
      <c r="B493" s="12" t="s">
        <v>117</v>
      </c>
      <c r="C493" s="10" t="s">
        <v>118</v>
      </c>
      <c r="D493" s="30" t="s">
        <v>428</v>
      </c>
      <c r="E493" s="10" t="s">
        <v>2289</v>
      </c>
      <c r="F493" s="10" t="s">
        <v>3223</v>
      </c>
      <c r="G493" s="30" t="s">
        <v>3224</v>
      </c>
      <c r="H493" s="12" t="s">
        <v>2292</v>
      </c>
      <c r="I493" s="10" t="s">
        <v>2293</v>
      </c>
      <c r="J493" s="12"/>
    </row>
    <row r="494" customFormat="false" ht="46.25" hidden="false" customHeight="false" outlineLevel="0" collapsed="false">
      <c r="A494" s="12" t="s">
        <v>37</v>
      </c>
      <c r="B494" s="12" t="s">
        <v>117</v>
      </c>
      <c r="C494" s="10" t="s">
        <v>118</v>
      </c>
      <c r="D494" s="30" t="s">
        <v>428</v>
      </c>
      <c r="E494" s="10" t="s">
        <v>3225</v>
      </c>
      <c r="F494" s="10" t="s">
        <v>3219</v>
      </c>
      <c r="G494" s="30" t="s">
        <v>2182</v>
      </c>
      <c r="H494" s="12" t="s">
        <v>2269</v>
      </c>
      <c r="I494" s="10" t="s">
        <v>3226</v>
      </c>
      <c r="J494" s="12"/>
    </row>
    <row r="495" customFormat="false" ht="35.05" hidden="false" customHeight="false" outlineLevel="0" collapsed="false">
      <c r="A495" s="12" t="s">
        <v>37</v>
      </c>
      <c r="B495" s="12" t="s">
        <v>117</v>
      </c>
      <c r="C495" s="10" t="s">
        <v>118</v>
      </c>
      <c r="D495" s="30" t="s">
        <v>428</v>
      </c>
      <c r="E495" s="10" t="s">
        <v>1044</v>
      </c>
      <c r="F495" s="10" t="s">
        <v>3227</v>
      </c>
      <c r="G495" s="30" t="s">
        <v>3228</v>
      </c>
      <c r="H495" s="12" t="s">
        <v>2302</v>
      </c>
      <c r="I495" s="10" t="s">
        <v>2303</v>
      </c>
      <c r="J495" s="12"/>
    </row>
    <row r="496" customFormat="false" ht="23.85" hidden="false" customHeight="false" outlineLevel="0" collapsed="false">
      <c r="A496" s="12" t="s">
        <v>45</v>
      </c>
      <c r="B496" s="12" t="s">
        <v>221</v>
      </c>
      <c r="C496" s="10" t="s">
        <v>222</v>
      </c>
      <c r="D496" s="30" t="s">
        <v>488</v>
      </c>
      <c r="E496" s="10" t="s">
        <v>144</v>
      </c>
      <c r="F496" s="10" t="s">
        <v>3229</v>
      </c>
      <c r="G496" s="30" t="s">
        <v>3230</v>
      </c>
      <c r="H496" s="12" t="s">
        <v>2265</v>
      </c>
      <c r="I496" s="10" t="s">
        <v>2266</v>
      </c>
      <c r="J496" s="12"/>
    </row>
    <row r="497" customFormat="false" ht="35.05" hidden="false" customHeight="false" outlineLevel="0" collapsed="false">
      <c r="A497" s="12" t="s">
        <v>45</v>
      </c>
      <c r="B497" s="12" t="s">
        <v>255</v>
      </c>
      <c r="C497" s="10" t="s">
        <v>256</v>
      </c>
      <c r="D497" s="30" t="s">
        <v>580</v>
      </c>
      <c r="E497" s="10" t="s">
        <v>96</v>
      </c>
      <c r="F497" s="10" t="s">
        <v>3231</v>
      </c>
      <c r="G497" s="30" t="s">
        <v>2182</v>
      </c>
      <c r="H497" s="12" t="s">
        <v>2269</v>
      </c>
      <c r="I497" s="10" t="s">
        <v>3232</v>
      </c>
      <c r="J497" s="12"/>
    </row>
    <row r="498" customFormat="false" ht="23.85" hidden="false" customHeight="false" outlineLevel="0" collapsed="false">
      <c r="A498" s="12" t="s">
        <v>45</v>
      </c>
      <c r="B498" s="12" t="s">
        <v>162</v>
      </c>
      <c r="C498" s="10" t="s">
        <v>163</v>
      </c>
      <c r="D498" s="30" t="s">
        <v>305</v>
      </c>
      <c r="E498" s="10" t="s">
        <v>144</v>
      </c>
      <c r="F498" s="10" t="s">
        <v>3233</v>
      </c>
      <c r="G498" s="30" t="s">
        <v>2264</v>
      </c>
      <c r="H498" s="12" t="s">
        <v>2265</v>
      </c>
      <c r="I498" s="10" t="s">
        <v>2266</v>
      </c>
      <c r="J498" s="12"/>
    </row>
    <row r="499" customFormat="false" ht="35.05" hidden="false" customHeight="false" outlineLevel="0" collapsed="false">
      <c r="A499" s="12" t="s">
        <v>45</v>
      </c>
      <c r="B499" s="12" t="s">
        <v>257</v>
      </c>
      <c r="C499" s="10" t="s">
        <v>258</v>
      </c>
      <c r="D499" s="30" t="s">
        <v>581</v>
      </c>
      <c r="E499" s="10" t="s">
        <v>96</v>
      </c>
      <c r="F499" s="10" t="s">
        <v>3231</v>
      </c>
      <c r="G499" s="30" t="s">
        <v>2182</v>
      </c>
      <c r="H499" s="12" t="s">
        <v>2269</v>
      </c>
      <c r="I499" s="10" t="s">
        <v>3234</v>
      </c>
      <c r="J499" s="12"/>
    </row>
    <row r="500" customFormat="false" ht="23.85" hidden="false" customHeight="false" outlineLevel="0" collapsed="false">
      <c r="A500" s="12" t="s">
        <v>45</v>
      </c>
      <c r="B500" s="12" t="s">
        <v>257</v>
      </c>
      <c r="C500" s="10" t="s">
        <v>258</v>
      </c>
      <c r="D500" s="30" t="s">
        <v>581</v>
      </c>
      <c r="E500" s="10" t="s">
        <v>1044</v>
      </c>
      <c r="F500" s="10" t="s">
        <v>3235</v>
      </c>
      <c r="G500" s="30" t="s">
        <v>3236</v>
      </c>
      <c r="H500" s="12" t="s">
        <v>2302</v>
      </c>
      <c r="I500" s="10" t="s">
        <v>2303</v>
      </c>
      <c r="J500" s="12"/>
    </row>
    <row r="501" customFormat="false" ht="23.85" hidden="false" customHeight="false" outlineLevel="0" collapsed="false">
      <c r="A501" s="12" t="s">
        <v>45</v>
      </c>
      <c r="B501" s="12" t="s">
        <v>263</v>
      </c>
      <c r="C501" s="10" t="s">
        <v>264</v>
      </c>
      <c r="D501" s="30" t="s">
        <v>583</v>
      </c>
      <c r="E501" s="10" t="s">
        <v>144</v>
      </c>
      <c r="F501" s="10" t="s">
        <v>3237</v>
      </c>
      <c r="G501" s="30" t="s">
        <v>3238</v>
      </c>
      <c r="H501" s="12" t="s">
        <v>2265</v>
      </c>
      <c r="I501" s="10" t="s">
        <v>2266</v>
      </c>
      <c r="J501" s="12"/>
    </row>
    <row r="502" customFormat="false" ht="23.85" hidden="false" customHeight="false" outlineLevel="0" collapsed="false">
      <c r="A502" s="12" t="s">
        <v>45</v>
      </c>
      <c r="B502" s="12" t="s">
        <v>170</v>
      </c>
      <c r="C502" s="10" t="s">
        <v>171</v>
      </c>
      <c r="D502" s="30" t="s">
        <v>429</v>
      </c>
      <c r="E502" s="10" t="s">
        <v>144</v>
      </c>
      <c r="F502" s="10" t="s">
        <v>3239</v>
      </c>
      <c r="G502" s="30" t="s">
        <v>3240</v>
      </c>
      <c r="H502" s="12" t="s">
        <v>2265</v>
      </c>
      <c r="I502" s="10" t="s">
        <v>2266</v>
      </c>
      <c r="J502" s="12"/>
    </row>
    <row r="503" customFormat="false" ht="23.85" hidden="false" customHeight="false" outlineLevel="0" collapsed="false">
      <c r="A503" s="12" t="s">
        <v>45</v>
      </c>
      <c r="B503" s="12" t="s">
        <v>170</v>
      </c>
      <c r="C503" s="10" t="s">
        <v>171</v>
      </c>
      <c r="D503" s="30" t="s">
        <v>429</v>
      </c>
      <c r="E503" s="10" t="s">
        <v>1044</v>
      </c>
      <c r="F503" s="10" t="s">
        <v>3241</v>
      </c>
      <c r="G503" s="30" t="s">
        <v>3242</v>
      </c>
      <c r="H503" s="12" t="s">
        <v>2302</v>
      </c>
      <c r="I503" s="10" t="s">
        <v>2303</v>
      </c>
      <c r="J503" s="12"/>
    </row>
    <row r="504" customFormat="false" ht="35.05" hidden="false" customHeight="false" outlineLevel="0" collapsed="false">
      <c r="A504" s="12" t="s">
        <v>45</v>
      </c>
      <c r="B504" s="12" t="s">
        <v>239</v>
      </c>
      <c r="C504" s="10" t="s">
        <v>205</v>
      </c>
      <c r="D504" s="30" t="s">
        <v>579</v>
      </c>
      <c r="E504" s="10" t="s">
        <v>3243</v>
      </c>
      <c r="F504" s="10" t="s">
        <v>3244</v>
      </c>
      <c r="G504" s="30" t="s">
        <v>2182</v>
      </c>
      <c r="H504" s="12" t="s">
        <v>2269</v>
      </c>
      <c r="I504" s="10" t="s">
        <v>3245</v>
      </c>
      <c r="J504" s="12"/>
    </row>
    <row r="505" customFormat="false" ht="35.05" hidden="false" customHeight="false" outlineLevel="0" collapsed="false">
      <c r="A505" s="12" t="s">
        <v>45</v>
      </c>
      <c r="B505" s="12" t="s">
        <v>239</v>
      </c>
      <c r="C505" s="10" t="s">
        <v>205</v>
      </c>
      <c r="D505" s="30" t="s">
        <v>579</v>
      </c>
      <c r="E505" s="10" t="s">
        <v>1044</v>
      </c>
      <c r="F505" s="10" t="s">
        <v>3246</v>
      </c>
      <c r="G505" s="30" t="s">
        <v>3247</v>
      </c>
      <c r="H505" s="12" t="s">
        <v>2302</v>
      </c>
      <c r="I505" s="10" t="s">
        <v>2303</v>
      </c>
      <c r="J505" s="12"/>
    </row>
    <row r="506" customFormat="false" ht="23.85" hidden="false" customHeight="false" outlineLevel="0" collapsed="false">
      <c r="A506" s="12" t="s">
        <v>45</v>
      </c>
      <c r="B506" s="12" t="s">
        <v>259</v>
      </c>
      <c r="C506" s="10" t="s">
        <v>260</v>
      </c>
      <c r="D506" s="30" t="s">
        <v>582</v>
      </c>
      <c r="E506" s="10" t="s">
        <v>144</v>
      </c>
      <c r="F506" s="10" t="s">
        <v>3248</v>
      </c>
      <c r="G506" s="30" t="s">
        <v>3249</v>
      </c>
      <c r="H506" s="12" t="s">
        <v>2265</v>
      </c>
      <c r="I506" s="10" t="s">
        <v>2266</v>
      </c>
      <c r="J506" s="12"/>
    </row>
    <row r="507" customFormat="false" ht="23.85" hidden="false" customHeight="false" outlineLevel="0" collapsed="false">
      <c r="A507" s="12" t="s">
        <v>45</v>
      </c>
      <c r="B507" s="12" t="s">
        <v>265</v>
      </c>
      <c r="C507" s="10" t="s">
        <v>266</v>
      </c>
      <c r="D507" s="30" t="s">
        <v>454</v>
      </c>
      <c r="E507" s="10" t="s">
        <v>144</v>
      </c>
      <c r="F507" s="10" t="s">
        <v>3250</v>
      </c>
      <c r="G507" s="30" t="s">
        <v>3251</v>
      </c>
      <c r="H507" s="12" t="s">
        <v>2265</v>
      </c>
      <c r="I507" s="10" t="s">
        <v>2266</v>
      </c>
      <c r="J507" s="12"/>
    </row>
    <row r="508" customFormat="false" ht="23.85" hidden="false" customHeight="false" outlineLevel="0" collapsed="false">
      <c r="A508" s="12" t="s">
        <v>45</v>
      </c>
      <c r="B508" s="12" t="s">
        <v>261</v>
      </c>
      <c r="C508" s="10" t="s">
        <v>262</v>
      </c>
      <c r="D508" s="30" t="s">
        <v>393</v>
      </c>
      <c r="E508" s="10" t="s">
        <v>144</v>
      </c>
      <c r="F508" s="10" t="s">
        <v>3252</v>
      </c>
      <c r="G508" s="30" t="s">
        <v>3253</v>
      </c>
      <c r="H508" s="12" t="s">
        <v>2265</v>
      </c>
      <c r="I508" s="10" t="s">
        <v>2266</v>
      </c>
      <c r="J508" s="12"/>
    </row>
    <row r="509" customFormat="false" ht="23.85" hidden="false" customHeight="false" outlineLevel="0" collapsed="false">
      <c r="A509" s="12" t="s">
        <v>53</v>
      </c>
      <c r="B509" s="12" t="s">
        <v>283</v>
      </c>
      <c r="C509" s="10" t="s">
        <v>284</v>
      </c>
      <c r="D509" s="30" t="s">
        <v>380</v>
      </c>
      <c r="E509" s="10" t="s">
        <v>144</v>
      </c>
      <c r="F509" s="10" t="s">
        <v>3254</v>
      </c>
      <c r="G509" s="30" t="s">
        <v>3255</v>
      </c>
      <c r="H509" s="12" t="s">
        <v>2265</v>
      </c>
      <c r="I509" s="10" t="s">
        <v>2266</v>
      </c>
      <c r="J509" s="12"/>
    </row>
    <row r="510" customFormat="false" ht="23.85" hidden="false" customHeight="false" outlineLevel="0" collapsed="false">
      <c r="A510" s="12" t="s">
        <v>53</v>
      </c>
      <c r="B510" s="12" t="s">
        <v>162</v>
      </c>
      <c r="C510" s="10" t="s">
        <v>163</v>
      </c>
      <c r="D510" s="30" t="s">
        <v>305</v>
      </c>
      <c r="E510" s="10" t="s">
        <v>144</v>
      </c>
      <c r="F510" s="10" t="s">
        <v>3256</v>
      </c>
      <c r="G510" s="30" t="s">
        <v>2264</v>
      </c>
      <c r="H510" s="12" t="s">
        <v>2265</v>
      </c>
      <c r="I510" s="10" t="s">
        <v>2266</v>
      </c>
      <c r="J510" s="12"/>
    </row>
    <row r="511" customFormat="false" ht="113.4" hidden="false" customHeight="false" outlineLevel="0" collapsed="false">
      <c r="A511" s="12" t="s">
        <v>53</v>
      </c>
      <c r="B511" s="12" t="s">
        <v>148</v>
      </c>
      <c r="C511" s="10" t="s">
        <v>149</v>
      </c>
      <c r="D511" s="30" t="s">
        <v>322</v>
      </c>
      <c r="E511" s="10" t="s">
        <v>1871</v>
      </c>
      <c r="F511" s="10" t="s">
        <v>3257</v>
      </c>
      <c r="G511" s="30" t="s">
        <v>3258</v>
      </c>
      <c r="H511" s="12" t="s">
        <v>2298</v>
      </c>
      <c r="I511" s="10" t="s">
        <v>3259</v>
      </c>
      <c r="J511" s="30" t="s">
        <v>2182</v>
      </c>
    </row>
    <row r="512" customFormat="false" ht="23.85" hidden="false" customHeight="false" outlineLevel="0" collapsed="false">
      <c r="A512" s="12" t="s">
        <v>53</v>
      </c>
      <c r="B512" s="12" t="s">
        <v>285</v>
      </c>
      <c r="C512" s="10" t="s">
        <v>286</v>
      </c>
      <c r="D512" s="30" t="s">
        <v>584</v>
      </c>
      <c r="E512" s="10" t="s">
        <v>144</v>
      </c>
      <c r="F512" s="10" t="s">
        <v>3260</v>
      </c>
      <c r="G512" s="30" t="s">
        <v>3261</v>
      </c>
      <c r="H512" s="12" t="s">
        <v>2265</v>
      </c>
      <c r="I512" s="10" t="s">
        <v>2266</v>
      </c>
      <c r="J512" s="12"/>
    </row>
    <row r="513" customFormat="false" ht="23.85" hidden="false" customHeight="false" outlineLevel="0" collapsed="false">
      <c r="A513" s="12" t="s">
        <v>53</v>
      </c>
      <c r="B513" s="12" t="s">
        <v>287</v>
      </c>
      <c r="C513" s="10" t="s">
        <v>288</v>
      </c>
      <c r="D513" s="30" t="s">
        <v>420</v>
      </c>
      <c r="E513" s="10" t="s">
        <v>144</v>
      </c>
      <c r="F513" s="10" t="s">
        <v>3262</v>
      </c>
      <c r="G513" s="30" t="s">
        <v>3263</v>
      </c>
      <c r="H513" s="12" t="s">
        <v>2265</v>
      </c>
      <c r="I513" s="10" t="s">
        <v>2266</v>
      </c>
      <c r="J513" s="12"/>
    </row>
    <row r="514" customFormat="false" ht="23.85" hidden="false" customHeight="false" outlineLevel="0" collapsed="false">
      <c r="A514" s="12" t="s">
        <v>51</v>
      </c>
      <c r="B514" s="12" t="s">
        <v>273</v>
      </c>
      <c r="C514" s="10" t="s">
        <v>274</v>
      </c>
      <c r="D514" s="30" t="s">
        <v>567</v>
      </c>
      <c r="E514" s="10" t="s">
        <v>2289</v>
      </c>
      <c r="F514" s="10" t="s">
        <v>3264</v>
      </c>
      <c r="G514" s="30" t="s">
        <v>3265</v>
      </c>
      <c r="H514" s="12" t="s">
        <v>2404</v>
      </c>
      <c r="I514" s="10" t="s">
        <v>2405</v>
      </c>
      <c r="J514" s="12"/>
    </row>
    <row r="515" customFormat="false" ht="35.05" hidden="false" customHeight="false" outlineLevel="0" collapsed="false">
      <c r="A515" s="12" t="s">
        <v>51</v>
      </c>
      <c r="B515" s="12" t="s">
        <v>273</v>
      </c>
      <c r="C515" s="10" t="s">
        <v>274</v>
      </c>
      <c r="D515" s="30" t="s">
        <v>567</v>
      </c>
      <c r="E515" s="10" t="s">
        <v>96</v>
      </c>
      <c r="F515" s="10" t="s">
        <v>3266</v>
      </c>
      <c r="G515" s="30" t="s">
        <v>2182</v>
      </c>
      <c r="H515" s="12" t="s">
        <v>2269</v>
      </c>
      <c r="I515" s="10" t="s">
        <v>3267</v>
      </c>
      <c r="J515" s="12"/>
    </row>
    <row r="516" customFormat="false" ht="79.85" hidden="false" customHeight="false" outlineLevel="0" collapsed="false">
      <c r="A516" s="12" t="s">
        <v>51</v>
      </c>
      <c r="B516" s="12" t="s">
        <v>273</v>
      </c>
      <c r="C516" s="10" t="s">
        <v>274</v>
      </c>
      <c r="D516" s="30" t="s">
        <v>567</v>
      </c>
      <c r="E516" s="10" t="s">
        <v>3268</v>
      </c>
      <c r="F516" s="10" t="s">
        <v>3266</v>
      </c>
      <c r="G516" s="30" t="s">
        <v>3269</v>
      </c>
      <c r="H516" s="12" t="s">
        <v>2298</v>
      </c>
      <c r="I516" s="10" t="s">
        <v>3270</v>
      </c>
      <c r="J516" s="30" t="s">
        <v>2182</v>
      </c>
    </row>
    <row r="517" customFormat="false" ht="23.85" hidden="false" customHeight="false" outlineLevel="0" collapsed="false">
      <c r="A517" s="12" t="s">
        <v>51</v>
      </c>
      <c r="B517" s="12" t="s">
        <v>273</v>
      </c>
      <c r="C517" s="10" t="s">
        <v>274</v>
      </c>
      <c r="D517" s="30" t="s">
        <v>567</v>
      </c>
      <c r="E517" s="10" t="s">
        <v>1044</v>
      </c>
      <c r="F517" s="10" t="s">
        <v>3271</v>
      </c>
      <c r="G517" s="30" t="s">
        <v>3272</v>
      </c>
      <c r="H517" s="12" t="s">
        <v>2470</v>
      </c>
      <c r="I517" s="10" t="s">
        <v>2471</v>
      </c>
      <c r="J517" s="12"/>
    </row>
    <row r="518" customFormat="false" ht="23.85" hidden="false" customHeight="false" outlineLevel="0" collapsed="false">
      <c r="A518" s="12" t="s">
        <v>51</v>
      </c>
      <c r="B518" s="12" t="s">
        <v>273</v>
      </c>
      <c r="C518" s="10" t="s">
        <v>274</v>
      </c>
      <c r="D518" s="30" t="s">
        <v>567</v>
      </c>
      <c r="E518" s="10" t="s">
        <v>995</v>
      </c>
      <c r="F518" s="10" t="s">
        <v>3273</v>
      </c>
      <c r="G518" s="30" t="s">
        <v>3274</v>
      </c>
      <c r="H518" s="12" t="s">
        <v>2322</v>
      </c>
      <c r="I518" s="10" t="s">
        <v>2323</v>
      </c>
      <c r="J518" s="12"/>
    </row>
    <row r="519" customFormat="false" ht="23.85" hidden="false" customHeight="false" outlineLevel="0" collapsed="false">
      <c r="A519" s="12" t="s">
        <v>51</v>
      </c>
      <c r="B519" s="12" t="s">
        <v>271</v>
      </c>
      <c r="C519" s="10" t="s">
        <v>272</v>
      </c>
      <c r="D519" s="30" t="s">
        <v>585</v>
      </c>
      <c r="E519" s="10" t="s">
        <v>144</v>
      </c>
      <c r="F519" s="10" t="s">
        <v>3275</v>
      </c>
      <c r="G519" s="30" t="s">
        <v>3276</v>
      </c>
      <c r="H519" s="12" t="s">
        <v>2265</v>
      </c>
      <c r="I519" s="10" t="s">
        <v>2266</v>
      </c>
      <c r="J519" s="12"/>
    </row>
    <row r="520" customFormat="false" ht="35.05" hidden="false" customHeight="false" outlineLevel="0" collapsed="false">
      <c r="A520" s="12" t="s">
        <v>51</v>
      </c>
      <c r="B520" s="12" t="s">
        <v>271</v>
      </c>
      <c r="C520" s="10" t="s">
        <v>272</v>
      </c>
      <c r="D520" s="30" t="s">
        <v>585</v>
      </c>
      <c r="E520" s="10" t="s">
        <v>2289</v>
      </c>
      <c r="F520" s="10" t="s">
        <v>3277</v>
      </c>
      <c r="G520" s="30" t="s">
        <v>3278</v>
      </c>
      <c r="H520" s="12" t="s">
        <v>3279</v>
      </c>
      <c r="I520" s="10" t="s">
        <v>3280</v>
      </c>
      <c r="J520" s="12"/>
    </row>
    <row r="521" customFormat="false" ht="35.05" hidden="false" customHeight="false" outlineLevel="0" collapsed="false">
      <c r="A521" s="12" t="s">
        <v>51</v>
      </c>
      <c r="B521" s="12" t="s">
        <v>271</v>
      </c>
      <c r="C521" s="10" t="s">
        <v>272</v>
      </c>
      <c r="D521" s="30" t="s">
        <v>585</v>
      </c>
      <c r="E521" s="10" t="s">
        <v>96</v>
      </c>
      <c r="F521" s="10" t="s">
        <v>3281</v>
      </c>
      <c r="G521" s="30" t="s">
        <v>2182</v>
      </c>
      <c r="H521" s="12" t="s">
        <v>2269</v>
      </c>
      <c r="I521" s="10" t="s">
        <v>3282</v>
      </c>
      <c r="J521" s="12"/>
    </row>
    <row r="522" customFormat="false" ht="46.25" hidden="false" customHeight="false" outlineLevel="0" collapsed="false">
      <c r="A522" s="12" t="s">
        <v>51</v>
      </c>
      <c r="B522" s="12" t="s">
        <v>271</v>
      </c>
      <c r="C522" s="10" t="s">
        <v>272</v>
      </c>
      <c r="D522" s="30" t="s">
        <v>585</v>
      </c>
      <c r="E522" s="10" t="s">
        <v>3283</v>
      </c>
      <c r="F522" s="10" t="s">
        <v>3281</v>
      </c>
      <c r="G522" s="30" t="s">
        <v>3284</v>
      </c>
      <c r="H522" s="12" t="s">
        <v>2298</v>
      </c>
      <c r="I522" s="10" t="s">
        <v>3285</v>
      </c>
      <c r="J522" s="30" t="s">
        <v>2182</v>
      </c>
    </row>
    <row r="523" customFormat="false" ht="23.85" hidden="false" customHeight="false" outlineLevel="0" collapsed="false">
      <c r="A523" s="12" t="s">
        <v>51</v>
      </c>
      <c r="B523" s="12" t="s">
        <v>245</v>
      </c>
      <c r="C523" s="10" t="s">
        <v>246</v>
      </c>
      <c r="D523" s="30" t="s">
        <v>534</v>
      </c>
      <c r="E523" s="10" t="s">
        <v>144</v>
      </c>
      <c r="F523" s="10" t="s">
        <v>3286</v>
      </c>
      <c r="G523" s="30" t="s">
        <v>3287</v>
      </c>
      <c r="H523" s="12" t="s">
        <v>2265</v>
      </c>
      <c r="I523" s="10" t="s">
        <v>2266</v>
      </c>
      <c r="J523" s="12"/>
    </row>
    <row r="524" customFormat="false" ht="35.05" hidden="false" customHeight="false" outlineLevel="0" collapsed="false">
      <c r="A524" s="12" t="s">
        <v>51</v>
      </c>
      <c r="B524" s="12" t="s">
        <v>280</v>
      </c>
      <c r="C524" s="10" t="s">
        <v>281</v>
      </c>
      <c r="D524" s="30" t="s">
        <v>586</v>
      </c>
      <c r="E524" s="10" t="s">
        <v>96</v>
      </c>
      <c r="F524" s="10" t="s">
        <v>3281</v>
      </c>
      <c r="G524" s="30" t="s">
        <v>2182</v>
      </c>
      <c r="H524" s="12" t="s">
        <v>2269</v>
      </c>
      <c r="I524" s="10" t="s">
        <v>3288</v>
      </c>
      <c r="J524" s="12"/>
    </row>
    <row r="525" customFormat="false" ht="68.65" hidden="false" customHeight="false" outlineLevel="0" collapsed="false">
      <c r="A525" s="12" t="s">
        <v>51</v>
      </c>
      <c r="B525" s="12" t="s">
        <v>280</v>
      </c>
      <c r="C525" s="10" t="s">
        <v>281</v>
      </c>
      <c r="D525" s="30" t="s">
        <v>586</v>
      </c>
      <c r="E525" s="10" t="s">
        <v>3289</v>
      </c>
      <c r="F525" s="10" t="s">
        <v>3281</v>
      </c>
      <c r="G525" s="30" t="s">
        <v>3290</v>
      </c>
      <c r="H525" s="12" t="s">
        <v>2298</v>
      </c>
      <c r="I525" s="10" t="s">
        <v>3291</v>
      </c>
      <c r="J525" s="30" t="s">
        <v>2182</v>
      </c>
    </row>
    <row r="526" customFormat="false" ht="23.85" hidden="false" customHeight="false" outlineLevel="0" collapsed="false">
      <c r="A526" s="12" t="s">
        <v>51</v>
      </c>
      <c r="B526" s="12" t="s">
        <v>280</v>
      </c>
      <c r="C526" s="10" t="s">
        <v>281</v>
      </c>
      <c r="D526" s="30" t="s">
        <v>586</v>
      </c>
      <c r="E526" s="10" t="s">
        <v>995</v>
      </c>
      <c r="F526" s="10" t="s">
        <v>3292</v>
      </c>
      <c r="G526" s="30" t="s">
        <v>3293</v>
      </c>
      <c r="H526" s="12" t="s">
        <v>2477</v>
      </c>
      <c r="I526" s="10" t="s">
        <v>2478</v>
      </c>
      <c r="J526" s="12"/>
    </row>
    <row r="527" customFormat="false" ht="35.05" hidden="false" customHeight="false" outlineLevel="0" collapsed="false">
      <c r="A527" s="12" t="s">
        <v>51</v>
      </c>
      <c r="B527" s="12" t="s">
        <v>277</v>
      </c>
      <c r="C527" s="10" t="s">
        <v>278</v>
      </c>
      <c r="D527" s="30" t="s">
        <v>568</v>
      </c>
      <c r="E527" s="10" t="s">
        <v>96</v>
      </c>
      <c r="F527" s="10" t="s">
        <v>3266</v>
      </c>
      <c r="G527" s="30" t="s">
        <v>2182</v>
      </c>
      <c r="H527" s="12" t="s">
        <v>2269</v>
      </c>
      <c r="I527" s="10" t="s">
        <v>3294</v>
      </c>
      <c r="J527" s="12"/>
    </row>
    <row r="528" customFormat="false" ht="79.85" hidden="false" customHeight="false" outlineLevel="0" collapsed="false">
      <c r="A528" s="12" t="s">
        <v>51</v>
      </c>
      <c r="B528" s="12" t="s">
        <v>277</v>
      </c>
      <c r="C528" s="10" t="s">
        <v>278</v>
      </c>
      <c r="D528" s="30" t="s">
        <v>568</v>
      </c>
      <c r="E528" s="10" t="s">
        <v>3295</v>
      </c>
      <c r="F528" s="10" t="s">
        <v>3266</v>
      </c>
      <c r="G528" s="30" t="s">
        <v>3296</v>
      </c>
      <c r="H528" s="12" t="s">
        <v>2298</v>
      </c>
      <c r="I528" s="10" t="s">
        <v>3297</v>
      </c>
      <c r="J528" s="30" t="s">
        <v>2182</v>
      </c>
    </row>
    <row r="529" customFormat="false" ht="23.85" hidden="false" customHeight="false" outlineLevel="0" collapsed="false">
      <c r="A529" s="12" t="s">
        <v>51</v>
      </c>
      <c r="B529" s="12" t="s">
        <v>277</v>
      </c>
      <c r="C529" s="10" t="s">
        <v>278</v>
      </c>
      <c r="D529" s="30" t="s">
        <v>568</v>
      </c>
      <c r="E529" s="10" t="s">
        <v>995</v>
      </c>
      <c r="F529" s="10" t="s">
        <v>3273</v>
      </c>
      <c r="G529" s="30" t="s">
        <v>3274</v>
      </c>
      <c r="H529" s="12" t="s">
        <v>2322</v>
      </c>
      <c r="I529" s="10" t="s">
        <v>2323</v>
      </c>
      <c r="J529" s="12"/>
    </row>
    <row r="530" customFormat="false" ht="35.05" hidden="false" customHeight="false" outlineLevel="0" collapsed="false">
      <c r="A530" s="12" t="s">
        <v>51</v>
      </c>
      <c r="B530" s="12" t="s">
        <v>275</v>
      </c>
      <c r="C530" s="10" t="s">
        <v>276</v>
      </c>
      <c r="D530" s="30" t="s">
        <v>422</v>
      </c>
      <c r="E530" s="10" t="s">
        <v>864</v>
      </c>
      <c r="F530" s="10" t="s">
        <v>3298</v>
      </c>
      <c r="G530" s="30" t="s">
        <v>2182</v>
      </c>
      <c r="H530" s="12" t="s">
        <v>2269</v>
      </c>
      <c r="I530" s="10" t="s">
        <v>3299</v>
      </c>
      <c r="J530" s="12"/>
    </row>
    <row r="531" customFormat="false" ht="23.85" hidden="false" customHeight="false" outlineLevel="0" collapsed="false">
      <c r="A531" s="12" t="s">
        <v>51</v>
      </c>
      <c r="B531" s="12" t="s">
        <v>117</v>
      </c>
      <c r="C531" s="10" t="s">
        <v>118</v>
      </c>
      <c r="D531" s="30" t="s">
        <v>428</v>
      </c>
      <c r="E531" s="10" t="s">
        <v>2289</v>
      </c>
      <c r="F531" s="10" t="s">
        <v>3300</v>
      </c>
      <c r="G531" s="30" t="s">
        <v>3301</v>
      </c>
      <c r="H531" s="12" t="s">
        <v>2292</v>
      </c>
      <c r="I531" s="10" t="s">
        <v>2293</v>
      </c>
      <c r="J531" s="12"/>
    </row>
    <row r="532" customFormat="false" ht="46.25" hidden="false" customHeight="false" outlineLevel="0" collapsed="false">
      <c r="A532" s="12" t="s">
        <v>51</v>
      </c>
      <c r="B532" s="12" t="s">
        <v>117</v>
      </c>
      <c r="C532" s="10" t="s">
        <v>118</v>
      </c>
      <c r="D532" s="30" t="s">
        <v>428</v>
      </c>
      <c r="E532" s="10" t="s">
        <v>96</v>
      </c>
      <c r="F532" s="10" t="s">
        <v>3281</v>
      </c>
      <c r="G532" s="30" t="s">
        <v>3302</v>
      </c>
      <c r="H532" s="12" t="s">
        <v>2532</v>
      </c>
      <c r="I532" s="10" t="s">
        <v>3303</v>
      </c>
      <c r="J532" s="30" t="s">
        <v>2182</v>
      </c>
    </row>
    <row r="533" customFormat="false" ht="147" hidden="false" customHeight="false" outlineLevel="0" collapsed="false">
      <c r="A533" s="12" t="s">
        <v>51</v>
      </c>
      <c r="B533" s="12" t="s">
        <v>117</v>
      </c>
      <c r="C533" s="10" t="s">
        <v>118</v>
      </c>
      <c r="D533" s="30" t="s">
        <v>428</v>
      </c>
      <c r="E533" s="10" t="s">
        <v>1590</v>
      </c>
      <c r="F533" s="10" t="s">
        <v>3281</v>
      </c>
      <c r="G533" s="30" t="s">
        <v>3302</v>
      </c>
      <c r="H533" s="12" t="s">
        <v>2532</v>
      </c>
      <c r="I533" s="10" t="s">
        <v>3304</v>
      </c>
      <c r="J533" s="30" t="s">
        <v>2182</v>
      </c>
    </row>
    <row r="534" customFormat="false" ht="35.05" hidden="false" customHeight="false" outlineLevel="0" collapsed="false">
      <c r="A534" s="12" t="s">
        <v>49</v>
      </c>
      <c r="B534" s="12" t="s">
        <v>269</v>
      </c>
      <c r="C534" s="10" t="s">
        <v>270</v>
      </c>
      <c r="D534" s="30" t="s">
        <v>378</v>
      </c>
      <c r="E534" s="10" t="s">
        <v>1044</v>
      </c>
      <c r="F534" s="10" t="s">
        <v>3305</v>
      </c>
      <c r="G534" s="30" t="s">
        <v>3306</v>
      </c>
      <c r="H534" s="12" t="s">
        <v>2470</v>
      </c>
      <c r="I534" s="10" t="s">
        <v>2471</v>
      </c>
      <c r="J534" s="12"/>
    </row>
    <row r="535" customFormat="false" ht="23.85" hidden="false" customHeight="false" outlineLevel="0" collapsed="false">
      <c r="A535" s="12" t="s">
        <v>49</v>
      </c>
      <c r="B535" s="12" t="s">
        <v>206</v>
      </c>
      <c r="C535" s="10" t="s">
        <v>207</v>
      </c>
      <c r="D535" s="30" t="s">
        <v>384</v>
      </c>
      <c r="E535" s="10" t="s">
        <v>1044</v>
      </c>
      <c r="F535" s="10" t="s">
        <v>3307</v>
      </c>
      <c r="G535" s="30" t="s">
        <v>3308</v>
      </c>
      <c r="H535" s="12" t="s">
        <v>2470</v>
      </c>
      <c r="I535" s="10" t="s">
        <v>2471</v>
      </c>
      <c r="J535" s="12"/>
    </row>
    <row r="536" customFormat="false" ht="23.85" hidden="false" customHeight="false" outlineLevel="0" collapsed="false">
      <c r="A536" s="12" t="s">
        <v>49</v>
      </c>
      <c r="B536" s="12" t="s">
        <v>229</v>
      </c>
      <c r="C536" s="10" t="s">
        <v>230</v>
      </c>
      <c r="D536" s="30" t="s">
        <v>434</v>
      </c>
      <c r="E536" s="10" t="s">
        <v>995</v>
      </c>
      <c r="F536" s="10" t="s">
        <v>3309</v>
      </c>
      <c r="G536" s="30" t="s">
        <v>1924</v>
      </c>
      <c r="H536" s="12" t="s">
        <v>2477</v>
      </c>
      <c r="I536" s="10" t="s">
        <v>2478</v>
      </c>
      <c r="J536" s="12"/>
    </row>
    <row r="537" customFormat="false" ht="35.05" hidden="false" customHeight="false" outlineLevel="0" collapsed="false">
      <c r="A537" s="12" t="s">
        <v>49</v>
      </c>
      <c r="B537" s="12" t="s">
        <v>148</v>
      </c>
      <c r="C537" s="10" t="s">
        <v>149</v>
      </c>
      <c r="D537" s="30" t="s">
        <v>322</v>
      </c>
      <c r="E537" s="10" t="s">
        <v>2289</v>
      </c>
      <c r="F537" s="10" t="s">
        <v>3310</v>
      </c>
      <c r="G537" s="30" t="s">
        <v>1904</v>
      </c>
      <c r="H537" s="12" t="s">
        <v>2404</v>
      </c>
      <c r="I537" s="10" t="s">
        <v>2405</v>
      </c>
      <c r="J537" s="12"/>
    </row>
    <row r="538" customFormat="false" ht="35.05" hidden="false" customHeight="false" outlineLevel="0" collapsed="false">
      <c r="A538" s="12" t="s">
        <v>49</v>
      </c>
      <c r="B538" s="12" t="s">
        <v>148</v>
      </c>
      <c r="C538" s="10" t="s">
        <v>149</v>
      </c>
      <c r="D538" s="30" t="s">
        <v>322</v>
      </c>
      <c r="E538" s="10" t="s">
        <v>96</v>
      </c>
      <c r="F538" s="10" t="s">
        <v>3311</v>
      </c>
      <c r="G538" s="30" t="s">
        <v>2182</v>
      </c>
      <c r="H538" s="12" t="s">
        <v>2269</v>
      </c>
      <c r="I538" s="10" t="s">
        <v>3312</v>
      </c>
      <c r="J538" s="12"/>
    </row>
    <row r="539" customFormat="false" ht="35.05" hidden="false" customHeight="false" outlineLevel="0" collapsed="false">
      <c r="A539" s="12" t="s">
        <v>49</v>
      </c>
      <c r="B539" s="12" t="s">
        <v>267</v>
      </c>
      <c r="C539" s="10" t="s">
        <v>268</v>
      </c>
      <c r="D539" s="30" t="s">
        <v>587</v>
      </c>
      <c r="E539" s="10" t="s">
        <v>1044</v>
      </c>
      <c r="F539" s="10" t="s">
        <v>3313</v>
      </c>
      <c r="G539" s="30" t="s">
        <v>3314</v>
      </c>
      <c r="H539" s="12" t="s">
        <v>2470</v>
      </c>
      <c r="I539" s="10" t="s">
        <v>2471</v>
      </c>
      <c r="J539" s="12"/>
    </row>
    <row r="540" customFormat="false" ht="35.05" hidden="false" customHeight="false" outlineLevel="0" collapsed="false">
      <c r="A540" s="12" t="s">
        <v>33</v>
      </c>
      <c r="B540" s="12" t="s">
        <v>192</v>
      </c>
      <c r="C540" s="10" t="s">
        <v>193</v>
      </c>
      <c r="D540" s="30" t="s">
        <v>588</v>
      </c>
      <c r="E540" s="10" t="s">
        <v>2289</v>
      </c>
      <c r="F540" s="10" t="s">
        <v>3315</v>
      </c>
      <c r="G540" s="30" t="s">
        <v>3316</v>
      </c>
      <c r="H540" s="12" t="s">
        <v>2292</v>
      </c>
      <c r="I540" s="10" t="s">
        <v>2293</v>
      </c>
      <c r="J540" s="12"/>
    </row>
    <row r="541" customFormat="false" ht="35.05" hidden="false" customHeight="false" outlineLevel="0" collapsed="false">
      <c r="A541" s="12" t="s">
        <v>33</v>
      </c>
      <c r="B541" s="12" t="s">
        <v>192</v>
      </c>
      <c r="C541" s="10" t="s">
        <v>193</v>
      </c>
      <c r="D541" s="30" t="s">
        <v>588</v>
      </c>
      <c r="E541" s="10" t="s">
        <v>1044</v>
      </c>
      <c r="F541" s="10" t="s">
        <v>3317</v>
      </c>
      <c r="G541" s="30" t="s">
        <v>3318</v>
      </c>
      <c r="H541" s="12" t="s">
        <v>2302</v>
      </c>
      <c r="I541" s="10" t="s">
        <v>2303</v>
      </c>
      <c r="J541" s="12"/>
    </row>
    <row r="542" customFormat="false" ht="35.05" hidden="false" customHeight="false" outlineLevel="0" collapsed="false">
      <c r="A542" s="12" t="s">
        <v>33</v>
      </c>
      <c r="B542" s="12" t="s">
        <v>89</v>
      </c>
      <c r="C542" s="10" t="s">
        <v>90</v>
      </c>
      <c r="D542" s="30" t="s">
        <v>316</v>
      </c>
      <c r="E542" s="10" t="s">
        <v>2289</v>
      </c>
      <c r="F542" s="10" t="s">
        <v>3319</v>
      </c>
      <c r="G542" s="30" t="s">
        <v>3320</v>
      </c>
      <c r="H542" s="12" t="s">
        <v>2292</v>
      </c>
      <c r="I542" s="10" t="s">
        <v>2293</v>
      </c>
      <c r="J542" s="12"/>
    </row>
    <row r="543" customFormat="false" ht="46.25" hidden="false" customHeight="false" outlineLevel="0" collapsed="false">
      <c r="A543" s="12" t="s">
        <v>33</v>
      </c>
      <c r="B543" s="12" t="s">
        <v>89</v>
      </c>
      <c r="C543" s="10" t="s">
        <v>90</v>
      </c>
      <c r="D543" s="30" t="s">
        <v>316</v>
      </c>
      <c r="E543" s="10" t="s">
        <v>96</v>
      </c>
      <c r="F543" s="10" t="s">
        <v>3321</v>
      </c>
      <c r="G543" s="30" t="s">
        <v>3322</v>
      </c>
      <c r="H543" s="12" t="s">
        <v>2532</v>
      </c>
      <c r="I543" s="10" t="s">
        <v>3323</v>
      </c>
      <c r="J543" s="30" t="s">
        <v>2182</v>
      </c>
    </row>
    <row r="544" customFormat="false" ht="23.85" hidden="false" customHeight="false" outlineLevel="0" collapsed="false">
      <c r="A544" s="12" t="s">
        <v>33</v>
      </c>
      <c r="B544" s="12" t="s">
        <v>89</v>
      </c>
      <c r="C544" s="10" t="s">
        <v>90</v>
      </c>
      <c r="D544" s="30" t="s">
        <v>316</v>
      </c>
      <c r="E544" s="10" t="s">
        <v>948</v>
      </c>
      <c r="F544" s="10" t="s">
        <v>3324</v>
      </c>
      <c r="G544" s="30" t="s">
        <v>3325</v>
      </c>
      <c r="H544" s="12" t="s">
        <v>2626</v>
      </c>
      <c r="I544" s="10" t="s">
        <v>2627</v>
      </c>
      <c r="J544" s="12"/>
    </row>
    <row r="545" customFormat="false" ht="147" hidden="false" customHeight="false" outlineLevel="0" collapsed="false">
      <c r="A545" s="12" t="s">
        <v>33</v>
      </c>
      <c r="B545" s="12" t="s">
        <v>89</v>
      </c>
      <c r="C545" s="10" t="s">
        <v>90</v>
      </c>
      <c r="D545" s="30" t="s">
        <v>316</v>
      </c>
      <c r="E545" s="10" t="s">
        <v>1590</v>
      </c>
      <c r="F545" s="10" t="s">
        <v>3321</v>
      </c>
      <c r="G545" s="30" t="s">
        <v>3322</v>
      </c>
      <c r="H545" s="12" t="s">
        <v>2532</v>
      </c>
      <c r="I545" s="10" t="s">
        <v>3326</v>
      </c>
      <c r="J545" s="30" t="s">
        <v>2182</v>
      </c>
    </row>
    <row r="546" customFormat="false" ht="23.85" hidden="false" customHeight="false" outlineLevel="0" collapsed="false">
      <c r="A546" s="12" t="s">
        <v>33</v>
      </c>
      <c r="B546" s="12" t="s">
        <v>89</v>
      </c>
      <c r="C546" s="10" t="s">
        <v>90</v>
      </c>
      <c r="D546" s="30" t="s">
        <v>316</v>
      </c>
      <c r="E546" s="10" t="s">
        <v>995</v>
      </c>
      <c r="F546" s="10" t="s">
        <v>3327</v>
      </c>
      <c r="G546" s="30" t="s">
        <v>3328</v>
      </c>
      <c r="H546" s="12" t="s">
        <v>2322</v>
      </c>
      <c r="I546" s="10" t="s">
        <v>2323</v>
      </c>
      <c r="J546" s="12"/>
    </row>
    <row r="547" customFormat="false" ht="23.85" hidden="false" customHeight="false" outlineLevel="0" collapsed="false">
      <c r="A547" s="12" t="s">
        <v>33</v>
      </c>
      <c r="B547" s="12" t="s">
        <v>590</v>
      </c>
      <c r="C547" s="10" t="s">
        <v>591</v>
      </c>
      <c r="D547" s="30" t="s">
        <v>592</v>
      </c>
      <c r="E547" s="10" t="s">
        <v>144</v>
      </c>
      <c r="F547" s="10" t="s">
        <v>3329</v>
      </c>
      <c r="G547" s="30" t="s">
        <v>3330</v>
      </c>
      <c r="H547" s="12" t="s">
        <v>2265</v>
      </c>
      <c r="I547" s="10" t="s">
        <v>2266</v>
      </c>
      <c r="J547" s="12"/>
    </row>
    <row r="548" customFormat="false" ht="23.85" hidden="false" customHeight="false" outlineLevel="0" collapsed="false">
      <c r="A548" s="12" t="s">
        <v>33</v>
      </c>
      <c r="B548" s="12" t="s">
        <v>120</v>
      </c>
      <c r="C548" s="10" t="s">
        <v>121</v>
      </c>
      <c r="D548" s="30" t="s">
        <v>325</v>
      </c>
      <c r="E548" s="10" t="s">
        <v>144</v>
      </c>
      <c r="F548" s="10" t="s">
        <v>3331</v>
      </c>
      <c r="G548" s="30" t="s">
        <v>3332</v>
      </c>
      <c r="H548" s="12" t="s">
        <v>2265</v>
      </c>
      <c r="I548" s="10" t="s">
        <v>2266</v>
      </c>
      <c r="J548" s="12"/>
    </row>
    <row r="549" customFormat="false" ht="35.05" hidden="false" customHeight="false" outlineLevel="0" collapsed="false">
      <c r="A549" s="12" t="s">
        <v>33</v>
      </c>
      <c r="B549" s="12" t="s">
        <v>120</v>
      </c>
      <c r="C549" s="10" t="s">
        <v>121</v>
      </c>
      <c r="D549" s="30" t="s">
        <v>325</v>
      </c>
      <c r="E549" s="10" t="s">
        <v>96</v>
      </c>
      <c r="F549" s="10" t="s">
        <v>3321</v>
      </c>
      <c r="G549" s="30" t="s">
        <v>2182</v>
      </c>
      <c r="H549" s="12" t="s">
        <v>2269</v>
      </c>
      <c r="I549" s="10" t="s">
        <v>3333</v>
      </c>
      <c r="J549" s="12"/>
    </row>
    <row r="550" customFormat="false" ht="35.05" hidden="false" customHeight="false" outlineLevel="0" collapsed="false">
      <c r="A550" s="12" t="s">
        <v>33</v>
      </c>
      <c r="B550" s="12" t="s">
        <v>473</v>
      </c>
      <c r="C550" s="10" t="s">
        <v>474</v>
      </c>
      <c r="D550" s="30" t="s">
        <v>476</v>
      </c>
      <c r="E550" s="10" t="s">
        <v>96</v>
      </c>
      <c r="F550" s="10" t="s">
        <v>3334</v>
      </c>
      <c r="G550" s="30" t="s">
        <v>2182</v>
      </c>
      <c r="H550" s="12" t="s">
        <v>2269</v>
      </c>
      <c r="I550" s="10" t="s">
        <v>3335</v>
      </c>
      <c r="J550" s="12"/>
    </row>
    <row r="551" customFormat="false" ht="46.25" hidden="false" customHeight="false" outlineLevel="0" collapsed="false">
      <c r="A551" s="12" t="s">
        <v>33</v>
      </c>
      <c r="B551" s="12" t="s">
        <v>473</v>
      </c>
      <c r="C551" s="10" t="s">
        <v>474</v>
      </c>
      <c r="D551" s="30" t="s">
        <v>476</v>
      </c>
      <c r="E551" s="10" t="s">
        <v>3336</v>
      </c>
      <c r="F551" s="10" t="s">
        <v>3334</v>
      </c>
      <c r="G551" s="30" t="s">
        <v>3337</v>
      </c>
      <c r="H551" s="12" t="s">
        <v>2298</v>
      </c>
      <c r="I551" s="10" t="s">
        <v>3338</v>
      </c>
      <c r="J551" s="30" t="s">
        <v>2182</v>
      </c>
    </row>
    <row r="552" customFormat="false" ht="35.05" hidden="false" customHeight="false" outlineLevel="0" collapsed="false">
      <c r="A552" s="12" t="s">
        <v>33</v>
      </c>
      <c r="B552" s="12" t="s">
        <v>473</v>
      </c>
      <c r="C552" s="10" t="s">
        <v>474</v>
      </c>
      <c r="D552" s="30" t="s">
        <v>476</v>
      </c>
      <c r="E552" s="10" t="s">
        <v>1044</v>
      </c>
      <c r="F552" s="10" t="s">
        <v>3339</v>
      </c>
      <c r="G552" s="30" t="s">
        <v>3340</v>
      </c>
      <c r="H552" s="12" t="s">
        <v>2470</v>
      </c>
      <c r="I552" s="10" t="s">
        <v>2471</v>
      </c>
      <c r="J552" s="12"/>
    </row>
    <row r="553" customFormat="false" ht="35.05" hidden="false" customHeight="false" outlineLevel="0" collapsed="false">
      <c r="A553" s="12" t="s">
        <v>33</v>
      </c>
      <c r="B553" s="12" t="s">
        <v>114</v>
      </c>
      <c r="C553" s="10" t="s">
        <v>115</v>
      </c>
      <c r="D553" s="30" t="s">
        <v>304</v>
      </c>
      <c r="E553" s="10" t="s">
        <v>2289</v>
      </c>
      <c r="F553" s="10" t="s">
        <v>3341</v>
      </c>
      <c r="G553" s="30" t="s">
        <v>3342</v>
      </c>
      <c r="H553" s="12" t="s">
        <v>2292</v>
      </c>
      <c r="I553" s="10" t="s">
        <v>2293</v>
      </c>
      <c r="J553" s="12"/>
    </row>
    <row r="554" customFormat="false" ht="35.05" hidden="false" customHeight="false" outlineLevel="0" collapsed="false">
      <c r="A554" s="12" t="s">
        <v>33</v>
      </c>
      <c r="B554" s="12" t="s">
        <v>114</v>
      </c>
      <c r="C554" s="10" t="s">
        <v>115</v>
      </c>
      <c r="D554" s="30" t="s">
        <v>304</v>
      </c>
      <c r="E554" s="10" t="s">
        <v>96</v>
      </c>
      <c r="F554" s="10" t="s">
        <v>3321</v>
      </c>
      <c r="G554" s="30" t="s">
        <v>2182</v>
      </c>
      <c r="H554" s="12" t="s">
        <v>2269</v>
      </c>
      <c r="I554" s="10" t="s">
        <v>3343</v>
      </c>
      <c r="J554" s="12"/>
    </row>
    <row r="555" customFormat="false" ht="35.05" hidden="false" customHeight="false" outlineLevel="0" collapsed="false">
      <c r="A555" s="12" t="s">
        <v>33</v>
      </c>
      <c r="B555" s="12" t="s">
        <v>114</v>
      </c>
      <c r="C555" s="10" t="s">
        <v>115</v>
      </c>
      <c r="D555" s="30" t="s">
        <v>304</v>
      </c>
      <c r="E555" s="10" t="s">
        <v>3344</v>
      </c>
      <c r="F555" s="10" t="s">
        <v>3321</v>
      </c>
      <c r="G555" s="30" t="s">
        <v>2182</v>
      </c>
      <c r="H555" s="12" t="s">
        <v>2269</v>
      </c>
      <c r="I555" s="10" t="s">
        <v>3345</v>
      </c>
      <c r="J555" s="12"/>
    </row>
    <row r="556" customFormat="false" ht="35.05" hidden="false" customHeight="false" outlineLevel="0" collapsed="false">
      <c r="A556" s="12" t="s">
        <v>33</v>
      </c>
      <c r="B556" s="12" t="s">
        <v>128</v>
      </c>
      <c r="C556" s="10" t="s">
        <v>129</v>
      </c>
      <c r="D556" s="30" t="s">
        <v>341</v>
      </c>
      <c r="E556" s="10" t="s">
        <v>96</v>
      </c>
      <c r="F556" s="10" t="s">
        <v>3321</v>
      </c>
      <c r="G556" s="30" t="s">
        <v>2182</v>
      </c>
      <c r="H556" s="12" t="s">
        <v>2269</v>
      </c>
      <c r="I556" s="10" t="s">
        <v>3346</v>
      </c>
      <c r="J556" s="12"/>
    </row>
    <row r="557" customFormat="false" ht="23.85" hidden="false" customHeight="false" outlineLevel="0" collapsed="false">
      <c r="A557" s="12" t="s">
        <v>33</v>
      </c>
      <c r="B557" s="12" t="s">
        <v>128</v>
      </c>
      <c r="C557" s="10" t="s">
        <v>129</v>
      </c>
      <c r="D557" s="30" t="s">
        <v>341</v>
      </c>
      <c r="E557" s="10" t="s">
        <v>948</v>
      </c>
      <c r="F557" s="10" t="s">
        <v>3347</v>
      </c>
      <c r="G557" s="30" t="s">
        <v>3348</v>
      </c>
      <c r="H557" s="12" t="s">
        <v>2283</v>
      </c>
      <c r="I557" s="10" t="s">
        <v>2284</v>
      </c>
      <c r="J557" s="12"/>
    </row>
    <row r="558" customFormat="false" ht="46.25" hidden="false" customHeight="false" outlineLevel="0" collapsed="false">
      <c r="A558" s="12" t="s">
        <v>33</v>
      </c>
      <c r="B558" s="12" t="s">
        <v>128</v>
      </c>
      <c r="C558" s="10" t="s">
        <v>129</v>
      </c>
      <c r="D558" s="30" t="s">
        <v>341</v>
      </c>
      <c r="E558" s="10" t="s">
        <v>3349</v>
      </c>
      <c r="F558" s="10" t="s">
        <v>3321</v>
      </c>
      <c r="G558" s="30" t="s">
        <v>3350</v>
      </c>
      <c r="H558" s="12" t="s">
        <v>2298</v>
      </c>
      <c r="I558" s="10" t="s">
        <v>3351</v>
      </c>
      <c r="J558" s="30" t="s">
        <v>2182</v>
      </c>
    </row>
    <row r="559" customFormat="false" ht="35.05" hidden="false" customHeight="false" outlineLevel="0" collapsed="false">
      <c r="A559" s="12" t="s">
        <v>33</v>
      </c>
      <c r="B559" s="12" t="s">
        <v>148</v>
      </c>
      <c r="C559" s="10" t="s">
        <v>149</v>
      </c>
      <c r="D559" s="30" t="s">
        <v>322</v>
      </c>
      <c r="E559" s="10" t="s">
        <v>2289</v>
      </c>
      <c r="F559" s="10" t="s">
        <v>3352</v>
      </c>
      <c r="G559" s="30" t="s">
        <v>1904</v>
      </c>
      <c r="H559" s="12" t="s">
        <v>2404</v>
      </c>
      <c r="I559" s="10" t="s">
        <v>2405</v>
      </c>
      <c r="J559" s="12"/>
    </row>
    <row r="560" customFormat="false" ht="35.05" hidden="false" customHeight="false" outlineLevel="0" collapsed="false">
      <c r="A560" s="12" t="s">
        <v>33</v>
      </c>
      <c r="B560" s="12" t="s">
        <v>148</v>
      </c>
      <c r="C560" s="10" t="s">
        <v>149</v>
      </c>
      <c r="D560" s="30" t="s">
        <v>322</v>
      </c>
      <c r="E560" s="10" t="s">
        <v>96</v>
      </c>
      <c r="F560" s="10" t="s">
        <v>3353</v>
      </c>
      <c r="G560" s="30" t="s">
        <v>2182</v>
      </c>
      <c r="H560" s="12" t="s">
        <v>2269</v>
      </c>
      <c r="I560" s="10" t="s">
        <v>3354</v>
      </c>
      <c r="J560" s="12"/>
    </row>
    <row r="561" customFormat="false" ht="23.85" hidden="false" customHeight="false" outlineLevel="0" collapsed="false">
      <c r="A561" s="12" t="s">
        <v>33</v>
      </c>
      <c r="B561" s="12" t="s">
        <v>148</v>
      </c>
      <c r="C561" s="10" t="s">
        <v>149</v>
      </c>
      <c r="D561" s="30" t="s">
        <v>322</v>
      </c>
      <c r="E561" s="10" t="s">
        <v>948</v>
      </c>
      <c r="F561" s="10" t="s">
        <v>3355</v>
      </c>
      <c r="G561" s="30" t="s">
        <v>3356</v>
      </c>
      <c r="H561" s="12" t="s">
        <v>2283</v>
      </c>
      <c r="I561" s="10" t="s">
        <v>2284</v>
      </c>
      <c r="J561" s="12"/>
    </row>
    <row r="562" customFormat="false" ht="68.65" hidden="false" customHeight="false" outlineLevel="0" collapsed="false">
      <c r="A562" s="12" t="s">
        <v>33</v>
      </c>
      <c r="B562" s="12" t="s">
        <v>148</v>
      </c>
      <c r="C562" s="10" t="s">
        <v>149</v>
      </c>
      <c r="D562" s="30" t="s">
        <v>322</v>
      </c>
      <c r="E562" s="10" t="s">
        <v>3357</v>
      </c>
      <c r="F562" s="10" t="s">
        <v>3353</v>
      </c>
      <c r="G562" s="30" t="s">
        <v>2182</v>
      </c>
      <c r="H562" s="12" t="s">
        <v>2269</v>
      </c>
      <c r="I562" s="10" t="s">
        <v>3358</v>
      </c>
      <c r="J562" s="12"/>
    </row>
    <row r="563" customFormat="false" ht="23.85" hidden="false" customHeight="false" outlineLevel="0" collapsed="false">
      <c r="A563" s="12" t="s">
        <v>33</v>
      </c>
      <c r="B563" s="12" t="s">
        <v>148</v>
      </c>
      <c r="C563" s="10" t="s">
        <v>149</v>
      </c>
      <c r="D563" s="30" t="s">
        <v>322</v>
      </c>
      <c r="E563" s="10" t="s">
        <v>1044</v>
      </c>
      <c r="F563" s="10" t="s">
        <v>3359</v>
      </c>
      <c r="G563" s="30" t="s">
        <v>3360</v>
      </c>
      <c r="H563" s="12" t="s">
        <v>2302</v>
      </c>
      <c r="I563" s="10" t="s">
        <v>2303</v>
      </c>
      <c r="J563" s="12"/>
    </row>
    <row r="564" customFormat="false" ht="23.85" hidden="false" customHeight="false" outlineLevel="0" collapsed="false">
      <c r="A564" s="12" t="s">
        <v>33</v>
      </c>
      <c r="B564" s="12" t="s">
        <v>148</v>
      </c>
      <c r="C564" s="10" t="s">
        <v>149</v>
      </c>
      <c r="D564" s="30" t="s">
        <v>322</v>
      </c>
      <c r="E564" s="10" t="s">
        <v>995</v>
      </c>
      <c r="F564" s="10" t="s">
        <v>3361</v>
      </c>
      <c r="G564" s="30" t="s">
        <v>3362</v>
      </c>
      <c r="H564" s="12" t="s">
        <v>2322</v>
      </c>
      <c r="I564" s="10" t="s">
        <v>2323</v>
      </c>
      <c r="J564" s="12"/>
    </row>
    <row r="565" customFormat="false" ht="35.05" hidden="false" customHeight="false" outlineLevel="0" collapsed="false">
      <c r="A565" s="12" t="s">
        <v>33</v>
      </c>
      <c r="B565" s="12" t="s">
        <v>197</v>
      </c>
      <c r="C565" s="10" t="s">
        <v>198</v>
      </c>
      <c r="D565" s="30" t="s">
        <v>589</v>
      </c>
      <c r="E565" s="10" t="s">
        <v>96</v>
      </c>
      <c r="F565" s="10" t="s">
        <v>3334</v>
      </c>
      <c r="G565" s="30" t="s">
        <v>2182</v>
      </c>
      <c r="H565" s="12" t="s">
        <v>2269</v>
      </c>
      <c r="I565" s="10" t="s">
        <v>3363</v>
      </c>
      <c r="J565" s="12"/>
    </row>
    <row r="566" customFormat="false" ht="35.05" hidden="false" customHeight="false" outlineLevel="0" collapsed="false">
      <c r="A566" s="12" t="s">
        <v>33</v>
      </c>
      <c r="B566" s="12" t="s">
        <v>197</v>
      </c>
      <c r="C566" s="10" t="s">
        <v>198</v>
      </c>
      <c r="D566" s="30" t="s">
        <v>589</v>
      </c>
      <c r="E566" s="10" t="s">
        <v>3364</v>
      </c>
      <c r="F566" s="10" t="s">
        <v>3334</v>
      </c>
      <c r="G566" s="30" t="s">
        <v>2182</v>
      </c>
      <c r="H566" s="12" t="s">
        <v>2269</v>
      </c>
      <c r="I566" s="10" t="s">
        <v>3365</v>
      </c>
      <c r="J566" s="12"/>
    </row>
    <row r="567" customFormat="false" ht="35.05" hidden="false" customHeight="false" outlineLevel="0" collapsed="false">
      <c r="A567" s="12" t="s">
        <v>33</v>
      </c>
      <c r="B567" s="12" t="s">
        <v>197</v>
      </c>
      <c r="C567" s="10" t="s">
        <v>198</v>
      </c>
      <c r="D567" s="30" t="s">
        <v>589</v>
      </c>
      <c r="E567" s="10" t="s">
        <v>1044</v>
      </c>
      <c r="F567" s="10" t="s">
        <v>3366</v>
      </c>
      <c r="G567" s="30" t="s">
        <v>3367</v>
      </c>
      <c r="H567" s="12" t="s">
        <v>2302</v>
      </c>
      <c r="I567" s="10" t="s">
        <v>2303</v>
      </c>
      <c r="J567" s="12"/>
    </row>
    <row r="568" customFormat="false" ht="35.05" hidden="false" customHeight="false" outlineLevel="0" collapsed="false">
      <c r="A568" s="12" t="s">
        <v>33</v>
      </c>
      <c r="B568" s="12" t="s">
        <v>180</v>
      </c>
      <c r="C568" s="10" t="s">
        <v>181</v>
      </c>
      <c r="D568" s="30" t="s">
        <v>356</v>
      </c>
      <c r="E568" s="10" t="s">
        <v>2289</v>
      </c>
      <c r="F568" s="10" t="s">
        <v>3368</v>
      </c>
      <c r="G568" s="30" t="s">
        <v>1959</v>
      </c>
      <c r="H568" s="12" t="s">
        <v>2404</v>
      </c>
      <c r="I568" s="10" t="s">
        <v>2405</v>
      </c>
      <c r="J568" s="12"/>
    </row>
    <row r="569" customFormat="false" ht="35.05" hidden="false" customHeight="false" outlineLevel="0" collapsed="false">
      <c r="A569" s="12" t="s">
        <v>33</v>
      </c>
      <c r="B569" s="12" t="s">
        <v>180</v>
      </c>
      <c r="C569" s="10" t="s">
        <v>181</v>
      </c>
      <c r="D569" s="30" t="s">
        <v>356</v>
      </c>
      <c r="E569" s="10" t="s">
        <v>96</v>
      </c>
      <c r="F569" s="10" t="s">
        <v>3369</v>
      </c>
      <c r="G569" s="30" t="s">
        <v>2182</v>
      </c>
      <c r="H569" s="12" t="s">
        <v>2269</v>
      </c>
      <c r="I569" s="10" t="s">
        <v>3370</v>
      </c>
      <c r="J569" s="12"/>
    </row>
    <row r="570" customFormat="false" ht="68.65" hidden="false" customHeight="false" outlineLevel="0" collapsed="false">
      <c r="A570" s="12" t="s">
        <v>33</v>
      </c>
      <c r="B570" s="12" t="s">
        <v>180</v>
      </c>
      <c r="C570" s="10" t="s">
        <v>181</v>
      </c>
      <c r="D570" s="30" t="s">
        <v>356</v>
      </c>
      <c r="E570" s="10" t="s">
        <v>3371</v>
      </c>
      <c r="F570" s="10" t="s">
        <v>3369</v>
      </c>
      <c r="G570" s="30" t="s">
        <v>3372</v>
      </c>
      <c r="H570" s="12" t="s">
        <v>2298</v>
      </c>
      <c r="I570" s="10" t="s">
        <v>3373</v>
      </c>
      <c r="J570" s="30" t="s">
        <v>2182</v>
      </c>
    </row>
    <row r="571" customFormat="false" ht="35.05" hidden="false" customHeight="false" outlineLevel="0" collapsed="false">
      <c r="A571" s="12" t="s">
        <v>33</v>
      </c>
      <c r="B571" s="12" t="s">
        <v>549</v>
      </c>
      <c r="C571" s="10" t="s">
        <v>550</v>
      </c>
      <c r="D571" s="30" t="s">
        <v>552</v>
      </c>
      <c r="E571" s="10" t="s">
        <v>1975</v>
      </c>
      <c r="F571" s="10" t="s">
        <v>3334</v>
      </c>
      <c r="G571" s="30" t="s">
        <v>2182</v>
      </c>
      <c r="H571" s="12" t="s">
        <v>2269</v>
      </c>
      <c r="I571" s="10" t="s">
        <v>3374</v>
      </c>
      <c r="J571" s="12"/>
    </row>
    <row r="572" customFormat="false" ht="23.85" hidden="false" customHeight="false" outlineLevel="0" collapsed="false">
      <c r="A572" s="12" t="s">
        <v>33</v>
      </c>
      <c r="B572" s="12" t="s">
        <v>117</v>
      </c>
      <c r="C572" s="10" t="s">
        <v>118</v>
      </c>
      <c r="D572" s="30" t="s">
        <v>428</v>
      </c>
      <c r="E572" s="10" t="s">
        <v>144</v>
      </c>
      <c r="F572" s="10" t="s">
        <v>3375</v>
      </c>
      <c r="G572" s="30" t="s">
        <v>3222</v>
      </c>
      <c r="H572" s="12" t="s">
        <v>2265</v>
      </c>
      <c r="I572" s="10" t="s">
        <v>2266</v>
      </c>
      <c r="J572" s="12"/>
    </row>
    <row r="573" customFormat="false" ht="23.85" hidden="false" customHeight="false" outlineLevel="0" collapsed="false">
      <c r="A573" s="12" t="s">
        <v>33</v>
      </c>
      <c r="B573" s="12" t="s">
        <v>117</v>
      </c>
      <c r="C573" s="10" t="s">
        <v>118</v>
      </c>
      <c r="D573" s="30" t="s">
        <v>428</v>
      </c>
      <c r="E573" s="10" t="s">
        <v>2289</v>
      </c>
      <c r="F573" s="10" t="s">
        <v>3376</v>
      </c>
      <c r="G573" s="30" t="s">
        <v>1934</v>
      </c>
      <c r="H573" s="12" t="s">
        <v>2404</v>
      </c>
      <c r="I573" s="10" t="s">
        <v>2405</v>
      </c>
      <c r="J573" s="12"/>
    </row>
    <row r="574" customFormat="false" ht="35.05" hidden="false" customHeight="false" outlineLevel="0" collapsed="false">
      <c r="A574" s="12" t="s">
        <v>33</v>
      </c>
      <c r="B574" s="12" t="s">
        <v>117</v>
      </c>
      <c r="C574" s="10" t="s">
        <v>118</v>
      </c>
      <c r="D574" s="30" t="s">
        <v>428</v>
      </c>
      <c r="E574" s="10" t="s">
        <v>96</v>
      </c>
      <c r="F574" s="10" t="s">
        <v>3377</v>
      </c>
      <c r="G574" s="30" t="s">
        <v>2182</v>
      </c>
      <c r="H574" s="12" t="s">
        <v>2269</v>
      </c>
      <c r="I574" s="10" t="s">
        <v>3378</v>
      </c>
      <c r="J574" s="12"/>
    </row>
    <row r="575" customFormat="false" ht="35.05" hidden="false" customHeight="false" outlineLevel="0" collapsed="false">
      <c r="A575" s="12" t="s">
        <v>33</v>
      </c>
      <c r="B575" s="12" t="s">
        <v>117</v>
      </c>
      <c r="C575" s="10" t="s">
        <v>118</v>
      </c>
      <c r="D575" s="30" t="s">
        <v>428</v>
      </c>
      <c r="E575" s="10" t="s">
        <v>3379</v>
      </c>
      <c r="F575" s="10" t="s">
        <v>3377</v>
      </c>
      <c r="G575" s="30" t="s">
        <v>2182</v>
      </c>
      <c r="H575" s="12" t="s">
        <v>2269</v>
      </c>
      <c r="I575" s="10" t="s">
        <v>3380</v>
      </c>
      <c r="J575" s="12"/>
    </row>
    <row r="576" customFormat="false" ht="23.85" hidden="false" customHeight="false" outlineLevel="0" collapsed="false">
      <c r="A576" s="12" t="s">
        <v>33</v>
      </c>
      <c r="B576" s="12" t="s">
        <v>117</v>
      </c>
      <c r="C576" s="10" t="s">
        <v>118</v>
      </c>
      <c r="D576" s="30" t="s">
        <v>428</v>
      </c>
      <c r="E576" s="10" t="s">
        <v>995</v>
      </c>
      <c r="F576" s="10" t="s">
        <v>3381</v>
      </c>
      <c r="G576" s="30" t="s">
        <v>3382</v>
      </c>
      <c r="H576" s="12" t="s">
        <v>2322</v>
      </c>
      <c r="I576" s="10" t="s">
        <v>2323</v>
      </c>
      <c r="J576" s="12"/>
    </row>
    <row r="577" customFormat="false" ht="35.05" hidden="false" customHeight="false" outlineLevel="0" collapsed="false">
      <c r="A577" s="12" t="s">
        <v>33</v>
      </c>
      <c r="B577" s="12" t="s">
        <v>178</v>
      </c>
      <c r="C577" s="10" t="s">
        <v>179</v>
      </c>
      <c r="D577" s="30" t="s">
        <v>438</v>
      </c>
      <c r="E577" s="10" t="s">
        <v>2289</v>
      </c>
      <c r="F577" s="10" t="s">
        <v>3383</v>
      </c>
      <c r="G577" s="30" t="s">
        <v>3384</v>
      </c>
      <c r="H577" s="12" t="s">
        <v>2292</v>
      </c>
      <c r="I577" s="10" t="s">
        <v>2293</v>
      </c>
      <c r="J577" s="12"/>
    </row>
    <row r="578" customFormat="false" ht="35.05" hidden="false" customHeight="false" outlineLevel="0" collapsed="false">
      <c r="A578" s="12" t="s">
        <v>33</v>
      </c>
      <c r="B578" s="12" t="s">
        <v>178</v>
      </c>
      <c r="C578" s="10" t="s">
        <v>179</v>
      </c>
      <c r="D578" s="30" t="s">
        <v>438</v>
      </c>
      <c r="E578" s="10" t="s">
        <v>96</v>
      </c>
      <c r="F578" s="10" t="s">
        <v>3385</v>
      </c>
      <c r="G578" s="30" t="s">
        <v>2182</v>
      </c>
      <c r="H578" s="12" t="s">
        <v>2269</v>
      </c>
      <c r="I578" s="10" t="s">
        <v>3386</v>
      </c>
      <c r="J578" s="12"/>
    </row>
    <row r="579" customFormat="false" ht="35.05" hidden="false" customHeight="false" outlineLevel="0" collapsed="false">
      <c r="A579" s="12" t="s">
        <v>33</v>
      </c>
      <c r="B579" s="12" t="s">
        <v>178</v>
      </c>
      <c r="C579" s="10" t="s">
        <v>179</v>
      </c>
      <c r="D579" s="30" t="s">
        <v>438</v>
      </c>
      <c r="E579" s="10" t="s">
        <v>3387</v>
      </c>
      <c r="F579" s="10" t="s">
        <v>3385</v>
      </c>
      <c r="G579" s="30" t="s">
        <v>2182</v>
      </c>
      <c r="H579" s="12" t="s">
        <v>2269</v>
      </c>
      <c r="I579" s="10" t="s">
        <v>3388</v>
      </c>
      <c r="J579" s="12"/>
    </row>
    <row r="580" customFormat="false" ht="35.05" hidden="false" customHeight="false" outlineLevel="0" collapsed="false">
      <c r="A580" s="12" t="s">
        <v>33</v>
      </c>
      <c r="B580" s="12" t="s">
        <v>594</v>
      </c>
      <c r="C580" s="10" t="s">
        <v>595</v>
      </c>
      <c r="D580" s="30" t="s">
        <v>596</v>
      </c>
      <c r="E580" s="10" t="s">
        <v>2289</v>
      </c>
      <c r="F580" s="10" t="s">
        <v>3389</v>
      </c>
      <c r="G580" s="30" t="s">
        <v>3390</v>
      </c>
      <c r="H580" s="12" t="s">
        <v>2292</v>
      </c>
      <c r="I580" s="10" t="s">
        <v>2293</v>
      </c>
      <c r="J580" s="12"/>
    </row>
    <row r="581" customFormat="false" ht="35.05" hidden="false" customHeight="false" outlineLevel="0" collapsed="false">
      <c r="A581" s="12" t="s">
        <v>33</v>
      </c>
      <c r="B581" s="12" t="s">
        <v>594</v>
      </c>
      <c r="C581" s="10" t="s">
        <v>595</v>
      </c>
      <c r="D581" s="30" t="s">
        <v>596</v>
      </c>
      <c r="E581" s="10" t="s">
        <v>96</v>
      </c>
      <c r="F581" s="10" t="s">
        <v>3334</v>
      </c>
      <c r="G581" s="30" t="s">
        <v>2182</v>
      </c>
      <c r="H581" s="12" t="s">
        <v>2269</v>
      </c>
      <c r="I581" s="10" t="s">
        <v>3391</v>
      </c>
      <c r="J581" s="12"/>
    </row>
    <row r="582" customFormat="false" ht="46.25" hidden="false" customHeight="false" outlineLevel="0" collapsed="false">
      <c r="A582" s="12" t="s">
        <v>33</v>
      </c>
      <c r="B582" s="12" t="s">
        <v>594</v>
      </c>
      <c r="C582" s="10" t="s">
        <v>595</v>
      </c>
      <c r="D582" s="30" t="s">
        <v>596</v>
      </c>
      <c r="E582" s="10" t="s">
        <v>3392</v>
      </c>
      <c r="F582" s="10" t="s">
        <v>3334</v>
      </c>
      <c r="G582" s="30" t="s">
        <v>3393</v>
      </c>
      <c r="H582" s="12" t="s">
        <v>2298</v>
      </c>
      <c r="I582" s="10" t="s">
        <v>3394</v>
      </c>
      <c r="J582" s="30" t="s">
        <v>2182</v>
      </c>
    </row>
    <row r="583" customFormat="false" ht="23.85" hidden="false" customHeight="false" outlineLevel="0" collapsed="false">
      <c r="A583" s="12" t="s">
        <v>33</v>
      </c>
      <c r="B583" s="12" t="s">
        <v>195</v>
      </c>
      <c r="C583" s="10" t="s">
        <v>196</v>
      </c>
      <c r="D583" s="30" t="s">
        <v>351</v>
      </c>
      <c r="E583" s="10" t="s">
        <v>948</v>
      </c>
      <c r="F583" s="10" t="s">
        <v>3395</v>
      </c>
      <c r="G583" s="30" t="s">
        <v>3396</v>
      </c>
      <c r="H583" s="12" t="s">
        <v>2283</v>
      </c>
      <c r="I583" s="10" t="s">
        <v>2284</v>
      </c>
      <c r="J583" s="12"/>
    </row>
    <row r="584" customFormat="false" ht="23.85" hidden="false" customHeight="false" outlineLevel="0" collapsed="false">
      <c r="A584" s="12" t="s">
        <v>33</v>
      </c>
      <c r="B584" s="12" t="s">
        <v>247</v>
      </c>
      <c r="C584" s="10" t="s">
        <v>248</v>
      </c>
      <c r="D584" s="30" t="s">
        <v>439</v>
      </c>
      <c r="E584" s="10" t="s">
        <v>2289</v>
      </c>
      <c r="F584" s="10" t="s">
        <v>3397</v>
      </c>
      <c r="G584" s="30" t="s">
        <v>3398</v>
      </c>
      <c r="H584" s="12" t="s">
        <v>2292</v>
      </c>
      <c r="I584" s="10" t="s">
        <v>2293</v>
      </c>
      <c r="J584" s="12"/>
    </row>
    <row r="585" customFormat="false" ht="57.45" hidden="false" customHeight="false" outlineLevel="0" collapsed="false">
      <c r="A585" s="12" t="s">
        <v>33</v>
      </c>
      <c r="B585" s="12" t="s">
        <v>247</v>
      </c>
      <c r="C585" s="10" t="s">
        <v>248</v>
      </c>
      <c r="D585" s="30" t="s">
        <v>439</v>
      </c>
      <c r="E585" s="10" t="s">
        <v>3399</v>
      </c>
      <c r="F585" s="10" t="s">
        <v>3400</v>
      </c>
      <c r="G585" s="30" t="s">
        <v>3401</v>
      </c>
      <c r="H585" s="12" t="s">
        <v>2298</v>
      </c>
      <c r="I585" s="10" t="s">
        <v>3402</v>
      </c>
      <c r="J585" s="30" t="s">
        <v>2182</v>
      </c>
    </row>
    <row r="586" customFormat="false" ht="35.05" hidden="false" customHeight="false" outlineLevel="0" collapsed="false">
      <c r="A586" s="12" t="s">
        <v>33</v>
      </c>
      <c r="B586" s="12" t="s">
        <v>247</v>
      </c>
      <c r="C586" s="10" t="s">
        <v>248</v>
      </c>
      <c r="D586" s="30" t="s">
        <v>439</v>
      </c>
      <c r="E586" s="10" t="s">
        <v>1044</v>
      </c>
      <c r="F586" s="10" t="s">
        <v>3403</v>
      </c>
      <c r="G586" s="30" t="s">
        <v>3404</v>
      </c>
      <c r="H586" s="12" t="s">
        <v>2302</v>
      </c>
      <c r="I586" s="10" t="s">
        <v>2303</v>
      </c>
      <c r="J586" s="12"/>
    </row>
    <row r="587" customFormat="false" ht="35.05" hidden="false" customHeight="false" outlineLevel="0" collapsed="false">
      <c r="A587" s="12" t="s">
        <v>33</v>
      </c>
      <c r="B587" s="12" t="s">
        <v>391</v>
      </c>
      <c r="C587" s="10" t="s">
        <v>241</v>
      </c>
      <c r="D587" s="30" t="s">
        <v>392</v>
      </c>
      <c r="E587" s="10" t="s">
        <v>2289</v>
      </c>
      <c r="F587" s="10" t="s">
        <v>3405</v>
      </c>
      <c r="G587" s="30" t="s">
        <v>3406</v>
      </c>
      <c r="H587" s="12" t="s">
        <v>2292</v>
      </c>
      <c r="I587" s="10" t="s">
        <v>2293</v>
      </c>
      <c r="J587" s="12"/>
    </row>
    <row r="588" customFormat="false" ht="35.05" hidden="false" customHeight="false" outlineLevel="0" collapsed="false">
      <c r="A588" s="12" t="s">
        <v>33</v>
      </c>
      <c r="B588" s="12" t="s">
        <v>391</v>
      </c>
      <c r="C588" s="10" t="s">
        <v>241</v>
      </c>
      <c r="D588" s="30" t="s">
        <v>392</v>
      </c>
      <c r="E588" s="10" t="s">
        <v>96</v>
      </c>
      <c r="F588" s="10" t="s">
        <v>3321</v>
      </c>
      <c r="G588" s="30" t="s">
        <v>2182</v>
      </c>
      <c r="H588" s="12" t="s">
        <v>2269</v>
      </c>
      <c r="I588" s="10" t="s">
        <v>3407</v>
      </c>
      <c r="J588" s="12"/>
    </row>
    <row r="589" customFormat="false" ht="35.05" hidden="false" customHeight="false" outlineLevel="0" collapsed="false">
      <c r="A589" s="12" t="s">
        <v>33</v>
      </c>
      <c r="B589" s="12" t="s">
        <v>391</v>
      </c>
      <c r="C589" s="10" t="s">
        <v>241</v>
      </c>
      <c r="D589" s="30" t="s">
        <v>392</v>
      </c>
      <c r="E589" s="10" t="s">
        <v>915</v>
      </c>
      <c r="F589" s="10" t="s">
        <v>3321</v>
      </c>
      <c r="G589" s="30" t="s">
        <v>2182</v>
      </c>
      <c r="H589" s="12" t="s">
        <v>2269</v>
      </c>
      <c r="I589" s="10" t="s">
        <v>3408</v>
      </c>
      <c r="J589" s="12"/>
    </row>
    <row r="590" customFormat="false" ht="23.85" hidden="false" customHeight="false" outlineLevel="0" collapsed="false">
      <c r="A590" s="12" t="s">
        <v>33</v>
      </c>
      <c r="B590" s="12" t="s">
        <v>391</v>
      </c>
      <c r="C590" s="10" t="s">
        <v>241</v>
      </c>
      <c r="D590" s="30" t="s">
        <v>392</v>
      </c>
      <c r="E590" s="10" t="s">
        <v>1044</v>
      </c>
      <c r="F590" s="10" t="s">
        <v>3409</v>
      </c>
      <c r="G590" s="30" t="s">
        <v>3410</v>
      </c>
      <c r="H590" s="12" t="s">
        <v>2470</v>
      </c>
      <c r="I590" s="10" t="s">
        <v>2471</v>
      </c>
      <c r="J590" s="12"/>
    </row>
    <row r="591" customFormat="false" ht="23.85" hidden="false" customHeight="false" outlineLevel="0" collapsed="false">
      <c r="A591" s="12" t="s">
        <v>33</v>
      </c>
      <c r="B591" s="12" t="s">
        <v>391</v>
      </c>
      <c r="C591" s="10" t="s">
        <v>241</v>
      </c>
      <c r="D591" s="30" t="s">
        <v>392</v>
      </c>
      <c r="E591" s="10" t="s">
        <v>995</v>
      </c>
      <c r="F591" s="10" t="s">
        <v>3411</v>
      </c>
      <c r="G591" s="30" t="s">
        <v>3412</v>
      </c>
      <c r="H591" s="12" t="s">
        <v>2322</v>
      </c>
      <c r="I591" s="10" t="s">
        <v>2323</v>
      </c>
      <c r="J591" s="12"/>
    </row>
    <row r="592" customFormat="false" ht="35.05" hidden="false" customHeight="false" outlineLevel="0" collapsed="false">
      <c r="A592" s="12" t="s">
        <v>41</v>
      </c>
      <c r="B592" s="12" t="s">
        <v>114</v>
      </c>
      <c r="C592" s="10" t="s">
        <v>115</v>
      </c>
      <c r="D592" s="30" t="s">
        <v>304</v>
      </c>
      <c r="E592" s="10" t="s">
        <v>888</v>
      </c>
      <c r="F592" s="10" t="s">
        <v>3413</v>
      </c>
      <c r="G592" s="30" t="s">
        <v>2182</v>
      </c>
      <c r="H592" s="12" t="s">
        <v>2269</v>
      </c>
      <c r="I592" s="10" t="s">
        <v>3414</v>
      </c>
      <c r="J592" s="12"/>
    </row>
    <row r="593" customFormat="false" ht="35.05" hidden="false" customHeight="false" outlineLevel="0" collapsed="false">
      <c r="A593" s="12" t="s">
        <v>41</v>
      </c>
      <c r="B593" s="12" t="s">
        <v>244</v>
      </c>
      <c r="C593" s="10" t="s">
        <v>211</v>
      </c>
      <c r="D593" s="30" t="s">
        <v>599</v>
      </c>
      <c r="E593" s="10" t="s">
        <v>2289</v>
      </c>
      <c r="F593" s="10" t="s">
        <v>3415</v>
      </c>
      <c r="G593" s="30" t="s">
        <v>3416</v>
      </c>
      <c r="H593" s="12" t="s">
        <v>2292</v>
      </c>
      <c r="I593" s="10" t="s">
        <v>2293</v>
      </c>
      <c r="J593" s="12"/>
    </row>
    <row r="594" customFormat="false" ht="35.05" hidden="false" customHeight="false" outlineLevel="0" collapsed="false">
      <c r="A594" s="12" t="s">
        <v>41</v>
      </c>
      <c r="B594" s="12" t="s">
        <v>244</v>
      </c>
      <c r="C594" s="10" t="s">
        <v>211</v>
      </c>
      <c r="D594" s="30" t="s">
        <v>599</v>
      </c>
      <c r="E594" s="10" t="s">
        <v>96</v>
      </c>
      <c r="F594" s="10" t="s">
        <v>3417</v>
      </c>
      <c r="G594" s="30" t="s">
        <v>2182</v>
      </c>
      <c r="H594" s="12" t="s">
        <v>2269</v>
      </c>
      <c r="I594" s="10" t="s">
        <v>3418</v>
      </c>
      <c r="J594" s="12"/>
    </row>
    <row r="595" customFormat="false" ht="35.05" hidden="false" customHeight="false" outlineLevel="0" collapsed="false">
      <c r="A595" s="12" t="s">
        <v>41</v>
      </c>
      <c r="B595" s="12" t="s">
        <v>239</v>
      </c>
      <c r="C595" s="10" t="s">
        <v>205</v>
      </c>
      <c r="D595" s="30" t="s">
        <v>579</v>
      </c>
      <c r="E595" s="10" t="s">
        <v>888</v>
      </c>
      <c r="F595" s="10" t="s">
        <v>3413</v>
      </c>
      <c r="G595" s="30" t="s">
        <v>2182</v>
      </c>
      <c r="H595" s="12" t="s">
        <v>2269</v>
      </c>
      <c r="I595" s="10" t="s">
        <v>3419</v>
      </c>
      <c r="J595" s="12"/>
    </row>
    <row r="596" customFormat="false" ht="35.05" hidden="false" customHeight="false" outlineLevel="0" collapsed="false">
      <c r="A596" s="12" t="s">
        <v>41</v>
      </c>
      <c r="B596" s="12" t="s">
        <v>148</v>
      </c>
      <c r="C596" s="10" t="s">
        <v>149</v>
      </c>
      <c r="D596" s="30" t="s">
        <v>322</v>
      </c>
      <c r="E596" s="10" t="s">
        <v>888</v>
      </c>
      <c r="F596" s="10" t="s">
        <v>3413</v>
      </c>
      <c r="G596" s="30" t="s">
        <v>2182</v>
      </c>
      <c r="H596" s="12" t="s">
        <v>2269</v>
      </c>
      <c r="I596" s="10" t="s">
        <v>3420</v>
      </c>
      <c r="J596" s="12"/>
    </row>
    <row r="597" customFormat="false" ht="35.05" hidden="false" customHeight="false" outlineLevel="0" collapsed="false">
      <c r="A597" s="12" t="s">
        <v>41</v>
      </c>
      <c r="B597" s="12" t="s">
        <v>237</v>
      </c>
      <c r="C597" s="10" t="s">
        <v>238</v>
      </c>
      <c r="D597" s="30" t="s">
        <v>597</v>
      </c>
      <c r="E597" s="10" t="s">
        <v>2036</v>
      </c>
      <c r="F597" s="10" t="s">
        <v>3413</v>
      </c>
      <c r="G597" s="30" t="s">
        <v>2182</v>
      </c>
      <c r="H597" s="12" t="s">
        <v>2269</v>
      </c>
      <c r="I597" s="10" t="s">
        <v>3421</v>
      </c>
      <c r="J597" s="12"/>
    </row>
    <row r="598" customFormat="false" ht="23.85" hidden="false" customHeight="false" outlineLevel="0" collapsed="false">
      <c r="A598" s="12" t="s">
        <v>41</v>
      </c>
      <c r="B598" s="12" t="s">
        <v>240</v>
      </c>
      <c r="C598" s="10" t="s">
        <v>241</v>
      </c>
      <c r="D598" s="30" t="s">
        <v>484</v>
      </c>
      <c r="E598" s="10" t="s">
        <v>995</v>
      </c>
      <c r="F598" s="10" t="s">
        <v>3422</v>
      </c>
      <c r="G598" s="30" t="s">
        <v>3423</v>
      </c>
      <c r="H598" s="12" t="s">
        <v>2477</v>
      </c>
      <c r="I598" s="10" t="s">
        <v>2478</v>
      </c>
      <c r="J598" s="12"/>
    </row>
    <row r="599" customFormat="false" ht="35.05" hidden="false" customHeight="false" outlineLevel="0" collapsed="false">
      <c r="A599" s="12" t="s">
        <v>41</v>
      </c>
      <c r="B599" s="12" t="s">
        <v>242</v>
      </c>
      <c r="C599" s="10" t="s">
        <v>243</v>
      </c>
      <c r="D599" s="30" t="s">
        <v>598</v>
      </c>
      <c r="E599" s="10" t="s">
        <v>888</v>
      </c>
      <c r="F599" s="10" t="s">
        <v>3413</v>
      </c>
      <c r="G599" s="30" t="s">
        <v>2182</v>
      </c>
      <c r="H599" s="12" t="s">
        <v>2269</v>
      </c>
      <c r="I599" s="10" t="s">
        <v>3424</v>
      </c>
      <c r="J599" s="12"/>
    </row>
    <row r="600" customFormat="false" ht="35.05" hidden="false" customHeight="false" outlineLevel="0" collapsed="false">
      <c r="A600" s="12" t="s">
        <v>47</v>
      </c>
      <c r="B600" s="12" t="s">
        <v>173</v>
      </c>
      <c r="C600" s="10" t="s">
        <v>174</v>
      </c>
      <c r="D600" s="30" t="s">
        <v>430</v>
      </c>
      <c r="E600" s="10" t="s">
        <v>2289</v>
      </c>
      <c r="F600" s="10" t="s">
        <v>3425</v>
      </c>
      <c r="G600" s="30" t="s">
        <v>3426</v>
      </c>
      <c r="H600" s="12" t="s">
        <v>2292</v>
      </c>
      <c r="I600" s="10" t="s">
        <v>2293</v>
      </c>
      <c r="J600" s="12"/>
    </row>
    <row r="601" customFormat="false" ht="35.05" hidden="false" customHeight="false" outlineLevel="0" collapsed="false">
      <c r="A601" s="12" t="s">
        <v>47</v>
      </c>
      <c r="B601" s="12" t="s">
        <v>206</v>
      </c>
      <c r="C601" s="10" t="s">
        <v>207</v>
      </c>
      <c r="D601" s="30" t="s">
        <v>384</v>
      </c>
      <c r="E601" s="10" t="s">
        <v>2289</v>
      </c>
      <c r="F601" s="10" t="s">
        <v>3427</v>
      </c>
      <c r="G601" s="30" t="s">
        <v>2045</v>
      </c>
      <c r="H601" s="12" t="s">
        <v>2404</v>
      </c>
      <c r="I601" s="10" t="s">
        <v>2405</v>
      </c>
      <c r="J601" s="12"/>
    </row>
    <row r="602" customFormat="false" ht="23.85" hidden="false" customHeight="false" outlineLevel="0" collapsed="false">
      <c r="A602" s="12" t="s">
        <v>47</v>
      </c>
      <c r="B602" s="12" t="s">
        <v>201</v>
      </c>
      <c r="C602" s="10" t="s">
        <v>202</v>
      </c>
      <c r="D602" s="30" t="s">
        <v>350</v>
      </c>
      <c r="E602" s="10" t="s">
        <v>2289</v>
      </c>
      <c r="F602" s="10" t="s">
        <v>3428</v>
      </c>
      <c r="G602" s="30" t="s">
        <v>3429</v>
      </c>
      <c r="H602" s="12" t="s">
        <v>2292</v>
      </c>
      <c r="I602" s="10" t="s">
        <v>2293</v>
      </c>
      <c r="J602" s="12"/>
    </row>
    <row r="603" customFormat="false" ht="35.05" hidden="false" customHeight="false" outlineLevel="0" collapsed="false">
      <c r="A603" s="12" t="s">
        <v>47</v>
      </c>
      <c r="B603" s="12" t="s">
        <v>148</v>
      </c>
      <c r="C603" s="10" t="s">
        <v>149</v>
      </c>
      <c r="D603" s="30" t="s">
        <v>322</v>
      </c>
      <c r="E603" s="10" t="s">
        <v>2289</v>
      </c>
      <c r="F603" s="10" t="s">
        <v>3430</v>
      </c>
      <c r="G603" s="30" t="s">
        <v>3431</v>
      </c>
      <c r="H603" s="12" t="s">
        <v>2292</v>
      </c>
      <c r="I603" s="10" t="s">
        <v>2293</v>
      </c>
      <c r="J603" s="12"/>
    </row>
    <row r="604" customFormat="false" ht="35.05" hidden="false" customHeight="false" outlineLevel="0" collapsed="false">
      <c r="A604" s="12" t="s">
        <v>47</v>
      </c>
      <c r="B604" s="12" t="s">
        <v>148</v>
      </c>
      <c r="C604" s="10" t="s">
        <v>149</v>
      </c>
      <c r="D604" s="30" t="s">
        <v>322</v>
      </c>
      <c r="E604" s="10" t="s">
        <v>96</v>
      </c>
      <c r="F604" s="10" t="s">
        <v>3432</v>
      </c>
      <c r="G604" s="30" t="s">
        <v>2182</v>
      </c>
      <c r="H604" s="12" t="s">
        <v>2269</v>
      </c>
      <c r="I604" s="10" t="s">
        <v>3433</v>
      </c>
      <c r="J604" s="12"/>
    </row>
    <row r="605" customFormat="false" ht="46.25" hidden="false" customHeight="false" outlineLevel="0" collapsed="false">
      <c r="A605" s="12" t="s">
        <v>47</v>
      </c>
      <c r="B605" s="12" t="s">
        <v>148</v>
      </c>
      <c r="C605" s="10" t="s">
        <v>149</v>
      </c>
      <c r="D605" s="30" t="s">
        <v>322</v>
      </c>
      <c r="E605" s="10" t="s">
        <v>3434</v>
      </c>
      <c r="F605" s="10" t="s">
        <v>3432</v>
      </c>
      <c r="G605" s="30" t="s">
        <v>3435</v>
      </c>
      <c r="H605" s="12" t="s">
        <v>2298</v>
      </c>
      <c r="I605" s="10" t="s">
        <v>3436</v>
      </c>
      <c r="J605" s="30" t="s">
        <v>2182</v>
      </c>
    </row>
    <row r="606" customFormat="false" ht="23.85" hidden="false" customHeight="false" outlineLevel="0" collapsed="false">
      <c r="A606" s="12" t="s">
        <v>35</v>
      </c>
      <c r="B606" s="12" t="s">
        <v>612</v>
      </c>
      <c r="C606" s="10" t="s">
        <v>613</v>
      </c>
      <c r="D606" s="30" t="s">
        <v>614</v>
      </c>
      <c r="E606" s="10" t="s">
        <v>2289</v>
      </c>
      <c r="F606" s="10" t="s">
        <v>3437</v>
      </c>
      <c r="G606" s="30" t="s">
        <v>3438</v>
      </c>
      <c r="H606" s="12" t="s">
        <v>2292</v>
      </c>
      <c r="I606" s="10" t="s">
        <v>2293</v>
      </c>
      <c r="J606" s="12"/>
    </row>
    <row r="607" customFormat="false" ht="35.05" hidden="false" customHeight="false" outlineLevel="0" collapsed="false">
      <c r="A607" s="12" t="s">
        <v>35</v>
      </c>
      <c r="B607" s="12" t="s">
        <v>612</v>
      </c>
      <c r="C607" s="10" t="s">
        <v>613</v>
      </c>
      <c r="D607" s="30" t="s">
        <v>614</v>
      </c>
      <c r="E607" s="10" t="s">
        <v>96</v>
      </c>
      <c r="F607" s="10" t="s">
        <v>3439</v>
      </c>
      <c r="G607" s="30" t="s">
        <v>2182</v>
      </c>
      <c r="H607" s="12" t="s">
        <v>2269</v>
      </c>
      <c r="I607" s="10" t="s">
        <v>3440</v>
      </c>
      <c r="J607" s="12"/>
    </row>
    <row r="608" customFormat="false" ht="35.05" hidden="false" customHeight="false" outlineLevel="0" collapsed="false">
      <c r="A608" s="12" t="s">
        <v>35</v>
      </c>
      <c r="B608" s="12" t="s">
        <v>134</v>
      </c>
      <c r="C608" s="10" t="s">
        <v>135</v>
      </c>
      <c r="D608" s="30" t="s">
        <v>464</v>
      </c>
      <c r="E608" s="10" t="s">
        <v>1044</v>
      </c>
      <c r="F608" s="10" t="s">
        <v>3441</v>
      </c>
      <c r="G608" s="30" t="s">
        <v>3442</v>
      </c>
      <c r="H608" s="12" t="s">
        <v>2302</v>
      </c>
      <c r="I608" s="10" t="s">
        <v>2303</v>
      </c>
      <c r="J608" s="12"/>
    </row>
    <row r="609" customFormat="false" ht="23.85" hidden="false" customHeight="false" outlineLevel="0" collapsed="false">
      <c r="A609" s="12" t="s">
        <v>35</v>
      </c>
      <c r="B609" s="12" t="s">
        <v>255</v>
      </c>
      <c r="C609" s="10" t="s">
        <v>256</v>
      </c>
      <c r="D609" s="30" t="s">
        <v>580</v>
      </c>
      <c r="E609" s="10" t="s">
        <v>2289</v>
      </c>
      <c r="F609" s="10" t="s">
        <v>3443</v>
      </c>
      <c r="G609" s="30" t="s">
        <v>3444</v>
      </c>
      <c r="H609" s="12" t="s">
        <v>2292</v>
      </c>
      <c r="I609" s="10" t="s">
        <v>2293</v>
      </c>
      <c r="J609" s="12"/>
    </row>
    <row r="610" customFormat="false" ht="35.05" hidden="false" customHeight="false" outlineLevel="0" collapsed="false">
      <c r="A610" s="12" t="s">
        <v>35</v>
      </c>
      <c r="B610" s="12" t="s">
        <v>255</v>
      </c>
      <c r="C610" s="10" t="s">
        <v>256</v>
      </c>
      <c r="D610" s="30" t="s">
        <v>580</v>
      </c>
      <c r="E610" s="10" t="s">
        <v>96</v>
      </c>
      <c r="F610" s="10" t="s">
        <v>3439</v>
      </c>
      <c r="G610" s="30" t="s">
        <v>2182</v>
      </c>
      <c r="H610" s="12" t="s">
        <v>2269</v>
      </c>
      <c r="I610" s="10" t="s">
        <v>3445</v>
      </c>
      <c r="J610" s="12"/>
    </row>
    <row r="611" customFormat="false" ht="35.05" hidden="false" customHeight="false" outlineLevel="0" collapsed="false">
      <c r="A611" s="12" t="s">
        <v>35</v>
      </c>
      <c r="B611" s="12" t="s">
        <v>206</v>
      </c>
      <c r="C611" s="10" t="s">
        <v>207</v>
      </c>
      <c r="D611" s="30" t="s">
        <v>384</v>
      </c>
      <c r="E611" s="10" t="s">
        <v>2289</v>
      </c>
      <c r="F611" s="10" t="s">
        <v>3446</v>
      </c>
      <c r="G611" s="30" t="s">
        <v>2077</v>
      </c>
      <c r="H611" s="12" t="s">
        <v>2404</v>
      </c>
      <c r="I611" s="10" t="s">
        <v>2405</v>
      </c>
      <c r="J611" s="12"/>
    </row>
    <row r="612" customFormat="false" ht="35.05" hidden="false" customHeight="false" outlineLevel="0" collapsed="false">
      <c r="A612" s="12" t="s">
        <v>35</v>
      </c>
      <c r="B612" s="12" t="s">
        <v>206</v>
      </c>
      <c r="C612" s="10" t="s">
        <v>207</v>
      </c>
      <c r="D612" s="30" t="s">
        <v>384</v>
      </c>
      <c r="E612" s="10" t="s">
        <v>96</v>
      </c>
      <c r="F612" s="10" t="s">
        <v>3447</v>
      </c>
      <c r="G612" s="30" t="s">
        <v>2182</v>
      </c>
      <c r="H612" s="12" t="s">
        <v>2269</v>
      </c>
      <c r="I612" s="10" t="s">
        <v>3448</v>
      </c>
      <c r="J612" s="12"/>
    </row>
    <row r="613" customFormat="false" ht="35.05" hidden="false" customHeight="false" outlineLevel="0" collapsed="false">
      <c r="A613" s="12" t="s">
        <v>35</v>
      </c>
      <c r="B613" s="12" t="s">
        <v>206</v>
      </c>
      <c r="C613" s="10" t="s">
        <v>207</v>
      </c>
      <c r="D613" s="30" t="s">
        <v>384</v>
      </c>
      <c r="E613" s="10" t="s">
        <v>3449</v>
      </c>
      <c r="F613" s="10" t="s">
        <v>3447</v>
      </c>
      <c r="G613" s="30" t="s">
        <v>2182</v>
      </c>
      <c r="H613" s="12" t="s">
        <v>2269</v>
      </c>
      <c r="I613" s="10" t="s">
        <v>3450</v>
      </c>
      <c r="J613" s="12"/>
    </row>
    <row r="614" customFormat="false" ht="23.85" hidden="false" customHeight="false" outlineLevel="0" collapsed="false">
      <c r="A614" s="12" t="s">
        <v>35</v>
      </c>
      <c r="B614" s="12" t="s">
        <v>201</v>
      </c>
      <c r="C614" s="10" t="s">
        <v>202</v>
      </c>
      <c r="D614" s="30" t="s">
        <v>350</v>
      </c>
      <c r="E614" s="10" t="s">
        <v>144</v>
      </c>
      <c r="F614" s="10" t="s">
        <v>3451</v>
      </c>
      <c r="G614" s="30" t="s">
        <v>3452</v>
      </c>
      <c r="H614" s="12" t="s">
        <v>2265</v>
      </c>
      <c r="I614" s="10" t="s">
        <v>2266</v>
      </c>
      <c r="J614" s="12"/>
    </row>
    <row r="615" customFormat="false" ht="23.85" hidden="false" customHeight="false" outlineLevel="0" collapsed="false">
      <c r="A615" s="12" t="s">
        <v>35</v>
      </c>
      <c r="B615" s="12" t="s">
        <v>201</v>
      </c>
      <c r="C615" s="10" t="s">
        <v>202</v>
      </c>
      <c r="D615" s="30" t="s">
        <v>350</v>
      </c>
      <c r="E615" s="10" t="s">
        <v>2289</v>
      </c>
      <c r="F615" s="10" t="s">
        <v>3453</v>
      </c>
      <c r="G615" s="30" t="s">
        <v>2076</v>
      </c>
      <c r="H615" s="12" t="s">
        <v>2404</v>
      </c>
      <c r="I615" s="10" t="s">
        <v>2405</v>
      </c>
      <c r="J615" s="12"/>
    </row>
    <row r="616" customFormat="false" ht="35.05" hidden="false" customHeight="false" outlineLevel="0" collapsed="false">
      <c r="A616" s="12" t="s">
        <v>35</v>
      </c>
      <c r="B616" s="12" t="s">
        <v>201</v>
      </c>
      <c r="C616" s="10" t="s">
        <v>202</v>
      </c>
      <c r="D616" s="30" t="s">
        <v>350</v>
      </c>
      <c r="E616" s="10" t="s">
        <v>96</v>
      </c>
      <c r="F616" s="10" t="s">
        <v>3447</v>
      </c>
      <c r="G616" s="30" t="s">
        <v>2182</v>
      </c>
      <c r="H616" s="12" t="s">
        <v>2269</v>
      </c>
      <c r="I616" s="10" t="s">
        <v>3454</v>
      </c>
      <c r="J616" s="12"/>
    </row>
    <row r="617" customFormat="false" ht="35.05" hidden="false" customHeight="false" outlineLevel="0" collapsed="false">
      <c r="A617" s="12" t="s">
        <v>35</v>
      </c>
      <c r="B617" s="12" t="s">
        <v>201</v>
      </c>
      <c r="C617" s="10" t="s">
        <v>202</v>
      </c>
      <c r="D617" s="30" t="s">
        <v>350</v>
      </c>
      <c r="E617" s="10" t="s">
        <v>3449</v>
      </c>
      <c r="F617" s="10" t="s">
        <v>3447</v>
      </c>
      <c r="G617" s="30" t="s">
        <v>2182</v>
      </c>
      <c r="H617" s="12" t="s">
        <v>2269</v>
      </c>
      <c r="I617" s="10" t="s">
        <v>3455</v>
      </c>
      <c r="J617" s="12"/>
    </row>
    <row r="618" customFormat="false" ht="23.85" hidden="false" customHeight="false" outlineLevel="0" collapsed="false">
      <c r="A618" s="12" t="s">
        <v>35</v>
      </c>
      <c r="B618" s="12" t="s">
        <v>618</v>
      </c>
      <c r="C618" s="10" t="s">
        <v>619</v>
      </c>
      <c r="D618" s="30" t="s">
        <v>620</v>
      </c>
      <c r="E618" s="10" t="s">
        <v>2289</v>
      </c>
      <c r="F618" s="10" t="s">
        <v>3456</v>
      </c>
      <c r="G618" s="30" t="s">
        <v>3457</v>
      </c>
      <c r="H618" s="12" t="s">
        <v>2292</v>
      </c>
      <c r="I618" s="10" t="s">
        <v>2293</v>
      </c>
      <c r="J618" s="12"/>
    </row>
    <row r="619" customFormat="false" ht="35.05" hidden="false" customHeight="false" outlineLevel="0" collapsed="false">
      <c r="A619" s="12" t="s">
        <v>35</v>
      </c>
      <c r="B619" s="12" t="s">
        <v>618</v>
      </c>
      <c r="C619" s="10" t="s">
        <v>619</v>
      </c>
      <c r="D619" s="30" t="s">
        <v>620</v>
      </c>
      <c r="E619" s="10" t="s">
        <v>96</v>
      </c>
      <c r="F619" s="10" t="s">
        <v>3439</v>
      </c>
      <c r="G619" s="30" t="s">
        <v>2182</v>
      </c>
      <c r="H619" s="12" t="s">
        <v>2269</v>
      </c>
      <c r="I619" s="10" t="s">
        <v>3458</v>
      </c>
      <c r="J619" s="12"/>
    </row>
    <row r="620" customFormat="false" ht="35.05" hidden="false" customHeight="false" outlineLevel="0" collapsed="false">
      <c r="A620" s="12" t="s">
        <v>35</v>
      </c>
      <c r="B620" s="12" t="s">
        <v>107</v>
      </c>
      <c r="C620" s="10" t="s">
        <v>108</v>
      </c>
      <c r="D620" s="30" t="s">
        <v>317</v>
      </c>
      <c r="E620" s="10" t="s">
        <v>2289</v>
      </c>
      <c r="F620" s="10" t="s">
        <v>3459</v>
      </c>
      <c r="G620" s="30" t="s">
        <v>2057</v>
      </c>
      <c r="H620" s="12" t="s">
        <v>2404</v>
      </c>
      <c r="I620" s="10" t="s">
        <v>2405</v>
      </c>
      <c r="J620" s="12"/>
    </row>
    <row r="621" customFormat="false" ht="35.05" hidden="false" customHeight="false" outlineLevel="0" collapsed="false">
      <c r="A621" s="12" t="s">
        <v>35</v>
      </c>
      <c r="B621" s="12" t="s">
        <v>107</v>
      </c>
      <c r="C621" s="10" t="s">
        <v>108</v>
      </c>
      <c r="D621" s="30" t="s">
        <v>317</v>
      </c>
      <c r="E621" s="10" t="s">
        <v>96</v>
      </c>
      <c r="F621" s="10" t="s">
        <v>3439</v>
      </c>
      <c r="G621" s="30" t="s">
        <v>2182</v>
      </c>
      <c r="H621" s="12" t="s">
        <v>2269</v>
      </c>
      <c r="I621" s="10" t="s">
        <v>3460</v>
      </c>
      <c r="J621" s="12"/>
    </row>
    <row r="622" customFormat="false" ht="23.85" hidden="false" customHeight="false" outlineLevel="0" collapsed="false">
      <c r="A622" s="12" t="s">
        <v>35</v>
      </c>
      <c r="B622" s="12" t="s">
        <v>107</v>
      </c>
      <c r="C622" s="10" t="s">
        <v>108</v>
      </c>
      <c r="D622" s="30" t="s">
        <v>317</v>
      </c>
      <c r="E622" s="10" t="s">
        <v>1044</v>
      </c>
      <c r="F622" s="10" t="s">
        <v>3461</v>
      </c>
      <c r="G622" s="30" t="s">
        <v>3462</v>
      </c>
      <c r="H622" s="12" t="s">
        <v>2302</v>
      </c>
      <c r="I622" s="10" t="s">
        <v>2303</v>
      </c>
      <c r="J622" s="12"/>
    </row>
    <row r="623" customFormat="false" ht="23.85" hidden="false" customHeight="false" outlineLevel="0" collapsed="false">
      <c r="A623" s="12" t="s">
        <v>35</v>
      </c>
      <c r="B623" s="12" t="s">
        <v>214</v>
      </c>
      <c r="C623" s="10" t="s">
        <v>215</v>
      </c>
      <c r="D623" s="30" t="s">
        <v>603</v>
      </c>
      <c r="E623" s="10" t="s">
        <v>2289</v>
      </c>
      <c r="F623" s="10" t="s">
        <v>3463</v>
      </c>
      <c r="G623" s="30" t="s">
        <v>3464</v>
      </c>
      <c r="H623" s="12" t="s">
        <v>2292</v>
      </c>
      <c r="I623" s="10" t="s">
        <v>2293</v>
      </c>
      <c r="J623" s="12"/>
    </row>
    <row r="624" customFormat="false" ht="35.05" hidden="false" customHeight="false" outlineLevel="0" collapsed="false">
      <c r="A624" s="12" t="s">
        <v>35</v>
      </c>
      <c r="B624" s="12" t="s">
        <v>214</v>
      </c>
      <c r="C624" s="10" t="s">
        <v>215</v>
      </c>
      <c r="D624" s="30" t="s">
        <v>603</v>
      </c>
      <c r="E624" s="10" t="s">
        <v>96</v>
      </c>
      <c r="F624" s="10" t="s">
        <v>3439</v>
      </c>
      <c r="G624" s="30" t="s">
        <v>2182</v>
      </c>
      <c r="H624" s="12" t="s">
        <v>2269</v>
      </c>
      <c r="I624" s="10" t="s">
        <v>3465</v>
      </c>
      <c r="J624" s="12"/>
    </row>
    <row r="625" customFormat="false" ht="35.05" hidden="false" customHeight="false" outlineLevel="0" collapsed="false">
      <c r="A625" s="12" t="s">
        <v>35</v>
      </c>
      <c r="B625" s="12" t="s">
        <v>212</v>
      </c>
      <c r="C625" s="10" t="s">
        <v>213</v>
      </c>
      <c r="D625" s="30" t="s">
        <v>602</v>
      </c>
      <c r="E625" s="10" t="s">
        <v>96</v>
      </c>
      <c r="F625" s="10" t="s">
        <v>3447</v>
      </c>
      <c r="G625" s="30" t="s">
        <v>2182</v>
      </c>
      <c r="H625" s="12" t="s">
        <v>2269</v>
      </c>
      <c r="I625" s="10" t="s">
        <v>3466</v>
      </c>
      <c r="J625" s="12"/>
    </row>
    <row r="626" customFormat="false" ht="35.05" hidden="false" customHeight="false" outlineLevel="0" collapsed="false">
      <c r="A626" s="12" t="s">
        <v>35</v>
      </c>
      <c r="B626" s="12" t="s">
        <v>212</v>
      </c>
      <c r="C626" s="10" t="s">
        <v>213</v>
      </c>
      <c r="D626" s="30" t="s">
        <v>602</v>
      </c>
      <c r="E626" s="10" t="s">
        <v>3449</v>
      </c>
      <c r="F626" s="10" t="s">
        <v>3447</v>
      </c>
      <c r="G626" s="30" t="s">
        <v>2182</v>
      </c>
      <c r="H626" s="12" t="s">
        <v>2269</v>
      </c>
      <c r="I626" s="10" t="s">
        <v>3467</v>
      </c>
      <c r="J626" s="12"/>
    </row>
    <row r="627" customFormat="false" ht="35.05" hidden="false" customHeight="false" outlineLevel="0" collapsed="false">
      <c r="A627" s="12" t="s">
        <v>35</v>
      </c>
      <c r="B627" s="12" t="s">
        <v>609</v>
      </c>
      <c r="C627" s="10" t="s">
        <v>610</v>
      </c>
      <c r="D627" s="30" t="s">
        <v>611</v>
      </c>
      <c r="E627" s="10" t="s">
        <v>2289</v>
      </c>
      <c r="F627" s="10" t="s">
        <v>3468</v>
      </c>
      <c r="G627" s="30" t="s">
        <v>3469</v>
      </c>
      <c r="H627" s="12" t="s">
        <v>3279</v>
      </c>
      <c r="I627" s="10" t="s">
        <v>3280</v>
      </c>
      <c r="J627" s="12"/>
    </row>
    <row r="628" customFormat="false" ht="35.05" hidden="false" customHeight="false" outlineLevel="0" collapsed="false">
      <c r="A628" s="12" t="s">
        <v>35</v>
      </c>
      <c r="B628" s="12" t="s">
        <v>609</v>
      </c>
      <c r="C628" s="10" t="s">
        <v>610</v>
      </c>
      <c r="D628" s="30" t="s">
        <v>611</v>
      </c>
      <c r="E628" s="10" t="s">
        <v>96</v>
      </c>
      <c r="F628" s="10" t="s">
        <v>3439</v>
      </c>
      <c r="G628" s="30" t="s">
        <v>2182</v>
      </c>
      <c r="H628" s="12" t="s">
        <v>2269</v>
      </c>
      <c r="I628" s="10" t="s">
        <v>3470</v>
      </c>
      <c r="J628" s="12"/>
    </row>
    <row r="629" customFormat="false" ht="35.05" hidden="false" customHeight="false" outlineLevel="0" collapsed="false">
      <c r="A629" s="12" t="s">
        <v>35</v>
      </c>
      <c r="B629" s="12" t="s">
        <v>604</v>
      </c>
      <c r="C629" s="10" t="s">
        <v>441</v>
      </c>
      <c r="D629" s="30" t="s">
        <v>605</v>
      </c>
      <c r="E629" s="10" t="s">
        <v>96</v>
      </c>
      <c r="F629" s="10" t="s">
        <v>3439</v>
      </c>
      <c r="G629" s="30" t="s">
        <v>2182</v>
      </c>
      <c r="H629" s="12" t="s">
        <v>2269</v>
      </c>
      <c r="I629" s="10" t="s">
        <v>3471</v>
      </c>
      <c r="J629" s="12"/>
    </row>
    <row r="630" customFormat="false" ht="35.05" hidden="false" customHeight="false" outlineLevel="0" collapsed="false">
      <c r="A630" s="12" t="s">
        <v>35</v>
      </c>
      <c r="B630" s="12" t="s">
        <v>604</v>
      </c>
      <c r="C630" s="10" t="s">
        <v>441</v>
      </c>
      <c r="D630" s="30" t="s">
        <v>605</v>
      </c>
      <c r="E630" s="10" t="s">
        <v>1044</v>
      </c>
      <c r="F630" s="10" t="s">
        <v>3472</v>
      </c>
      <c r="G630" s="30" t="s">
        <v>3473</v>
      </c>
      <c r="H630" s="12" t="s">
        <v>2302</v>
      </c>
      <c r="I630" s="10" t="s">
        <v>2303</v>
      </c>
      <c r="J630" s="12"/>
    </row>
    <row r="631" customFormat="false" ht="23.85" hidden="false" customHeight="false" outlineLevel="0" collapsed="false">
      <c r="A631" s="12" t="s">
        <v>35</v>
      </c>
      <c r="B631" s="12" t="s">
        <v>208</v>
      </c>
      <c r="C631" s="10" t="s">
        <v>209</v>
      </c>
      <c r="D631" s="30" t="s">
        <v>470</v>
      </c>
      <c r="E631" s="10" t="s">
        <v>2289</v>
      </c>
      <c r="F631" s="10" t="s">
        <v>3474</v>
      </c>
      <c r="G631" s="30" t="s">
        <v>3475</v>
      </c>
      <c r="H631" s="12" t="s">
        <v>2292</v>
      </c>
      <c r="I631" s="10" t="s">
        <v>2293</v>
      </c>
      <c r="J631" s="12"/>
    </row>
    <row r="632" customFormat="false" ht="35.05" hidden="false" customHeight="false" outlineLevel="0" collapsed="false">
      <c r="A632" s="12" t="s">
        <v>35</v>
      </c>
      <c r="B632" s="12" t="s">
        <v>208</v>
      </c>
      <c r="C632" s="10" t="s">
        <v>209</v>
      </c>
      <c r="D632" s="30" t="s">
        <v>470</v>
      </c>
      <c r="E632" s="10" t="s">
        <v>96</v>
      </c>
      <c r="F632" s="10" t="s">
        <v>3447</v>
      </c>
      <c r="G632" s="30" t="s">
        <v>2182</v>
      </c>
      <c r="H632" s="12" t="s">
        <v>2269</v>
      </c>
      <c r="I632" s="10" t="s">
        <v>3476</v>
      </c>
      <c r="J632" s="12"/>
    </row>
    <row r="633" customFormat="false" ht="35.05" hidden="false" customHeight="false" outlineLevel="0" collapsed="false">
      <c r="A633" s="12" t="s">
        <v>35</v>
      </c>
      <c r="B633" s="12" t="s">
        <v>208</v>
      </c>
      <c r="C633" s="10" t="s">
        <v>209</v>
      </c>
      <c r="D633" s="30" t="s">
        <v>470</v>
      </c>
      <c r="E633" s="10" t="s">
        <v>3203</v>
      </c>
      <c r="F633" s="10" t="s">
        <v>3447</v>
      </c>
      <c r="G633" s="30" t="s">
        <v>2182</v>
      </c>
      <c r="H633" s="12" t="s">
        <v>2269</v>
      </c>
      <c r="I633" s="10" t="s">
        <v>3477</v>
      </c>
      <c r="J633" s="12"/>
    </row>
    <row r="634" customFormat="false" ht="23.85" hidden="false" customHeight="false" outlineLevel="0" collapsed="false">
      <c r="A634" s="12" t="s">
        <v>35</v>
      </c>
      <c r="B634" s="12" t="s">
        <v>615</v>
      </c>
      <c r="C634" s="10" t="s">
        <v>616</v>
      </c>
      <c r="D634" s="30" t="s">
        <v>617</v>
      </c>
      <c r="E634" s="10" t="s">
        <v>2289</v>
      </c>
      <c r="F634" s="10" t="s">
        <v>3478</v>
      </c>
      <c r="G634" s="30" t="s">
        <v>3479</v>
      </c>
      <c r="H634" s="12" t="s">
        <v>3279</v>
      </c>
      <c r="I634" s="10" t="s">
        <v>3280</v>
      </c>
      <c r="J634" s="12"/>
    </row>
    <row r="635" customFormat="false" ht="35.05" hidden="false" customHeight="false" outlineLevel="0" collapsed="false">
      <c r="A635" s="12" t="s">
        <v>35</v>
      </c>
      <c r="B635" s="12" t="s">
        <v>615</v>
      </c>
      <c r="C635" s="10" t="s">
        <v>616</v>
      </c>
      <c r="D635" s="30" t="s">
        <v>617</v>
      </c>
      <c r="E635" s="10" t="s">
        <v>96</v>
      </c>
      <c r="F635" s="10" t="s">
        <v>3439</v>
      </c>
      <c r="G635" s="30" t="s">
        <v>2182</v>
      </c>
      <c r="H635" s="12" t="s">
        <v>2269</v>
      </c>
      <c r="I635" s="10" t="s">
        <v>3480</v>
      </c>
      <c r="J635" s="12"/>
    </row>
    <row r="636" customFormat="false" ht="35.05" hidden="false" customHeight="false" outlineLevel="0" collapsed="false">
      <c r="A636" s="12" t="s">
        <v>35</v>
      </c>
      <c r="B636" s="12" t="s">
        <v>210</v>
      </c>
      <c r="C636" s="10" t="s">
        <v>211</v>
      </c>
      <c r="D636" s="30" t="s">
        <v>361</v>
      </c>
      <c r="E636" s="10" t="s">
        <v>96</v>
      </c>
      <c r="F636" s="10" t="s">
        <v>3439</v>
      </c>
      <c r="G636" s="30" t="s">
        <v>2182</v>
      </c>
      <c r="H636" s="12" t="s">
        <v>2269</v>
      </c>
      <c r="I636" s="10" t="s">
        <v>3481</v>
      </c>
      <c r="J636" s="12"/>
    </row>
    <row r="637" customFormat="false" ht="23.85" hidden="false" customHeight="false" outlineLevel="0" collapsed="false">
      <c r="A637" s="12" t="s">
        <v>35</v>
      </c>
      <c r="B637" s="12" t="s">
        <v>418</v>
      </c>
      <c r="C637" s="10" t="s">
        <v>288</v>
      </c>
      <c r="D637" s="30" t="s">
        <v>419</v>
      </c>
      <c r="E637" s="10" t="s">
        <v>144</v>
      </c>
      <c r="F637" s="10" t="s">
        <v>3482</v>
      </c>
      <c r="G637" s="30" t="s">
        <v>3483</v>
      </c>
      <c r="H637" s="12" t="s">
        <v>2265</v>
      </c>
      <c r="I637" s="10" t="s">
        <v>2266</v>
      </c>
      <c r="J637" s="12"/>
    </row>
    <row r="638" customFormat="false" ht="23.85" hidden="false" customHeight="false" outlineLevel="0" collapsed="false">
      <c r="A638" s="12" t="s">
        <v>35</v>
      </c>
      <c r="B638" s="12" t="s">
        <v>606</v>
      </c>
      <c r="C638" s="10" t="s">
        <v>607</v>
      </c>
      <c r="D638" s="30" t="s">
        <v>608</v>
      </c>
      <c r="E638" s="10" t="s">
        <v>2289</v>
      </c>
      <c r="F638" s="10" t="s">
        <v>3484</v>
      </c>
      <c r="G638" s="30" t="s">
        <v>2066</v>
      </c>
      <c r="H638" s="12" t="s">
        <v>2404</v>
      </c>
      <c r="I638" s="10" t="s">
        <v>2405</v>
      </c>
      <c r="J638" s="12"/>
    </row>
    <row r="639" customFormat="false" ht="35.05" hidden="false" customHeight="false" outlineLevel="0" collapsed="false">
      <c r="A639" s="12" t="s">
        <v>35</v>
      </c>
      <c r="B639" s="12" t="s">
        <v>606</v>
      </c>
      <c r="C639" s="10" t="s">
        <v>607</v>
      </c>
      <c r="D639" s="30" t="s">
        <v>608</v>
      </c>
      <c r="E639" s="10" t="s">
        <v>96</v>
      </c>
      <c r="F639" s="10" t="s">
        <v>3439</v>
      </c>
      <c r="G639" s="30" t="s">
        <v>2182</v>
      </c>
      <c r="H639" s="12" t="s">
        <v>2269</v>
      </c>
      <c r="I639" s="10" t="s">
        <v>3485</v>
      </c>
      <c r="J639" s="12"/>
    </row>
    <row r="640" customFormat="false" ht="35.05" hidden="false" customHeight="false" outlineLevel="0" collapsed="false">
      <c r="A640" s="12" t="s">
        <v>35</v>
      </c>
      <c r="B640" s="12" t="s">
        <v>275</v>
      </c>
      <c r="C640" s="10" t="s">
        <v>276</v>
      </c>
      <c r="D640" s="30" t="s">
        <v>422</v>
      </c>
      <c r="E640" s="10" t="s">
        <v>2289</v>
      </c>
      <c r="F640" s="10" t="s">
        <v>3486</v>
      </c>
      <c r="G640" s="30" t="s">
        <v>2064</v>
      </c>
      <c r="H640" s="12" t="s">
        <v>2404</v>
      </c>
      <c r="I640" s="10" t="s">
        <v>2405</v>
      </c>
      <c r="J640" s="12"/>
    </row>
    <row r="641" customFormat="false" ht="35.05" hidden="false" customHeight="false" outlineLevel="0" collapsed="false">
      <c r="A641" s="12" t="s">
        <v>35</v>
      </c>
      <c r="B641" s="12" t="s">
        <v>275</v>
      </c>
      <c r="C641" s="10" t="s">
        <v>276</v>
      </c>
      <c r="D641" s="30" t="s">
        <v>422</v>
      </c>
      <c r="E641" s="10" t="s">
        <v>96</v>
      </c>
      <c r="F641" s="10" t="s">
        <v>3439</v>
      </c>
      <c r="G641" s="30" t="s">
        <v>2182</v>
      </c>
      <c r="H641" s="12" t="s">
        <v>2269</v>
      </c>
      <c r="I641" s="10" t="s">
        <v>3487</v>
      </c>
      <c r="J641" s="12"/>
    </row>
    <row r="642" customFormat="false" ht="35.05" hidden="false" customHeight="false" outlineLevel="0" collapsed="false">
      <c r="A642" s="12" t="s">
        <v>35</v>
      </c>
      <c r="B642" s="12" t="s">
        <v>204</v>
      </c>
      <c r="C642" s="10" t="s">
        <v>205</v>
      </c>
      <c r="D642" s="30" t="s">
        <v>601</v>
      </c>
      <c r="E642" s="10" t="s">
        <v>2289</v>
      </c>
      <c r="F642" s="10" t="s">
        <v>3488</v>
      </c>
      <c r="G642" s="30" t="s">
        <v>2061</v>
      </c>
      <c r="H642" s="12" t="s">
        <v>2404</v>
      </c>
      <c r="I642" s="10" t="s">
        <v>2405</v>
      </c>
      <c r="J642" s="12"/>
    </row>
    <row r="643" customFormat="false" ht="35.05" hidden="false" customHeight="false" outlineLevel="0" collapsed="false">
      <c r="A643" s="12" t="s">
        <v>35</v>
      </c>
      <c r="B643" s="12" t="s">
        <v>204</v>
      </c>
      <c r="C643" s="10" t="s">
        <v>205</v>
      </c>
      <c r="D643" s="30" t="s">
        <v>601</v>
      </c>
      <c r="E643" s="10" t="s">
        <v>96</v>
      </c>
      <c r="F643" s="10" t="s">
        <v>3439</v>
      </c>
      <c r="G643" s="30" t="s">
        <v>2182</v>
      </c>
      <c r="H643" s="12" t="s">
        <v>2269</v>
      </c>
      <c r="I643" s="10" t="s">
        <v>3489</v>
      </c>
      <c r="J643" s="12"/>
    </row>
    <row r="644" customFormat="false" ht="35.05" hidden="false" customHeight="false" outlineLevel="0" collapsed="false">
      <c r="A644" s="12" t="s">
        <v>35</v>
      </c>
      <c r="B644" s="12" t="s">
        <v>204</v>
      </c>
      <c r="C644" s="10" t="s">
        <v>205</v>
      </c>
      <c r="D644" s="30" t="s">
        <v>601</v>
      </c>
      <c r="E644" s="10" t="s">
        <v>1044</v>
      </c>
      <c r="F644" s="10" t="s">
        <v>3490</v>
      </c>
      <c r="G644" s="30" t="s">
        <v>3491</v>
      </c>
      <c r="H644" s="12" t="s">
        <v>2302</v>
      </c>
      <c r="I644" s="10" t="s">
        <v>2303</v>
      </c>
      <c r="J644" s="12"/>
    </row>
    <row r="645" customFormat="false" ht="23.85" hidden="false" customHeight="false" outlineLevel="0" collapsed="false">
      <c r="A645" s="12" t="s">
        <v>35</v>
      </c>
      <c r="B645" s="12" t="s">
        <v>117</v>
      </c>
      <c r="C645" s="10" t="s">
        <v>118</v>
      </c>
      <c r="D645" s="30" t="s">
        <v>428</v>
      </c>
      <c r="E645" s="10" t="s">
        <v>2289</v>
      </c>
      <c r="F645" s="10" t="s">
        <v>3492</v>
      </c>
      <c r="G645" s="30" t="s">
        <v>2059</v>
      </c>
      <c r="H645" s="12" t="s">
        <v>2404</v>
      </c>
      <c r="I645" s="10" t="s">
        <v>2405</v>
      </c>
      <c r="J645" s="12"/>
    </row>
    <row r="646" customFormat="false" ht="35.05" hidden="false" customHeight="false" outlineLevel="0" collapsed="false">
      <c r="A646" s="12" t="s">
        <v>35</v>
      </c>
      <c r="B646" s="12" t="s">
        <v>117</v>
      </c>
      <c r="C646" s="10" t="s">
        <v>118</v>
      </c>
      <c r="D646" s="30" t="s">
        <v>428</v>
      </c>
      <c r="E646" s="10" t="s">
        <v>96</v>
      </c>
      <c r="F646" s="10" t="s">
        <v>3439</v>
      </c>
      <c r="G646" s="30" t="s">
        <v>2182</v>
      </c>
      <c r="H646" s="12" t="s">
        <v>2269</v>
      </c>
      <c r="I646" s="10" t="s">
        <v>3493</v>
      </c>
      <c r="J646" s="12"/>
    </row>
    <row r="647" customFormat="false" ht="35.05" hidden="false" customHeight="false" outlineLevel="0" collapsed="false">
      <c r="A647" s="12" t="s">
        <v>35</v>
      </c>
      <c r="B647" s="12" t="s">
        <v>203</v>
      </c>
      <c r="C647" s="10" t="s">
        <v>179</v>
      </c>
      <c r="D647" s="30" t="s">
        <v>600</v>
      </c>
      <c r="E647" s="10" t="s">
        <v>96</v>
      </c>
      <c r="F647" s="10" t="s">
        <v>3439</v>
      </c>
      <c r="G647" s="30" t="s">
        <v>2182</v>
      </c>
      <c r="H647" s="12" t="s">
        <v>2269</v>
      </c>
      <c r="I647" s="10" t="s">
        <v>3494</v>
      </c>
      <c r="J647" s="12"/>
    </row>
    <row r="648" customFormat="false" ht="23.85" hidden="false" customHeight="false" outlineLevel="0" collapsed="false">
      <c r="A648" s="12" t="s">
        <v>39</v>
      </c>
      <c r="B648" s="12" t="s">
        <v>480</v>
      </c>
      <c r="C648" s="10" t="s">
        <v>481</v>
      </c>
      <c r="D648" s="30" t="s">
        <v>482</v>
      </c>
      <c r="E648" s="10" t="s">
        <v>144</v>
      </c>
      <c r="F648" s="10" t="s">
        <v>3495</v>
      </c>
      <c r="G648" s="30" t="s">
        <v>3496</v>
      </c>
      <c r="H648" s="12" t="s">
        <v>2306</v>
      </c>
      <c r="I648" s="10" t="s">
        <v>2307</v>
      </c>
      <c r="J648" s="12"/>
    </row>
    <row r="649" customFormat="false" ht="23.85" hidden="false" customHeight="false" outlineLevel="0" collapsed="false">
      <c r="A649" s="12" t="s">
        <v>39</v>
      </c>
      <c r="B649" s="12" t="s">
        <v>89</v>
      </c>
      <c r="C649" s="10" t="s">
        <v>90</v>
      </c>
      <c r="D649" s="30" t="s">
        <v>316</v>
      </c>
      <c r="E649" s="10" t="s">
        <v>144</v>
      </c>
      <c r="F649" s="10" t="s">
        <v>3497</v>
      </c>
      <c r="G649" s="30" t="s">
        <v>3498</v>
      </c>
      <c r="H649" s="12" t="s">
        <v>2265</v>
      </c>
      <c r="I649" s="10" t="s">
        <v>2266</v>
      </c>
      <c r="J649" s="12"/>
    </row>
    <row r="650" customFormat="false" ht="23.85" hidden="false" customHeight="false" outlineLevel="0" collapsed="false">
      <c r="A650" s="12" t="s">
        <v>39</v>
      </c>
      <c r="B650" s="12" t="s">
        <v>89</v>
      </c>
      <c r="C650" s="10" t="s">
        <v>90</v>
      </c>
      <c r="D650" s="30" t="s">
        <v>316</v>
      </c>
      <c r="E650" s="10" t="s">
        <v>2289</v>
      </c>
      <c r="F650" s="10" t="s">
        <v>3499</v>
      </c>
      <c r="G650" s="30" t="s">
        <v>3500</v>
      </c>
      <c r="H650" s="12" t="s">
        <v>2292</v>
      </c>
      <c r="I650" s="10" t="s">
        <v>2293</v>
      </c>
      <c r="J650" s="12"/>
    </row>
    <row r="651" customFormat="false" ht="35.05" hidden="false" customHeight="false" outlineLevel="0" collapsed="false">
      <c r="A651" s="12" t="s">
        <v>39</v>
      </c>
      <c r="B651" s="12" t="s">
        <v>89</v>
      </c>
      <c r="C651" s="10" t="s">
        <v>90</v>
      </c>
      <c r="D651" s="30" t="s">
        <v>316</v>
      </c>
      <c r="E651" s="10" t="s">
        <v>96</v>
      </c>
      <c r="F651" s="10" t="s">
        <v>3501</v>
      </c>
      <c r="G651" s="30" t="s">
        <v>2182</v>
      </c>
      <c r="H651" s="12" t="s">
        <v>2269</v>
      </c>
      <c r="I651" s="10" t="s">
        <v>3502</v>
      </c>
      <c r="J651" s="12"/>
    </row>
    <row r="652" customFormat="false" ht="35.05" hidden="false" customHeight="false" outlineLevel="0" collapsed="false">
      <c r="A652" s="12" t="s">
        <v>39</v>
      </c>
      <c r="B652" s="12" t="s">
        <v>89</v>
      </c>
      <c r="C652" s="10" t="s">
        <v>90</v>
      </c>
      <c r="D652" s="30" t="s">
        <v>316</v>
      </c>
      <c r="E652" s="10" t="s">
        <v>3503</v>
      </c>
      <c r="F652" s="10" t="s">
        <v>3501</v>
      </c>
      <c r="G652" s="30" t="s">
        <v>2182</v>
      </c>
      <c r="H652" s="12" t="s">
        <v>2269</v>
      </c>
      <c r="I652" s="10" t="s">
        <v>3504</v>
      </c>
      <c r="J652" s="12"/>
    </row>
    <row r="653" customFormat="false" ht="23.85" hidden="false" customHeight="false" outlineLevel="0" collapsed="false">
      <c r="A653" s="12" t="s">
        <v>39</v>
      </c>
      <c r="B653" s="12" t="s">
        <v>89</v>
      </c>
      <c r="C653" s="10" t="s">
        <v>90</v>
      </c>
      <c r="D653" s="30" t="s">
        <v>316</v>
      </c>
      <c r="E653" s="10" t="s">
        <v>995</v>
      </c>
      <c r="F653" s="10" t="s">
        <v>3505</v>
      </c>
      <c r="G653" s="30" t="s">
        <v>3506</v>
      </c>
      <c r="H653" s="12" t="s">
        <v>2322</v>
      </c>
      <c r="I653" s="10" t="s">
        <v>2323</v>
      </c>
      <c r="J653" s="12"/>
    </row>
    <row r="654" customFormat="false" ht="46.25" hidden="false" customHeight="false" outlineLevel="0" collapsed="false">
      <c r="A654" s="12" t="s">
        <v>39</v>
      </c>
      <c r="B654" s="12" t="s">
        <v>201</v>
      </c>
      <c r="C654" s="10" t="s">
        <v>202</v>
      </c>
      <c r="D654" s="30" t="s">
        <v>350</v>
      </c>
      <c r="E654" s="10" t="s">
        <v>864</v>
      </c>
      <c r="F654" s="10" t="s">
        <v>3507</v>
      </c>
      <c r="G654" s="30" t="s">
        <v>3508</v>
      </c>
      <c r="H654" s="12" t="s">
        <v>2298</v>
      </c>
      <c r="I654" s="10" t="s">
        <v>3509</v>
      </c>
      <c r="J654" s="30" t="s">
        <v>2182</v>
      </c>
    </row>
    <row r="655" customFormat="false" ht="23.85" hidden="false" customHeight="false" outlineLevel="0" collapsed="false">
      <c r="A655" s="12" t="s">
        <v>39</v>
      </c>
      <c r="B655" s="12" t="s">
        <v>223</v>
      </c>
      <c r="C655" s="10" t="s">
        <v>224</v>
      </c>
      <c r="D655" s="30" t="s">
        <v>407</v>
      </c>
      <c r="E655" s="10" t="s">
        <v>144</v>
      </c>
      <c r="F655" s="10" t="s">
        <v>3510</v>
      </c>
      <c r="G655" s="30" t="s">
        <v>3511</v>
      </c>
      <c r="H655" s="12" t="s">
        <v>2265</v>
      </c>
      <c r="I655" s="10" t="s">
        <v>2266</v>
      </c>
      <c r="J655" s="12"/>
    </row>
    <row r="656" customFormat="false" ht="23.85" hidden="false" customHeight="false" outlineLevel="0" collapsed="false">
      <c r="A656" s="12" t="s">
        <v>39</v>
      </c>
      <c r="B656" s="12" t="s">
        <v>245</v>
      </c>
      <c r="C656" s="10" t="s">
        <v>246</v>
      </c>
      <c r="D656" s="30" t="s">
        <v>534</v>
      </c>
      <c r="E656" s="10" t="s">
        <v>144</v>
      </c>
      <c r="F656" s="10" t="s">
        <v>3512</v>
      </c>
      <c r="G656" s="30" t="s">
        <v>3513</v>
      </c>
      <c r="H656" s="12" t="s">
        <v>2265</v>
      </c>
      <c r="I656" s="10" t="s">
        <v>2266</v>
      </c>
      <c r="J656" s="12"/>
    </row>
    <row r="657" customFormat="false" ht="23.85" hidden="false" customHeight="false" outlineLevel="0" collapsed="false">
      <c r="A657" s="12" t="s">
        <v>39</v>
      </c>
      <c r="B657" s="12" t="s">
        <v>235</v>
      </c>
      <c r="C657" s="10" t="s">
        <v>236</v>
      </c>
      <c r="D657" s="30" t="s">
        <v>495</v>
      </c>
      <c r="E657" s="10" t="s">
        <v>144</v>
      </c>
      <c r="F657" s="10" t="s">
        <v>3514</v>
      </c>
      <c r="G657" s="30" t="s">
        <v>3515</v>
      </c>
      <c r="H657" s="12" t="s">
        <v>2265</v>
      </c>
      <c r="I657" s="10" t="s">
        <v>2266</v>
      </c>
      <c r="J657" s="12"/>
    </row>
    <row r="658" customFormat="false" ht="23.85" hidden="false" customHeight="false" outlineLevel="0" collapsed="false">
      <c r="A658" s="12" t="s">
        <v>39</v>
      </c>
      <c r="B658" s="12" t="s">
        <v>227</v>
      </c>
      <c r="C658" s="10" t="s">
        <v>228</v>
      </c>
      <c r="D658" s="30" t="s">
        <v>621</v>
      </c>
      <c r="E658" s="10" t="s">
        <v>144</v>
      </c>
      <c r="F658" s="10" t="s">
        <v>3516</v>
      </c>
      <c r="G658" s="30" t="s">
        <v>3517</v>
      </c>
      <c r="H658" s="12" t="s">
        <v>2306</v>
      </c>
      <c r="I658" s="10" t="s">
        <v>2307</v>
      </c>
      <c r="J658" s="12"/>
    </row>
    <row r="659" customFormat="false" ht="23.85" hidden="false" customHeight="false" outlineLevel="0" collapsed="false">
      <c r="A659" s="12" t="s">
        <v>39</v>
      </c>
      <c r="B659" s="12" t="s">
        <v>280</v>
      </c>
      <c r="C659" s="10" t="s">
        <v>281</v>
      </c>
      <c r="D659" s="30" t="s">
        <v>586</v>
      </c>
      <c r="E659" s="10" t="s">
        <v>144</v>
      </c>
      <c r="F659" s="10" t="s">
        <v>3518</v>
      </c>
      <c r="G659" s="30" t="s">
        <v>3519</v>
      </c>
      <c r="H659" s="12" t="s">
        <v>2306</v>
      </c>
      <c r="I659" s="10" t="s">
        <v>2307</v>
      </c>
      <c r="J659" s="12"/>
    </row>
    <row r="660" customFormat="false" ht="23.85" hidden="false" customHeight="false" outlineLevel="0" collapsed="false">
      <c r="A660" s="12" t="s">
        <v>39</v>
      </c>
      <c r="B660" s="12" t="s">
        <v>623</v>
      </c>
      <c r="C660" s="10" t="s">
        <v>624</v>
      </c>
      <c r="D660" s="30" t="s">
        <v>625</v>
      </c>
      <c r="E660" s="10" t="s">
        <v>144</v>
      </c>
      <c r="F660" s="10" t="s">
        <v>3520</v>
      </c>
      <c r="G660" s="30" t="s">
        <v>3521</v>
      </c>
      <c r="H660" s="12" t="s">
        <v>2265</v>
      </c>
      <c r="I660" s="10" t="s">
        <v>2266</v>
      </c>
      <c r="J660" s="12"/>
    </row>
    <row r="661" customFormat="false" ht="23.85" hidden="false" customHeight="false" outlineLevel="0" collapsed="false">
      <c r="A661" s="12" t="s">
        <v>39</v>
      </c>
      <c r="B661" s="12" t="s">
        <v>114</v>
      </c>
      <c r="C661" s="10" t="s">
        <v>115</v>
      </c>
      <c r="D661" s="30" t="s">
        <v>304</v>
      </c>
      <c r="E661" s="10" t="s">
        <v>144</v>
      </c>
      <c r="F661" s="10" t="s">
        <v>3522</v>
      </c>
      <c r="G661" s="30" t="s">
        <v>3523</v>
      </c>
      <c r="H661" s="12" t="s">
        <v>2265</v>
      </c>
      <c r="I661" s="10" t="s">
        <v>2266</v>
      </c>
      <c r="J661" s="12"/>
    </row>
    <row r="662" customFormat="false" ht="23.85" hidden="false" customHeight="false" outlineLevel="0" collapsed="false">
      <c r="A662" s="12" t="s">
        <v>39</v>
      </c>
      <c r="B662" s="12" t="s">
        <v>626</v>
      </c>
      <c r="C662" s="10" t="s">
        <v>218</v>
      </c>
      <c r="D662" s="30" t="s">
        <v>627</v>
      </c>
      <c r="E662" s="10" t="s">
        <v>144</v>
      </c>
      <c r="F662" s="10" t="s">
        <v>3524</v>
      </c>
      <c r="G662" s="30" t="s">
        <v>3525</v>
      </c>
      <c r="H662" s="12" t="s">
        <v>2265</v>
      </c>
      <c r="I662" s="10" t="s">
        <v>2266</v>
      </c>
      <c r="J662" s="12"/>
    </row>
    <row r="663" customFormat="false" ht="23.85" hidden="false" customHeight="false" outlineLevel="0" collapsed="false">
      <c r="A663" s="12" t="s">
        <v>39</v>
      </c>
      <c r="B663" s="12" t="s">
        <v>229</v>
      </c>
      <c r="C663" s="10" t="s">
        <v>230</v>
      </c>
      <c r="D663" s="30" t="s">
        <v>434</v>
      </c>
      <c r="E663" s="10" t="s">
        <v>144</v>
      </c>
      <c r="F663" s="10" t="s">
        <v>3526</v>
      </c>
      <c r="G663" s="30" t="s">
        <v>3527</v>
      </c>
      <c r="H663" s="12" t="s">
        <v>2265</v>
      </c>
      <c r="I663" s="10" t="s">
        <v>2266</v>
      </c>
      <c r="J663" s="12"/>
    </row>
    <row r="664" customFormat="false" ht="23.85" hidden="false" customHeight="false" outlineLevel="0" collapsed="false">
      <c r="A664" s="12" t="s">
        <v>39</v>
      </c>
      <c r="B664" s="12" t="s">
        <v>231</v>
      </c>
      <c r="C664" s="10" t="s">
        <v>232</v>
      </c>
      <c r="D664" s="30" t="s">
        <v>622</v>
      </c>
      <c r="E664" s="10" t="s">
        <v>144</v>
      </c>
      <c r="F664" s="10" t="s">
        <v>3528</v>
      </c>
      <c r="G664" s="30" t="s">
        <v>3529</v>
      </c>
      <c r="H664" s="12" t="s">
        <v>2306</v>
      </c>
      <c r="I664" s="10" t="s">
        <v>2307</v>
      </c>
      <c r="J664" s="12"/>
    </row>
    <row r="665" customFormat="false" ht="23.85" hidden="false" customHeight="false" outlineLevel="0" collapsed="false">
      <c r="A665" s="12" t="s">
        <v>39</v>
      </c>
      <c r="B665" s="12" t="s">
        <v>233</v>
      </c>
      <c r="C665" s="10" t="s">
        <v>234</v>
      </c>
      <c r="D665" s="30" t="s">
        <v>565</v>
      </c>
      <c r="E665" s="10" t="s">
        <v>995</v>
      </c>
      <c r="F665" s="10" t="s">
        <v>3530</v>
      </c>
      <c r="G665" s="30" t="s">
        <v>3531</v>
      </c>
      <c r="H665" s="12" t="s">
        <v>2477</v>
      </c>
      <c r="I665" s="10" t="s">
        <v>2478</v>
      </c>
      <c r="J665" s="12"/>
    </row>
    <row r="666" customFormat="false" ht="23.85" hidden="false" customHeight="false" outlineLevel="0" collapsed="false">
      <c r="A666" s="12" t="s">
        <v>39</v>
      </c>
      <c r="B666" s="12" t="s">
        <v>210</v>
      </c>
      <c r="C666" s="10" t="s">
        <v>211</v>
      </c>
      <c r="D666" s="30" t="s">
        <v>361</v>
      </c>
      <c r="E666" s="10" t="s">
        <v>995</v>
      </c>
      <c r="F666" s="10" t="s">
        <v>3532</v>
      </c>
      <c r="G666" s="30" t="s">
        <v>3533</v>
      </c>
      <c r="H666" s="12" t="s">
        <v>2477</v>
      </c>
      <c r="I666" s="10" t="s">
        <v>2478</v>
      </c>
      <c r="J666" s="12"/>
    </row>
    <row r="667" customFormat="false" ht="23.85" hidden="false" customHeight="false" outlineLevel="0" collapsed="false">
      <c r="A667" s="12" t="s">
        <v>39</v>
      </c>
      <c r="B667" s="12" t="s">
        <v>265</v>
      </c>
      <c r="C667" s="10" t="s">
        <v>266</v>
      </c>
      <c r="D667" s="30" t="s">
        <v>454</v>
      </c>
      <c r="E667" s="10" t="s">
        <v>144</v>
      </c>
      <c r="F667" s="10" t="s">
        <v>3534</v>
      </c>
      <c r="G667" s="30" t="s">
        <v>3535</v>
      </c>
      <c r="H667" s="12" t="s">
        <v>2265</v>
      </c>
      <c r="I667" s="10" t="s">
        <v>2266</v>
      </c>
      <c r="J667" s="12"/>
    </row>
    <row r="668" customFormat="false" ht="23.85" hidden="false" customHeight="false" outlineLevel="0" collapsed="false">
      <c r="A668" s="12" t="s">
        <v>39</v>
      </c>
      <c r="B668" s="12" t="s">
        <v>117</v>
      </c>
      <c r="C668" s="10" t="s">
        <v>118</v>
      </c>
      <c r="D668" s="30" t="s">
        <v>428</v>
      </c>
      <c r="E668" s="10" t="s">
        <v>144</v>
      </c>
      <c r="F668" s="10" t="s">
        <v>3536</v>
      </c>
      <c r="G668" s="30" t="s">
        <v>3222</v>
      </c>
      <c r="H668" s="12" t="s">
        <v>2265</v>
      </c>
      <c r="I668" s="10" t="s">
        <v>2266</v>
      </c>
      <c r="J668" s="12"/>
    </row>
    <row r="669" customFormat="false" ht="23.85" hidden="false" customHeight="false" outlineLevel="0" collapsed="false">
      <c r="A669" s="12" t="s">
        <v>39</v>
      </c>
      <c r="B669" s="12" t="s">
        <v>261</v>
      </c>
      <c r="C669" s="10" t="s">
        <v>262</v>
      </c>
      <c r="D669" s="30" t="s">
        <v>393</v>
      </c>
      <c r="E669" s="10" t="s">
        <v>144</v>
      </c>
      <c r="F669" s="10" t="s">
        <v>3537</v>
      </c>
      <c r="G669" s="30" t="s">
        <v>3538</v>
      </c>
      <c r="H669" s="12" t="s">
        <v>2265</v>
      </c>
      <c r="I669" s="10" t="s">
        <v>2266</v>
      </c>
      <c r="J669" s="12"/>
    </row>
  </sheetData>
  <autoFilter ref="A4:J669"/>
  <hyperlinks>
    <hyperlink ref="D5" r:id="rId1" display="https://dailymed.nlm.nih.gov/dailymed/search.cfm?labeltype=all&amp;query=carboprost"/>
    <hyperlink ref="G5" r:id="rId2" display="https://dailymed.nlm.nih.gov/dailymed/lookup.cfm?setid=c1cde9c7-b005-484f-8497-343c5ecd4f0a"/>
    <hyperlink ref="D6" r:id="rId3" display="https://dailymed.nlm.nih.gov/dailymed/search.cfm?labeltype=all&amp;query=carboprost"/>
    <hyperlink ref="G6" r:id="rId4" display="https://www.ema.europa.eu/en/documents/other/article-57-product-data_en.xlsx"/>
    <hyperlink ref="D7" r:id="rId5" display="https://dailymed.nlm.nih.gov/dailymed/search.cfm?labeltype=all&amp;query=diazepam+injection"/>
    <hyperlink ref="G7" r:id="rId6" display="https://dailymed.nlm.nih.gov/dailymed/drugInfo.cfm?setid=7a912f1a-deee-46df-a8df-22a0afb06529"/>
    <hyperlink ref="D8" r:id="rId7" display="https://dailymed.nlm.nih.gov/dailymed/search.cfm?labeltype=all&amp;query=fulvestrant"/>
    <hyperlink ref="G8" r:id="rId8" display="https://dailymed.nlm.nih.gov/dailymed/drugInfo.cfm?setid=b02915fe-6c44-48c1-aaeb-997ddc59a595"/>
    <hyperlink ref="D9" r:id="rId9" display="https://dailymed.nlm.nih.gov/dailymed/search.cfm?labeltype=all&amp;query=methotrexate+injection"/>
    <hyperlink ref="G9" r:id="rId10" display="https://dailymed.nlm.nih.gov/dailymed/drugInfo.cfm?setid=a63364d5-4dfa-49d7-8a5e-c8959ae1d37a"/>
    <hyperlink ref="D10" r:id="rId11" display="https://dailymed.nlm.nih.gov/dailymed/search.cfm?labeltype=all&amp;query=phytonadione"/>
    <hyperlink ref="G10" r:id="rId12" display="https://dailymed.nlm.nih.gov/dailymed/search.cfm?searchdb=ndc&amp;query=62332-826-05"/>
    <hyperlink ref="D11" r:id="rId13" display="https://dailymed.nlm.nih.gov/dailymed/search.cfm?labeltype=all&amp;query=triamcinolone+acetonide+injectable+suspension"/>
    <hyperlink ref="G11" r:id="rId14" display="https://dailymed.nlm.nih.gov/dailymed/drugInfo.cfm?setid=1034d417-493a-443a-a62e-30786f673ee3"/>
    <hyperlink ref="D12" r:id="rId15" display="https://dailymed.nlm.nih.gov/dailymed/search.cfm?labeltype=all&amp;query=ampicillin"/>
    <hyperlink ref="G12" r:id="rId16" display="https://health-products.canada.ca/dpd-bdpp/info?code=95007&amp;lang=eng"/>
    <hyperlink ref="D13" r:id="rId17" display="https://dailymed.nlm.nih.gov/dailymed/search.cfm?labeltype=all&amp;query=ampicillin"/>
    <hyperlink ref="G13" r:id="rId18" display="https://www.ema.europa.eu/en/documents/other/article-57-product-data_en.xlsx"/>
    <hyperlink ref="D14" r:id="rId19" display="https://dailymed.nlm.nih.gov/dailymed/search.cfm?labeltype=all&amp;query=argatroban"/>
    <hyperlink ref="G14" r:id="rId20" display="https://dailymed.nlm.nih.gov/dailymed/drugInfo.cfm?setid=d9b975bd-e3f4-466e-96ca-7bef7899506d"/>
    <hyperlink ref="D15" r:id="rId21" display="https://dailymed.nlm.nih.gov/dailymed/search.cfm?labeltype=all&amp;query=azacitidine"/>
    <hyperlink ref="G15" r:id="rId22" display="https://mhraproducts4853.blob.core.windows.net/docs/2efde25ac4cbefa21bb4640027e6b7243ef5b3f8"/>
    <hyperlink ref="D16" r:id="rId23" display="https://dailymed.nlm.nih.gov/dailymed/search.cfm?labeltype=all&amp;query=azacitidine"/>
    <hyperlink ref="G16" r:id="rId24" display="https://www.ema.europa.eu/en/documents/other/article-57-product-data_en.xlsx"/>
    <hyperlink ref="D17" r:id="rId25" display="https://dailymed.nlm.nih.gov/dailymed/search.cfm?labeltype=all&amp;query=azacitidine"/>
    <hyperlink ref="G17" r:id="rId26" display="https://base-donnees-publique.medicaments.gouv.fr/index.php?page=1&amp;choixRecherche=medicament&amp;txtCaracteres=Azacitidine%20Arrow&amp;action=show"/>
    <hyperlink ref="J17" r:id="rId27" display="https://www.ema.europa.eu/en/documents/other/article-57-product-data_en.xlsx"/>
    <hyperlink ref="D18" r:id="rId28" display="https://dailymed.nlm.nih.gov/dailymed/search.cfm?labeltype=all&amp;query=azacitidine"/>
    <hyperlink ref="G18" r:id="rId29" display="https://www.ebs.tga.gov.au/ebs/picmi/picmirepository.nsf/pdf?OpenAgent&amp;id=CP-2024-PI-01359-1"/>
    <hyperlink ref="D19" r:id="rId30" display="https://dailymed.nlm.nih.gov/dailymed/search.cfm?labeltype=all&amp;query=bortezomib"/>
    <hyperlink ref="G19" r:id="rId31" display="https://dailymed.nlm.nih.gov/dailymed/search.cfm?labeltype=all&amp;query=Bortezomib"/>
    <hyperlink ref="D20" r:id="rId32" display="https://dailymed.nlm.nih.gov/dailymed/search.cfm?labeltype=all&amp;query=bortezomib"/>
    <hyperlink ref="G20" r:id="rId33" display="https://mhraproducts4853.blob.core.windows.net/docs/0c08f164559c903dce45f10a6de733bdd83f7e40"/>
    <hyperlink ref="D21" r:id="rId34" display="https://dailymed.nlm.nih.gov/dailymed/search.cfm?labeltype=all&amp;query=bortezomib"/>
    <hyperlink ref="G21" r:id="rId35" display="https://www.ema.europa.eu/en/documents/other/article-57-product-data_en.xlsx"/>
    <hyperlink ref="D22" r:id="rId36" display="https://dailymed.nlm.nih.gov/dailymed/search.cfm?labeltype=all&amp;query=bortezomib"/>
    <hyperlink ref="G22" r:id="rId37" display="https://base-donnees-publique.medicaments.gouv.fr/index.php?page=1&amp;choixRecherche=medicament&amp;txtCaracteres=Bortezomib%20Arrow&amp;action=show"/>
    <hyperlink ref="J22" r:id="rId38" display="https://www.ema.europa.eu/en/documents/other/article-57-product-data_en.xlsx"/>
    <hyperlink ref="D23" r:id="rId39" display="https://dailymed.nlm.nih.gov/dailymed/search.cfm?labeltype=all&amp;query=bortezomib"/>
    <hyperlink ref="G23" r:id="rId40" display="https://www.ebs.tga.gov.au/servlet/xmlmillr6?dbid=ebs/PublicHTML/pdfStore.nsf&amp;docid=401630&amp;agid=(PrintDetailsPublic)&amp;actionid=1"/>
    <hyperlink ref="D24" r:id="rId41" display="https://dailymed.nlm.nih.gov/dailymed/search.cfm?labeltype=all&amp;query=bupivacaine"/>
    <hyperlink ref="G24" r:id="rId42" display="https://www.ema.europa.eu/en/documents/other/article-57-product-data_en.xlsx"/>
    <hyperlink ref="D25" r:id="rId43" display="https://dailymed.nlm.nih.gov/dailymed/search.cfm?labeltype=all&amp;query=bupivacaine"/>
    <hyperlink ref="G25" r:id="rId44" display="https://www.ema.europa.eu/en/documents/other/article-57-product-data_en.xlsx"/>
    <hyperlink ref="D26" r:id="rId45" display="https://dailymed.nlm.nih.gov/dailymed/search.cfm?labeltype=all&amp;query=carboprost"/>
    <hyperlink ref="G26" r:id="rId46" display="https://dailymed.nlm.nih.gov/dailymed/lookup.cfm?setid=c1cde9c7-b005-484f-8497-343c5ecd4f0a"/>
    <hyperlink ref="D27" r:id="rId47" display="https://dailymed.nlm.nih.gov/dailymed/search.cfm?labeltype=all&amp;query=cefepime"/>
    <hyperlink ref="G27" r:id="rId48" display="https://pi-pil-repository.sahpra.org.za/wp-content/uploads/2022/08/1.3.1.1-Auro-Cefepime-Injection.pdf"/>
    <hyperlink ref="D28" r:id="rId49" display="https://dailymed.nlm.nih.gov/dailymed/search.cfm?labeltype=all&amp;query=ceftazidime"/>
    <hyperlink ref="G28" r:id="rId50" display="https://base-donnees-publique.medicaments.gouv.fr/index.php?page=1&amp;choixRecherche=medicament&amp;txtCaracteres=Ceftazidime%20Arrow&amp;action=show"/>
    <hyperlink ref="J28" r:id="rId51" display="https://www.ema.europa.eu/en/documents/other/article-57-product-data_en.xlsx"/>
    <hyperlink ref="D29" r:id="rId52" display="https://dailymed.nlm.nih.gov/dailymed/search.cfm?labeltype=all&amp;query=ceftriaxone"/>
    <hyperlink ref="G29" r:id="rId53" display="https://base-donnees-publique.medicaments.gouv.fr/index.php?page=1&amp;choixRecherche=medicament&amp;txtCaracteres=Ceftriaxone%20Almus&amp;action=show"/>
    <hyperlink ref="J29" r:id="rId54" display="https://www.ema.europa.eu/en/documents/other/article-57-product-data_en.xlsx"/>
    <hyperlink ref="D30" r:id="rId55" display="https://dailymed.nlm.nih.gov/dailymed/search.cfm?labeltype=all&amp;query=chlorpromazine"/>
    <hyperlink ref="G30" r:id="rId56" display="https://dailymed.nlm.nih.gov/dailymed/lookup.cfm?setid=07e6144a-b460-4887-b8e2-dd371c14a55c"/>
    <hyperlink ref="D31" r:id="rId57" display="https://dailymed.nlm.nih.gov/dailymed/search.cfm?labeltype=all&amp;query=cyclophosphamide"/>
    <hyperlink ref="G31" r:id="rId58" display="https://dailymed.nlm.nih.gov/dailymed/drugInfo.cfm?setid=3c1eb470-0bba-457d-94e3-b9508f0d398a"/>
    <hyperlink ref="D32" r:id="rId59" display="https://dailymed.nlm.nih.gov/dailymed/search.cfm?labeltype=all&amp;query=dactinomycin"/>
    <hyperlink ref="G32" r:id="rId60" display="https://dailymed.nlm.nih.gov/dailymed/drugInfo.cfm?setid=aa047ee8-f2e8-4720-84b1-d1c4532d6c63"/>
    <hyperlink ref="D33" r:id="rId61" display="https://dailymed.nlm.nih.gov/dailymed/search.cfm?labeltype=all&amp;query=daptomycin"/>
    <hyperlink ref="G33" r:id="rId62" display="https://www.ema.europa.eu/en/documents/other/article-57-product-data_en.xlsx"/>
    <hyperlink ref="D34" r:id="rId63" display="https://dailymed.nlm.nih.gov/dailymed/search.cfm?labeltype=all&amp;query=doxorubicin"/>
    <hyperlink ref="G34" r:id="rId64" display="https://base-donnees-publique.medicaments.gouv.fr/index.php?page=1&amp;choixRecherche=medicament&amp;txtCaracteres=Doxorubicine%20Arrow&amp;action=show"/>
    <hyperlink ref="J34" r:id="rId65" display="https://www.ema.europa.eu/en/documents/other/article-57-product-data_en.xlsx"/>
    <hyperlink ref="D35" r:id="rId66" display="https://dailymed.nlm.nih.gov/dailymed/search.cfm?labeltype=all&amp;query=ephedrine+sulfate+injection"/>
    <hyperlink ref="G35" r:id="rId67" display="https://dailymed.nlm.nih.gov/dailymed/drugInfo.cfm?setid=a5862de7-4118-4bda-8075-0b2524e04585"/>
    <hyperlink ref="D36" r:id="rId68" display="https://dailymed.nlm.nih.gov/dailymed/search.cfm?labeltype=all&amp;query=ephedrine+sulfate+injection"/>
    <hyperlink ref="G36" r:id="rId69" display="https://base-donnees-publique.medicaments.gouv.fr/index.php?page=1&amp;choixRecherche=medicament&amp;txtCaracteres=Ephedrine%20Arrow&amp;action=show"/>
    <hyperlink ref="J36" r:id="rId70" display="https://www.ema.europa.eu/en/documents/other/article-57-product-data_en.xlsx"/>
    <hyperlink ref="D37" r:id="rId71" display="https://dailymed.nlm.nih.gov/dailymed/search.cfm?labeltype=all&amp;query=epirubicin"/>
    <hyperlink ref="G37" r:id="rId72" display="https://www.ema.europa.eu/en/documents/other/article-57-product-data_en.xlsx"/>
    <hyperlink ref="D38" r:id="rId73" display="https://dailymed.nlm.nih.gov/dailymed/search.cfm?labeltype=all&amp;query=eptifibatide"/>
    <hyperlink ref="G38" r:id="rId74" display="https://dailymed.nlm.nih.gov/dailymed/drugInfo.cfm?setid=00ad7bbe-cadd-4647-b74b-adfc9f2b5e94"/>
    <hyperlink ref="D39" r:id="rId75" display="https://dailymed.nlm.nih.gov/dailymed/search.cfm?labeltype=all&amp;query=ertapenem"/>
    <hyperlink ref="G39" r:id="rId76" display="https://dailymed.nlm.nih.gov/dailymed/drugInfo.cfm?setid=f725a68c-31a2-482a-9744-19adc47506b5"/>
    <hyperlink ref="D40" r:id="rId77" display="https://dailymed.nlm.nih.gov/dailymed/search.cfm?labeltype=all&amp;query=ertapenem"/>
    <hyperlink ref="G40" r:id="rId78" display="https://www.ema.europa.eu/en/documents/other/article-57-product-data_en.xlsx"/>
    <hyperlink ref="D41" r:id="rId79" display="https://dailymed.nlm.nih.gov/dailymed/search.cfm?labeltype=all&amp;query=ertapenem"/>
    <hyperlink ref="G41" r:id="rId80" display="https://health-products.canada.ca/dpd-bdpp/info?code=98213&amp;lang=eng"/>
    <hyperlink ref="D42" r:id="rId81" display="https://dailymed.nlm.nih.gov/dailymed/search.cfm?labeltype=all&amp;query=ertapenem"/>
    <hyperlink ref="G42" r:id="rId82" display="https://base-donnees-publique.medicaments.gouv.fr/index.php?page=1&amp;choixRecherche=medicament&amp;txtCaracteres=Ertapenem%20Arrow&amp;action=show"/>
    <hyperlink ref="J42" r:id="rId83" display="https://www.ema.europa.eu/en/documents/other/article-57-product-data_en.xlsx"/>
    <hyperlink ref="D43" r:id="rId84" display="https://dailymed.nlm.nih.gov/dailymed/search.cfm?labeltype=all&amp;query=ertapenem"/>
    <hyperlink ref="G43" r:id="rId85" display="https://pi-pil-repository.sahpra.org.za/wp-content/uploads/2023/07/pil_ETAMEP.pdf"/>
    <hyperlink ref="D44" r:id="rId86" display="https://dailymed.nlm.nih.gov/dailymed/search.cfm?labeltype=all&amp;query=esmolol"/>
    <hyperlink ref="G44" r:id="rId87" display="https://dailymed.nlm.nih.gov/dailymed/drugInfo.cfm?setid=ac22475d-2d78-469f-9435-b403ac4ee380"/>
    <hyperlink ref="D45" r:id="rId88" display="https://dailymed.nlm.nih.gov/dailymed/search.cfm?labeltype=all&amp;query=esmolol"/>
    <hyperlink ref="G45" r:id="rId89" display="https://www.ema.europa.eu/en/documents/other/article-57-product-data_en.xlsx"/>
    <hyperlink ref="D46" r:id="rId90" display="https://www.medicines.org.uk/emc/search?q=flucloxacillin"/>
    <hyperlink ref="G46" r:id="rId91" display="https://www.ema.europa.eu/en/documents/other/article-57-product-data_en.xlsx"/>
    <hyperlink ref="D47" r:id="rId92" display="https://www.medicines.org.uk/emc/search?q=flucloxacillin"/>
    <hyperlink ref="G47" r:id="rId93" display="https://base-donnees-publique.medicaments.gouv.fr/index.php?page=1&amp;choixRecherche=medicament&amp;txtCaracteres=Flucloxacilline&amp;action=show"/>
    <hyperlink ref="J47" r:id="rId94" display="https://www.ema.europa.eu/en/documents/other/article-57-product-data_en.xlsx"/>
    <hyperlink ref="D48" r:id="rId95" display="https://www.medicines.org.uk/emc/search?q=flucloxacillin"/>
    <hyperlink ref="G48" r:id="rId96" display="https://www.ebs.tga.gov.au/ebs/picmi/picmirepository.nsf/pdf?OpenAgent&amp;id=CP-2024-PI-02513-1"/>
    <hyperlink ref="D49" r:id="rId97" display="https://dailymed.nlm.nih.gov/dailymed/search.cfm?labeltype=all&amp;query=fluorouracil+injection"/>
    <hyperlink ref="G49" r:id="rId98" display="https://dailymed.nlm.nih.gov/dailymed/drugInfo.cfm?setid=199ef964-8a9b-403e-a2ae-759280b3d1d1"/>
    <hyperlink ref="D50" r:id="rId99" display="https://dailymed.nlm.nih.gov/dailymed/search.cfm?labeltype=all&amp;query=fluphenazine+decanoate"/>
    <hyperlink ref="G50" r:id="rId100" display="https://dailymed.nlm.nih.gov/dailymed/drugInfo.cfm?setid=1f532edc-1a2c-4221-80dd-1ac158dd3a72"/>
    <hyperlink ref="D51" r:id="rId101" display="https://dailymed.nlm.nih.gov/dailymed/search.cfm?labeltype=all&amp;query=leucovorin+calcium+injection"/>
    <hyperlink ref="G51" r:id="rId102" display="https://www.ema.europa.eu/en/documents/other/article-57-product-data_en.xlsx"/>
    <hyperlink ref="D52" r:id="rId103" display="https://dailymed.nlm.nih.gov/dailymed/search.cfm?labeltype=all&amp;query=fulvestrant"/>
    <hyperlink ref="G52" r:id="rId104" display="https://mhraproducts4853.blob.core.windows.net/docs/662771b8a40d902278b3bdf8028b29838cd8e06c"/>
    <hyperlink ref="D53" r:id="rId105" display="https://dailymed.nlm.nih.gov/dailymed/search.cfm?labeltype=all&amp;query=fulvestrant"/>
    <hyperlink ref="G53" r:id="rId106" display="https://base-donnees-publique.medicaments.gouv.fr/index.php?page=1&amp;choixRecherche=medicament&amp;txtCaracteres=Fulvestrant%20Arrow&amp;action=show"/>
    <hyperlink ref="J53" r:id="rId107" display="https://www.ema.europa.eu/en/documents/other/article-57-product-data_en.xlsx"/>
    <hyperlink ref="D54" r:id="rId108" display="https://dailymed.nlm.nih.gov/dailymed/search.cfm?labeltype=all&amp;query=fulvestrant"/>
    <hyperlink ref="G54" r:id="rId109" display="https://www.tga.gov.au/resources/artg/408393"/>
    <hyperlink ref="D55" r:id="rId110" display="https://dailymed.nlm.nih.gov/dailymed/search.cfm?labeltype=all&amp;query=hydralazine+injection"/>
    <hyperlink ref="G55" r:id="rId111" display="https://health-products.canada.ca/dpd-bdpp/info?code=100550&amp;lang=eng"/>
    <hyperlink ref="D56" r:id="rId112" display="https://dailymed.nlm.nih.gov/dailymed/search.cfm?labeltype=all&amp;query=ibandronate+injection"/>
    <hyperlink ref="G56" r:id="rId113" display="https://dailymed.nlm.nih.gov/dailymed/lookup.cfm?setid=e81f2c5b-bead-48ac-be3e-016cf963d7ed"/>
    <hyperlink ref="D57" r:id="rId114" display="https://dailymed.nlm.nih.gov/dailymed/search.cfm?labeltype=all&amp;query=medroxyprogesterone+acetate+injectable"/>
    <hyperlink ref="G57" r:id="rId115" display="https://dailymed.nlm.nih.gov/dailymed/search.cfm?searchdb=ndc&amp;query=55150-329-25"/>
    <hyperlink ref="D58" r:id="rId116" display="https://dailymed.nlm.nih.gov/dailymed/search.cfm?labeltype=all&amp;query=melphalan+hydrochloride"/>
    <hyperlink ref="G58" r:id="rId117" display="https://www.ema.europa.eu/en/documents/other/article-57-product-data_en.xlsx"/>
    <hyperlink ref="D59" r:id="rId118" display="https://dailymed.nlm.nih.gov/dailymed/search.cfm?labeltype=all&amp;query=meropenem"/>
    <hyperlink ref="G59" r:id="rId119" display="https://www.ema.europa.eu/en/documents/other/article-57-product-data_en.xlsx"/>
    <hyperlink ref="D60" r:id="rId120" display="https://dailymed.nlm.nih.gov/dailymed/search.cfm?labeltype=all&amp;query=meropenem"/>
    <hyperlink ref="G60" r:id="rId121" display="https://health-products.canada.ca/dpd-bdpp/info?code=95075&amp;lang=eng"/>
    <hyperlink ref="D61" r:id="rId122" display="https://dailymed.nlm.nih.gov/dailymed/search.cfm?labeltype=all&amp;query=meropenem"/>
    <hyperlink ref="G61" r:id="rId123" display="https://base-donnees-publique.medicaments.gouv.fr/index.php?page=1&amp;choixRecherche=medicament&amp;txtCaracteres=Meropenem&amp;action=show"/>
    <hyperlink ref="J61" r:id="rId124" display="https://www.ema.europa.eu/en/documents/other/article-57-product-data_en.xlsx"/>
    <hyperlink ref="D62" r:id="rId125" display="https://dailymed.nlm.nih.gov/dailymed/search.cfm?labeltype=all&amp;query=mesna"/>
    <hyperlink ref="G62" r:id="rId126" display="https://dailymed.nlm.nih.gov/dailymed/drugInfo.cfm?setid=49e9c804-9e88-4774-8faf-35bd61b3a8e9"/>
    <hyperlink ref="D63" r:id="rId127" display="https://dailymed.nlm.nih.gov/dailymed/search.cfm?labeltype=all&amp;query=methotrexate+injection"/>
    <hyperlink ref="G63" r:id="rId128" display="https://dailymed.nlm.nih.gov/dailymed/search.cfm?searchdb=ndc&amp;query=55150-510"/>
    <hyperlink ref="D64" r:id="rId129" display="https://dailymed.nlm.nih.gov/dailymed/search.cfm?labeltype=all&amp;query=methylprednisolone+acetate"/>
    <hyperlink ref="G64" r:id="rId130" display="https://dailymed.nlm.nih.gov/dailymed/search.cfm?searchdb=ndc&amp;query=55150-262"/>
    <hyperlink ref="D65" r:id="rId131" display="https://dailymed.nlm.nih.gov/dailymed/search.cfm?labeltype=all&amp;query=mitomycin"/>
    <hyperlink ref="G65" r:id="rId132" display="https://www.ema.europa.eu/en/documents/other/article-57-product-data_en.xlsx"/>
    <hyperlink ref="D66" r:id="rId133" display="https://dailymed.nlm.nih.gov/dailymed/search.cfm?labeltype=all&amp;query=nafcillin"/>
    <hyperlink ref="G66" r:id="rId134" display="https://dailymed.nlm.nih.gov/dailymed/search.cfm?searchdb=ndc&amp;query=55150-122"/>
    <hyperlink ref="D67" r:id="rId135" display="https://dailymed.nlm.nih.gov/dailymed/search.cfm?labeltype=all&amp;query=naloxone+hydrochloride+injection"/>
    <hyperlink ref="G67" r:id="rId136" display="https://dailymed.nlm.nih.gov/dailymed/search.cfm?searchdb=ndc&amp;query=55150-345-01"/>
    <hyperlink ref="D68" r:id="rId137" display="https://dailymed.nlm.nih.gov/dailymed/search.cfm?labeltype=all&amp;query=naloxone+hydrochloride+injection"/>
    <hyperlink ref="G68" r:id="rId138" display="https://health-products.canada.ca/dpd-bdpp/info?code=102386&amp;lang=eng"/>
    <hyperlink ref="D69" r:id="rId139" display="https://dailymed.nlm.nih.gov/dailymed/search.cfm?labeltype=all&amp;query=ondansetron+injection"/>
    <hyperlink ref="G69" r:id="rId140" display="https://dmd-browser.nhsbsa.nhs.uk/ampp/view/47382"/>
    <hyperlink ref="D70" r:id="rId141" display="https://dailymed.nlm.nih.gov/dailymed/search.cfm?labeltype=all&amp;query=ondansetron+injection"/>
    <hyperlink ref="G70" r:id="rId142" display="https://www.ema.europa.eu/en/documents/other/article-57-product-data_en.xlsx"/>
    <hyperlink ref="D71" r:id="rId143" display="https://dailymed.nlm.nih.gov/dailymed/search.cfm?labeltype=all&amp;query=ondansetron+injection"/>
    <hyperlink ref="G71" r:id="rId144" display="https://health-products.canada.ca/dpd-bdpp/info?code=98138&amp;lang=eng"/>
    <hyperlink ref="D72" r:id="rId145" display="https://dailymed.nlm.nih.gov/dailymed/search.cfm?labeltype=all&amp;query=ondansetron+injection"/>
    <hyperlink ref="G72" r:id="rId146" display="https://www.ema.europa.eu/en/documents/other/article-57-product-data_en.xlsx"/>
    <hyperlink ref="D73" r:id="rId147" display="https://dailymed.nlm.nih.gov/dailymed/search.cfm?labeltype=all&amp;query=oxacillin"/>
    <hyperlink ref="G73" r:id="rId148" display="https://dailymed.nlm.nih.gov/dailymed/drugInfo.cfm?setid=81e90279-9889-47bd-974b-334c181f295c"/>
    <hyperlink ref="D74" r:id="rId149" display="https://dailymed.nlm.nih.gov/dailymed/search.cfm?labeltype=all&amp;query=palonosetron"/>
    <hyperlink ref="G74" r:id="rId150" display="https://dailymed.nlm.nih.gov/dailymed/drugInfo.cfm?setid=42e2d437-0712-4e9c-9c2a-00093c406d62"/>
    <hyperlink ref="D75" r:id="rId151" display="https://dailymed.nlm.nih.gov/dailymed/search.cfm?labeltype=all&amp;query=pantoprazole+sodium+for+injection"/>
    <hyperlink ref="G75" r:id="rId152" display="https://dmd-browser.nhsbsa.nhs.uk/ampp/view/194984"/>
    <hyperlink ref="D76" r:id="rId153" display="https://dailymed.nlm.nih.gov/dailymed/search.cfm?labeltype=all&amp;query=pantoprazole+sodium+for+injection"/>
    <hyperlink ref="G76" r:id="rId154" display="https://www.ema.europa.eu/en/documents/other/article-57-product-data_en.xlsx"/>
    <hyperlink ref="D77" r:id="rId155" display="https://dailymed.nlm.nih.gov/dailymed/search.cfm?labeltype=all&amp;query=pantoprazole+sodium+for+injection"/>
    <hyperlink ref="G77" r:id="rId156" display="https://health-products.canada.ca/dpd-bdpp/info?code=94611&amp;lang=eng"/>
    <hyperlink ref="D78" r:id="rId157" display="https://dailymed.nlm.nih.gov/dailymed/search.cfm?labeltype=all&amp;query=pantoprazole+sodium+for+injection"/>
    <hyperlink ref="G78" r:id="rId158" display="https://base-donnees-publique.medicaments.gouv.fr/index.php?page=1&amp;choixRecherche=medicament&amp;txtCaracteres=Pantoprazole%20Arrow&amp;action=show"/>
    <hyperlink ref="J78" r:id="rId159" display="https://www.ema.europa.eu/en/documents/other/article-57-product-data_en.xlsx"/>
    <hyperlink ref="D79" r:id="rId160" display="https://dailymed.nlm.nih.gov/dailymed/search.cfm?labeltype=all&amp;query=plerixafor"/>
    <hyperlink ref="G79" r:id="rId161" display="https://dailymed.nlm.nih.gov/dailymed/drugInfo.cfm?setid=58c9fa02-3701-d411-f946-790a62ddc064"/>
    <hyperlink ref="D80" r:id="rId162" display="https://dailymed.nlm.nih.gov/dailymed/search.cfm?labeltype=all&amp;query=plerixafor"/>
    <hyperlink ref="G80" r:id="rId163" display="https://mhraproducts4853.blob.core.windows.net/docs/bb7448515c77d7fb12fb87b29dc3839d02e684f3"/>
    <hyperlink ref="D81" r:id="rId164" display="https://dailymed.nlm.nih.gov/dailymed/search.cfm?labeltype=all&amp;query=plerixafor"/>
    <hyperlink ref="G81" r:id="rId165" display="https://www.ema.europa.eu/en/documents/other/article-57-product-data_en.xlsx"/>
    <hyperlink ref="D82" r:id="rId166" display="https://dailymed.nlm.nih.gov/dailymed/search.cfm?labeltype=all&amp;query=plerixafor"/>
    <hyperlink ref="G82" r:id="rId167" display="https://health-products.canada.ca/dpd-bdpp/info?code=102820&amp;lang=eng"/>
    <hyperlink ref="D83" r:id="rId168" display="https://dailymed.nlm.nih.gov/dailymed/search.cfm?labeltype=all&amp;query=plerixafor"/>
    <hyperlink ref="G83" r:id="rId169" display="https://base-donnees-publique.medicaments.gouv.fr/index.php?page=1&amp;choixRecherche=medicament&amp;txtCaracteres=Plerixafor%20Arrow&amp;action=show"/>
    <hyperlink ref="J83" r:id="rId170" display="https://www.ema.europa.eu/en/documents/other/article-57-product-data_en.xlsx"/>
    <hyperlink ref="D84" r:id="rId171" display="https://dailymed.nlm.nih.gov/dailymed/search.cfm?labeltype=all&amp;query=plerixafor"/>
    <hyperlink ref="G84" r:id="rId172" display="https://www.ebs.tga.gov.au/ebs/picmi/picmirepository.nsf/pdf?OpenAgent&amp;id=CP-2024-PI-01246-1"/>
    <hyperlink ref="D85" r:id="rId173" display="https://dailymed.nlm.nih.gov/dailymed/search.cfm?labeltype=all&amp;query=progesterone+injection"/>
    <hyperlink ref="G85" r:id="rId174" display="https://dailymed.nlm.nih.gov/dailymed/drugInfo.cfm?setid=7d19df3b-94ed-4681-beae-9caaf137d014"/>
    <hyperlink ref="D86" r:id="rId175" display="https://dailymed.nlm.nih.gov/dailymed/search.cfm?labeltype=all&amp;query=regadenoson"/>
    <hyperlink ref="G86" r:id="rId176" display="https://dailymed.nlm.nih.gov/dailymed/drugInfo.cfm?setid=b553eb2d-0c3f-444e-ad4c-282328683110"/>
    <hyperlink ref="D87" r:id="rId177" display="https://dailymed.nlm.nih.gov/dailymed/search.cfm?labeltype=all&amp;query=remifentanil"/>
    <hyperlink ref="G87" r:id="rId178" display="https://www.ema.europa.eu/en/documents/other/article-57-product-data_en.xlsx"/>
    <hyperlink ref="D88" r:id="rId179" display="https://dailymed.nlm.nih.gov/dailymed/search.cfm?labeltype=all&amp;query=ropivacaine"/>
    <hyperlink ref="G88" r:id="rId180" display="https://dailymed.nlm.nih.gov/dailymed/drugInfo.cfm?setid=3763b7b6-da49-4658-b93d-28f5da24d09e"/>
    <hyperlink ref="D89" r:id="rId181" display="https://dailymed.nlm.nih.gov/dailymed/search.cfm?labeltype=all&amp;query=sildenafil+injection"/>
    <hyperlink ref="G89" r:id="rId182" display="https://dailymed.nlm.nih.gov/dailymed/drugInfo.cfm?setid=bb92d686-a81e-4b91-8048-693af0534cb3"/>
    <hyperlink ref="D90" r:id="rId183" display="https://dailymed.nlm.nih.gov/dailymed/search.cfm?labeltype=all&amp;query=testosterone+cypionate"/>
    <hyperlink ref="G90" r:id="rId184" display="https://dailymed.nlm.nih.gov/dailymed/drugInfo.cfm?setid=f901e2b2-f143-4237-8e95-0d134585490b"/>
    <hyperlink ref="D91" r:id="rId185" display="https://dailymed.nlm.nih.gov/dailymed/search.cfm?labeltype=all&amp;query=testosterone+enanthate"/>
    <hyperlink ref="G91" r:id="rId186" display="https://dailymed.nlm.nih.gov/dailymed/drugInfo.cfm?setid=82a98132-9d5f-40a5-8c4f-f52f2a5de60e"/>
    <hyperlink ref="D92" r:id="rId187" display="https://dailymed.nlm.nih.gov/dailymed/search.cfm?labeltype=all&amp;query=tirofiban"/>
    <hyperlink ref="G92" r:id="rId188" display="https://dailymed.nlm.nih.gov/dailymed/drugInfo.cfm?setid=d554acff-22e9-4f28-b826-ee1b91daa2df"/>
    <hyperlink ref="D93" r:id="rId189" display="https://dailymed.nlm.nih.gov/dailymed/search.cfm?labeltype=all&amp;query=tirofiban"/>
    <hyperlink ref="G93" r:id="rId190" display="https://www.ema.europa.eu/en/documents/other/article-57-product-data_en.xlsx"/>
    <hyperlink ref="D94" r:id="rId191" display="https://dailymed.nlm.nih.gov/dailymed/search.cfm?labeltype=all&amp;query=tirofiban"/>
    <hyperlink ref="G94" r:id="rId192" display="https://www.ema.europa.eu/en/documents/other/article-57-product-data_en.xlsx"/>
    <hyperlink ref="D95" r:id="rId193" display="https://dailymed.nlm.nih.gov/dailymed/search.cfm?labeltype=all&amp;query=tranexamic+acid+injection"/>
    <hyperlink ref="G95" r:id="rId194" display="https://www.ema.europa.eu/en/documents/other/article-57-product-data_en.xlsx"/>
    <hyperlink ref="D96" r:id="rId195" display="https://dailymed.nlm.nih.gov/dailymed/search.cfm?labeltype=all&amp;query=tranexamic+acid+injection"/>
    <hyperlink ref="G96" r:id="rId196" display="https://health-products.canada.ca/dpd-bdpp/info?code=95428&amp;lang=eng"/>
    <hyperlink ref="D97" r:id="rId197" display="https://dailymed.nlm.nih.gov/dailymed/search.cfm?labeltype=all&amp;query=tranexamic+acid+injection"/>
    <hyperlink ref="G97" r:id="rId198" display="https://base-donnees-publique.medicaments.gouv.fr/index.php?page=1&amp;choixRecherche=medicament&amp;txtCaracteres=Acide%20Tranexamique&amp;action=show"/>
    <hyperlink ref="J97" r:id="rId199" display="https://www.ema.europa.eu/en/documents/other/article-57-product-data_en.xlsx"/>
    <hyperlink ref="D98" r:id="rId200" display="https://dailymed.nlm.nih.gov/dailymed/search.cfm?labeltype=all&amp;query=triamcinolone+acetonide+injectable+suspension"/>
    <hyperlink ref="G98" r:id="rId201" display="https://dailymed.nlm.nih.gov/dailymed/drugInfo.cfm?setid=1034d417-493a-443a-a62e-30786f673ee3"/>
    <hyperlink ref="D99" r:id="rId202" display="https://dailymed.nlm.nih.gov/dailymed/search.cfm?labeltype=all&amp;query=vecuronium"/>
    <hyperlink ref="G99" r:id="rId203" display="https://dailymed.nlm.nih.gov/dailymed/lookup.cfm?setid=86d81719-534c-4e50-ae39-d8b20e50dfad"/>
    <hyperlink ref="D100" r:id="rId204" display="https://dailymed.nlm.nih.gov/dailymed/search.cfm?labeltype=all&amp;query=verapamil+hydrochloride+injection"/>
    <hyperlink ref="G100" r:id="rId205" display="https://dailymed.nlm.nih.gov/dailymed/drugInfo.cfm?setid=def3b9ba-523d-4b83-a80d-fa6f362e111c"/>
    <hyperlink ref="D101" r:id="rId206" display="https://dailymed.nlm.nih.gov/dailymed/search.cfm?labeltype=all&amp;query=vinorelbine"/>
    <hyperlink ref="G101" r:id="rId207" display="https://base-donnees-publique.medicaments.gouv.fr/index.php?page=1&amp;choixRecherche=medicament&amp;txtCaracteres=Vinorelbine&amp;action=show"/>
    <hyperlink ref="J101" r:id="rId208" display="https://www.ema.europa.eu/en/documents/other/article-57-product-data_en.xlsx"/>
    <hyperlink ref="D102" r:id="rId209" display="https://dailymed.nlm.nih.gov/dailymed/search.cfm?labeltype=all&amp;query=azacitidine"/>
    <hyperlink ref="G102" r:id="rId210" display="https://www.ebs.tga.gov.au/servlet/xmlmillr6?dbid=ebs/PublicHTML/pdfStore.nsf&amp;docid=285655&amp;agid=(PrintDetailsPublic)&amp;actionid=1"/>
    <hyperlink ref="D103" r:id="rId211" display="https://dailymed.nlm.nih.gov/dailymed/search.cfm?labeltype=all&amp;query=bleomycin"/>
    <hyperlink ref="G103" r:id="rId212" display="https://www.healthdirect.gov.au/medicines/brand/amt%2C765691000168104/bleomycin-15k-cipla"/>
    <hyperlink ref="D104" r:id="rId213" display="https://dailymed.nlm.nih.gov/dailymed/search.cfm?labeltype=all&amp;query=bleomycin"/>
    <hyperlink ref="G104" r:id="rId214" display="https://medsinfoportal.sahpra.org.za/pil/da701bba09930b6759e3519933be7136.pdf"/>
    <hyperlink ref="D105" r:id="rId215" display="https://dailymed.nlm.nih.gov/dailymed/search.cfm?labeltype=all&amp;query=bortezomib"/>
    <hyperlink ref="G105" r:id="rId216" display="https://pi-pil-repository.sahpra.org.za/wp-content/uploads/2025/08/Final_PI-_ONBORT.pdf"/>
    <hyperlink ref="D106" r:id="rId217" display="https://dailymed.nlm.nih.gov/dailymed/search.cfm?labeltype=all&amp;query=cefepime"/>
    <hyperlink ref="G106" r:id="rId218" location="search:cefect" display="https://medicineprices.org.za/#search:cefect"/>
    <hyperlink ref="D107" r:id="rId219" display="https://dailymed.nlm.nih.gov/dailymed/search.cfm?labeltype=all&amp;query=daptomycin"/>
    <hyperlink ref="G107" r:id="rId220" display="https://mhraproducts4853.blob.core.windows.net/docs/a63e0068e2c1943c944704ec48517d5eb5a0e436"/>
    <hyperlink ref="D108" r:id="rId221" display="https://dailymed.nlm.nih.gov/dailymed/search.cfm?labeltype=all&amp;query=daptomycin"/>
    <hyperlink ref="G108" r:id="rId222" display="https://www.ema.europa.eu/en/documents/other/article-57-product-data_en.xlsx"/>
    <hyperlink ref="D109" r:id="rId223" display="https://dailymed.nlm.nih.gov/dailymed/search.cfm?labeltype=all&amp;query=daptomycin"/>
    <hyperlink ref="G109" r:id="rId224" display="https://www.ebs.tga.gov.au/ebs/picmi/picmirepository.nsf/pdf?OpenAgent&amp;id=CP-2023-PI-01892-1"/>
    <hyperlink ref="D110" r:id="rId225" display="https://dailymed.nlm.nih.gov/dailymed/search.cfm?labeltype=all&amp;query=doxorubicin"/>
    <hyperlink ref="G110" r:id="rId226" display="https://medsinfoportal.sahpra.org.za/pi/630dc9c6196521be5b9372d6e0896f56.pdf"/>
    <hyperlink ref="D111" r:id="rId227" display="https://dailymed.nlm.nih.gov/dailymed/search.cfm?labeltype=all&amp;query=fulvestrant"/>
    <hyperlink ref="G111" r:id="rId228" display="https://www.ema.europa.eu/en/documents/other/article-57-product-data_en.xlsx"/>
    <hyperlink ref="D112" r:id="rId229" display="https://dailymed.nlm.nih.gov/dailymed/search.cfm?labeltype=all&amp;query=hydrocortisone+sodium+succinate"/>
    <hyperlink ref="G112" r:id="rId230" display="https://dailymed.nlm.nih.gov/dailymed/search.cfm?searchdb=ndc&amp;query=69097-004"/>
    <hyperlink ref="D113" r:id="rId231" display="https://dailymed.nlm.nih.gov/dailymed/search.cfm?labeltype=all&amp;query=hydrocortisone+sodium+succinate"/>
    <hyperlink ref="G113" r:id="rId232" display="https://www.ebs.tga.gov.au/ebs/picmi/picmirepository.nsf/pdf?OpenAgent&amp;id=CP-2022-PI-01547-1"/>
    <hyperlink ref="D114" r:id="rId233" display="https://dailymed.nlm.nih.gov/dailymed/search.cfm?labeltype=all&amp;query=isoproterenol"/>
    <hyperlink ref="G114" r:id="rId234" display="https://www.ebs.tga.gov.au/ebs/picmi/picmirepository.nsf/pdf?OpenAgent&amp;id=CP-2022-PI-01316-1"/>
    <hyperlink ref="D115" r:id="rId235" display="https://dailymed.nlm.nih.gov/dailymed/search.cfm?labeltype=all&amp;query=lanreotide"/>
    <hyperlink ref="G115" r:id="rId236" display="https://dailymed.nlm.nih.gov/dailymed/drugInfo.cfm?setid=2892b4c3-0329-4d29-97ff-3b45283bbab1"/>
    <hyperlink ref="D116" r:id="rId237" display="https://www.who.int/news-room/fact-sheets/detail/measles"/>
    <hyperlink ref="G116" r:id="rId238" location="search:measles" display="https://medicineprices.org.za/#search:measles"/>
    <hyperlink ref="D117" r:id="rId239" display="https://dailymed.nlm.nih.gov/dailymed/search.cfm?labeltype=all&amp;query=medroxyprogesterone+acetate+injectable"/>
    <hyperlink ref="G117" r:id="rId240" display="https://www.tga.gov.au/resources/annual-charge-exemptions/cipla-medroxyprogesterone-medroxyprogesterone-acetate-150-mg1-ml-injection-suspension-vial-2024-25"/>
    <hyperlink ref="D118" r:id="rId241" display="https://dailymed.nlm.nih.gov/dailymed/search.cfm?labeltype=all&amp;query=palonosetron"/>
    <hyperlink ref="G118" r:id="rId242" display="https://www.ebs.tga.gov.au/servlet/xmlmillr6?dbid=ebs/PublicHTML/pdfStore.nsf&amp;docid=267130&amp;agid=(PrintDetailsPublic)&amp;actionid=1"/>
    <hyperlink ref="D119" r:id="rId243" display="https://dailymed.nlm.nih.gov/dailymed/search.cfm?labeltype=all&amp;query=phenylephrine+hydrochloride+injection"/>
    <hyperlink ref="G119" r:id="rId244" display="https://www.ebs.tga.gov.au/servlet/xmlmillr6?dbid=ebs/PublicHTML/pdfStore.nsf&amp;docid=304362&amp;agid=(PrintDetailsPublic)&amp;actionid=1"/>
    <hyperlink ref="D120" r:id="rId245" display="https://dailymed.nlm.nih.gov/dailymed/search.cfm?labeltype=all&amp;query=phytonadione"/>
    <hyperlink ref="G120" r:id="rId246" display="https://dailymed.nlm.nih.gov/dailymed/search.cfm?searchdb=ndc&amp;query=69097-003-96"/>
    <hyperlink ref="D121" r:id="rId247" display="https://list.essentialmeds.org/?query=streptokinase"/>
    <hyperlink ref="G121" r:id="rId248" location="search:streptase" display="https://medicineprices.org.za/#search:streptase"/>
    <hyperlink ref="D122" r:id="rId249" display="https://dailymed.nlm.nih.gov/dailymed/search.cfm?labeltype=all&amp;query=sugammadex"/>
    <hyperlink ref="G122" r:id="rId250" display="https://www.ema.europa.eu/en/documents/other/article-57-product-data_en.xlsx"/>
    <hyperlink ref="D123" r:id="rId251" display="https://dailymed.nlm.nih.gov/dailymed/search.cfm?labeltype=all&amp;query=sugammadex"/>
    <hyperlink ref="G123" r:id="rId252" display="https://www.tga.gov.au/resources/artg"/>
    <hyperlink ref="D124" r:id="rId253" display="https://dailymed.nlm.nih.gov/dailymed/search.cfm?labeltype=all&amp;query=sugammadex"/>
    <hyperlink ref="G124" r:id="rId254" display="https://pi-pil-repository.sahpra.org.za/wp-content/uploads/2023/04/Final_PI_SENUOM_Applicant.pdf"/>
    <hyperlink ref="D125" r:id="rId255" display="https://www.medicines.org.uk/emc/search?q=teicoplanin"/>
    <hyperlink ref="G125" r:id="rId256" display="https://medsinfoportal.sahpra.org.za/pil/4482c47ecb020931a053f527db2883e0.pdf"/>
    <hyperlink ref="D126" r:id="rId257" display="https://dailymed.nlm.nih.gov/dailymed/search.cfm?labeltype=all&amp;query=testosterone+cypionate"/>
    <hyperlink ref="G126" r:id="rId258" display="https://dailymed.nlm.nih.gov/dailymed/drugInfo.cfm?setid=78d55bad-4a5b-4e21-aeb8-a4c6346208be"/>
    <hyperlink ref="D127" r:id="rId259" display="https://dailymed.nlm.nih.gov/dailymed/search.cfm?labeltype=all&amp;query=testosterone+undecanoate"/>
    <hyperlink ref="G127" r:id="rId260" display="https://pi-pil-repository.sahpra.org.za/wp-content/uploads/2025/10/570491_Testosterone-cipla_PI_Applicant.pdf"/>
    <hyperlink ref="D128" r:id="rId261" display="https://dailymed.nlm.nih.gov/dailymed/search.cfm?labeltype=all&amp;query=trastuzumab"/>
    <hyperlink ref="G128" r:id="rId262" display="https://www.ebs.tga.gov.au/servlet/xmlmillr6?dbid=ebs/PublicHTML/pdfStore.nsf&amp;docid=368972&amp;agid=(PrintDetailsPublic)&amp;actionid=1"/>
    <hyperlink ref="D129" r:id="rId263" display="https://dailymed.nlm.nih.gov/dailymed/search.cfm?labeltype=all&amp;query=vinblastine"/>
    <hyperlink ref="G129" r:id="rId264" location="search:cytoblastin" display="https://medicineprices.org.za/#search:cytoblastin"/>
    <hyperlink ref="D130" r:id="rId265" display="https://dailymed.nlm.nih.gov/dailymed/search.cfm?labeltype=all&amp;query=vinorelbine"/>
    <hyperlink ref="G130" r:id="rId266" display="https://medsinfoportal.sahpra.org.za/pil/36f7abdc01fd9359da933b04b2161e20.pdf"/>
    <hyperlink ref="D131" r:id="rId267" display="https://dailymed.nlm.nih.gov/dailymed/search.cfm?labeltype=all&amp;query=azacitidine"/>
    <hyperlink ref="G131" r:id="rId268" display="https://mhraproducts4853.blob.core.windows.net/docs/11c1ec30fc299931e4de1e6eb1da508221e64e2f"/>
    <hyperlink ref="D132" r:id="rId269" display="https://dailymed.nlm.nih.gov/dailymed/search.cfm?labeltype=all&amp;query=azacitidine"/>
    <hyperlink ref="G132" r:id="rId270" display="https://health-products.canada.ca/dpd-bdpp/info?code=95068&amp;lang=eng"/>
    <hyperlink ref="D133" r:id="rId271" display="https://dailymed.nlm.nih.gov/dailymed/search.cfm?labeltype=all&amp;query=azacitidine"/>
    <hyperlink ref="G133" r:id="rId272" display="https://www.ema.europa.eu/en/medicines/human/EPAR/azacitidine-betapharm"/>
    <hyperlink ref="J133" r:id="rId273" display="https://www.ema.europa.eu/en/documents/other/article-57-product-data_en.xlsx"/>
    <hyperlink ref="D134" r:id="rId274" display="https://dailymed.nlm.nih.gov/dailymed/search.cfm?labeltype=all&amp;query=azacitidine"/>
    <hyperlink ref="G134" r:id="rId275" display="https://www.ebs.tga.gov.au/ebs/picmi/picmirepository.nsf/pdf?OpenAgent&amp;id=CP-2016-PI-01288-1"/>
    <hyperlink ref="D135" r:id="rId276" display="https://dailymed.nlm.nih.gov/dailymed/search.cfm?labeltype=all&amp;query=azacitidine"/>
    <hyperlink ref="G135" r:id="rId277" display="https://pi-pil-repository.sahpra.org.za/wp-content/uploads/2023/07/approved-pil.pdf"/>
    <hyperlink ref="D136" r:id="rId278" display="https://dailymed.nlm.nih.gov/dailymed/search.cfm?labeltype=all&amp;query=bivalirudin"/>
    <hyperlink ref="G136" r:id="rId279" display="https://dailymed.nlm.nih.gov/dailymed/search.cfm?labeltype=all&amp;query=Bivalirudin"/>
    <hyperlink ref="D137" r:id="rId280" display="https://dailymed.nlm.nih.gov/dailymed/search.cfm?labeltype=all&amp;query=bortezomib"/>
    <hyperlink ref="G137" r:id="rId281" display="https://dailymed.nlm.nih.gov/dailymed/search.cfm?labeltype=all&amp;query=Bortezomib"/>
    <hyperlink ref="D138" r:id="rId282" display="https://dailymed.nlm.nih.gov/dailymed/search.cfm?labeltype=all&amp;query=bortezomib"/>
    <hyperlink ref="G138" r:id="rId283" display="https://mhraproducts4853.blob.core.windows.net/docs/3f37ca6630cfcad926467080f4d6bb4a305ed4fa"/>
    <hyperlink ref="D139" r:id="rId284" display="https://dailymed.nlm.nih.gov/dailymed/search.cfm?labeltype=all&amp;query=bortezomib"/>
    <hyperlink ref="G139" r:id="rId285" display="https://www.ema.europa.eu/en/documents/other/article-57-product-data_en.xlsx"/>
    <hyperlink ref="D140" r:id="rId286" display="https://dailymed.nlm.nih.gov/dailymed/search.cfm?labeltype=all&amp;query=bortezomib"/>
    <hyperlink ref="G140" r:id="rId287" display="https://health-products.canada.ca/dpd-bdpp/info?code=93883&amp;lang=eng"/>
    <hyperlink ref="D141" r:id="rId288" display="https://dailymed.nlm.nih.gov/dailymed/search.cfm?labeltype=all&amp;query=bortezomib"/>
    <hyperlink ref="G141" r:id="rId289" display="https://base-donnees-publique.medicaments.gouv.fr/index.php?page=1&amp;choixRecherche=medicament&amp;txtCaracteres=Bortezomib&amp;action=show"/>
    <hyperlink ref="J141" r:id="rId290" display="https://www.ema.europa.eu/en/documents/other/article-57-product-data_en.xlsx"/>
    <hyperlink ref="D142" r:id="rId291" display="https://dailymed.nlm.nih.gov/dailymed/search.cfm?labeltype=all&amp;query=bortezomib"/>
    <hyperlink ref="G142" r:id="rId292" display="https://pi-pil-repository.sahpra.org.za/wp-content/uploads/2025/04/pil-approved-5.pdf"/>
    <hyperlink ref="D143" r:id="rId293" display="https://dailymed.nlm.nih.gov/dailymed/search.cfm?labeltype=all&amp;query=carboprost"/>
    <hyperlink ref="G143" r:id="rId294" display="https://dailymed.nlm.nih.gov/dailymed/lookup.cfm?setid=ce9f0ea6-69f9-6b68-2811-3b51e34acea6"/>
    <hyperlink ref="D144" r:id="rId295" display="https://dailymed.nlm.nih.gov/dailymed/search.cfm?labeltype=all&amp;query=carboprost"/>
    <hyperlink ref="G144" r:id="rId296" display="https://www.ebs.tga.gov.au/ebs/picmi/picmirepository.nsf/pdf?OpenAgent&amp;id=CP-2023-PI-01598-1"/>
    <hyperlink ref="D145" r:id="rId297" display="https://dailymed.nlm.nih.gov/dailymed/search.cfm?labeltype=all&amp;query=cyclophosphamide"/>
    <hyperlink ref="G145" r:id="rId298" display="https://dailymed.nlm.nih.gov/dailymed/drugInfo.cfm?setid=a5818647-d840-e9d7-c7b8-6541b485e44e"/>
    <hyperlink ref="D146" r:id="rId299" display="https://dailymed.nlm.nih.gov/dailymed/search.cfm?labeltype=all&amp;query=cyclophosphamide"/>
    <hyperlink ref="G146" r:id="rId300" display="https://base-donnees-publique.medicaments.gouv.fr/index.php?page=1&amp;choixRecherche=medicament&amp;txtCaracteres=Cyclophosphamide%20Reddy&amp;action=show"/>
    <hyperlink ref="J146" r:id="rId301" display="https://www.ema.europa.eu/en/documents/other/article-57-product-data_en.xlsx"/>
    <hyperlink ref="D147" r:id="rId302" display="https://dailymed.nlm.nih.gov/dailymed/search.cfm?labeltype=all&amp;query=daptomycin"/>
    <hyperlink ref="G147" r:id="rId303" display="https://mhraproducts4853.blob.core.windows.net/docs/60c8a02705c24afc73bb76255b45928c586ba95b"/>
    <hyperlink ref="D148" r:id="rId304" display="https://dailymed.nlm.nih.gov/dailymed/search.cfm?labeltype=all&amp;query=daptomycin"/>
    <hyperlink ref="G148" r:id="rId305" display="https://www.ema.europa.eu/en/documents/other/article-57-product-data_en.xlsx"/>
    <hyperlink ref="D149" r:id="rId306" display="https://dailymed.nlm.nih.gov/dailymed/search.cfm?labeltype=all&amp;query=daptomycin"/>
    <hyperlink ref="G149" r:id="rId307" display="https://health-products.canada.ca/dpd-bdpp/info?code=98052&amp;lang=eng"/>
    <hyperlink ref="D150" r:id="rId308" display="https://dailymed.nlm.nih.gov/dailymed/search.cfm?labeltype=all&amp;query=daptomycin"/>
    <hyperlink ref="G150" r:id="rId309" display="https://base-donnees-publique.medicaments.gouv.fr/index.php?page=1&amp;choixRecherche=medicament&amp;txtCaracteres=Daptomycine%20Reddy&amp;action=show"/>
    <hyperlink ref="J150" r:id="rId310" display="https://www.ema.europa.eu/en/documents/other/article-57-product-data_en.xlsx"/>
    <hyperlink ref="D151" r:id="rId311" display="https://dailymed.nlm.nih.gov/dailymed/search.cfm?labeltype=all&amp;query=daptomycin"/>
    <hyperlink ref="G151" r:id="rId312" display="https://www.ebs.tga.gov.au/ebs/picmi/picmirepository.nsf/pdf?OpenAgent&amp;id=CP-2021-PI-01507-1"/>
    <hyperlink ref="D152" r:id="rId313" display="https://dailymed.nlm.nih.gov/dailymed/search.cfm?labeltype=all&amp;query=desmopressin"/>
    <hyperlink ref="G152" r:id="rId314" display="https://dailymed.nlm.nih.gov/dailymed/drugInfo.cfm?setid=60dd8694-58d8-d88e-26f2-f28baa53787e"/>
    <hyperlink ref="D153" r:id="rId315" display="https://dailymed.nlm.nih.gov/dailymed/search.cfm?labeltype=all&amp;query=diazepam+injection"/>
    <hyperlink ref="G153" r:id="rId316" display="https://dailymed.nlm.nih.gov/dailymed/drugInfo.cfm?setid=7a912f1a-deee-46df-a8df-22a0afb06529"/>
    <hyperlink ref="D154" r:id="rId317" display="https://dailymed.nlm.nih.gov/dailymed/search.cfm?labeltype=all&amp;query=ephedrine+sulfate+injection"/>
    <hyperlink ref="G154" r:id="rId318" display="https://dailymed.nlm.nih.gov/dailymed/drugInfo.cfm?setid=1d1c41c1-8f5f-ee76-c890-4f1f2a3b2e96"/>
    <hyperlink ref="D155" r:id="rId319" display="https://dailymed.nlm.nih.gov/dailymed/search.cfm?labeltype=all&amp;query=eribulin"/>
    <hyperlink ref="G155" r:id="rId320" display="https://dailymed.nlm.nih.gov/dailymed/drugInfo.cfm?setid=1038e984-3bf7-5bbf-f1ec-ce15ae330efc"/>
    <hyperlink ref="D156" r:id="rId321" display="https://dailymed.nlm.nih.gov/dailymed/search.cfm?labeltype=all&amp;query=eribulin"/>
    <hyperlink ref="G156" r:id="rId322" display="https://dmd-browser.nhsbsa.nhs.uk/ampp/view/211180"/>
    <hyperlink ref="D157" r:id="rId323" display="https://dailymed.nlm.nih.gov/dailymed/search.cfm?labeltype=all&amp;query=eribulin"/>
    <hyperlink ref="G157" r:id="rId324" display="https://www.ema.europa.eu/en/documents/other/article-57-product-data_en.xlsx"/>
    <hyperlink ref="D158" r:id="rId325" display="https://dailymed.nlm.nih.gov/dailymed/search.cfm?labeltype=all&amp;query=eribulin"/>
    <hyperlink ref="G158" r:id="rId326" display="https://health-products.canada.ca/dpd-bdpp/info?code=103467&amp;lang=eng"/>
    <hyperlink ref="D159" r:id="rId327" display="https://dailymed.nlm.nih.gov/dailymed/search.cfm?labeltype=all&amp;query=eribulin"/>
    <hyperlink ref="G159" r:id="rId328" display="https://www.ema.europa.eu/en/documents/other/article-57-product-data_en.xlsx"/>
    <hyperlink ref="D160" r:id="rId329" display="https://dailymed.nlm.nih.gov/dailymed/search.cfm?labeltype=all&amp;query=eribulin"/>
    <hyperlink ref="G160" r:id="rId330" display="https://www.ebs.tga.gov.au/ebs/picmi/picmirepository.nsf/pdf?OpenAgent&amp;id=CP-2024-PI-02722-1"/>
    <hyperlink ref="D161" r:id="rId331" display="https://dailymed.nlm.nih.gov/dailymed/search.cfm?labeltype=all&amp;query=eribulin"/>
    <hyperlink ref="G161" r:id="rId332" location="search:eribulin" display="https://medicineprices.org.za/#search:eribulin"/>
    <hyperlink ref="D162" r:id="rId333" display="https://dailymed.nlm.nih.gov/dailymed/search.cfm?labeltype=all&amp;query=ertapenem"/>
    <hyperlink ref="G162" r:id="rId334" display="https://health-products.canada.ca/dpd-bdpp/info?code=100038&amp;lang=eng"/>
    <hyperlink ref="D163" r:id="rId335" display="https://dailymed.nlm.nih.gov/dailymed/search.cfm?labeltype=all&amp;query=ferric+carboxymaltose"/>
    <hyperlink ref="G163" r:id="rId336" display="https://www.tga.gov.au/resources/artg/431990"/>
    <hyperlink ref="D164" r:id="rId337" display="https://dailymed.nlm.nih.gov/dailymed/search.cfm?labeltype=all&amp;query=fulvestrant"/>
    <hyperlink ref="G164" r:id="rId338" display="https://dailymed.nlm.nih.gov/dailymed/drugInfo.cfm?setid=2fc17ba3-83c7-a2b4-8a75-6a0cb1e07682"/>
    <hyperlink ref="D165" r:id="rId339" display="https://dailymed.nlm.nih.gov/dailymed/search.cfm?labeltype=all&amp;query=fulvestrant"/>
    <hyperlink ref="G165" r:id="rId340" display="https://mhraproducts4853.blob.core.windows.net/docs/15cb9531a83993d5871cb4fbb39a9f60d681facb"/>
    <hyperlink ref="D166" r:id="rId341" display="https://dailymed.nlm.nih.gov/dailymed/search.cfm?labeltype=all&amp;query=fulvestrant"/>
    <hyperlink ref="G166" r:id="rId342" display="https://www.ema.europa.eu/en/documents/other/article-57-product-data_en.xlsx"/>
    <hyperlink ref="D167" r:id="rId343" display="https://dailymed.nlm.nih.gov/dailymed/search.cfm?labeltype=all&amp;query=fulvestrant"/>
    <hyperlink ref="G167" r:id="rId344" display="https://www.ema.europa.eu/en/documents/other/article-57-product-data_en.xlsx"/>
    <hyperlink ref="D168" r:id="rId345" display="https://dailymed.nlm.nih.gov/dailymed/search.cfm?labeltype=all&amp;query=fulvestrant"/>
    <hyperlink ref="G168" r:id="rId346" display="https://pi-pil-repository.sahpra.org.za/wp-content/uploads/2025/02/approved-pi.pdf"/>
    <hyperlink ref="D169" r:id="rId347" display="https://dailymed.nlm.nih.gov/dailymed/search.cfm?labeltype=all&amp;query=ibandronate+injection"/>
    <hyperlink ref="G169" r:id="rId348" display="https://www.ema.europa.eu/en/documents/other/article-57-product-data_en.xlsx"/>
    <hyperlink ref="D170" r:id="rId349" display="https://dailymed.nlm.nih.gov/dailymed/search.cfm?labeltype=all&amp;query=naloxone+hydrochloride+injection"/>
    <hyperlink ref="G170" r:id="rId350" display="https://dailymed.nlm.nih.gov/dailymed/search.cfm?searchdb=ndc&amp;query=43598-750-11"/>
    <hyperlink ref="D171" r:id="rId351" display="https://dailymed.nlm.nih.gov/dailymed/search.cfm?labeltype=all&amp;query=neostigmine"/>
    <hyperlink ref="G171" r:id="rId352" display="https://dailymed.nlm.nih.gov/dailymed/drugInfo.cfm?setid=12575d1a-a2c2-37b2-0dcf-31e58bbc2a10"/>
    <hyperlink ref="D172" r:id="rId353" display="https://dailymed.nlm.nih.gov/dailymed/search.cfm?labeltype=all&amp;query=palonosetron"/>
    <hyperlink ref="G172" r:id="rId354" display="https://dailymed.nlm.nih.gov/dailymed/lookup.cfm?setid=991b8452-852c-c55c-7b1b-e97c4964777a"/>
    <hyperlink ref="D173" r:id="rId355" display="https://dailymed.nlm.nih.gov/dailymed/search.cfm?labeltype=all&amp;query=palonosetron"/>
    <hyperlink ref="G173" r:id="rId356" display="https://www.ema.europa.eu/en/documents/other/article-57-product-data_en.xlsx"/>
    <hyperlink ref="D174" r:id="rId357" display="https://dailymed.nlm.nih.gov/dailymed/search.cfm?labeltype=all&amp;query=palonosetron"/>
    <hyperlink ref="G174" r:id="rId358" display="https://www.ebs.tga.gov.au/ebs/picmi/picmirepository.nsf/pdf?OpenAgent&amp;id=CP-2016-PI-02208-1"/>
    <hyperlink ref="D175" r:id="rId359" display="https://dailymed.nlm.nih.gov/dailymed/search.cfm?labeltype=all&amp;query=phytonadione"/>
    <hyperlink ref="G175" r:id="rId360" display="https://dailymed.nlm.nih.gov/dailymed/drugInfo.cfm?setid=02445c07-7b4b-cd70-54e8-ebefc814f547"/>
    <hyperlink ref="D176" r:id="rId361" display="https://dailymed.nlm.nih.gov/dailymed/search.cfm?labeltype=all&amp;query=plerixafor"/>
    <hyperlink ref="G176" r:id="rId362" display="https://dailymed.nlm.nih.gov/dailymed/drugInfo.cfm?setid=58c9fa02-3701-d411-f946-790a62ddc064"/>
    <hyperlink ref="D177" r:id="rId363" display="https://dailymed.nlm.nih.gov/dailymed/search.cfm?labeltype=all&amp;query=regadenoson"/>
    <hyperlink ref="G177" r:id="rId364" display="https://dailymed.nlm.nih.gov/dailymed/search.cfm?labeltype=all&amp;query=Regadenoson"/>
    <hyperlink ref="D178" r:id="rId365" display="https://dailymed.nlm.nih.gov/dailymed/search.cfm?labeltype=all&amp;query=succinylcholine"/>
    <hyperlink ref="G178" r:id="rId366" display="https://dailymed.nlm.nih.gov/dailymed/drugInfo.cfm?setid=6e6e0ce7-c73c-407f-9678-724425f24976"/>
    <hyperlink ref="D179" r:id="rId367" display="https://dailymed.nlm.nih.gov/dailymed/search.cfm?labeltype=all&amp;query=succinylcholine"/>
    <hyperlink ref="G179" r:id="rId368" display="https://pdf.hres.ca/dpd_pm/00069183.PDF"/>
    <hyperlink ref="D180" r:id="rId369" display="https://dailymed.nlm.nih.gov/dailymed/search.cfm?labeltype=all&amp;query=sugammadex"/>
    <hyperlink ref="G180" r:id="rId370" display="https://dailymed.nlm.nih.gov/dailymed/drugInfo.cfm?setid=4f90c37e-3505-0968-38fd-fc7e4dd66e82"/>
    <hyperlink ref="D181" r:id="rId371" display="https://dailymed.nlm.nih.gov/dailymed/search.cfm?labeltype=all&amp;query=sugammadex"/>
    <hyperlink ref="G181" r:id="rId372" display="https://dmd-browser.nhsbsa.nhs.uk/ampp/view/195075"/>
    <hyperlink ref="D182" r:id="rId373" display="https://dailymed.nlm.nih.gov/dailymed/search.cfm?labeltype=all&amp;query=sugammadex"/>
    <hyperlink ref="G182" r:id="rId374" display="https://www.ema.europa.eu/en/documents/other/article-57-product-data_en.xlsx"/>
    <hyperlink ref="D183" r:id="rId375" display="https://dailymed.nlm.nih.gov/dailymed/search.cfm?labeltype=all&amp;query=sugammadex"/>
    <hyperlink ref="G183" r:id="rId376" display="https://base-donnees-publique.medicaments.gouv.fr/index.php?page=1&amp;choixRecherche=medicament&amp;txtCaracteres=Sugammadex&amp;action=show"/>
    <hyperlink ref="J183" r:id="rId377" display="https://www.ema.europa.eu/en/documents/other/article-57-product-data_en.xlsx"/>
    <hyperlink ref="D184" r:id="rId378" display="https://dailymed.nlm.nih.gov/dailymed/search.cfm?labeltype=all&amp;query=sugammadex"/>
    <hyperlink ref="G184" r:id="rId379" display="https://www.ebs.tga.gov.au/ebs/picmi/picmirepository.nsf/pdf?OpenAgent&amp;id=CP-2021-PI-01471-1"/>
    <hyperlink ref="D185" r:id="rId380" display="https://dailymed.nlm.nih.gov/dailymed/search.cfm?labeltype=all&amp;query=sugammadex"/>
    <hyperlink ref="G185" r:id="rId381" display="https://pi-pil-repository.sahpra.org.za/wp-content/uploads/2023/11/Final_PI_Neuvysi_Applicant.pdf"/>
    <hyperlink ref="D186" r:id="rId382" display="https://dailymed.nlm.nih.gov/dailymed/search.cfm?labeltype=all&amp;query=thiotepa"/>
    <hyperlink ref="G186" r:id="rId383" display="https://dailymed.nlm.nih.gov/dailymed/drugInfo.cfm?setid=0def6a5e-4bf5-b1fd-47b7-0f17ecfd9bc2"/>
    <hyperlink ref="D187" r:id="rId384" display="https://dailymed.nlm.nih.gov/dailymed/search.cfm?labeltype=all&amp;query=triamcinolone+acetonide+injectable+suspension"/>
    <hyperlink ref="G187" r:id="rId385" display="https://dailymed.nlm.nih.gov/dailymed/drugInfo.cfm?setid=1034d417-493a-443a-a62e-30786f673ee3"/>
    <hyperlink ref="D188" r:id="rId386" display="https://dailymed.nlm.nih.gov/dailymed/search.cfm?labeltype=all&amp;query=acetazolamide"/>
    <hyperlink ref="G188" r:id="rId387" display="https://dmd-browser.nhsbsa.nhs.uk/ampp/view/210747"/>
    <hyperlink ref="D189" r:id="rId388" display="https://dailymed.nlm.nih.gov/dailymed/search.cfm?labeltype=all&amp;query=acetazolamide"/>
    <hyperlink ref="G189" r:id="rId389" display="https://www.ema.europa.eu/en/documents/other/article-57-product-data_en.xlsx"/>
    <hyperlink ref="D190" r:id="rId390" display="https://dailymed.nlm.nih.gov/dailymed/search.cfm?labeltype=all&amp;query=amikacin"/>
    <hyperlink ref="G190" r:id="rId391" display="https://dmd-browser.nhsbsa.nhs.uk/ampp/view/184215"/>
    <hyperlink ref="D191" r:id="rId392" display="https://dailymed.nlm.nih.gov/dailymed/search.cfm?labeltype=all&amp;query=amikacin"/>
    <hyperlink ref="G191" r:id="rId393" display="https://www.ema.europa.eu/en/documents/other/article-57-product-data_en.xlsx"/>
    <hyperlink ref="D192" r:id="rId394" display="https://dailymed.nlm.nih.gov/dailymed/search.cfm?labeltype=all&amp;query=amikacin"/>
    <hyperlink ref="G192" r:id="rId395" display="https://health-products.canada.ca/dpd-bdpp/info?code=97163&amp;lang=eng"/>
    <hyperlink ref="D193" r:id="rId396" display="https://dailymed.nlm.nih.gov/dailymed/search.cfm?labeltype=all&amp;query=amikacin"/>
    <hyperlink ref="G193" r:id="rId397" display="https://www.ema.europa.eu/en/documents/other/article-57-product-data_en.xlsx"/>
    <hyperlink ref="D194" r:id="rId398" display="https://dailymed.nlm.nih.gov/dailymed/search.cfm?labeltype=all&amp;query=amikacin"/>
    <hyperlink ref="G194" r:id="rId399" display="https://www.ebs.tga.gov.au/ebs/picmi/picmirepository.nsf/pdf?OpenAgent&amp;id=CP-2019-PI-02339-1"/>
    <hyperlink ref="D195" r:id="rId400" display="https://dailymed.nlm.nih.gov/dailymed/search.cfm?labeltype=all&amp;query=ampicillin"/>
    <hyperlink ref="G195" r:id="rId401" display="https://www.ema.europa.eu/en/documents/other/article-57-product-data_en.xlsx"/>
    <hyperlink ref="D196" r:id="rId402" display="https://dailymed.nlm.nih.gov/dailymed/search.cfm?labeltype=all&amp;query=azacitidine"/>
    <hyperlink ref="G196" r:id="rId403" display="https://mhraproducts4853.blob.core.windows.net/docs/e4d662e29a638c2305c604ee1f25827e963a09f4"/>
    <hyperlink ref="D197" r:id="rId404" display="https://dailymed.nlm.nih.gov/dailymed/search.cfm?labeltype=all&amp;query=azacitidine"/>
    <hyperlink ref="G197" r:id="rId405" display="https://www.ema.europa.eu/en/documents/other/article-57-product-data_en.xlsx"/>
    <hyperlink ref="D198" r:id="rId406" display="https://dailymed.nlm.nih.gov/dailymed/search.cfm?labeltype=all&amp;query=azacitidine"/>
    <hyperlink ref="G198" r:id="rId407" display="https://base-donnees-publique.medicaments.gouv.fr/index.php?page=1&amp;choixRecherche=medicament&amp;txtCaracteres=Azacitidine%20Tillomed&amp;action=show"/>
    <hyperlink ref="J198" r:id="rId408" display="https://www.ema.europa.eu/en/documents/other/article-57-product-data_en.xlsx"/>
    <hyperlink ref="D199" r:id="rId409" display="https://dailymed.nlm.nih.gov/dailymed/search.cfm?labeltype=all&amp;query=bortezomib"/>
    <hyperlink ref="G199" r:id="rId410" display="https://www.ema.europa.eu/en/documents/other/article-57-product-data_en.xlsx"/>
    <hyperlink ref="D200" r:id="rId411" display="https://dailymed.nlm.nih.gov/dailymed/search.cfm?labeltype=all&amp;query=bortezomib"/>
    <hyperlink ref="G200" r:id="rId412" display="https://health-products.canada.ca/dpd-bdpp/info?code=98328&amp;lang=eng"/>
    <hyperlink ref="D201" r:id="rId413" display="https://dailymed.nlm.nih.gov/dailymed/search.cfm?labeltype=all&amp;query=bortezomib"/>
    <hyperlink ref="G201" r:id="rId414" display="https://base-donnees-publique.medicaments.gouv.fr/index.php?page=1&amp;choixRecherche=medicament&amp;txtCaracteres=Bortezomib%20Tillomed&amp;action=show"/>
    <hyperlink ref="J201" r:id="rId415" display="https://www.ema.europa.eu/en/documents/other/article-57-product-data_en.xlsx"/>
    <hyperlink ref="D202" r:id="rId416" display="https://dailymed.nlm.nih.gov/dailymed/search.cfm?labeltype=all&amp;query=colistimethate"/>
    <hyperlink ref="G202" r:id="rId417" display="https://health-products.canada.ca/dpd-bdpp/info?code=103531&amp;lang=eng"/>
    <hyperlink ref="D203" r:id="rId418" display="https://dailymed.nlm.nih.gov/dailymed/search.cfm?labeltype=all&amp;query=cyclophosphamide"/>
    <hyperlink ref="G203" r:id="rId419" display="https://health-products.canada.ca/dpd-bdpp/info?code=106329&amp;lang=eng"/>
    <hyperlink ref="D204" r:id="rId420" display="https://dailymed.nlm.nih.gov/dailymed/search.cfm?labeltype=all&amp;query=daptomycin"/>
    <hyperlink ref="G204" r:id="rId421" display="https://mhraproducts4853.blob.core.windows.net/docs/9afd4b27b19aa5c9bee689358bc17d6502fcab14"/>
    <hyperlink ref="D205" r:id="rId422" display="https://dailymed.nlm.nih.gov/dailymed/search.cfm?labeltype=all&amp;query=daptomycin"/>
    <hyperlink ref="G205" r:id="rId423" display="https://base-donnees-publique.medicaments.gouv.fr/index.php?page=1&amp;choixRecherche=medicament&amp;txtCaracteres=Daptomycin%20Tillomed&amp;action=show"/>
    <hyperlink ref="J205" r:id="rId424" display="https://www.ema.europa.eu/en/documents/other/article-57-product-data_en.xlsx"/>
    <hyperlink ref="D206" r:id="rId425" display="https://dailymed.nlm.nih.gov/dailymed/search.cfm?labeltype=all&amp;query=eribulin"/>
    <hyperlink ref="G206" r:id="rId426" display="https://base-donnees-publique.medicaments.gouv.fr/index.php?page=1&amp;choixRecherche=medicament&amp;txtCaracteres=Eribuline%20Tillomed&amp;action=show"/>
    <hyperlink ref="J206" r:id="rId427" display="https://www.ema.europa.eu/en/documents/other/article-57-product-data_en.xlsx"/>
    <hyperlink ref="D207" r:id="rId428" display="https://dailymed.nlm.nih.gov/dailymed/search.cfm?labeltype=all&amp;query=esomeprazole+sodium"/>
    <hyperlink ref="G207" r:id="rId429" display="https://www.ema.europa.eu/en/documents/other/article-57-product-data_en.xlsx"/>
    <hyperlink ref="D208" r:id="rId430" display="https://dailymed.nlm.nih.gov/dailymed/search.cfm?labeltype=all&amp;query=esomeprazole+sodium"/>
    <hyperlink ref="G208" r:id="rId431" display="https://base-donnees-publique.medicaments.gouv.fr/index.php?page=1&amp;choixRecherche=medicament&amp;txtCaracteres=Esomeprazole%20Tillomed&amp;action=show"/>
    <hyperlink ref="J208" r:id="rId432" display="https://www.ema.europa.eu/en/documents/other/article-57-product-data_en.xlsx"/>
    <hyperlink ref="D209" r:id="rId433" display="https://dailymed.nlm.nih.gov/dailymed/search.cfm?labeltype=all&amp;query=isoproterenol"/>
    <hyperlink ref="G209" r:id="rId434" display="https://health-products.canada.ca/dpd-bdpp/info?code=99218&amp;lang=eng"/>
    <hyperlink ref="D210" r:id="rId435" display="https://dailymed.nlm.nih.gov/dailymed/search.cfm?labeltype=all&amp;query=isoproterenol"/>
    <hyperlink ref="G210" r:id="rId436" display="https://base-donnees-publique.medicaments.gouv.fr/index.php?page=1&amp;choixRecherche=medicament&amp;txtCaracteres=Isoprenaline%20Chlorhydrate&amp;action=show"/>
    <hyperlink ref="J210" r:id="rId437" display="https://www.ema.europa.eu/en/documents/other/article-57-product-data_en.xlsx"/>
    <hyperlink ref="D211" r:id="rId438" display="https://dailymed.nlm.nih.gov/dailymed/search.cfm?labeltype=all&amp;query=melphalan+hydrochloride"/>
    <hyperlink ref="G211" r:id="rId439" display="https://mhraproducts4853.blob.core.windows.net/docs/b72d32face7ce61d71696787ed3106ac25618280"/>
    <hyperlink ref="D212" r:id="rId440" display="https://dailymed.nlm.nih.gov/dailymed/search.cfm?labeltype=all&amp;query=melphalan+hydrochloride"/>
    <hyperlink ref="G212" r:id="rId441" display="https://www.ema.europa.eu/en/documents/other/article-57-product-data_en.xlsx"/>
    <hyperlink ref="D213" r:id="rId442" display="https://dailymed.nlm.nih.gov/dailymed/search.cfm?labeltype=all&amp;query=melphalan+hydrochloride"/>
    <hyperlink ref="G213" r:id="rId443" display="https://health-products.canada.ca/dpd-bdpp/info?code=96274&amp;lang=eng"/>
    <hyperlink ref="D214" r:id="rId444" display="https://dailymed.nlm.nih.gov/dailymed/search.cfm?labeltype=all&amp;query=melphalan+hydrochloride"/>
    <hyperlink ref="G214" r:id="rId445" display="https://base-donnees-publique.medicaments.gouv.fr/index.php?page=1&amp;choixRecherche=medicament&amp;txtCaracteres=Melphalan%20Tillomed&amp;action=show"/>
    <hyperlink ref="J214" r:id="rId446" display="https://www.ema.europa.eu/en/documents/other/article-57-product-data_en.xlsx"/>
    <hyperlink ref="D215" r:id="rId447" display="https://dailymed.nlm.nih.gov/dailymed/search.cfm?labeltype=all&amp;query=melphalan+hydrochloride"/>
    <hyperlink ref="G215" r:id="rId448" display="https://www.ebs.tga.gov.au/ebs/picmi/picmirepository.nsf/pdf?OpenAgent&amp;id=CP-2018-PI-01539-1"/>
    <hyperlink ref="D216" r:id="rId449" display="https://dailymed.nlm.nih.gov/dailymed/search.cfm?labeltype=all&amp;query=milrinone"/>
    <hyperlink ref="G216" r:id="rId450" display="https://dmd-browser.nhsbsa.nhs.uk/ampp/view/190885"/>
    <hyperlink ref="D217" r:id="rId451" display="https://dailymed.nlm.nih.gov/dailymed/search.cfm?labeltype=all&amp;query=milrinone"/>
    <hyperlink ref="G217" r:id="rId452" display="https://www.ema.europa.eu/en/documents/other/article-57-product-data_en.xlsx"/>
    <hyperlink ref="D218" r:id="rId453" display="https://dailymed.nlm.nih.gov/dailymed/search.cfm?labeltype=all&amp;query=milrinone"/>
    <hyperlink ref="G218" r:id="rId454" display="https://base-donnees-publique.medicaments.gouv.fr/index.php?page=1&amp;choixRecherche=medicament&amp;txtCaracteres=Milrinone%20Tillomed&amp;action=show"/>
    <hyperlink ref="J218" r:id="rId455" display="https://www.ema.europa.eu/en/documents/other/article-57-product-data_en.xlsx"/>
    <hyperlink ref="D219" r:id="rId456" display="https://dailymed.nlm.nih.gov/dailymed/search.cfm?labeltype=all&amp;query=neostigmine"/>
    <hyperlink ref="G219" r:id="rId457" display="https://health-products.canada.ca/dpd-bdpp/info?code=96586&amp;lang=eng"/>
    <hyperlink ref="D220" r:id="rId458" display="https://dailymed.nlm.nih.gov/dailymed/search.cfm?labeltype=all&amp;query=ondansetron+injection"/>
    <hyperlink ref="G220" r:id="rId459" display="https://www.ema.europa.eu/en/documents/other/article-57-product-data_en.xlsx"/>
    <hyperlink ref="D221" r:id="rId460" display="https://dailymed.nlm.nih.gov/dailymed/search.cfm?labeltype=all&amp;query=pantoprazole+sodium+for+injection"/>
    <hyperlink ref="G221" r:id="rId461" display="https://dmd-browser.nhsbsa.nhs.uk/ampp/view/194984"/>
    <hyperlink ref="D222" r:id="rId462" display="https://dailymed.nlm.nih.gov/dailymed/search.cfm?labeltype=all&amp;query=pantoprazole+sodium+for+injection"/>
    <hyperlink ref="G222" r:id="rId463" display="https://www.ema.europa.eu/en/documents/other/article-57-product-data_en.xlsx"/>
    <hyperlink ref="D223" r:id="rId464" display="https://dailymed.nlm.nih.gov/dailymed/search.cfm?labeltype=all&amp;query=pantoprazole+sodium+for+injection"/>
    <hyperlink ref="G223" r:id="rId465" display="https://base-donnees-publique.medicaments.gouv.fr/index.php?page=1&amp;choixRecherche=medicament&amp;txtCaracteres=Pantoprazole%20Tillomed&amp;action=show"/>
    <hyperlink ref="J223" r:id="rId466" display="https://www.ema.europa.eu/en/documents/other/article-57-product-data_en.xlsx"/>
    <hyperlink ref="D224" r:id="rId467" display="https://dailymed.nlm.nih.gov/dailymed/search.cfm?labeltype=all&amp;query=pentamidine"/>
    <hyperlink ref="G224" r:id="rId468" display="https://dmd-browser.nhsbsa.nhs.uk/ampp/view/197400"/>
    <hyperlink ref="D225" r:id="rId469" display="https://dailymed.nlm.nih.gov/dailymed/search.cfm?labeltype=all&amp;query=pentamidine"/>
    <hyperlink ref="G225" r:id="rId470" display="https://www.ema.europa.eu/en/documents/other/article-57-product-data_en.xlsx"/>
    <hyperlink ref="D226" r:id="rId471" display="https://dailymed.nlm.nih.gov/dailymed/search.cfm?labeltype=all&amp;query=pentamidine"/>
    <hyperlink ref="G226" r:id="rId472" display="https://health-products.canada.ca/dpd-bdpp/info?code=100704&amp;lang=eng"/>
    <hyperlink ref="D227" r:id="rId473" display="https://dailymed.nlm.nih.gov/dailymed/search.cfm?labeltype=all&amp;query=pentamidine"/>
    <hyperlink ref="G227" r:id="rId474" display="https://base-donnees-publique.medicaments.gouv.fr/index.php?page=1&amp;choixRecherche=medicament&amp;txtCaracteres=Pentamidine%20Tillomed&amp;action=show"/>
    <hyperlink ref="J227" r:id="rId475" display="https://www.ema.europa.eu/en/documents/other/article-57-product-data_en.xlsx"/>
    <hyperlink ref="D228" r:id="rId476" display="https://dailymed.nlm.nih.gov/dailymed/search.cfm?labeltype=all&amp;query=pentamidine"/>
    <hyperlink ref="G228" r:id="rId477" display="https://www.ebs.tga.gov.au/ebs/picmi/picmirepository.nsf/pdf?OpenAgent&amp;id=CP-2023-PI-02341-1"/>
    <hyperlink ref="D229" r:id="rId478" display="https://dailymed.nlm.nih.gov/dailymed/search.cfm?labeltype=all&amp;query=plerixafor"/>
    <hyperlink ref="G229" r:id="rId479" display="https://mhraproducts4853.blob.core.windows.net/docs/07357ed28124fa9adf67221cff8397b75709ff50"/>
    <hyperlink ref="D230" r:id="rId480" display="https://dailymed.nlm.nih.gov/dailymed/search.cfm?labeltype=all&amp;query=plerixafor"/>
    <hyperlink ref="G230" r:id="rId481" display="https://base-donnees-publique.medicaments.gouv.fr/index.php?page=1&amp;choixRecherche=medicament&amp;txtCaracteres=Plerixafor%20Tillomed&amp;action=show"/>
    <hyperlink ref="J230" r:id="rId482" display="https://www.ema.europa.eu/en/documents/other/article-57-product-data_en.xlsx"/>
    <hyperlink ref="D231" r:id="rId483" display="https://dailymed.nlm.nih.gov/dailymed/search.cfm?labeltype=all&amp;query=propofol"/>
    <hyperlink ref="G231" r:id="rId484" display="https://health-products.canada.ca/dpd-bdpp/info?code=101486&amp;lang=eng"/>
    <hyperlink ref="D232" r:id="rId485" display="https://dailymed.nlm.nih.gov/dailymed/search.cfm?labeltype=all&amp;query=sugammadex"/>
    <hyperlink ref="G232" r:id="rId486" display="https://dmd-browser.nhsbsa.nhs.uk/ampp/view/195295"/>
    <hyperlink ref="D233" r:id="rId487" display="https://dailymed.nlm.nih.gov/dailymed/search.cfm?labeltype=all&amp;query=sugammadex"/>
    <hyperlink ref="G233" r:id="rId488" display="https://www.ema.europa.eu/en/documents/other/article-57-product-data_en.xlsx"/>
    <hyperlink ref="D234" r:id="rId489" display="https://dailymed.nlm.nih.gov/dailymed/search.cfm?labeltype=all&amp;query=sugammadex"/>
    <hyperlink ref="G234" r:id="rId490" display="https://www.ema.europa.eu/en/documents/other/article-57-product-data_en.xlsx"/>
    <hyperlink ref="D235" r:id="rId491" display="https://dailymed.nlm.nih.gov/dailymed/search.cfm?labeltype=all&amp;query=azacitidine"/>
    <hyperlink ref="G235" r:id="rId492" display="https://www.ema.europa.eu/en/documents/other/article-57-product-data_en.xlsx"/>
    <hyperlink ref="D236" r:id="rId493" display="https://dailymed.nlm.nih.gov/dailymed/search.cfm?labeltype=all&amp;query=bortezomib"/>
    <hyperlink ref="G236" r:id="rId494" display="https://www.ema.europa.eu/en/documents/other/article-57-product-data_en.xlsx"/>
    <hyperlink ref="D237" r:id="rId495" display="https://dailymed.nlm.nih.gov/dailymed/search.cfm?labeltype=all&amp;query=bortezomib"/>
    <hyperlink ref="G237" r:id="rId496" display="https://www.tga.gov.au/resources/artg/444811"/>
    <hyperlink ref="D238" r:id="rId497" display="https://dailymed.nlm.nih.gov/dailymed/search.cfm?labeltype=all&amp;query=eribulin"/>
    <hyperlink ref="G238" r:id="rId498" display="https://dailymed.nlm.nih.gov/dailymed/drugInfo.cfm?setid=55f4017d-5ea8-4622-bf59-9b9c329097fd"/>
    <hyperlink ref="D239" r:id="rId499" display="https://dailymed.nlm.nih.gov/dailymed/search.cfm?labeltype=all&amp;query=eribulin"/>
    <hyperlink ref="G239" r:id="rId500" display="https://mhraproducts4853.blob.core.windows.net/docs/b0ceabb0dd6b7d5e0d5eaf6156cd2acdc6593ea6"/>
    <hyperlink ref="D240" r:id="rId501" display="https://dailymed.nlm.nih.gov/dailymed/search.cfm?labeltype=all&amp;query=eribulin"/>
    <hyperlink ref="G240" r:id="rId502" display="https://www.ema.europa.eu/en/documents/other/article-57-product-data_en.xlsx"/>
    <hyperlink ref="D241" r:id="rId503" display="https://dailymed.nlm.nih.gov/dailymed/search.cfm?labeltype=all&amp;query=eribulin"/>
    <hyperlink ref="G241" r:id="rId504" display="https://www.ema.europa.eu/en/documents/other/article-57-product-data_en.xlsx"/>
    <hyperlink ref="D242" r:id="rId505" display="https://dailymed.nlm.nih.gov/dailymed/search.cfm?labeltype=all&amp;query=fulvestrant"/>
    <hyperlink ref="G242" r:id="rId506" display="https://dailymed.nlm.nih.gov/dailymed/drugInfo.cfm?setid=99cf8b69-4c23-4886-80e9-b23e348b5bd7"/>
    <hyperlink ref="D243" r:id="rId507" display="https://dailymed.nlm.nih.gov/dailymed/search.cfm?labeltype=all&amp;query=fulvestrant"/>
    <hyperlink ref="G243" r:id="rId508" display="https://mhraproducts4853.blob.core.windows.net/docs/4e24a9a4b6a719b2aafafdba94273597a32d78e1"/>
    <hyperlink ref="D244" r:id="rId509" display="https://dailymed.nlm.nih.gov/dailymed/search.cfm?labeltype=all&amp;query=fulvestrant"/>
    <hyperlink ref="G244" r:id="rId510" display="https://www.ema.europa.eu/en/documents/other/article-57-product-data_en.xlsx"/>
    <hyperlink ref="D245" r:id="rId511" display="https://dailymed.nlm.nih.gov/dailymed/search.cfm?labeltype=all&amp;query=fulvestrant"/>
    <hyperlink ref="G245" r:id="rId512" display="https://www.ema.europa.eu/en/documents/other/article-57-product-data_en.xlsx"/>
    <hyperlink ref="D246" r:id="rId513" display="https://dailymed.nlm.nih.gov/dailymed/search.cfm?labeltype=all&amp;query=plerixafor"/>
    <hyperlink ref="G246" r:id="rId514" display="https://www.ema.europa.eu/en/documents/other/article-57-product-data_en.xlsx"/>
    <hyperlink ref="D247" r:id="rId515" display="https://dailymed.nlm.nih.gov/dailymed/search.cfm?labeltype=all&amp;query=sugammadex"/>
    <hyperlink ref="G247" r:id="rId516" display="https://mhraproducts4853.blob.core.windows.net/docs/e45682bfe340af873ea832a08fc0d30da2179c79"/>
    <hyperlink ref="D248" r:id="rId517" display="https://dailymed.nlm.nih.gov/dailymed/search.cfm?labeltype=all&amp;query=sugammadex"/>
    <hyperlink ref="G248" r:id="rId518" display="https://www.ema.europa.eu/en/documents/other/article-57-product-data_en.xlsx"/>
    <hyperlink ref="D249" r:id="rId519" display="https://dailymed.nlm.nih.gov/dailymed/search.cfm?labeltype=all&amp;query=sugammadex"/>
    <hyperlink ref="G249" r:id="rId520" display="https://www.ema.europa.eu/en/documents/other/article-57-product-data_en.xlsx"/>
    <hyperlink ref="D250" r:id="rId521" display="https://dailymed.nlm.nih.gov/dailymed/search.cfm?labeltype=all&amp;query=azacitidine"/>
    <hyperlink ref="G250" r:id="rId522" display="https://mhraproducts4853.blob.core.windows.net/docs/f9227b59e7a18d99e840d90e17567148b1e67b9a"/>
    <hyperlink ref="D251" r:id="rId523" display="https://dailymed.nlm.nih.gov/dailymed/search.cfm?labeltype=all&amp;query=azacitidine"/>
    <hyperlink ref="G251" r:id="rId524" display="https://www.ema.europa.eu/en/documents/other/article-57-product-data_en.xlsx"/>
    <hyperlink ref="D252" r:id="rId525" display="https://dailymed.nlm.nih.gov/dailymed/search.cfm?labeltype=all&amp;query=bortezomib"/>
    <hyperlink ref="G252" r:id="rId526" display="https://dailymed.nlm.nih.gov/dailymed/drugInfo.cfm?setid=04aafa6a-a50d-4a47-a831-be8e8bb992ac"/>
    <hyperlink ref="D253" r:id="rId527" display="https://dailymed.nlm.nih.gov/dailymed/search.cfm?labeltype=all&amp;query=bortezomib"/>
    <hyperlink ref="G253" r:id="rId528" display="https://mhraproducts4853.blob.core.windows.net/docs/7e2b44fca58941c5658f914dc653e9323cf4a2cd"/>
    <hyperlink ref="D254" r:id="rId529" display="https://dailymed.nlm.nih.gov/dailymed/search.cfm?labeltype=all&amp;query=bortezomib"/>
    <hyperlink ref="G254" r:id="rId530" display="https://www.ema.europa.eu/en/documents/other/article-57-product-data_en.xlsx"/>
    <hyperlink ref="D255" r:id="rId531" display="https://dailymed.nlm.nih.gov/dailymed/search.cfm?labeltype=all&amp;query=bortezomib"/>
    <hyperlink ref="G255" r:id="rId532" display="https://www.ema.europa.eu/en/documents/other/article-57-product-data_en.xlsx"/>
    <hyperlink ref="D256" r:id="rId533" display="https://dailymed.nlm.nih.gov/dailymed/search.cfm?labeltype=all&amp;query=bortezomib"/>
    <hyperlink ref="G256" r:id="rId534" display="https://www.ebs.tga.gov.au/servlet/xmlmillr6?dbid=ebs/PublicHTML/pdfStore.nsf&amp;docid=214243&amp;agid=(PrintDetailsPublic)&amp;actionid=1"/>
    <hyperlink ref="D257" r:id="rId535" display="https://dailymed.nlm.nih.gov/dailymed/search.cfm?labeltype=all&amp;query=bortezomib"/>
    <hyperlink ref="G257" r:id="rId536" location="search:bortiv" display="https://medicineprices.org.za/#search:bortiv"/>
    <hyperlink ref="D258" r:id="rId537" display="https://dailymed.nlm.nih.gov/dailymed/search.cfm?labeltype=all&amp;query=brivaracetam"/>
    <hyperlink ref="G258" r:id="rId538" display="https://mhraproducts4853.blob.core.windows.net/docs/da6e39cbeb26faea8c72a05b7312c32134b623cd"/>
    <hyperlink ref="D259" r:id="rId539" display="https://dailymed.nlm.nih.gov/dailymed/search.cfm?labeltype=all&amp;query=brivaracetam"/>
    <hyperlink ref="G259" r:id="rId540" display="https://www.ema.europa.eu/en/documents/other/article-57-product-data_en.xlsx"/>
    <hyperlink ref="D260" r:id="rId541" display="https://dailymed.nlm.nih.gov/dailymed/search.cfm?labeltype=all&amp;query=brivaracetam"/>
    <hyperlink ref="G260" r:id="rId542" display="https://www.ema.europa.eu/en/documents/other/article-57-product-data_en.xlsx"/>
    <hyperlink ref="D261" r:id="rId543" display="https://dailymed.nlm.nih.gov/dailymed/search.cfm?labeltype=all&amp;query=chlorpromazine"/>
    <hyperlink ref="G261" r:id="rId544" display="https://dailymed.nlm.nih.gov/dailymed/drugInfo.cfm?setid=6564346c-661c-41cf-9cef-db6aa15710cd"/>
    <hyperlink ref="D262" r:id="rId545" display="https://dailymed.nlm.nih.gov/dailymed/search.cfm?labeltype=all&amp;query=cyanocobalamin+injection"/>
    <hyperlink ref="G262" r:id="rId546" display="https://dailymed.nlm.nih.gov/dailymed/search.cfm?labeltype=all&amp;query=Cyanocobalamin"/>
    <hyperlink ref="D263" r:id="rId547" display="https://dailymed.nlm.nih.gov/dailymed/search.cfm?labeltype=all&amp;query=daptomycin"/>
    <hyperlink ref="G263" r:id="rId548" display="https://mhraproducts4853.blob.core.windows.net/docs/767f850723d94449fe9c9148dd21c9b7daf22e18"/>
    <hyperlink ref="D264" r:id="rId549" display="https://dailymed.nlm.nih.gov/dailymed/search.cfm?labeltype=all&amp;query=daptomycin"/>
    <hyperlink ref="G264" r:id="rId550" display="https://www.ema.europa.eu/en/documents/other/article-57-product-data_en.xlsx"/>
    <hyperlink ref="D265" r:id="rId551" display="https://dailymed.nlm.nih.gov/dailymed/search.cfm?labeltype=all&amp;query=daptomycin"/>
    <hyperlink ref="G265" r:id="rId552" display="https://www.ema.europa.eu/en/documents/other/article-57-product-data_en.xlsx"/>
    <hyperlink ref="D266" r:id="rId553" display="https://dailymed.nlm.nih.gov/dailymed/search.cfm?labeltype=all&amp;query=glycopyrrolate+injection"/>
    <hyperlink ref="G266" r:id="rId554" display="https://www.health.gov.za/nhi-pee/"/>
    <hyperlink ref="D267" r:id="rId555" display="https://dailymed.nlm.nih.gov/dailymed/search.cfm?labeltype=all&amp;query=isoproterenol"/>
    <hyperlink ref="G267" r:id="rId556" display="https://dailymed.nlm.nih.gov/dailymed/search.cfm?labeltype=all&amp;query=Isoproterenol+Hydrochloride"/>
    <hyperlink ref="D268" r:id="rId557" display="https://dailymed.nlm.nih.gov/dailymed/search.cfm?labeltype=all&amp;query=lidocaine+hydrochloride+injection"/>
    <hyperlink ref="G268" r:id="rId558" display="https://dailymed.nlm.nih.gov/dailymed/drugInfo.cfm?setid=cfbca641-aeee-4dc8-a340-30c53d3b023b"/>
    <hyperlink ref="D269" r:id="rId559" display="https://dailymed.nlm.nih.gov/dailymed/search.cfm?labeltype=all&amp;query=magnesium+sulfate+injection"/>
    <hyperlink ref="G269" r:id="rId560" display="https://dailymed.nlm.nih.gov/dailymed/drugInfo.cfm?setid=5a0f9db9-b8be-c923-e063-6394a90a7dd7"/>
    <hyperlink ref="D270" r:id="rId561" display="https://dailymed.nlm.nih.gov/dailymed/search.cfm?labeltype=all&amp;query=melphalan+hydrochloride"/>
    <hyperlink ref="G270" r:id="rId562" display="https://mhraproducts4853.blob.core.windows.net/docs/703e9b8af2577bc6d1c69e9d1f96615cbdcb7a07"/>
    <hyperlink ref="D271" r:id="rId563" display="https://dailymed.nlm.nih.gov/dailymed/search.cfm?labeltype=all&amp;query=melphalan+hydrochloride"/>
    <hyperlink ref="G271" r:id="rId564" display="https://www.ema.europa.eu/en/documents/other/article-57-product-data_en.xlsx"/>
    <hyperlink ref="D272" r:id="rId565" display="https://dailymed.nlm.nih.gov/dailymed/search.cfm?labeltype=all&amp;query=melphalan+hydrochloride"/>
    <hyperlink ref="G272" r:id="rId566" display="https://www.ema.europa.eu/en/documents/other/article-57-product-data_en.xlsx"/>
    <hyperlink ref="D273" r:id="rId567" display="https://dailymed.nlm.nih.gov/dailymed/search.cfm?labeltype=all&amp;query=methotrexate+injection"/>
    <hyperlink ref="G273" r:id="rId568" display="https://dailymed.nlm.nih.gov/dailymed/search.cfm?labeltype=all&amp;query=Methotrexate+Sodium"/>
    <hyperlink ref="D274" r:id="rId569" display="https://dailymed.nlm.nih.gov/dailymed/search.cfm?labeltype=all&amp;query=palonosetron"/>
    <hyperlink ref="G274" r:id="rId570" location="search:hetnoset" display="https://medicineprices.org.za/#search:hetnoset"/>
    <hyperlink ref="D275" r:id="rId571" display="https://dailymed.nlm.nih.gov/dailymed/search.cfm?labeltype=all&amp;query=pantoprazole+sodium+for+injection"/>
    <hyperlink ref="G275" r:id="rId572" display="https://dmd-browser.nhsbsa.nhs.uk/ampp/view/194984"/>
    <hyperlink ref="D276" r:id="rId573" display="https://dailymed.nlm.nih.gov/dailymed/search.cfm?labeltype=all&amp;query=pantoprazole+sodium+for+injection"/>
    <hyperlink ref="G276" r:id="rId574" display="https://www.ema.europa.eu/en/documents/other/article-57-product-data_en.xlsx"/>
    <hyperlink ref="D277" r:id="rId575" display="https://dailymed.nlm.nih.gov/dailymed/search.cfm?labeltype=all&amp;query=pantoprazole+sodium+for+injection"/>
    <hyperlink ref="G277" r:id="rId576" display="https://www.ema.europa.eu/en/documents/other/article-57-product-data_en.xlsx"/>
    <hyperlink ref="D278" r:id="rId577" display="https://dailymed.nlm.nih.gov/dailymed/search.cfm?labeltype=all&amp;query=plerixafor"/>
    <hyperlink ref="G278" r:id="rId578" display="https://dailymed.nlm.nih.gov/dailymed/drugInfo.cfm?setid=bb8e1167-8378-4e73-9bcb-d69093ec829b"/>
    <hyperlink ref="D279" r:id="rId579" display="https://dailymed.nlm.nih.gov/dailymed/search.cfm?labeltype=all&amp;query=plerixafor"/>
    <hyperlink ref="G279" r:id="rId580" display="https://mhraproducts4853.blob.core.windows.net/docs/04f9e2d2b4b82a0ffe5f86e1d5d606b552cb19c3"/>
    <hyperlink ref="D280" r:id="rId581" display="https://dailymed.nlm.nih.gov/dailymed/search.cfm?labeltype=all&amp;query=plerixafor"/>
    <hyperlink ref="G280" r:id="rId582" display="https://www.ema.europa.eu/en/documents/other/article-57-product-data_en.xlsx"/>
    <hyperlink ref="D281" r:id="rId583" display="https://dailymed.nlm.nih.gov/dailymed/search.cfm?labeltype=all&amp;query=plerixafor"/>
    <hyperlink ref="G281" r:id="rId584" display="https://www.ema.europa.eu/en/documents/other/article-57-product-data_en.xlsx"/>
    <hyperlink ref="D282" r:id="rId585" display="https://dailymed.nlm.nih.gov/dailymed/search.cfm?labeltype=all&amp;query=plerixafor"/>
    <hyperlink ref="G282" r:id="rId586" location="search:heterix" display="https://medicineprices.org.za/#search:heterix"/>
    <hyperlink ref="D283" r:id="rId587" display="https://dailymed.nlm.nih.gov/dailymed/search.cfm?labeltype=all&amp;query=propofol"/>
    <hyperlink ref="G283" r:id="rId588" display="https://dailymed.nlm.nih.gov/dailymed/search.cfm?labeltype=all&amp;query=Propofol"/>
    <hyperlink ref="D284" r:id="rId589" display="https://dailymed.nlm.nih.gov/dailymed/search.cfm?labeltype=all&amp;query=rocuronium"/>
    <hyperlink ref="G284" r:id="rId590" display="https://www.ema.europa.eu/en/documents/other/article-57-product-data_en.xlsx"/>
    <hyperlink ref="D285" r:id="rId591" display="https://dailymed.nlm.nih.gov/dailymed/search.cfm?labeltype=all&amp;query=sodium+bicarbonate+injection"/>
    <hyperlink ref="G285" r:id="rId592" display="https://dailymed.nlm.nih.gov/dailymed/search.cfm?labeltype=all&amp;query=Sodium+Bicarbonate"/>
    <hyperlink ref="D286" r:id="rId593" display="https://dailymed.nlm.nih.gov/dailymed/search.cfm?labeltype=all&amp;query=succinylcholine"/>
    <hyperlink ref="G286" r:id="rId594" display="https://dailymed.nlm.nih.gov/dailymed/drugInfo.cfm?setid=7d0f0431-e616-49c2-80d8-0752a45428db"/>
    <hyperlink ref="D287" r:id="rId595" display="https://dailymed.nlm.nih.gov/dailymed/search.cfm?labeltype=all&amp;query=sugammadex"/>
    <hyperlink ref="G287" r:id="rId596" display="https://dailymed.nlm.nih.gov/dailymed/drugInfo.cfm?setid=9adda802-fab2-40c1-9c2f-358debdfb249"/>
    <hyperlink ref="D288" r:id="rId597" display="https://dailymed.nlm.nih.gov/dailymed/search.cfm?labeltype=all&amp;query=sugammadex"/>
    <hyperlink ref="G288" r:id="rId598" display="https://dmd-browser.nhsbsa.nhs.uk/ampp/view/195045"/>
    <hyperlink ref="D289" r:id="rId599" display="https://dailymed.nlm.nih.gov/dailymed/search.cfm?labeltype=all&amp;query=sugammadex"/>
    <hyperlink ref="G289" r:id="rId600" display="https://www.ema.europa.eu/en/documents/other/article-57-product-data_en.xlsx"/>
    <hyperlink ref="D290" r:id="rId601" display="https://dailymed.nlm.nih.gov/dailymed/search.cfm?labeltype=all&amp;query=sugammadex"/>
    <hyperlink ref="G290" r:id="rId602" display="https://www.ema.europa.eu/en/documents/other/article-57-product-data_en.xlsx"/>
    <hyperlink ref="D291" r:id="rId603" display="https://dailymed.nlm.nih.gov/dailymed/search.cfm?labeltype=all&amp;query=sugammadex"/>
    <hyperlink ref="G291" r:id="rId604" location="search:sugmasol" display="https://medicineprices.org.za/#search:sugmasol"/>
    <hyperlink ref="D292" r:id="rId605" display="https://www.medicines.org.uk/emc/search?q=teicoplanin"/>
    <hyperlink ref="G292" r:id="rId606" display="https://mhraproducts4853.blob.core.windows.net/docs/cdd932519ea5620f679cbc05a39d576016396f04"/>
    <hyperlink ref="D293" r:id="rId607" display="https://www.medicines.org.uk/emc/search?q=teicoplanin"/>
    <hyperlink ref="G293" r:id="rId608" display="https://www.ema.europa.eu/en/documents/other/article-57-product-data_en.xlsx"/>
    <hyperlink ref="D294" r:id="rId609" display="https://dailymed.nlm.nih.gov/dailymed/search.cfm?labeltype=all&amp;query=verapamil+hydrochloride+injection"/>
    <hyperlink ref="G294" r:id="rId610" display="https://dailymed.nlm.nih.gov/dailymed/search.cfm?labeltype=all&amp;query=Verapamil+Hydrochloride"/>
    <hyperlink ref="D295" r:id="rId611" display="https://dailymed.nlm.nih.gov/dailymed/search.cfm?labeltype=all&amp;query=amiodarone"/>
    <hyperlink ref="G295" r:id="rId612" display="https://www.ema.europa.eu/en/documents/other/article-57-product-data_en.xlsx"/>
    <hyperlink ref="D296" r:id="rId613" display="https://dailymed.nlm.nih.gov/dailymed/search.cfm?labeltype=all&amp;query=amiodarone"/>
    <hyperlink ref="G296" r:id="rId614" display="https://pi-pil-repository.sahpra.org.za/wp-content/uploads/2023/08/Final_PI_Amiodarone_Applicant.pdf"/>
    <hyperlink ref="D297" r:id="rId615" display="https://www.medicines.org.uk/emc/search?q=amoxicillin+injection"/>
    <hyperlink ref="G297" r:id="rId616" display="https://www.ema.europa.eu/en/documents/other/article-57-product-data_en.xlsx"/>
    <hyperlink ref="D298" r:id="rId617" display="https://www.medicines.org.uk/emc/search?q=amoxicillin+injection"/>
    <hyperlink ref="G298" r:id="rId618" display="https://www.ema.europa.eu/en/documents/other/article-57-product-data_en.xlsx"/>
    <hyperlink ref="D299" r:id="rId619" display="https://dailymed.nlm.nih.gov/dailymed/search.cfm?labeltype=all&amp;query=argatroban"/>
    <hyperlink ref="G299" r:id="rId620" display="https://dailymed.nlm.nih.gov/dailymed/drugInfo.cfm?setid=46cdf9e6-839c-49c8-9ee1-c30cfdd9368d"/>
    <hyperlink ref="D300" r:id="rId621" display="https://dailymed.nlm.nih.gov/dailymed/search.cfm?labeltype=all&amp;query=argatroban"/>
    <hyperlink ref="G300" r:id="rId622" display="https://www.ema.europa.eu/en/documents/other/article-57-product-data_en.xlsx"/>
    <hyperlink ref="D301" r:id="rId623" display="https://dailymed.nlm.nih.gov/dailymed/search.cfm?labeltype=all&amp;query=argatroban"/>
    <hyperlink ref="G301" r:id="rId624" display="https://base-donnees-publique.medicaments.gouv.fr/index.php?page=1&amp;choixRecherche=medicament&amp;txtCaracteres=Argatroban%20Accord&amp;action=show"/>
    <hyperlink ref="J301" r:id="rId625" display="https://www.ema.europa.eu/en/documents/other/article-57-product-data_en.xlsx"/>
    <hyperlink ref="D302" r:id="rId626" display="https://www.medicines.org.uk/emc/search?q=atracurium"/>
    <hyperlink ref="G302" r:id="rId627" display="https://www.ema.europa.eu/en/documents/other/article-57-product-data_en.xlsx"/>
    <hyperlink ref="D303" r:id="rId628" display="https://dailymed.nlm.nih.gov/dailymed/search.cfm?labeltype=all&amp;query=atropine"/>
    <hyperlink ref="G303" r:id="rId629" display="https://dailymed.nlm.nih.gov/dailymed/drugInfo.cfm?setid=c82cb295-ffce-47d6-97ad-a8aa723f4e4f"/>
    <hyperlink ref="D304" r:id="rId630" display="https://dailymed.nlm.nih.gov/dailymed/search.cfm?labeltype=all&amp;query=atropine"/>
    <hyperlink ref="G304" r:id="rId631" display="https://mhraproducts4853.blob.core.windows.net/docs/83f16d64af85ebcff9e5a6717926b9a997285ef9"/>
    <hyperlink ref="D305" r:id="rId632" display="https://dailymed.nlm.nih.gov/dailymed/search.cfm?labeltype=all&amp;query=atropine"/>
    <hyperlink ref="G305" r:id="rId633" display="https://www.ema.europa.eu/en/documents/other/article-57-product-data_en.xlsx"/>
    <hyperlink ref="D306" r:id="rId634" display="https://dailymed.nlm.nih.gov/dailymed/search.cfm?labeltype=all&amp;query=atropine"/>
    <hyperlink ref="G306" r:id="rId635" display="https://base-donnees-publique.medicaments.gouv.fr/index.php?page=1&amp;choixRecherche=medicament&amp;txtCaracteres=Atropine%20Sulfate&amp;action=show"/>
    <hyperlink ref="J306" r:id="rId636" display="https://www.ema.europa.eu/en/documents/other/article-57-product-data_en.xlsx"/>
    <hyperlink ref="D307" r:id="rId637" display="https://dailymed.nlm.nih.gov/dailymed/search.cfm?labeltype=all&amp;query=azacitidine"/>
    <hyperlink ref="G307" r:id="rId638" display="https://mhraproducts4853.blob.core.windows.net/docs/a2a772c860b9386451c6a3574cfdaf10ef66ccc2"/>
    <hyperlink ref="D308" r:id="rId639" display="https://dailymed.nlm.nih.gov/dailymed/search.cfm?labeltype=all&amp;query=azacitidine"/>
    <hyperlink ref="G308" r:id="rId640" display="https://www.ema.europa.eu/en/medicines/human/EPAR/azacitidine-accord"/>
    <hyperlink ref="J308" r:id="rId641" display="https://www.ema.europa.eu/en/documents/other/article-57-product-data_en.xlsx"/>
    <hyperlink ref="D309" r:id="rId642" display="https://dailymed.nlm.nih.gov/dailymed/search.cfm?labeltype=all&amp;query=azacitidine"/>
    <hyperlink ref="G309" r:id="rId643" display="https://www.ebs.tga.gov.au/servlet/xmlmillr6?dbid=ebs/PublicHTML/pdfStore.nsf&amp;docid=265773&amp;agid=(PrintDetailsPublic)&amp;actionid=1"/>
    <hyperlink ref="D310" r:id="rId644" display="https://dailymed.nlm.nih.gov/dailymed/search.cfm?labeltype=all&amp;query=bivalirudin"/>
    <hyperlink ref="G310" r:id="rId645" display="https://dailymed.nlm.nih.gov/dailymed/drugInfo.cfm?setid=c20969cb-72d4-469b-9bd8-332250d896c3"/>
    <hyperlink ref="D311" r:id="rId646" display="https://dailymed.nlm.nih.gov/dailymed/search.cfm?labeltype=all&amp;query=bivalirudin"/>
    <hyperlink ref="G311" r:id="rId647" display="https://mhraproducts4853.blob.core.windows.net/docs/30f752c59283a6203a2ee801fcc269de3749bd69"/>
    <hyperlink ref="D312" r:id="rId648" display="https://dailymed.nlm.nih.gov/dailymed/search.cfm?labeltype=all&amp;query=bivalirudin"/>
    <hyperlink ref="G312" r:id="rId649" display="https://www.ema.europa.eu/en/documents/other/article-57-product-data_en.xlsx"/>
    <hyperlink ref="D313" r:id="rId650" display="https://dailymed.nlm.nih.gov/dailymed/search.cfm?labeltype=all&amp;query=bivalirudin"/>
    <hyperlink ref="G313" r:id="rId651" display="https://base-donnees-publique.medicaments.gouv.fr/index.php?page=1&amp;choixRecherche=medicament&amp;txtCaracteres=Bivalirudine%20Accord&amp;action=show"/>
    <hyperlink ref="J313" r:id="rId652" display="https://www.ema.europa.eu/en/documents/other/article-57-product-data_en.xlsx"/>
    <hyperlink ref="D314" r:id="rId653" display="https://dailymed.nlm.nih.gov/dailymed/search.cfm?labeltype=all&amp;query=bleomycin"/>
    <hyperlink ref="G314" r:id="rId654" display="https://dmd-browser.nhsbsa.nhs.uk/ampp/view/197277"/>
    <hyperlink ref="D315" r:id="rId655" display="https://dailymed.nlm.nih.gov/dailymed/search.cfm?labeltype=all&amp;query=bleomycin"/>
    <hyperlink ref="G315" r:id="rId656" display="https://www.ema.europa.eu/en/documents/other/article-57-product-data_en.xlsx"/>
    <hyperlink ref="D316" r:id="rId657" display="https://dailymed.nlm.nih.gov/dailymed/search.cfm?labeltype=all&amp;query=bleomycin"/>
    <hyperlink ref="G316" r:id="rId658" display="https://base-donnees-publique.medicaments.gouv.fr/index.php?page=1&amp;choixRecherche=medicament&amp;txtCaracteres=Bleomycine%20Accord&amp;action=show"/>
    <hyperlink ref="J316" r:id="rId659" display="https://www.ema.europa.eu/en/documents/other/article-57-product-data_en.xlsx"/>
    <hyperlink ref="D317" r:id="rId660" display="https://dailymed.nlm.nih.gov/dailymed/search.cfm?labeltype=all&amp;query=bleomycin"/>
    <hyperlink ref="G317" r:id="rId661" display="https://www.tga.gov.au/resources/artg/455447"/>
    <hyperlink ref="D318" r:id="rId662" display="https://dailymed.nlm.nih.gov/dailymed/search.cfm?labeltype=all&amp;query=bortezomib"/>
    <hyperlink ref="G318" r:id="rId663" display="https://mhraproducts4853.blob.core.windows.net/docs/12980f46e6a82ae30e1d8b52c7aa037faf108ac2"/>
    <hyperlink ref="D319" r:id="rId664" display="https://dailymed.nlm.nih.gov/dailymed/search.cfm?labeltype=all&amp;query=bortezomib"/>
    <hyperlink ref="G319" r:id="rId665" display="https://www.ema.europa.eu/en/medicines/human/EPAR/bortezomib-accord"/>
    <hyperlink ref="J319" r:id="rId666" display="https://www.ema.europa.eu/en/documents/other/article-57-product-data_en.xlsx"/>
    <hyperlink ref="D320" r:id="rId667" display="https://dailymed.nlm.nih.gov/dailymed/search.cfm?labeltype=all&amp;query=bortezomib"/>
    <hyperlink ref="G320" r:id="rId668" display="https://www.ema.europa.eu/en/medicines/human/EPAR/bortezomib-accord"/>
    <hyperlink ref="J320" r:id="rId669" display="https://www.ema.europa.eu/en/documents/other/article-57-product-data_en.xlsx"/>
    <hyperlink ref="D321" r:id="rId670" display="https://dailymed.nlm.nih.gov/dailymed/search.cfm?labeltype=all&amp;query=bortezomib"/>
    <hyperlink ref="G321" r:id="rId671" display="https://www.ebs.tga.gov.au/ebs/picmi/picmirepository.nsf/pdf?OpenAgent&amp;id=CP-2021-PI-01166-1"/>
    <hyperlink ref="D322" r:id="rId672" display="https://dailymed.nlm.nih.gov/dailymed/search.cfm?labeltype=all&amp;query=bortezomib"/>
    <hyperlink ref="G322" r:id="rId673" location="search:valtib" display="https://medicineprices.org.za/#search:valtib"/>
    <hyperlink ref="D323" r:id="rId674" display="https://dailymed.nlm.nih.gov/dailymed/search.cfm?labeltype=all&amp;query=cefepime"/>
    <hyperlink ref="G323" r:id="rId675" display="https://base-donnees-publique.medicaments.gouv.fr/index.php?page=1&amp;choixRecherche=medicament&amp;txtCaracteres=Cefepime%20Accord&amp;action=show"/>
    <hyperlink ref="J323" r:id="rId676" display="https://www.ema.europa.eu/en/documents/other/article-57-product-data_en.xlsx"/>
    <hyperlink ref="D324" r:id="rId677" display="https://dailymed.nlm.nih.gov/dailymed/search.cfm?labeltype=all&amp;query=ceftriaxone"/>
    <hyperlink ref="G324" r:id="rId678" display="https://www.ema.europa.eu/en/documents/other/article-57-product-data_en.xlsx"/>
    <hyperlink ref="D325" r:id="rId679" display="https://dailymed.nlm.nih.gov/dailymed/search.cfm?labeltype=all&amp;query=cisatracurium"/>
    <hyperlink ref="G325" r:id="rId680" display="https://dmd-browser.nhsbsa.nhs.uk/ampp/view/161747"/>
    <hyperlink ref="D326" r:id="rId681" display="https://dailymed.nlm.nih.gov/dailymed/search.cfm?labeltype=all&amp;query=cisatracurium"/>
    <hyperlink ref="G326" r:id="rId682" display="https://www.ema.europa.eu/en/documents/other/article-57-product-data_en.xlsx"/>
    <hyperlink ref="D327" r:id="rId683" display="https://dailymed.nlm.nih.gov/dailymed/search.cfm?labeltype=all&amp;query=cisatracurium"/>
    <hyperlink ref="G327" r:id="rId684" display="https://base-donnees-publique.medicaments.gouv.fr/index.php?page=1&amp;choixRecherche=medicament&amp;txtCaracteres=Cisatracurium%20Accord&amp;action=show"/>
    <hyperlink ref="J327" r:id="rId685" display="https://www.ema.europa.eu/en/documents/other/article-57-product-data_en.xlsx"/>
    <hyperlink ref="D328" r:id="rId686" display="https://dailymed.nlm.nih.gov/dailymed/search.cfm?labeltype=all&amp;query=cisatracurium"/>
    <hyperlink ref="G328" r:id="rId687" display="https://www.healthdirect.gov.au/medicines/brand/amt%2C747971000168108/cisatracurium-accord"/>
    <hyperlink ref="D329" r:id="rId688" display="https://dailymed.nlm.nih.gov/dailymed/search.cfm?labeltype=all&amp;query=colistimethate"/>
    <hyperlink ref="G329" r:id="rId689" display="https://mhraproducts4853.blob.core.windows.net/docs/8aa64ad76fd15cb2547c7efd93adab9ba205d731"/>
    <hyperlink ref="D330" r:id="rId690" display="https://dailymed.nlm.nih.gov/dailymed/search.cfm?labeltype=all&amp;query=colistimethate"/>
    <hyperlink ref="G330" r:id="rId691" display="https://www.ema.europa.eu/en/documents/other/article-57-product-data_en.xlsx"/>
    <hyperlink ref="D331" r:id="rId692" display="https://dailymed.nlm.nih.gov/dailymed/search.cfm?labeltype=all&amp;query=colistimethate"/>
    <hyperlink ref="G331" r:id="rId693" display="https://base-donnees-publique.medicaments.gouv.fr/index.php?page=1&amp;choixRecherche=medicament&amp;txtCaracteres=Colistimethate%20Sodique&amp;action=show"/>
    <hyperlink ref="J331" r:id="rId694" display="https://www.ema.europa.eu/en/documents/other/article-57-product-data_en.xlsx"/>
    <hyperlink ref="D332" r:id="rId695" display="https://dailymed.nlm.nih.gov/dailymed/search.cfm?labeltype=all&amp;query=cyclophosphamide"/>
    <hyperlink ref="G332" r:id="rId696" display="https://mhraproducts4853.blob.core.windows.net/docs/d3c74c787031827e9a6482db982411c9ea5b4974"/>
    <hyperlink ref="D333" r:id="rId697" display="https://dailymed.nlm.nih.gov/dailymed/search.cfm?labeltype=all&amp;query=cyclophosphamide"/>
    <hyperlink ref="G333" r:id="rId698" display="https://www.ema.europa.eu/en/documents/other/article-57-product-data_en.xlsx"/>
    <hyperlink ref="D334" r:id="rId699" display="https://dailymed.nlm.nih.gov/dailymed/search.cfm?labeltype=all&amp;query=cyclophosphamide"/>
    <hyperlink ref="G334" r:id="rId700" display="https://www.ema.europa.eu/en/documents/other/article-57-product-data_en.xlsx"/>
    <hyperlink ref="D335" r:id="rId701" display="https://dailymed.nlm.nih.gov/dailymed/search.cfm?labeltype=all&amp;query=cyclophosphamide"/>
    <hyperlink ref="G335" r:id="rId702" display="https://www.ebs.tga.gov.au/servlet/xmlmillr6?dbid=ebs/PublicHTML/pdfStore.nsf&amp;docid=361544&amp;agid=(PrintDetailsPublic)&amp;actionid=1"/>
    <hyperlink ref="D336" r:id="rId703" display="https://dailymed.nlm.nih.gov/dailymed/search.cfm?labeltype=all&amp;query=cytarabine"/>
    <hyperlink ref="G336" r:id="rId704" display="https://dmd-browser.nhsbsa.nhs.uk/ampp/view/183004\"/>
    <hyperlink ref="D337" r:id="rId705" display="https://dailymed.nlm.nih.gov/dailymed/search.cfm?labeltype=all&amp;query=cytarabine"/>
    <hyperlink ref="G337" r:id="rId706" display="https://www.ema.europa.eu/en/documents/other/article-57-product-data_en.xlsx"/>
    <hyperlink ref="D338" r:id="rId707" display="https://dailymed.nlm.nih.gov/dailymed/search.cfm?labeltype=all&amp;query=cytarabine"/>
    <hyperlink ref="G338" r:id="rId708" display="https://base-donnees-publique.medicaments.gouv.fr/index.php?page=1&amp;choixRecherche=medicament&amp;txtCaracteres=Cytarabine%20Accord&amp;action=show"/>
    <hyperlink ref="J338" r:id="rId709" display="https://www.ema.europa.eu/en/documents/other/article-57-product-data_en.xlsx"/>
    <hyperlink ref="D339" r:id="rId710" display="https://dailymed.nlm.nih.gov/dailymed/search.cfm?labeltype=all&amp;query=cytarabine"/>
    <hyperlink ref="G339" r:id="rId711" display="https://www.ebs.tga.gov.au/ebs/picmi/picmirepository.nsf/pdf?OpenAgent&amp;id=CP-2019-PI-01435-1"/>
    <hyperlink ref="D340" r:id="rId712" display="https://dailymed.nlm.nih.gov/dailymed/search.cfm?labeltype=all&amp;query=daptomycin"/>
    <hyperlink ref="G340" r:id="rId713" display="https://mhraproducts4853.blob.core.windows.net/docs/0183f536246db149ed7afbe39d17c1895384ae38"/>
    <hyperlink ref="D341" r:id="rId714" display="https://dailymed.nlm.nih.gov/dailymed/search.cfm?labeltype=all&amp;query=daptomycin"/>
    <hyperlink ref="G341" r:id="rId715" display="https://www.ema.europa.eu/en/documents/other/article-57-product-data_en.xlsx"/>
    <hyperlink ref="D342" r:id="rId716" display="https://dailymed.nlm.nih.gov/dailymed/search.cfm?labeltype=all&amp;query=daptomycin"/>
    <hyperlink ref="G342" r:id="rId717" display="https://base-donnees-publique.medicaments.gouv.fr/index.php?page=1&amp;choixRecherche=medicament&amp;txtCaracteres=Daptomycine&amp;action=show"/>
    <hyperlink ref="J342" r:id="rId718" display="https://www.ema.europa.eu/en/documents/other/article-57-product-data_en.xlsx"/>
    <hyperlink ref="D343" r:id="rId719" display="https://dailymed.nlm.nih.gov/dailymed/search.cfm?labeltype=all&amp;query=daptomycin"/>
    <hyperlink ref="G343" r:id="rId720" display="https://www.ebs.tga.gov.au/servlet/xmlmillr6?dbid=ebs/PublicHTML/pdfStore.nsf&amp;docid=315391&amp;agid=(PrintDetailsPublic)&amp;actionid=1"/>
    <hyperlink ref="D344" r:id="rId721" display="https://dailymed.nlm.nih.gov/dailymed/search.cfm?labeltype=all&amp;query=daptomycin"/>
    <hyperlink ref="G344" r:id="rId722" display="https://pi-pil-repository.sahpra.org.za/wp-content/uploads/2023/04/Final_PIL_Dabucor_Applicant.pdf"/>
    <hyperlink ref="D345" r:id="rId723" display="https://dailymed.nlm.nih.gov/dailymed/search.cfm?labeltype=all&amp;query=degarelix"/>
    <hyperlink ref="G345" r:id="rId724" display="https://mhraproducts4853.blob.core.windows.net/docs/7a814678d4b4e608757e54abcf1f8525475a6699"/>
    <hyperlink ref="D346" r:id="rId725" display="https://dailymed.nlm.nih.gov/dailymed/search.cfm?labeltype=all&amp;query=degarelix"/>
    <hyperlink ref="G346" r:id="rId726" display="https://www.ema.europa.eu/en/medicines/human/EPAR/degarelix-accord"/>
    <hyperlink ref="J346" r:id="rId727" display="https://www.ema.europa.eu/en/documents/other/article-57-product-data_en.xlsx"/>
    <hyperlink ref="D347" r:id="rId728" display="https://dailymed.nlm.nih.gov/dailymed/search.cfm?labeltype=all&amp;query=denosumab"/>
    <hyperlink ref="G347" r:id="rId729" display="https://dmd-browser.nhsbsa.nhs.uk/ampp/view/212227"/>
    <hyperlink ref="D348" r:id="rId730" display="https://dailymed.nlm.nih.gov/dailymed/search.cfm?labeltype=all&amp;query=denosumab"/>
    <hyperlink ref="G348" r:id="rId731" display="https://www.ema.europa.eu/en/medicines/human/EPAR/jubereq"/>
    <hyperlink ref="J348" r:id="rId732" display="https://www.ema.europa.eu/en/documents/other/article-57-product-data_en.xlsx"/>
    <hyperlink ref="D349" r:id="rId733" display="https://dailymed.nlm.nih.gov/dailymed/search.cfm?labeltype=all&amp;query=denosumab"/>
    <hyperlink ref="G349" r:id="rId734" display="https://www.tga.gov.au/resources/artg/450305"/>
    <hyperlink ref="D350" r:id="rId735" display="https://dailymed.nlm.nih.gov/dailymed/search.cfm?labeltype=all&amp;query=doxorubicin"/>
    <hyperlink ref="G350" r:id="rId736" display="https://www.ema.europa.eu/en/medicines/human/EPAR/zolsketil-pegylated-liposomal"/>
    <hyperlink ref="J350" r:id="rId737" display="https://www.ema.europa.eu/en/documents/other/article-57-product-data_en.xlsx"/>
    <hyperlink ref="D351" r:id="rId738" display="https://dailymed.nlm.nih.gov/dailymed/search.cfm?labeltype=all&amp;query=doxorubicin"/>
    <hyperlink ref="G351" r:id="rId739" display="https://health-products.canada.ca/dpd-bdpp/info?code=86785&amp;lang=eng"/>
    <hyperlink ref="D352" r:id="rId740" display="https://dailymed.nlm.nih.gov/dailymed/search.cfm?labeltype=all&amp;query=doxorubicin"/>
    <hyperlink ref="G352" r:id="rId741" display="https://www.ema.europa.eu/en/medicines/human/EPAR/zolsketil-pegylated-liposomal"/>
    <hyperlink ref="J352" r:id="rId742" display="https://www.ema.europa.eu/en/documents/other/article-57-product-data_en.xlsx"/>
    <hyperlink ref="D353" r:id="rId743" display="https://dailymed.nlm.nih.gov/dailymed/search.cfm?labeltype=all&amp;query=doxorubicin"/>
    <hyperlink ref="G353" r:id="rId744" display="https://www.tga.gov.au/resources/artg/174248"/>
    <hyperlink ref="D354" r:id="rId745" display="https://dailymed.nlm.nih.gov/dailymed/search.cfm?labeltype=all&amp;query=doxorubicin"/>
    <hyperlink ref="G354" r:id="rId746" display="https://www.sahpra.org.za/wp-content/uploads/2020/02/Rubexet_PI_Accord_MCC-format-02-October-2014.pdf"/>
    <hyperlink ref="D355" r:id="rId747" display="https://dailymed.nlm.nih.gov/dailymed/search.cfm?labeltype=all&amp;query=epinephrine+injection"/>
    <hyperlink ref="G355" r:id="rId748" display="https://base-donnees-publique.medicaments.gouv.fr/index.php?page=1&amp;choixRecherche=medicament&amp;txtCaracteres=Adrenaline%20Accord&amp;action=show"/>
    <hyperlink ref="J355" r:id="rId749" display="https://www.ema.europa.eu/en/documents/other/article-57-product-data_en.xlsx"/>
    <hyperlink ref="D356" r:id="rId750" display="https://dailymed.nlm.nih.gov/dailymed/search.cfm?labeltype=all&amp;query=epirubicin"/>
    <hyperlink ref="G356" r:id="rId751" display="https://dmd-browser.nhsbsa.nhs.uk/ampp/view/90547"/>
    <hyperlink ref="D357" r:id="rId752" display="https://dailymed.nlm.nih.gov/dailymed/search.cfm?labeltype=all&amp;query=epirubicin"/>
    <hyperlink ref="G357" r:id="rId753" display="https://www.ema.europa.eu/en/documents/other/article-57-product-data_en.xlsx"/>
    <hyperlink ref="D358" r:id="rId754" display="https://dailymed.nlm.nih.gov/dailymed/search.cfm?labeltype=all&amp;query=epirubicin"/>
    <hyperlink ref="G358" r:id="rId755" display="https://base-donnees-publique.medicaments.gouv.fr/index.php?page=1&amp;choixRecherche=medicament&amp;txtCaracteres=Epirubicine%20Accord&amp;action=show"/>
    <hyperlink ref="J358" r:id="rId756" display="https://www.ema.europa.eu/en/documents/other/article-57-product-data_en.xlsx"/>
    <hyperlink ref="D359" r:id="rId757" display="https://dailymed.nlm.nih.gov/dailymed/search.cfm?labeltype=all&amp;query=epirubicin"/>
    <hyperlink ref="G359" r:id="rId758" display="https://www.safetyandquality.gov.au/medicine-finder/epirubicin-accord-solution-for-injection"/>
    <hyperlink ref="D360" r:id="rId759" display="https://dailymed.nlm.nih.gov/dailymed/search.cfm?labeltype=all&amp;query=epirubicin"/>
    <hyperlink ref="G360" r:id="rId760" location="search:accord" display="https://medicineprices.org.za/#search:accord"/>
    <hyperlink ref="D361" r:id="rId761" display="https://dailymed.nlm.nih.gov/dailymed/search.cfm?labeltype=all&amp;query=eptifibatide"/>
    <hyperlink ref="G361" r:id="rId762" display="https://www.ema.europa.eu/en/medicines/human/EPAR/eptifibatide-accord"/>
    <hyperlink ref="J361" r:id="rId763" display="https://www.ema.europa.eu/en/documents/other/article-57-product-data_en.xlsx"/>
    <hyperlink ref="D362" r:id="rId764" display="https://dailymed.nlm.nih.gov/dailymed/search.cfm?labeltype=all&amp;query=eribulin"/>
    <hyperlink ref="G362" r:id="rId765" display="https://www.ema.europa.eu/en/documents/other/article-57-product-data_en.xlsx"/>
    <hyperlink ref="D363" r:id="rId766" display="https://dailymed.nlm.nih.gov/dailymed/search.cfm?labeltype=all&amp;query=esomeprazole+sodium"/>
    <hyperlink ref="G363" r:id="rId767" display="https://dmd-browser.nhsbsa.nhs.uk/ampp/view/189948"/>
    <hyperlink ref="D364" r:id="rId768" display="https://dailymed.nlm.nih.gov/dailymed/search.cfm?labeltype=all&amp;query=esomeprazole+sodium"/>
    <hyperlink ref="G364" r:id="rId769" display="https://www.ema.europa.eu/en/documents/other/article-57-product-data_en.xlsx"/>
    <hyperlink ref="D365" r:id="rId770" display="https://dailymed.nlm.nih.gov/dailymed/search.cfm?labeltype=all&amp;query=esomeprazole+sodium"/>
    <hyperlink ref="G365" r:id="rId771" display="https://www.ema.europa.eu/en/documents/other/article-57-product-data_en.xlsx"/>
    <hyperlink ref="D366" r:id="rId772" display="https://www.medicines.org.uk/emc/search?q=flucloxacillin"/>
    <hyperlink ref="G366" r:id="rId773" display="https://www.ema.europa.eu/en/documents/other/article-57-product-data_en.xlsx"/>
    <hyperlink ref="D367" r:id="rId774" display="https://dailymed.nlm.nih.gov/dailymed/search.cfm?labeltype=all&amp;query=fludarabine"/>
    <hyperlink ref="G367" r:id="rId775" display="https://dmd-browser.nhsbsa.nhs.uk/ampp/view/105990"/>
    <hyperlink ref="D368" r:id="rId776" display="https://dailymed.nlm.nih.gov/dailymed/search.cfm?labeltype=all&amp;query=fludarabine"/>
    <hyperlink ref="G368" r:id="rId777" display="https://www.ema.europa.eu/en/documents/other/article-57-product-data_en.xlsx"/>
    <hyperlink ref="D369" r:id="rId778" display="https://dailymed.nlm.nih.gov/dailymed/search.cfm?labeltype=all&amp;query=fludarabine"/>
    <hyperlink ref="G369" r:id="rId779" display="https://base-donnees-publique.medicaments.gouv.fr/index.php?page=1&amp;choixRecherche=medicament&amp;txtCaracteres=Fludarabine%20Accord&amp;action=show"/>
    <hyperlink ref="J369" r:id="rId780" display="https://www.ema.europa.eu/en/documents/other/article-57-product-data_en.xlsx"/>
    <hyperlink ref="D370" r:id="rId781" display="https://dailymed.nlm.nih.gov/dailymed/search.cfm?labeltype=all&amp;query=fluorouracil+injection"/>
    <hyperlink ref="G370" r:id="rId782" display="https://dmd-browser.nhsbsa.nhs.uk/ampp/view/90576"/>
    <hyperlink ref="D371" r:id="rId783" display="https://dailymed.nlm.nih.gov/dailymed/search.cfm?labeltype=all&amp;query=fluorouracil+injection"/>
    <hyperlink ref="G371" r:id="rId784" display="https://www.ema.europa.eu/en/documents/other/article-57-product-data_en.xlsx"/>
    <hyperlink ref="D372" r:id="rId785" display="https://dailymed.nlm.nih.gov/dailymed/search.cfm?labeltype=all&amp;query=fluorouracil+injection"/>
    <hyperlink ref="G372" r:id="rId786" display="https://health-products.canada.ca/dpd-bdpp/info?code=89810&amp;lang=eng"/>
    <hyperlink ref="D373" r:id="rId787" display="https://dailymed.nlm.nih.gov/dailymed/search.cfm?labeltype=all&amp;query=fluorouracil+injection"/>
    <hyperlink ref="G373" r:id="rId788" display="https://base-donnees-publique.medicaments.gouv.fr/index.php?page=1&amp;choixRecherche=medicament&amp;txtCaracteres=Fluorouracile%20Accord&amp;action=show"/>
    <hyperlink ref="J373" r:id="rId789" display="https://www.ema.europa.eu/en/documents/other/article-57-product-data_en.xlsx"/>
    <hyperlink ref="D374" r:id="rId790" display="https://dailymed.nlm.nih.gov/dailymed/search.cfm?labeltype=all&amp;query=fulvestrant"/>
    <hyperlink ref="G374" r:id="rId791" display="https://dailymed.nlm.nih.gov/dailymed/drugInfo.cfm?setid=b471eb51-488e-5312-e053-2a95a90a8116"/>
    <hyperlink ref="D375" r:id="rId792" display="https://dailymed.nlm.nih.gov/dailymed/search.cfm?labeltype=all&amp;query=fulvestrant"/>
    <hyperlink ref="G375" r:id="rId793" display="https://mhraproducts4853.blob.core.windows.net/docs/b46086f37376e5481490ddb82a9d2e3645873236"/>
    <hyperlink ref="D376" r:id="rId794" display="https://dailymed.nlm.nih.gov/dailymed/search.cfm?labeltype=all&amp;query=fulvestrant"/>
    <hyperlink ref="G376" r:id="rId795" display="https://www.ema.europa.eu/en/documents/other/article-57-product-data_en.xlsx"/>
    <hyperlink ref="D377" r:id="rId796" display="https://dailymed.nlm.nih.gov/dailymed/search.cfm?labeltype=all&amp;query=fulvestrant"/>
    <hyperlink ref="G377" r:id="rId797" display="https://base-donnees-publique.medicaments.gouv.fr/index.php?page=1&amp;choixRecherche=medicament&amp;txtCaracteres=Fulvestrant%20Accord&amp;action=show"/>
    <hyperlink ref="J377" r:id="rId798" display="https://www.ema.europa.eu/en/documents/other/article-57-product-data_en.xlsx"/>
    <hyperlink ref="D378" r:id="rId799" display="https://dailymed.nlm.nih.gov/dailymed/search.cfm?labeltype=all&amp;query=fulvestrant"/>
    <hyperlink ref="G378" r:id="rId800" display="https://www.ebs.tga.gov.au/ebs/picmi/picmirepository.nsf/pdf?OpenAgent&amp;id=CP-2021-PI-01020-1"/>
    <hyperlink ref="D379" r:id="rId801" display="https://dailymed.nlm.nih.gov/dailymed/search.cfm?labeltype=all&amp;query=fulvestrant"/>
    <hyperlink ref="G379" r:id="rId802" location="search:fuldexa" display="https://medicineprices.org.za/#search:fuldexa"/>
    <hyperlink ref="D380" r:id="rId803" display="https://dailymed.nlm.nih.gov/dailymed/search.cfm?labeltype=all&amp;query=glycopyrrolate+injection"/>
    <hyperlink ref="G380" r:id="rId804" display="https://www.ema.europa.eu/en/documents/other/article-57-product-data_en.xlsx"/>
    <hyperlink ref="D381" r:id="rId805" display="https://dailymed.nlm.nih.gov/dailymed/search.cfm?labeltype=all&amp;query=glycopyrrolate+injection"/>
    <hyperlink ref="G381" r:id="rId806" display="https://www.ema.europa.eu/en/documents/other/article-57-product-data_en.xlsx"/>
    <hyperlink ref="D382" r:id="rId807" display="https://dailymed.nlm.nih.gov/dailymed/search.cfm?labeltype=all&amp;query=glycopyrrolate+injection"/>
    <hyperlink ref="G382" r:id="rId808" display="https://www.ebs.tga.gov.au/ebs/picmi/picmirepository.nsf/pdf?OpenAgent&amp;id=CP-2016-PI-02612-1"/>
    <hyperlink ref="D383" r:id="rId809" display="https://www.medicines.org.uk/emc/search?q=hydroxocobalamin"/>
    <hyperlink ref="G383" r:id="rId810" display="https://www.ema.europa.eu/en/documents/other/article-57-product-data_en.xlsx"/>
    <hyperlink ref="D384" r:id="rId811" display="https://dailymed.nlm.nih.gov/dailymed/search.cfm?labeltype=all&amp;query=ibandronate+injection"/>
    <hyperlink ref="G384" r:id="rId812" display="https://dailymed.nlm.nih.gov/dailymed/fda/fdaDrugXsl.cfm?setid=2b84257d-d8b3-56fe-e054-00144ff88e88"/>
    <hyperlink ref="D385" r:id="rId813" display="https://dailymed.nlm.nih.gov/dailymed/search.cfm?labeltype=all&amp;query=ibandronate+injection"/>
    <hyperlink ref="G385" r:id="rId814" display="https://mhraproducts4853.blob.core.windows.net/docs/77d3cbbc5361b04cb13407c5649837410927261d"/>
    <hyperlink ref="D386" r:id="rId815" display="https://dailymed.nlm.nih.gov/dailymed/search.cfm?labeltype=all&amp;query=ibandronate+injection"/>
    <hyperlink ref="G386" r:id="rId816" display="https://www.ema.europa.eu/en/medicines/human/EPAR/ibandronic-acid-accord"/>
    <hyperlink ref="J386" r:id="rId817" display="https://www.ema.europa.eu/en/documents/other/article-57-product-data_en.xlsx"/>
    <hyperlink ref="D387" r:id="rId818" display="https://dailymed.nlm.nih.gov/dailymed/search.cfm?labeltype=all&amp;query=idarubicin"/>
    <hyperlink ref="G387" r:id="rId819" display="https://www.ema.europa.eu/en/documents/other/article-57-product-data_en.xlsx"/>
    <hyperlink ref="D388" r:id="rId820" display="https://dailymed.nlm.nih.gov/dailymed/search.cfm?labeltype=all&amp;query=idarubicin"/>
    <hyperlink ref="G388" r:id="rId821" display="https://base-donnees-publique.medicaments.gouv.fr/index.php?page=1&amp;choixRecherche=medicament&amp;txtCaracteres=Idarubicine%20Accord&amp;action=show"/>
    <hyperlink ref="J388" r:id="rId822" display="https://www.ema.europa.eu/en/documents/other/article-57-product-data_en.xlsx"/>
    <hyperlink ref="D389" r:id="rId823" display="https://dailymed.nlm.nih.gov/dailymed/search.cfm?labeltype=all&amp;query=leuprolide"/>
    <hyperlink ref="G389" r:id="rId824" display="https://mhraproducts4853.blob.core.windows.net/docs/9139290e853308d1ca62298463423a242ccfa099"/>
    <hyperlink ref="D390" r:id="rId825" display="https://dailymed.nlm.nih.gov/dailymed/search.cfm?labeltype=all&amp;query=leuprolide"/>
    <hyperlink ref="G390" r:id="rId826" display="https://www.ema.europa.eu/en/medicines/human/EPAR/camcevi"/>
    <hyperlink ref="J390" r:id="rId827" display="https://www.ema.europa.eu/en/documents/other/article-57-product-data_en.xlsx"/>
    <hyperlink ref="D391" r:id="rId828" display="https://dailymed.nlm.nih.gov/dailymed/search.cfm?labeltype=all&amp;query=lidocaine+hydrochloride+injection"/>
    <hyperlink ref="G391" r:id="rId829" display="https://www.ema.europa.eu/en/documents/other/article-57-product-data_en.xlsx"/>
    <hyperlink ref="D392" r:id="rId830" display="https://dailymed.nlm.nih.gov/dailymed/search.cfm?labeltype=all&amp;query=lidocaine+hydrochloride+injection"/>
    <hyperlink ref="G392" r:id="rId831" display="https://www.ema.europa.eu/en/documents/other/article-57-product-data_en.xlsx"/>
    <hyperlink ref="D393" r:id="rId832" display="https://dailymed.nlm.nih.gov/dailymed/search.cfm?labeltype=all&amp;query=lidocaine+hydrochloride+injection"/>
    <hyperlink ref="G393" r:id="rId833" display="https://www.ebs.tga.gov.au/ebs/picmi/picmirepository.nsf/pdf?OpenAgent&amp;id=CP-2019-PI-01963-1"/>
    <hyperlink ref="D394" r:id="rId834" display="https://dailymed.nlm.nih.gov/dailymed/search.cfm?labeltype=all&amp;query=melphalan+hydrochloride"/>
    <hyperlink ref="G394" r:id="rId835" display="https://mhraproducts4853.blob.core.windows.net/docs/1740a36db8ba332d071a925f2871b14576fa46c7"/>
    <hyperlink ref="D395" r:id="rId836" display="https://dailymed.nlm.nih.gov/dailymed/search.cfm?labeltype=all&amp;query=melphalan+hydrochloride"/>
    <hyperlink ref="G395" r:id="rId837" display="https://www.ema.europa.eu/en/documents/other/article-57-product-data_en.xlsx"/>
    <hyperlink ref="D396" r:id="rId838" display="https://dailymed.nlm.nih.gov/dailymed/search.cfm?labeltype=all&amp;query=methotrexate+injection"/>
    <hyperlink ref="G396" r:id="rId839" display="https://dmd-browser.nhsbsa.nhs.uk/ampp/view/133567"/>
    <hyperlink ref="D397" r:id="rId840" display="https://dailymed.nlm.nih.gov/dailymed/search.cfm?labeltype=all&amp;query=methotrexate+injection"/>
    <hyperlink ref="G397" r:id="rId841" display="https://www.ema.europa.eu/en/documents/other/article-57-product-data_en.xlsx"/>
    <hyperlink ref="D398" r:id="rId842" display="https://dailymed.nlm.nih.gov/dailymed/search.cfm?labeltype=all&amp;query=methotrexate+injection"/>
    <hyperlink ref="G398" r:id="rId843" display="https://produits-sante.canada.ca/dpd-bdpp/info?code=81253&amp;lang=eng"/>
    <hyperlink ref="D399" r:id="rId844" display="https://dailymed.nlm.nih.gov/dailymed/search.cfm?labeltype=all&amp;query=methotrexate+injection"/>
    <hyperlink ref="G399" r:id="rId845" display="https://base-donnees-publique.medicaments.gouv.fr/index.php?page=1&amp;choixRecherche=medicament&amp;txtCaracteres=Izixate&amp;action=show"/>
    <hyperlink ref="J399" r:id="rId846" display="https://www.ema.europa.eu/en/documents/other/article-57-product-data_en.xlsx"/>
    <hyperlink ref="D400" r:id="rId847" display="https://dailymed.nlm.nih.gov/dailymed/search.cfm?labeltype=all&amp;query=methotrexate+injection"/>
    <hyperlink ref="G400" r:id="rId848" display="https://www.healthdirect.gov.au/medicines/brand/amt%2C933505761000036101/methotrexate-intas"/>
    <hyperlink ref="D401" r:id="rId849" display="https://dailymed.nlm.nih.gov/dailymed/search.cfm?labeltype=all&amp;query=midazolam+injection"/>
    <hyperlink ref="G401" r:id="rId850" display="https://www.ema.europa.eu/en/documents/other/article-57-product-data_en.xlsx"/>
    <hyperlink ref="D402" r:id="rId851" display="https://dailymed.nlm.nih.gov/dailymed/search.cfm?labeltype=all&amp;query=midazolam+injection"/>
    <hyperlink ref="G402" r:id="rId852" display="https://base-donnees-publique.medicaments.gouv.fr/index.php?page=1&amp;choixRecherche=medicament&amp;txtCaracteres=Midazolam%20Accord&amp;action=show"/>
    <hyperlink ref="J402" r:id="rId853" display="https://www.ema.europa.eu/en/documents/other/article-57-product-data_en.xlsx"/>
    <hyperlink ref="D403" r:id="rId854" display="https://dailymed.nlm.nih.gov/dailymed/search.cfm?labeltype=all&amp;query=midazolam+injection"/>
    <hyperlink ref="G403" r:id="rId855" display="https://www.ebs.tga.gov.au/ebs/picmi/picmirepository.nsf/pdf?OpenAgent&amp;id=CP-2016-PI-02501-1"/>
    <hyperlink ref="D404" r:id="rId856" display="https://dailymed.nlm.nih.gov/dailymed/search.cfm?labeltype=all&amp;query=mitomycin"/>
    <hyperlink ref="G404" r:id="rId857" display="https://dmd-browser.nhsbsa.nhs.uk/ampp/view/180360"/>
    <hyperlink ref="D405" r:id="rId858" display="https://dailymed.nlm.nih.gov/dailymed/search.cfm?labeltype=all&amp;query=mitomycin"/>
    <hyperlink ref="G405" r:id="rId859" display="https://www.ema.europa.eu/en/documents/other/article-57-product-data_en.xlsx"/>
    <hyperlink ref="D406" r:id="rId860" display="https://dailymed.nlm.nih.gov/dailymed/search.cfm?labeltype=all&amp;query=mitomycin"/>
    <hyperlink ref="G406" r:id="rId861" display="https://health-products.canada.ca/dpd-bdpp/info?code=95282&amp;lang=eng"/>
    <hyperlink ref="D407" r:id="rId862" display="https://dailymed.nlm.nih.gov/dailymed/search.cfm?labeltype=all&amp;query=mitomycin"/>
    <hyperlink ref="G407" r:id="rId863" display="https://base-donnees-publique.medicaments.gouv.fr/index.php?page=1&amp;choixRecherche=medicament&amp;txtCaracteres=Mitomycine%20Accord&amp;action=show"/>
    <hyperlink ref="J407" r:id="rId864" display="https://www.ema.europa.eu/en/documents/other/article-57-product-data_en.xlsx"/>
    <hyperlink ref="D408" r:id="rId865" display="https://dailymed.nlm.nih.gov/dailymed/search.cfm?labeltype=all&amp;query=mitoxantrone"/>
    <hyperlink ref="G408" r:id="rId866" display="https://www.ema.europa.eu/en/documents/other/article-57-product-data_en.xlsx"/>
    <hyperlink ref="D409" r:id="rId867" display="https://dailymed.nlm.nih.gov/dailymed/search.cfm?labeltype=all&amp;query=mitoxantrone"/>
    <hyperlink ref="G409" r:id="rId868" display="https://base-donnees-publique.medicaments.gouv.fr/index.php?page=1&amp;choixRecherche=medicament&amp;txtCaracteres=Mitoxantrone%20Accord&amp;action=show"/>
    <hyperlink ref="J409" r:id="rId869" display="https://www.ema.europa.eu/en/documents/other/article-57-product-data_en.xlsx"/>
    <hyperlink ref="D410" r:id="rId870" display="https://dailymed.nlm.nih.gov/dailymed/search.cfm?labeltype=all&amp;query=naloxone+hydrochloride+injection"/>
    <hyperlink ref="G410" r:id="rId871" display="https://dailymed.nlm.nih.gov/dailymed/search.cfm?labeltype=all&amp;query=Naloxone+Hydrochloride"/>
    <hyperlink ref="D411" r:id="rId872" display="https://dailymed.nlm.nih.gov/dailymed/search.cfm?labeltype=all&amp;query=naloxone+hydrochloride+injection"/>
    <hyperlink ref="G411" r:id="rId873" display="https://mhraproducts4853.blob.core.windows.net/docs/1b85c921ff22e65de2c4cb817669b364513ade84"/>
    <hyperlink ref="D412" r:id="rId874" display="https://dailymed.nlm.nih.gov/dailymed/search.cfm?labeltype=all&amp;query=naloxone+hydrochloride+injection"/>
    <hyperlink ref="G412" r:id="rId875" display="https://www.ema.europa.eu/en/documents/other/article-57-product-data_en.xlsx"/>
    <hyperlink ref="D413" r:id="rId876" display="https://dailymed.nlm.nih.gov/dailymed/search.cfm?labeltype=all&amp;query=naloxone+hydrochloride+injection"/>
    <hyperlink ref="G413" r:id="rId877" display="https://www.ema.europa.eu/en/documents/other/article-57-product-data_en.xlsx"/>
    <hyperlink ref="D414" r:id="rId878" display="https://dailymed.nlm.nih.gov/dailymed/search.cfm?labeltype=all&amp;query=ondansetron+injection"/>
    <hyperlink ref="G414" r:id="rId879" display="https://dailymed.nlm.nih.gov/dailymed/search.cfm?searchdb=ndc&amp;query=16729-298"/>
    <hyperlink ref="D415" r:id="rId880" display="https://dailymed.nlm.nih.gov/dailymed/search.cfm?labeltype=all&amp;query=ondansetron+injection"/>
    <hyperlink ref="G415" r:id="rId881" display="https://dmd-browser.nhsbsa.nhs.uk/ampp/view/197033"/>
    <hyperlink ref="D416" r:id="rId882" display="https://dailymed.nlm.nih.gov/dailymed/search.cfm?labeltype=all&amp;query=ondansetron+injection"/>
    <hyperlink ref="G416" r:id="rId883" display="https://www.ema.europa.eu/en/documents/other/article-57-product-data_en.xlsx"/>
    <hyperlink ref="D417" r:id="rId884" display="https://dailymed.nlm.nih.gov/dailymed/search.cfm?labeltype=all&amp;query=ondansetron+injection"/>
    <hyperlink ref="G417" r:id="rId885" display="https://base-donnees-publique.medicaments.gouv.fr/index.php?page=1&amp;choixRecherche=medicament&amp;txtCaracteres=Ondansetron%20Accord&amp;action=show"/>
    <hyperlink ref="J417" r:id="rId886" display="https://www.ema.europa.eu/en/documents/other/article-57-product-data_en.xlsx"/>
    <hyperlink ref="D418" r:id="rId887" display="https://dailymed.nlm.nih.gov/dailymed/search.cfm?labeltype=all&amp;query=ondansetron+injection"/>
    <hyperlink ref="G418" r:id="rId888" display="https://www.ebs.tga.gov.au/ebs/picmi/picmirepository.nsf/pdf?OpenAgent&amp;id=CP-2016-PI-02393-1"/>
    <hyperlink ref="D419" r:id="rId889" display="https://dailymed.nlm.nih.gov/dailymed/search.cfm?labeltype=all&amp;query=paclitaxel"/>
    <hyperlink ref="G419" r:id="rId890" display="https://www.ema.europa.eu/en/medicines/human/EPAR/naveruclif"/>
    <hyperlink ref="J419" r:id="rId891" display="https://www.ema.europa.eu/en/documents/other/article-57-product-data_en.xlsx"/>
    <hyperlink ref="D420" r:id="rId892" display="https://dailymed.nlm.nih.gov/dailymed/search.cfm?labeltype=all&amp;query=paclitaxel"/>
    <hyperlink ref="G420" r:id="rId893" display="https://health-products.canada.ca/dpd-bdpp/info?code=87681&amp;lang=eng"/>
    <hyperlink ref="D421" r:id="rId894" display="https://dailymed.nlm.nih.gov/dailymed/search.cfm?labeltype=all&amp;query=paclitaxel"/>
    <hyperlink ref="G421" r:id="rId895" display="https://www.ema.europa.eu/en/medicines/human/EPAR/naveruclif"/>
    <hyperlink ref="J421" r:id="rId896" display="https://www.ema.europa.eu/en/documents/other/article-57-product-data_en.xlsx"/>
    <hyperlink ref="D422" r:id="rId897" display="https://dailymed.nlm.nih.gov/dailymed/search.cfm?labeltype=all&amp;query=palonosetron"/>
    <hyperlink ref="G422" r:id="rId898" display="https://mhraproducts4853.blob.core.windows.net/docs/f5e999c5eaed01985040c89afd30ed8456f534a6"/>
    <hyperlink ref="D423" r:id="rId899" display="https://dailymed.nlm.nih.gov/dailymed/search.cfm?labeltype=all&amp;query=palonosetron"/>
    <hyperlink ref="G423" r:id="rId900" display="https://www.ema.europa.eu/en/medicines/human/EPAR/palonosetron-accord"/>
    <hyperlink ref="J423" r:id="rId901" display="https://www.ema.europa.eu/en/documents/other/article-57-product-data_en.xlsx"/>
    <hyperlink ref="D424" r:id="rId902" display="https://dailymed.nlm.nih.gov/dailymed/search.cfm?labeltype=all&amp;query=palonosetron"/>
    <hyperlink ref="G424" r:id="rId903" location="search:palcita" display="https://medicineprices.org.za/#search:palcita"/>
    <hyperlink ref="D425" r:id="rId904" display="https://dailymed.nlm.nih.gov/dailymed/search.cfm?labeltype=all&amp;query=pantoprazole+sodium+for+injection"/>
    <hyperlink ref="G425" r:id="rId905" display="https://dmd-browser.nhsbsa.nhs.uk/ampp/view/194984"/>
    <hyperlink ref="D426" r:id="rId906" display="https://dailymed.nlm.nih.gov/dailymed/search.cfm?labeltype=all&amp;query=pantoprazole+sodium+for+injection"/>
    <hyperlink ref="G426" r:id="rId907" display="https://www.ema.europa.eu/en/documents/other/article-57-product-data_en.xlsx"/>
    <hyperlink ref="D427" r:id="rId908" display="https://dailymed.nlm.nih.gov/dailymed/search.cfm?labeltype=all&amp;query=pantoprazole+sodium+for+injection"/>
    <hyperlink ref="G427" r:id="rId909" display="https://www.ema.europa.eu/en/documents/other/article-57-product-data_en.xlsx"/>
    <hyperlink ref="D428" r:id="rId910" display="https://dailymed.nlm.nih.gov/dailymed/search.cfm?labeltype=all&amp;query=paricalcitol+injection"/>
    <hyperlink ref="G428" r:id="rId911" display="https://dailymed.nlm.nih.gov/dailymed/drugInfo.cfm?setid=2b7c7587-2042-0d9c-e054-00144ff88e88"/>
    <hyperlink ref="D429" r:id="rId912" display="https://dailymed.nlm.nih.gov/dailymed/search.cfm?labeltype=all&amp;query=paricalcitol+injection"/>
    <hyperlink ref="G429" r:id="rId913" display="https://www.ema.europa.eu/en/documents/other/article-57-product-data_en.xlsx"/>
    <hyperlink ref="D430" r:id="rId914" display="https://dailymed.nlm.nih.gov/dailymed/search.cfm?labeltype=all&amp;query=pegfilgrastim"/>
    <hyperlink ref="G430" r:id="rId915" display="https://mhraproducts4853.blob.core.windows.net/docs/558dcfb1d7c94ccfc6b14703ecd62a427ca2264d"/>
    <hyperlink ref="D431" r:id="rId916" display="https://dailymed.nlm.nih.gov/dailymed/search.cfm?labeltype=all&amp;query=pegfilgrastim"/>
    <hyperlink ref="G431" r:id="rId917" display="https://www.ema.europa.eu/en/medicines/human/EPAR/pelgraz"/>
    <hyperlink ref="J431" r:id="rId918" display="https://www.ema.europa.eu/en/documents/other/article-57-product-data_en.xlsx"/>
    <hyperlink ref="D432" r:id="rId919" display="https://dailymed.nlm.nih.gov/dailymed/search.cfm?labeltype=all&amp;query=phenylephrine+hydrochloride+injection"/>
    <hyperlink ref="G432" r:id="rId920" display="https://www.ebs.tga.gov.au/ebs/picmi/picmirepository.nsf/pdf?OpenAgent&amp;id=CP-2020-PI-02525-1"/>
    <hyperlink ref="D433" r:id="rId921" display="https://dailymed.nlm.nih.gov/dailymed/search.cfm?labeltype=all&amp;query=phenylephrine+hydrochloride+injection"/>
    <hyperlink ref="G433" r:id="rId922" location="search:phenylcord" display="https://medicineprices.org.za/#search:phenylcord"/>
    <hyperlink ref="D434" r:id="rId923" display="https://dailymed.nlm.nih.gov/dailymed/search.cfm?labeltype=all&amp;query=phenytoin+sodium+injection"/>
    <hyperlink ref="G434" r:id="rId924" display="https://www.ema.europa.eu/en/documents/other/article-57-product-data_en.xlsx"/>
    <hyperlink ref="D435" r:id="rId925" display="https://dailymed.nlm.nih.gov/dailymed/search.cfm?labeltype=all&amp;query=phenytoin+sodium+injection"/>
    <hyperlink ref="G435" r:id="rId926" display="https://www.ema.europa.eu/en/documents/other/article-57-product-data_en.xlsx"/>
    <hyperlink ref="D436" r:id="rId927" display="https://dailymed.nlm.nih.gov/dailymed/search.cfm?labeltype=all&amp;query=plerixafor"/>
    <hyperlink ref="G436" r:id="rId928" display="https://mhraproducts4853.blob.core.windows.net/docs/07357ed28124fa9adf67221cff8397b75709ff50"/>
    <hyperlink ref="D437" r:id="rId929" display="https://dailymed.nlm.nih.gov/dailymed/search.cfm?labeltype=all&amp;query=plerixafor"/>
    <hyperlink ref="G437" r:id="rId930" display="https://www.ema.europa.eu/en/medicines/human/EPAR/plerixafor-accord"/>
    <hyperlink ref="J437" r:id="rId931" display="https://www.ema.europa.eu/en/documents/other/article-57-product-data_en.xlsx"/>
    <hyperlink ref="D438" r:id="rId932" display="https://dailymed.nlm.nih.gov/dailymed/search.cfm?labeltype=all&amp;query=plerixafor"/>
    <hyperlink ref="G438" r:id="rId933" display="http://tga.gov.au/resources/artg/398073"/>
    <hyperlink ref="D439" r:id="rId934" display="https://dailymed.nlm.nih.gov/dailymed/search.cfm?labeltype=all&amp;query=progesterone+injection"/>
    <hyperlink ref="G439" r:id="rId935" display="https://dailymed.nlm.nih.gov/dailymed/search.cfm?labeltype=all&amp;query=Progesterone"/>
    <hyperlink ref="D440" r:id="rId936" display="https://dailymed.nlm.nih.gov/dailymed/search.cfm?labeltype=all&amp;query=ranibizumab"/>
    <hyperlink ref="G440" r:id="rId937" display="https://mhraproducts4853.blob.core.windows.net/docs/0cd995a5637a3bd404fb0dc96033abecfd8ffc95"/>
    <hyperlink ref="D441" r:id="rId938" display="https://dailymed.nlm.nih.gov/dailymed/search.cfm?labeltype=all&amp;query=regadenoson"/>
    <hyperlink ref="G441" r:id="rId939" display="https://dailymed.nlm.nih.gov/dailymed/search.cfm?labeltype=all&amp;query=Regadenoson"/>
    <hyperlink ref="D442" r:id="rId940" display="https://dailymed.nlm.nih.gov/dailymed/search.cfm?labeltype=all&amp;query=rocuronium"/>
    <hyperlink ref="G442" r:id="rId941" display="https://www.ema.europa.eu/en/documents/other/article-57-product-data_en.xlsx"/>
    <hyperlink ref="D443" r:id="rId942" display="https://dailymed.nlm.nih.gov/dailymed/search.cfm?labeltype=all&amp;query=rocuronium"/>
    <hyperlink ref="G443" r:id="rId943" display="https://www.ema.europa.eu/en/documents/other/article-57-product-data_en.xlsx"/>
    <hyperlink ref="D444" r:id="rId944" display="https://dailymed.nlm.nih.gov/dailymed/search.cfm?labeltype=all&amp;query=succinylcholine"/>
    <hyperlink ref="G444" r:id="rId945" display="https://www.tga.gov.au/resources/artg"/>
    <hyperlink ref="D445" r:id="rId946" display="https://dailymed.nlm.nih.gov/dailymed/search.cfm?labeltype=all&amp;query=sugammadex"/>
    <hyperlink ref="G445" r:id="rId947" display="https://mhraproducts4853.blob.core.windows.net/docs/44089c416fe7066a241a329bc84997950abfd99d"/>
    <hyperlink ref="D446" r:id="rId948" display="https://dailymed.nlm.nih.gov/dailymed/search.cfm?labeltype=all&amp;query=sugammadex"/>
    <hyperlink ref="G446" r:id="rId949" display="https://www.ema.europa.eu/en/documents/other/article-57-product-data_en.xlsx"/>
    <hyperlink ref="D447" r:id="rId950" display="https://dailymed.nlm.nih.gov/dailymed/search.cfm?labeltype=all&amp;query=sugammadex"/>
    <hyperlink ref="G447" r:id="rId951" display="https://base-donnees-publique.medicaments.gouv.fr/index.php?page=1&amp;choixRecherche=medicament&amp;txtCaracteres=Sugammadex%20Accord&amp;action=show"/>
    <hyperlink ref="J447" r:id="rId952" display="https://www.ema.europa.eu/en/documents/other/article-57-product-data_en.xlsx"/>
    <hyperlink ref="D448" r:id="rId953" display="https://dailymed.nlm.nih.gov/dailymed/search.cfm?labeltype=all&amp;query=sugammadex"/>
    <hyperlink ref="G448" r:id="rId954" display="https://www.ebs.tga.gov.au/servlet/xmlmillr6?dbid=ebs/PublicHTML/pdfStore.nsf&amp;docid=372777&amp;agid=(PrintDetailsPublic)&amp;actionid=1"/>
    <hyperlink ref="D449" r:id="rId955" display="https://www.medicines.org.uk/emc/search?q=teicoplanin"/>
    <hyperlink ref="G449" r:id="rId956" display="https://www.ema.europa.eu/en/documents/other/article-57-product-data_en.xlsx"/>
    <hyperlink ref="D450" r:id="rId957" display="https://dailymed.nlm.nih.gov/dailymed/search.cfm?labeltype=all&amp;query=tigecycline"/>
    <hyperlink ref="G450" r:id="rId958" display="https://www.ema.europa.eu/en/medicines/human/EPAR/tigecycline-accord"/>
    <hyperlink ref="J450" r:id="rId959" display="https://www.ema.europa.eu/en/documents/other/article-57-product-data_en.xlsx"/>
    <hyperlink ref="D451" r:id="rId960" display="https://dailymed.nlm.nih.gov/dailymed/search.cfm?labeltype=all&amp;query=tigecycline"/>
    <hyperlink ref="G451" r:id="rId961" display="https://www.ebs.tga.gov.au/servlet/xmlmillr6?dbid=ebs/PublicHTML/pdfStore.nsf&amp;docid=331680&amp;agid=(PrintDetailsPublic)&amp;actionid=1"/>
    <hyperlink ref="D452" r:id="rId962" display="https://dailymed.nlm.nih.gov/dailymed/search.cfm?labeltype=all&amp;query=ustekinumab"/>
    <hyperlink ref="G452" r:id="rId963" display="https://mhraproducts4853.blob.core.windows.net/docs/7f0af292cea25f881c619785dd36da19d641eb1a"/>
    <hyperlink ref="D453" r:id="rId964" display="https://dailymed.nlm.nih.gov/dailymed/search.cfm?labeltype=all&amp;query=ustekinumab"/>
    <hyperlink ref="G453" r:id="rId965" display="https://www.ema.europa.eu/en/medicines/human/EPAR/imuldosa"/>
    <hyperlink ref="J453" r:id="rId966" display="https://www.ema.europa.eu/en/documents/other/article-57-product-data_en.xlsx"/>
    <hyperlink ref="D454" r:id="rId967" display="https://dailymed.nlm.nih.gov/dailymed/search.cfm?labeltype=all&amp;query=ustekinumab"/>
    <hyperlink ref="G454" r:id="rId968" display="https://www.ema.europa.eu/en/medicines/human/EPAR/imuldosa"/>
    <hyperlink ref="J454" r:id="rId969" display="https://www.ema.europa.eu/en/documents/other/article-57-product-data_en.xlsx"/>
    <hyperlink ref="D455" r:id="rId970" display="https://dailymed.nlm.nih.gov/dailymed/search.cfm?labeltype=all&amp;query=vincristine"/>
    <hyperlink ref="G455" r:id="rId971" display="https://www.sahpra.org.za/document-category/product-recall/page/7/"/>
    <hyperlink ref="D456" r:id="rId972" display="https://dailymed.nlm.nih.gov/dailymed/search.cfm?labeltype=all&amp;query=vinorelbine"/>
    <hyperlink ref="G456" r:id="rId973" display="https://www.ema.europa.eu/en/documents/other/article-57-product-data_en.xlsx"/>
    <hyperlink ref="D457" r:id="rId974" display="https://dailymed.nlm.nih.gov/dailymed/search.cfm?labeltype=all&amp;query=vinorelbine"/>
    <hyperlink ref="G457" r:id="rId975" display="https://base-donnees-publique.medicaments.gouv.fr/index.php?page=1&amp;choixRecherche=medicament&amp;txtCaracteres=Vinorelbine%20Accord&amp;action=show"/>
    <hyperlink ref="J457" r:id="rId976" display="https://www.ema.europa.eu/en/documents/other/article-57-product-data_en.xlsx"/>
    <hyperlink ref="D458" r:id="rId977" display="https://dailymed.nlm.nih.gov/dailymed/search.cfm?labeltype=all&amp;query=alfentanil"/>
    <hyperlink ref="G458" r:id="rId978" display="https://www.nps.org.au/assets/medicines/8bd3b47f-93b8-42ea-9c27-a53300ffa94f.pdf"/>
    <hyperlink ref="D459" r:id="rId979" display="https://dailymed.nlm.nih.gov/dailymed/search.cfm?labeltype=all&amp;query=cefazolin"/>
    <hyperlink ref="G459" r:id="rId980" display="https://www.ebs.tga.gov.au/servlet/xmlmillr6?dbid=ebs/PublicHTML/pdfStore.nsf&amp;docid=322861&amp;agid=(PrintDetailsPublic)&amp;actionid=1"/>
    <hyperlink ref="D460" r:id="rId981" display="https://dailymed.nlm.nih.gov/dailymed/search.cfm?labeltype=all&amp;query=cisatracurium"/>
    <hyperlink ref="G460" r:id="rId982" display="https://www.healthdirect.gov.au/medicines/brand/amt%2C913251000168100/cisatracurium-ajs"/>
    <hyperlink ref="D461" r:id="rId983" display="https://dailymed.nlm.nih.gov/dailymed/search.cfm?labeltype=all&amp;query=daptomycin"/>
    <hyperlink ref="G461" r:id="rId984" display="https://www.ebs.tga.gov.au/ebs/picmi/picmirepository.nsf/pdf?OpenAgent&amp;id=CP-2023-PI-01405-1"/>
    <hyperlink ref="D462" r:id="rId985" display="https://dailymed.nlm.nih.gov/dailymed/search.cfm?labeltype=all&amp;query=diazepam+injection"/>
    <hyperlink ref="G462" r:id="rId986" display="https://dailymed.nlm.nih.gov/dailymed/search.cfm?labeltype=all&amp;query=Diazepam"/>
    <hyperlink ref="D463" r:id="rId987" display="https://dailymed.nlm.nih.gov/dailymed/search.cfm?labeltype=all&amp;query=droperidol"/>
    <hyperlink ref="G463" r:id="rId988" display="https://www.ebs.tga.gov.au/ebs/picmi/picmirepository.nsf/pdf?OpenAgent&amp;id=CP-2017-PI-01601-1"/>
    <hyperlink ref="D464" r:id="rId989" display="https://dailymed.nlm.nih.gov/dailymed/search.cfm?labeltype=all&amp;query=iron+sucrose"/>
    <hyperlink ref="G464" r:id="rId990" location="search:sucrofer" display="https://medicineprices.org.za/#search:sucrofer"/>
    <hyperlink ref="D465" r:id="rId991" display="https://dailymed.nlm.nih.gov/dailymed/search.cfm?labeltype=all&amp;query=ephedrine+sulfate+injection"/>
    <hyperlink ref="G465" r:id="rId992" display="https://www.ebs.tga.gov.au/servlet/xmlmillr6?dbid=ebs/PublicHTML/pdfStore.nsf&amp;docid=259539&amp;agid=(PrintDetailsPublic)&amp;actionid=1"/>
    <hyperlink ref="D466" r:id="rId993" display="https://dailymed.nlm.nih.gov/dailymed/search.cfm?labeltype=all&amp;query=ertapenem"/>
    <hyperlink ref="G466" r:id="rId994" location="search:invabex" display="https://medicineprices.org.za/#search:invabex"/>
    <hyperlink ref="D467" r:id="rId995" display="https://dailymed.nlm.nih.gov/dailymed/search.cfm?labeltype=all&amp;query=famotidine+injection"/>
    <hyperlink ref="G467" r:id="rId996" display="https://dailymed.nlm.nih.gov/dailymed/search.cfm?labeltype=all&amp;query=Famotidine"/>
    <hyperlink ref="D468" r:id="rId997" display="https://dailymed.nlm.nih.gov/dailymed/search.cfm?labeltype=all&amp;query=fentanyl+citrate+injection"/>
    <hyperlink ref="G468" r:id="rId998" display="https://www.safetyandquality.gov.au/medicine-finder/fentanyl-gh"/>
    <hyperlink ref="D469" r:id="rId999" display="https://dailymed.nlm.nih.gov/dailymed/search.cfm?labeltype=all&amp;query=meropenem"/>
    <hyperlink ref="G469" r:id="rId1000" display="https://www.healthdirect.gov.au/medicines/brand/amt%2C1310041000168105/meropenem-gh"/>
    <hyperlink ref="D470" r:id="rId1001" display="https://dailymed.nlm.nih.gov/dailymed/search.cfm?labeltype=all&amp;query=meropenem"/>
    <hyperlink ref="G470" r:id="rId1002" display="https://pi-pil-repository.sahpra.org.za/wp-content/uploads/2025/02/Approved-PIL-25-November-2024.pdf"/>
    <hyperlink ref="D471" r:id="rId1003" display="https://dailymed.nlm.nih.gov/dailymed/search.cfm?labeltype=all&amp;query=milrinone"/>
    <hyperlink ref="G471" r:id="rId1004" display="https://www.safetyandquality.gov.au/medicine-finder/milrinone-gh-concentrate-for-infusion"/>
    <hyperlink ref="D472" r:id="rId1005" display="https://dailymed.nlm.nih.gov/dailymed/search.cfm?labeltype=all&amp;query=olanzapine+for+injection"/>
    <hyperlink ref="G472" r:id="rId1006" display="https://www.tga.gov.au/resources/artg/484114"/>
    <hyperlink ref="D473" r:id="rId1007" display="https://dailymed.nlm.nih.gov/dailymed/search.cfm?labeltype=all&amp;query=oxytocin"/>
    <hyperlink ref="G473" r:id="rId1008" display="https://www.safetyandquality.gov.au/medicine-finder/oxytocin-gh"/>
    <hyperlink ref="D474" r:id="rId1009" display="https://dailymed.nlm.nih.gov/dailymed/search.cfm?labeltype=all&amp;query=remifentanil"/>
    <hyperlink ref="G474" r:id="rId1010" display="https://pi-pil-repository.sahpra.org.za/wp-content/uploads/2025/05/Approved-PI-12-May-2025.pdf"/>
    <hyperlink ref="D475" r:id="rId1011" display="https://dailymed.nlm.nih.gov/dailymed/search.cfm?labeltype=all&amp;query=sugammadex"/>
    <hyperlink ref="G475" r:id="rId1012" display="https://dailymed.nlm.nih.gov/dailymed/drugInfo.cfm?setid=9f2e66d7-a5d2-4593-bb30-6d4a418381aa"/>
    <hyperlink ref="D476" r:id="rId1013" display="https://dailymed.nlm.nih.gov/dailymed/search.cfm?labeltype=all&amp;query=sugammadex"/>
    <hyperlink ref="G476" r:id="rId1014" display="https://www.ebs.tga.gov.au/ebs/picmi/picmirepository.nsf/pdf?OpenAgent&amp;id=CP-2023-PI-02604-1&amp;d=20260925172310101"/>
    <hyperlink ref="D477" r:id="rId1015" display="https://www.medicines.org.uk/emc/search?q=teicoplanin"/>
    <hyperlink ref="G477" r:id="rId1016" display="https://www.ebs.tga.gov.au/servlet/xmlmillr6?dbid=ebs/PublicHTML/pdfStore.nsf&amp;docid=259192&amp;agid=(PrintDetailsPublic)&amp;actionid=1"/>
    <hyperlink ref="D478" r:id="rId1017" display="https://www.medicines.org.uk/emc/search?q=teicoplanin"/>
    <hyperlink ref="G478" r:id="rId1018" location="search:dyna" display="https://medicineprices.org.za/#search:dyna"/>
    <hyperlink ref="D479" r:id="rId1019" display="https://dailymed.nlm.nih.gov/dailymed/search.cfm?labeltype=all&amp;query=testosterone+undecanoate"/>
    <hyperlink ref="G479" r:id="rId1020" location="search:testosterone" display="https://medicineprices.org.za/#search:testosterone"/>
    <hyperlink ref="D480" r:id="rId1021" display="https://dailymed.nlm.nih.gov/dailymed/search.cfm?labeltype=all&amp;query=bortezomib"/>
    <hyperlink ref="G480" r:id="rId1022" display="https://dailymed.nlm.nih.gov/dailymed/drugInfo.cfm?setid=d41340c2-7fe8-42b2-aaa5-c9f9b0e9b50e"/>
    <hyperlink ref="D481" r:id="rId1023" display="https://dailymed.nlm.nih.gov/dailymed/search.cfm?labeltype=all&amp;query=bortezomib"/>
    <hyperlink ref="G481" r:id="rId1024" display="https://mhraproducts4853.blob.core.windows.net/docs/8703115c833741c52c0b5e3efbbb2258862cffa1"/>
    <hyperlink ref="D482" r:id="rId1025" display="https://dailymed.nlm.nih.gov/dailymed/search.cfm?labeltype=all&amp;query=bortezomib"/>
    <hyperlink ref="G482" r:id="rId1026" display="https://www.ema.europa.eu/en/documents/other/article-57-product-data_en.xlsx"/>
    <hyperlink ref="D483" r:id="rId1027" display="https://dailymed.nlm.nih.gov/dailymed/search.cfm?labeltype=all&amp;query=bortezomib"/>
    <hyperlink ref="G483" r:id="rId1028" display="https://www.ema.europa.eu/en/documents/other/article-57-product-data_en.xlsx"/>
    <hyperlink ref="D484" r:id="rId1029" display="https://dailymed.nlm.nih.gov/dailymed/search.cfm?labeltype=all&amp;query=bortezomib"/>
    <hyperlink ref="G484" r:id="rId1030" display="https://www.tga.gov.au/resources/artg/306550"/>
    <hyperlink ref="D485" r:id="rId1031" display="https://dailymed.nlm.nih.gov/dailymed/search.cfm?labeltype=all&amp;query=brivaracetam"/>
    <hyperlink ref="G485" r:id="rId1032" display="https://dailymed.nlm.nih.gov/dailymed/drugInfo.cfm?setid=2c6af271-3222-4602-98a6-14754f0a29ba"/>
    <hyperlink ref="D486" r:id="rId1033" display="https://dailymed.nlm.nih.gov/dailymed/search.cfm?labeltype=all&amp;query=chlorpromazine"/>
    <hyperlink ref="G486" r:id="rId1034" display="https://dailymed.nlm.nih.gov/dailymed/drugInfo.cfm?setid=867d5c7f-52d4-4794-b1d4-6747f3262fba"/>
    <hyperlink ref="D487" r:id="rId1035" display="https://dailymed.nlm.nih.gov/dailymed/search.cfm?labeltype=all&amp;query=fluphenazine+decanoate"/>
    <hyperlink ref="G487" r:id="rId1036" display="https://dailymed.nlm.nih.gov/dailymed/search.cfm?labeltype=all&amp;query=Fluphenazine+Decanoate"/>
    <hyperlink ref="D488" r:id="rId1037" display="https://dailymed.nlm.nih.gov/dailymed/search.cfm?labeltype=all&amp;query=gadobutrol"/>
    <hyperlink ref="G488" r:id="rId1038" display="https://mhraproducts4853.blob.core.windows.net/docs/a892ae362be90b720fee33b3e1c9cf5f06e6ed09"/>
    <hyperlink ref="D489" r:id="rId1039" display="https://dailymed.nlm.nih.gov/dailymed/search.cfm?labeltype=all&amp;query=gadobutrol"/>
    <hyperlink ref="G489" r:id="rId1040" display="https://www.ema.europa.eu/en/documents/other/article-57-product-data_en.xlsx"/>
    <hyperlink ref="D490" r:id="rId1041" display="https://dailymed.nlm.nih.gov/dailymed/search.cfm?labeltype=all&amp;query=plerixafor"/>
    <hyperlink ref="G490" r:id="rId1042" display="https://dailymed.nlm.nih.gov/dailymed/drugInfo.cfm?setid=58c9fa02-3701-d411-f946-790a62ddc064"/>
    <hyperlink ref="D491" r:id="rId1043" display="https://dailymed.nlm.nih.gov/dailymed/search.cfm?labeltype=all&amp;query=plerixafor"/>
    <hyperlink ref="G491" r:id="rId1044" display="https://www.ema.europa.eu/en/documents/other/article-57-product-data_en.xlsx"/>
    <hyperlink ref="D492" r:id="rId1045" display="https://dailymed.nlm.nih.gov/dailymed/search.cfm?labeltype=all&amp;query=sugammadex"/>
    <hyperlink ref="G492" r:id="rId1046" display="https://dailymed.nlm.nih.gov/dailymed/drugInfo.cfm?setid=ab41ea1c-266f-421c-8fc4-6e7ff518a75d"/>
    <hyperlink ref="D493" r:id="rId1047" display="https://dailymed.nlm.nih.gov/dailymed/search.cfm?labeltype=all&amp;query=sugammadex"/>
    <hyperlink ref="G493" r:id="rId1048" display="https://mhraproducts4853.blob.core.windows.net/docs/7aa20df6854ee9b7ef3bc783930d858a9979d943"/>
    <hyperlink ref="D494" r:id="rId1049" display="https://dailymed.nlm.nih.gov/dailymed/search.cfm?labeltype=all&amp;query=sugammadex"/>
    <hyperlink ref="G494" r:id="rId1050" display="https://www.ema.europa.eu/en/documents/other/article-57-product-data_en.xlsx"/>
    <hyperlink ref="D495" r:id="rId1051" display="https://dailymed.nlm.nih.gov/dailymed/search.cfm?labeltype=all&amp;query=sugammadex"/>
    <hyperlink ref="G495" r:id="rId1052" display="https://www.ebs.tga.gov.au/ebs/picmi/picmirepository.nsf/pdf?OpenAgent&amp;id=CP-2026-PI-01917-1"/>
    <hyperlink ref="D496" r:id="rId1053" display="https://dailymed.nlm.nih.gov/dailymed/search.cfm?labeltype=all&amp;query=brivaracetam"/>
    <hyperlink ref="G496" r:id="rId1054" display="https://dailymed.nlm.nih.gov/dailymed/drugInfo.cfm?setid=c054a1c9-2aa7-473b-a04b-622596f36c95"/>
    <hyperlink ref="D497" r:id="rId1055" display="https://dailymed.nlm.nih.gov/dailymed/search.cfm?labeltype=all&amp;query=caffeine+citrate"/>
    <hyperlink ref="G497" r:id="rId1056" display="https://www.ema.europa.eu/en/documents/other/article-57-product-data_en.xlsx"/>
    <hyperlink ref="D498" r:id="rId1057" display="https://dailymed.nlm.nih.gov/dailymed/search.cfm?labeltype=all&amp;query=carboprost"/>
    <hyperlink ref="G498" r:id="rId1058" display="https://dailymed.nlm.nih.gov/dailymed/lookup.cfm?setid=c1cde9c7-b005-484f-8497-343c5ecd4f0a"/>
    <hyperlink ref="D499" r:id="rId1059" display="https://www.medicines.org.uk/emc/search?q=cyclizine"/>
    <hyperlink ref="G499" r:id="rId1060" display="https://www.ema.europa.eu/en/documents/other/article-57-product-data_en.xlsx"/>
    <hyperlink ref="D500" r:id="rId1061" display="https://www.medicines.org.uk/emc/search?q=cyclizine"/>
    <hyperlink ref="G500" r:id="rId1062" display="https://www.ebs.tga.gov.au/servlet/xmlmillr6?dbid=ebs/PublicHTML/pdfStore.nsf&amp;docid=394390&amp;agid=(PrintDetailsPublic)&amp;actionid=1"/>
    <hyperlink ref="D501" r:id="rId1063" display="https://dailymed.nlm.nih.gov/dailymed/search.cfm?labeltype=all&amp;query=diphenhydramine+injection"/>
    <hyperlink ref="G501" r:id="rId1064" display="https://dailymed.nlm.nih.gov/dailymed/drugInfo.cfm?setid=c2981222-1671-4ecd-a5a2-286f0663f1ae"/>
    <hyperlink ref="D502" r:id="rId1065" display="https://dailymed.nlm.nih.gov/dailymed/search.cfm?labeltype=all&amp;query=isoproterenol"/>
    <hyperlink ref="G502" r:id="rId1066" display="https://dailymed.nlm.nih.gov/dailymed/drugInfo.cfm?setid=0f6a7651-e7b4-4ada-8ccd-2123d094a113"/>
    <hyperlink ref="D503" r:id="rId1067" display="https://dailymed.nlm.nih.gov/dailymed/search.cfm?labeltype=all&amp;query=isoproterenol"/>
    <hyperlink ref="G503" r:id="rId1068" display="https://www.ebs.tga.gov.au/servlet/xmlmillr6?dbid=ebs/PublicHTML/pdfStore.nsf&amp;docid=358311&amp;agid=(PrintDetailsPublic)&amp;actionid=1"/>
    <hyperlink ref="D504" r:id="rId1069" display="https://dailymed.nlm.nih.gov/dailymed/search.cfm?labeltype=all&amp;query=levetiracetam+injection"/>
    <hyperlink ref="G504" r:id="rId1070" display="https://www.ema.europa.eu/en/documents/other/article-57-product-data_en.xlsx"/>
    <hyperlink ref="D505" r:id="rId1071" display="https://dailymed.nlm.nih.gov/dailymed/search.cfm?labeltype=all&amp;query=levetiracetam+injection"/>
    <hyperlink ref="G505" r:id="rId1072" display="https://www.ebs.tga.gov.au/servlet/xmlmillr6?dbid=ebs/PublicHTML/pdfStore.nsf&amp;docid=397976&amp;agid=(PrintDetailsPublic)&amp;actionid=1"/>
    <hyperlink ref="D506" r:id="rId1073" display="https://dailymed.nlm.nih.gov/dailymed/search.cfm?labeltype=all&amp;query=lincomycin"/>
    <hyperlink ref="G506" r:id="rId1074" display="https://dailymed.nlm.nih.gov/dailymed/search.cfm?searchdb=ndc&amp;query=68083-478"/>
    <hyperlink ref="D507" r:id="rId1075" display="https://dailymed.nlm.nih.gov/dailymed/search.cfm?labeltype=all&amp;query=succinylcholine"/>
    <hyperlink ref="G507" r:id="rId1076" display="https://dailymed.nlm.nih.gov/dailymed/drugInfo.cfm?setid=204f1c24-4bf6-40d5-95f3-a732db28e033"/>
    <hyperlink ref="D508" r:id="rId1077" display="https://dailymed.nlm.nih.gov/dailymed/search.cfm?labeltype=all&amp;query=verapamil+hydrochloride+injection"/>
    <hyperlink ref="G508" r:id="rId1078" display="https://dailymed.nlm.nih.gov/dailymed/drugInfo.cfm?setid=9f19a5b4-286c-2c3f-e053-2a95a90a51df"/>
    <hyperlink ref="D509" r:id="rId1079" display="https://dailymed.nlm.nih.gov/dailymed/search.cfm?labeltype=all&amp;query=bupivacaine"/>
    <hyperlink ref="G509" r:id="rId1080" display="https://dailymed.nlm.nih.gov/dailymed/drugInfo.cfm?setid=f29c905e-9a55-446f-a89d-860ad9ade7ad"/>
    <hyperlink ref="D510" r:id="rId1081" display="https://dailymed.nlm.nih.gov/dailymed/search.cfm?labeltype=all&amp;query=carboprost"/>
    <hyperlink ref="G510" r:id="rId1082" display="https://dailymed.nlm.nih.gov/dailymed/lookup.cfm?setid=c1cde9c7-b005-484f-8497-343c5ecd4f0a"/>
    <hyperlink ref="D511" r:id="rId1083" display="https://dailymed.nlm.nih.gov/dailymed/search.cfm?labeltype=all&amp;query=meropenem"/>
    <hyperlink ref="G511" r:id="rId1084" display="https://base-donnees-publique.medicaments.gouv.fr/index.php?page=1&amp;choixRecherche=medicament&amp;txtCaracteres=Meropenem%20Steriscience&amp;action=show"/>
    <hyperlink ref="J511" r:id="rId1085" display="https://www.ema.europa.eu/en/documents/other/article-57-product-data_en.xlsx"/>
    <hyperlink ref="D512" r:id="rId1086" display="https://dailymed.nlm.nih.gov/dailymed/search.cfm?labeltype=all&amp;query=methohexital"/>
    <hyperlink ref="G512" r:id="rId1087" display="https://dailymed.nlm.nih.gov/dailymed/search.cfm?searchdb=ndc&amp;query=83270-003"/>
    <hyperlink ref="D513" r:id="rId1088" display="https://dailymed.nlm.nih.gov/dailymed/search.cfm?labeltype=all&amp;query=nafcillin"/>
    <hyperlink ref="G513" r:id="rId1089" display="https://dailymed.nlm.nih.gov/dailymed/search.cfm?searchdb=ndc&amp;query=83270-310"/>
    <hyperlink ref="D514" r:id="rId1090" display="https://dailymed.nlm.nih.gov/dailymed/search.cfm?labeltype=all&amp;query=alfentanil"/>
    <hyperlink ref="G514" r:id="rId1091" display="https://dmd-browser.nhsbsa.nhs.uk/ampp/view/20811"/>
    <hyperlink ref="D515" r:id="rId1092" display="https://dailymed.nlm.nih.gov/dailymed/search.cfm?labeltype=all&amp;query=alfentanil"/>
    <hyperlink ref="G515" r:id="rId1093" display="https://www.ema.europa.eu/en/documents/other/article-57-product-data_en.xlsx"/>
    <hyperlink ref="D516" r:id="rId1094" display="https://dailymed.nlm.nih.gov/dailymed/search.cfm?labeltype=all&amp;query=alfentanil"/>
    <hyperlink ref="G516" r:id="rId1095" display="https://base-donnees-publique.medicaments.gouv.fr/index.php?page=1&amp;choixRecherche=medicament&amp;txtCaracteres=Rapifen&amp;action=show"/>
    <hyperlink ref="J516" r:id="rId1096" display="https://www.ema.europa.eu/en/documents/other/article-57-product-data_en.xlsx"/>
    <hyperlink ref="D517" r:id="rId1097" display="https://dailymed.nlm.nih.gov/dailymed/search.cfm?labeltype=all&amp;query=alfentanil"/>
    <hyperlink ref="G517" r:id="rId1098" display="https://www.safetyandquality.gov.au/medicine-finder/rapifen"/>
    <hyperlink ref="D518" r:id="rId1099" display="https://dailymed.nlm.nih.gov/dailymed/search.cfm?labeltype=all&amp;query=alfentanil"/>
    <hyperlink ref="G518" r:id="rId1100" display="https://www.sahpra.org.za/wp-content/uploads/2020/02/Rapifen_PI_Piramal-Critical-Care_MCC-format-01-February-2010.pdf"/>
    <hyperlink ref="D519" r:id="rId1101" display="https://dailymed.nlm.nih.gov/dailymed/search.cfm?labeltype=all&amp;query=baclofen"/>
    <hyperlink ref="G519" r:id="rId1102" display="https://dailymed.nlm.nih.gov/dailymed/lookup.cfm?setid=00d3e846-dd92-448d-9ab8-6a07be823cc1"/>
    <hyperlink ref="D520" r:id="rId1103" display="https://dailymed.nlm.nih.gov/dailymed/search.cfm?labeltype=all&amp;query=baclofen"/>
    <hyperlink ref="G520" r:id="rId1104" display="https://products.mhra.gov.uk/search/?search=baclofen"/>
    <hyperlink ref="D521" r:id="rId1105" display="https://dailymed.nlm.nih.gov/dailymed/search.cfm?labeltype=all&amp;query=baclofen"/>
    <hyperlink ref="G521" r:id="rId1106" display="https://www.ema.europa.eu/en/documents/other/article-57-product-data_en.xlsx"/>
    <hyperlink ref="D522" r:id="rId1107" display="https://dailymed.nlm.nih.gov/dailymed/search.cfm?labeltype=all&amp;query=baclofen"/>
    <hyperlink ref="G522" r:id="rId1108" display="https://base-donnees-publique.medicaments.gouv.fr/index.php?page=1&amp;choixRecherche=medicament&amp;txtCaracteres=Spacyr&amp;action=show"/>
    <hyperlink ref="J522" r:id="rId1109" display="https://www.ema.europa.eu/en/documents/other/article-57-product-data_en.xlsx"/>
    <hyperlink ref="D523" r:id="rId1110" display="https://dailymed.nlm.nih.gov/dailymed/search.cfm?labeltype=all&amp;query=cisatracurium"/>
    <hyperlink ref="G523" r:id="rId1111" display="https://dailymed.nlm.nih.gov/dailymed/drugInfo.cfm?setid=d8b5eb77-b393-4cd7-86c5-d2a9d131f96d"/>
    <hyperlink ref="D524" r:id="rId1112" display="https://dailymed.nlm.nih.gov/dailymed/search.cfm?labeltype=all&amp;query=etomidate"/>
    <hyperlink ref="G524" r:id="rId1113" display="https://www.ema.europa.eu/en/documents/other/article-57-product-data_en.xlsx"/>
    <hyperlink ref="D525" r:id="rId1114" display="https://dailymed.nlm.nih.gov/dailymed/search.cfm?labeltype=all&amp;query=etomidate"/>
    <hyperlink ref="G525" r:id="rId1115" display="https://base-donnees-publique.medicaments.gouv.fr/index.php?page=1&amp;choixRecherche=medicament&amp;txtCaracteres=Hypnomidate&amp;action=show"/>
    <hyperlink ref="J525" r:id="rId1116" display="https://www.ema.europa.eu/en/documents/other/article-57-product-data_en.xlsx"/>
    <hyperlink ref="D526" r:id="rId1117" display="https://dailymed.nlm.nih.gov/dailymed/search.cfm?labeltype=all&amp;query=etomidate"/>
    <hyperlink ref="G526" r:id="rId1118" location="search:hypnomidate" display="https://medicineprices.org.za/#search:hypnomidate"/>
    <hyperlink ref="D527" r:id="rId1119" display="https://dailymed.nlm.nih.gov/dailymed/search.cfm?labeltype=all&amp;query=fentanyl+citrate+injection"/>
    <hyperlink ref="G527" r:id="rId1120" display="https://www.ema.europa.eu/en/documents/other/article-57-product-data_en.xlsx"/>
    <hyperlink ref="D528" r:id="rId1121" display="https://dailymed.nlm.nih.gov/dailymed/search.cfm?labeltype=all&amp;query=fentanyl+citrate+injection"/>
    <hyperlink ref="G528" r:id="rId1122" display="https://base-donnees-publique.medicaments.gouv.fr/index.php?page=1&amp;choixRecherche=medicament&amp;txtCaracteres=Fentanyl%20Piramal&amp;action=show"/>
    <hyperlink ref="J528" r:id="rId1123" display="https://www.ema.europa.eu/en/documents/other/article-57-product-data_en.xlsx"/>
    <hyperlink ref="D529" r:id="rId1124" display="https://dailymed.nlm.nih.gov/dailymed/search.cfm?labeltype=all&amp;query=fentanyl+citrate+injection"/>
    <hyperlink ref="G529" r:id="rId1125" display="https://www.sahpra.org.za/wp-content/uploads/2020/02/Rapifen_PI_Piramal-Critical-Care_MCC-format-01-February-2010.pdf"/>
    <hyperlink ref="D530" r:id="rId1126" display="https://dailymed.nlm.nih.gov/dailymed/search.cfm?labeltype=all&amp;query=remifentanil"/>
    <hyperlink ref="G530" r:id="rId1127" display="https://www.ema.europa.eu/en/documents/other/article-57-product-data_en.xlsx"/>
    <hyperlink ref="D531" r:id="rId1128" display="https://dailymed.nlm.nih.gov/dailymed/search.cfm?labeltype=all&amp;query=sugammadex"/>
    <hyperlink ref="G531" r:id="rId1129" display="https://mhraproducts4853.blob.core.windows.net/docs/65c89059d784c50dab28071e95ac40d97f54368d"/>
    <hyperlink ref="D532" r:id="rId1130" display="https://dailymed.nlm.nih.gov/dailymed/search.cfm?labeltype=all&amp;query=sugammadex"/>
    <hyperlink ref="G532" r:id="rId1131" display="https://www.ema.europa.eu/en/medicines/human/EPAR/sugammadex-piramal"/>
    <hyperlink ref="J532" r:id="rId1132" display="https://www.ema.europa.eu/en/documents/other/article-57-product-data_en.xlsx"/>
    <hyperlink ref="D533" r:id="rId1133" display="https://dailymed.nlm.nih.gov/dailymed/search.cfm?labeltype=all&amp;query=sugammadex"/>
    <hyperlink ref="G533" r:id="rId1134" display="https://www.ema.europa.eu/en/medicines/human/EPAR/sugammadex-piramal"/>
    <hyperlink ref="J533" r:id="rId1135" display="https://www.ema.europa.eu/en/documents/other/article-57-product-data_en.xlsx"/>
    <hyperlink ref="D534" r:id="rId1136" display="https://dailymed.nlm.nih.gov/dailymed/search.cfm?labeltype=all&amp;query=cefepime"/>
    <hyperlink ref="G534" r:id="rId1137" display="https://www.healthdirect.gov.au/medicines/brand/amt%2C888961000168107/bindozef"/>
    <hyperlink ref="D535" r:id="rId1138" display="https://dailymed.nlm.nih.gov/dailymed/search.cfm?labeltype=all&amp;query=ceftazidime"/>
    <hyperlink ref="G535" r:id="rId1139" display="https://www.healthdirect.gov.au/medicines/brand/amt%2C933507581000036107/zetaf"/>
    <hyperlink ref="D536" r:id="rId1140" display="https://dailymed.nlm.nih.gov/dailymed/search.cfm?labeltype=all&amp;query=hydrocortisone+sodium+succinate"/>
    <hyperlink ref="G536" r:id="rId1141" location="search:cortaject" display="https://medicineprices.org.za/#search:cortaject"/>
    <hyperlink ref="D537" r:id="rId1142" display="https://dailymed.nlm.nih.gov/dailymed/search.cfm?labeltype=all&amp;query=meropenem"/>
    <hyperlink ref="G537" r:id="rId1143" display="https://dmd-browser.nhsbsa.nhs.uk/ampp/view/175452"/>
    <hyperlink ref="D538" r:id="rId1144" display="https://dailymed.nlm.nih.gov/dailymed/search.cfm?labeltype=all&amp;query=meropenem"/>
    <hyperlink ref="G538" r:id="rId1145" display="https://www.ema.europa.eu/en/documents/other/article-57-product-data_en.xlsx"/>
    <hyperlink ref="D539" r:id="rId1146" display="https://dailymed.nlm.nih.gov/dailymed/search.cfm?labeltype=all&amp;query=piperacillin+and+tazobactam"/>
    <hyperlink ref="G539" r:id="rId1147" display="https://www.healthdirect.gov.au/medicines/brand/amt%2C933703631000036101/piptaz-2-g-0.25-g-auro"/>
    <hyperlink ref="D540" r:id="rId1148" display="https://dailymed.nlm.nih.gov/dailymed/search.cfm?labeltype=all&amp;query=aripiprazole"/>
    <hyperlink ref="G540" r:id="rId1149" display="https://mhraproducts4853.blob.core.windows.net/docs/3f1e00ed4b97700f12503d40822ed0706e54eaed"/>
    <hyperlink ref="D541" r:id="rId1150" display="https://dailymed.nlm.nih.gov/dailymed/search.cfm?labeltype=all&amp;query=aripiprazole"/>
    <hyperlink ref="G541" r:id="rId1151" display="https://www.ebs.tga.gov.au/ebs/picmi/picmirepository.nsf/pdf?OpenAgent&amp;id=CP-2025-PI-01168-1"/>
    <hyperlink ref="D542" r:id="rId1152" display="https://dailymed.nlm.nih.gov/dailymed/search.cfm?labeltype=all&amp;query=bortezomib"/>
    <hyperlink ref="G542" r:id="rId1153" display="https://mhraproducts4853.blob.core.windows.net/docs/300ac5b7309146ded231acf96131c8ba8ea5dc2e"/>
    <hyperlink ref="D543" r:id="rId1154" display="https://dailymed.nlm.nih.gov/dailymed/search.cfm?labeltype=all&amp;query=bortezomib"/>
    <hyperlink ref="G543" r:id="rId1155" display="https://www.ema.europa.eu/en/medicines/human/EPAR/bortezomib-sun"/>
    <hyperlink ref="J543" r:id="rId1156" display="https://www.ema.europa.eu/en/documents/other/article-57-product-data_en.xlsx"/>
    <hyperlink ref="D544" r:id="rId1157" display="https://dailymed.nlm.nih.gov/dailymed/search.cfm?labeltype=all&amp;query=bortezomib"/>
    <hyperlink ref="G544" r:id="rId1158" display="https://pdf.hres.ca/dpd_pm/00067579.PDF"/>
    <hyperlink ref="D545" r:id="rId1159" display="https://dailymed.nlm.nih.gov/dailymed/search.cfm?labeltype=all&amp;query=bortezomib"/>
    <hyperlink ref="G545" r:id="rId1160" display="https://www.ema.europa.eu/en/medicines/human/EPAR/bortezomib-sun"/>
    <hyperlink ref="J545" r:id="rId1161" display="https://www.ema.europa.eu/en/documents/other/article-57-product-data_en.xlsx"/>
    <hyperlink ref="D546" r:id="rId1162" display="https://dailymed.nlm.nih.gov/dailymed/search.cfm?labeltype=all&amp;query=bortezomib"/>
    <hyperlink ref="G546" r:id="rId1163" display="https://pi-pil-repository.sahpra.org.za/wp-content/uploads/2026/02/Botigen-pil.pdf"/>
    <hyperlink ref="D547" r:id="rId1164" display="https://dailymed.nlm.nih.gov/dailymed/search.cfm?labeltype=all&amp;query=chlorothiazide"/>
    <hyperlink ref="G547" r:id="rId1165" display="https://dailymed.nlm.nih.gov/dailymed/drugInfo.cfm?setid=bf921935-9740-458e-b786-69f76d8ad139"/>
    <hyperlink ref="D548" r:id="rId1166" display="https://dailymed.nlm.nih.gov/dailymed/search.cfm?labeltype=all&amp;query=doxorubicin"/>
    <hyperlink ref="G548" r:id="rId1167" display="https://dailymed.nlm.nih.gov/dailymed/drugInfo.cfm?setid=6bcde92b-e584-4919-866a-68847ea201ba"/>
    <hyperlink ref="D549" r:id="rId1168" display="https://dailymed.nlm.nih.gov/dailymed/search.cfm?labeltype=all&amp;query=doxorubicin"/>
    <hyperlink ref="G549" r:id="rId1169" display="https://www.ema.europa.eu/en/documents/other/article-57-product-data_en.xlsx"/>
    <hyperlink ref="D550" r:id="rId1170" display="https://dailymed.nlm.nih.gov/dailymed/search.cfm?labeltype=all&amp;query=esomeprazole+sodium"/>
    <hyperlink ref="G550" r:id="rId1171" display="https://www.ema.europa.eu/en/documents/other/article-57-product-data_en.xlsx"/>
    <hyperlink ref="D551" r:id="rId1172" display="https://dailymed.nlm.nih.gov/dailymed/search.cfm?labeltype=all&amp;query=esomeprazole+sodium"/>
    <hyperlink ref="G551" r:id="rId1173" display="https://base-donnees-publique.medicaments.gouv.fr/index.php?page=1&amp;choixRecherche=medicament&amp;txtCaracteres=Esomeprazole%20Sun&amp;action=show"/>
    <hyperlink ref="J551" r:id="rId1174" display="https://www.ema.europa.eu/en/documents/other/article-57-product-data_en.xlsx"/>
    <hyperlink ref="D552" r:id="rId1175" display="https://dailymed.nlm.nih.gov/dailymed/search.cfm?labeltype=all&amp;query=esomeprazole+sodium"/>
    <hyperlink ref="G552" r:id="rId1176" display="https://www.safetyandquality.gov.au/medicine-finder/esomeprazole-sun"/>
    <hyperlink ref="D553" r:id="rId1177" display="https://dailymed.nlm.nih.gov/dailymed/search.cfm?labeltype=all&amp;query=fulvestrant"/>
    <hyperlink ref="G553" r:id="rId1178" display="https://mhraproducts4853.blob.core.windows.net/docs/aecc2774280857fc21e451486124f7b54d8cd890"/>
    <hyperlink ref="D554" r:id="rId1179" display="https://dailymed.nlm.nih.gov/dailymed/search.cfm?labeltype=all&amp;query=fulvestrant"/>
    <hyperlink ref="G554" r:id="rId1180" display="https://www.ema.europa.eu/en/documents/other/article-57-product-data_en.xlsx"/>
    <hyperlink ref="D555" r:id="rId1181" display="https://dailymed.nlm.nih.gov/dailymed/search.cfm?labeltype=all&amp;query=fulvestrant"/>
    <hyperlink ref="G555" r:id="rId1182" display="https://www.ema.europa.eu/en/documents/other/article-57-product-data_en.xlsx"/>
    <hyperlink ref="D556" r:id="rId1183" display="https://dailymed.nlm.nih.gov/dailymed/search.cfm?labeltype=all&amp;query=melphalan+hydrochloride"/>
    <hyperlink ref="G556" r:id="rId1184" display="https://www.ema.europa.eu/en/documents/other/article-57-product-data_en.xlsx"/>
    <hyperlink ref="D557" r:id="rId1185" display="https://dailymed.nlm.nih.gov/dailymed/search.cfm?labeltype=all&amp;query=melphalan+hydrochloride"/>
    <hyperlink ref="G557" r:id="rId1186" display="https://health-products.canada.ca/dpd-bdpp/info?code=97057&amp;lang=eng"/>
    <hyperlink ref="D558" r:id="rId1187" display="https://dailymed.nlm.nih.gov/dailymed/search.cfm?labeltype=all&amp;query=melphalan+hydrochloride"/>
    <hyperlink ref="G558" r:id="rId1188" display="https://base-donnees-publique.medicaments.gouv.fr/index.php?page=1&amp;choixRecherche=medicament&amp;txtCaracteres=Melphalan%20Sun&amp;action=show"/>
    <hyperlink ref="J558" r:id="rId1189" display="https://www.ema.europa.eu/en/documents/other/article-57-product-data_en.xlsx"/>
    <hyperlink ref="D559" r:id="rId1190" display="https://dailymed.nlm.nih.gov/dailymed/search.cfm?labeltype=all&amp;query=meropenem"/>
    <hyperlink ref="G559" r:id="rId1191" display="https://dmd-browser.nhsbsa.nhs.uk/ampp/view/175452"/>
    <hyperlink ref="D560" r:id="rId1192" display="https://dailymed.nlm.nih.gov/dailymed/search.cfm?labeltype=all&amp;query=meropenem"/>
    <hyperlink ref="G560" r:id="rId1193" display="https://www.ema.europa.eu/en/documents/other/article-57-product-data_en.xlsx"/>
    <hyperlink ref="D561" r:id="rId1194" display="https://dailymed.nlm.nih.gov/dailymed/search.cfm?labeltype=all&amp;query=meropenem"/>
    <hyperlink ref="G561" r:id="rId1195" display="https://health-products.canada.ca/dpd-bdpp/info?code=90612&amp;lang=eng"/>
    <hyperlink ref="D562" r:id="rId1196" display="https://dailymed.nlm.nih.gov/dailymed/search.cfm?labeltype=all&amp;query=meropenem"/>
    <hyperlink ref="G562" r:id="rId1197" display="https://www.ema.europa.eu/en/documents/other/article-57-product-data_en.xlsx"/>
    <hyperlink ref="D563" r:id="rId1198" display="https://dailymed.nlm.nih.gov/dailymed/search.cfm?labeltype=all&amp;query=meropenem"/>
    <hyperlink ref="G563" r:id="rId1199" display="https://www.tga.gov.au/resources/artg/167024"/>
    <hyperlink ref="D564" r:id="rId1200" display="https://dailymed.nlm.nih.gov/dailymed/search.cfm?labeltype=all&amp;query=meropenem"/>
    <hyperlink ref="G564" r:id="rId1201" display="https://medsinfoportal.sahpra.org.za/pil/0d412c0ea487c6e954a1603a1de0815a.pdf"/>
    <hyperlink ref="D565" r:id="rId1202" display="https://dailymed.nlm.nih.gov/dailymed/search.cfm?labeltype=all&amp;query=octreotide"/>
    <hyperlink ref="G565" r:id="rId1203" display="https://www.ema.europa.eu/en/documents/other/article-57-product-data_en.xlsx"/>
    <hyperlink ref="D566" r:id="rId1204" display="https://dailymed.nlm.nih.gov/dailymed/search.cfm?labeltype=all&amp;query=octreotide"/>
    <hyperlink ref="G566" r:id="rId1205" display="https://www.ema.europa.eu/en/documents/other/article-57-product-data_en.xlsx"/>
    <hyperlink ref="D567" r:id="rId1206" display="https://dailymed.nlm.nih.gov/dailymed/search.cfm?labeltype=all&amp;query=octreotide"/>
    <hyperlink ref="G567" r:id="rId1207" display="https://www.ebs.tga.gov.au/servlet/xmlmillr6?dbid=ebs/PublicHTML/pdfStore.nsf&amp;docid=311224&amp;agid=(PrintDetailsPublic)&amp;actionid=1"/>
    <hyperlink ref="D568" r:id="rId1208" display="https://dailymed.nlm.nih.gov/dailymed/search.cfm?labeltype=all&amp;query=pantoprazole+sodium+for+injection"/>
    <hyperlink ref="G568" r:id="rId1209" display="https://dmd-browser.nhsbsa.nhs.uk/ampp/view/96481"/>
    <hyperlink ref="D569" r:id="rId1210" display="https://dailymed.nlm.nih.gov/dailymed/search.cfm?labeltype=all&amp;query=pantoprazole+sodium+for+injection"/>
    <hyperlink ref="G569" r:id="rId1211" display="https://www.ema.europa.eu/en/documents/other/article-57-product-data_en.xlsx"/>
    <hyperlink ref="D570" r:id="rId1212" display="https://dailymed.nlm.nih.gov/dailymed/search.cfm?labeltype=all&amp;query=pantoprazole+sodium+for+injection"/>
    <hyperlink ref="G570" r:id="rId1213" display="https://base-donnees-publique.medicaments.gouv.fr/index.php?page=1&amp;choixRecherche=medicament&amp;txtCaracteres=Pantoprazole%20Sun&amp;action=show"/>
    <hyperlink ref="J570" r:id="rId1214" display="https://www.ema.europa.eu/en/documents/other/article-57-product-data_en.xlsx"/>
    <hyperlink ref="D571" r:id="rId1215" display="https://dailymed.nlm.nih.gov/dailymed/search.cfm?labeltype=all&amp;query=paricalcitol+injection"/>
    <hyperlink ref="G571" r:id="rId1216" display="https://www.ema.europa.eu/en/documents/other/article-57-product-data_en.xlsx"/>
    <hyperlink ref="D572" r:id="rId1217" display="https://dailymed.nlm.nih.gov/dailymed/search.cfm?labeltype=all&amp;query=sugammadex"/>
    <hyperlink ref="G572" r:id="rId1218" display="https://dailymed.nlm.nih.gov/dailymed/drugInfo.cfm?setid=ab41ea1c-266f-421c-8fc4-6e7ff518a75d"/>
    <hyperlink ref="D573" r:id="rId1219" display="https://dailymed.nlm.nih.gov/dailymed/search.cfm?labeltype=all&amp;query=sugammadex"/>
    <hyperlink ref="G573" r:id="rId1220" display="https://dmd-browser.nhsbsa.nhs.uk/ampp/view/195579"/>
    <hyperlink ref="D574" r:id="rId1221" display="https://dailymed.nlm.nih.gov/dailymed/search.cfm?labeltype=all&amp;query=sugammadex"/>
    <hyperlink ref="G574" r:id="rId1222" display="https://www.ema.europa.eu/en/documents/other/article-57-product-data_en.xlsx"/>
    <hyperlink ref="D575" r:id="rId1223" display="https://dailymed.nlm.nih.gov/dailymed/search.cfm?labeltype=all&amp;query=sugammadex"/>
    <hyperlink ref="G575" r:id="rId1224" display="https://www.ema.europa.eu/en/documents/other/article-57-product-data_en.xlsx"/>
    <hyperlink ref="D576" r:id="rId1225" display="https://dailymed.nlm.nih.gov/dailymed/search.cfm?labeltype=all&amp;query=sugammadex"/>
    <hyperlink ref="G576" r:id="rId1226" display="https://pi-pil-repository.sahpra.org.za/wp-content/uploads/2022/08/Final_PIL_Sumabid_Applicant.pdf"/>
    <hyperlink ref="D577" r:id="rId1227" display="https://www.medicines.org.uk/emc/search?q=teicoplanin"/>
    <hyperlink ref="G577" r:id="rId1228" display="https://mhraproducts4853.blob.core.windows.net/docs/bb7e0f317f1d83fcc56a50c2ee7913094c687d19"/>
    <hyperlink ref="D578" r:id="rId1229" display="https://www.medicines.org.uk/emc/search?q=teicoplanin"/>
    <hyperlink ref="G578" r:id="rId1230" display="https://www.ema.europa.eu/en/documents/other/article-57-product-data_en.xlsx"/>
    <hyperlink ref="D579" r:id="rId1231" display="https://www.medicines.org.uk/emc/search?q=teicoplanin"/>
    <hyperlink ref="G579" r:id="rId1232" display="https://www.ema.europa.eu/en/documents/other/article-57-product-data_en.xlsx"/>
    <hyperlink ref="D580" r:id="rId1233" display="https://dailymed.nlm.nih.gov/dailymed/search.cfm?labeltype=all&amp;query=terlipressin"/>
    <hyperlink ref="G580" r:id="rId1234" display="https://mhraproducts4853.blob.core.windows.net/docs/87e83833753716c061280fd48b95d5801f88bfa9"/>
    <hyperlink ref="D581" r:id="rId1235" display="https://dailymed.nlm.nih.gov/dailymed/search.cfm?labeltype=all&amp;query=terlipressin"/>
    <hyperlink ref="G581" r:id="rId1236" display="https://www.ema.europa.eu/en/documents/other/article-57-product-data_en.xlsx"/>
    <hyperlink ref="D582" r:id="rId1237" display="https://dailymed.nlm.nih.gov/dailymed/search.cfm?labeltype=all&amp;query=terlipressin"/>
    <hyperlink ref="G582" r:id="rId1238" display="https://base-donnees-publique.medicaments.gouv.fr/index.php?page=1&amp;choixRecherche=medicament&amp;txtCaracteres=Terlipressine%20Sun&amp;action=show"/>
    <hyperlink ref="J582" r:id="rId1239" display="https://www.ema.europa.eu/en/documents/other/article-57-product-data_en.xlsx"/>
    <hyperlink ref="D583" r:id="rId1240" display="https://dailymed.nlm.nih.gov/dailymed/search.cfm?labeltype=all&amp;query=testosterone+cypionate"/>
    <hyperlink ref="G583" r:id="rId1241" display="https://health-products.canada.ca/dpd-bdpp/info?code=98589&amp;lang=eng"/>
    <hyperlink ref="D584" r:id="rId1242" display="https://dailymed.nlm.nih.gov/dailymed/search.cfm?labeltype=all&amp;query=testosterone+undecanoate"/>
    <hyperlink ref="G584" r:id="rId1243" display="https://mhraproducts4853.blob.core.windows.net/docs/f8741f99ca6de4849059aed1dc8b234fa8b588e0"/>
    <hyperlink ref="D585" r:id="rId1244" display="https://dailymed.nlm.nih.gov/dailymed/search.cfm?labeltype=all&amp;query=testosterone+undecanoate"/>
    <hyperlink ref="G585" r:id="rId1245" display="https://base-donnees-publique.medicaments.gouv.fr/index.php?page=1&amp;choixRecherche=medicament&amp;txtCaracteres=Undecanoate&amp;action=show"/>
    <hyperlink ref="J585" r:id="rId1246" display="https://www.ema.europa.eu/en/documents/other/article-57-product-data_en.xlsx"/>
    <hyperlink ref="D586" r:id="rId1247" display="https://dailymed.nlm.nih.gov/dailymed/search.cfm?labeltype=all&amp;query=testosterone+undecanoate"/>
    <hyperlink ref="G586" r:id="rId1248" display="https://www.tga.gov.au/resources/artg/414397"/>
    <hyperlink ref="D587" r:id="rId1249" display="https://dailymed.nlm.nih.gov/dailymed/search.cfm?labeltype=all&amp;query=vecuronium"/>
    <hyperlink ref="G587" r:id="rId1250" display="https://mhraproducts4853.blob.core.windows.net/docs/f13255972d04925e4d0ad2e36748738836fae19e"/>
    <hyperlink ref="D588" r:id="rId1251" display="https://dailymed.nlm.nih.gov/dailymed/search.cfm?labeltype=all&amp;query=vecuronium"/>
    <hyperlink ref="G588" r:id="rId1252" display="https://www.ema.europa.eu/en/documents/other/article-57-product-data_en.xlsx"/>
    <hyperlink ref="D589" r:id="rId1253" display="https://dailymed.nlm.nih.gov/dailymed/search.cfm?labeltype=all&amp;query=vecuronium"/>
    <hyperlink ref="G589" r:id="rId1254" display="https://www.ema.europa.eu/en/documents/other/article-57-product-data_en.xlsx"/>
    <hyperlink ref="D590" r:id="rId1255" display="https://dailymed.nlm.nih.gov/dailymed/search.cfm?labeltype=all&amp;query=vecuronium"/>
    <hyperlink ref="G590" r:id="rId1256" display="https://www.healthdirect.gov.au/medicines/brand/amt%2C1305051000168103/vecuronium-sun"/>
    <hyperlink ref="D591" r:id="rId1257" display="https://dailymed.nlm.nih.gov/dailymed/search.cfm?labeltype=all&amp;query=vecuronium"/>
    <hyperlink ref="G591" r:id="rId1258" display="https://pi-pil-repository.sahpra.org.za/wp-content/uploads/2024/01/2024-01-08-Muscuron-approved-pil.pdf"/>
    <hyperlink ref="D592" r:id="rId1259" display="https://dailymed.nlm.nih.gov/dailymed/search.cfm?labeltype=all&amp;query=fulvestrant"/>
    <hyperlink ref="G592" r:id="rId1260" display="https://www.ema.europa.eu/en/documents/other/article-57-product-data_en.xlsx"/>
    <hyperlink ref="D593" r:id="rId1261" display="https://dailymed.nlm.nih.gov/dailymed/search.cfm?labeltype=all&amp;query=granisetron"/>
    <hyperlink ref="G593" r:id="rId1262" display="https://mhraproducts4853.blob.core.windows.net/docs/e257ce9e9b4060c3c4a0c73cd7f61f9b6423679a"/>
    <hyperlink ref="D594" r:id="rId1263" display="https://dailymed.nlm.nih.gov/dailymed/search.cfm?labeltype=all&amp;query=granisetron"/>
    <hyperlink ref="G594" r:id="rId1264" display="https://www.ema.europa.eu/en/documents/other/article-57-product-data_en.xlsx"/>
    <hyperlink ref="D595" r:id="rId1265" display="https://dailymed.nlm.nih.gov/dailymed/search.cfm?labeltype=all&amp;query=levetiracetam+injection"/>
    <hyperlink ref="G595" r:id="rId1266" display="https://www.ema.europa.eu/en/documents/other/article-57-product-data_en.xlsx"/>
    <hyperlink ref="D596" r:id="rId1267" display="https://dailymed.nlm.nih.gov/dailymed/search.cfm?labeltype=all&amp;query=meropenem"/>
    <hyperlink ref="G596" r:id="rId1268" display="https://www.ema.europa.eu/en/documents/other/article-57-product-data_en.xlsx"/>
    <hyperlink ref="D597" r:id="rId1269" display="https://dailymed.nlm.nih.gov/dailymed/search.cfm?labeltype=all&amp;query=paliperidone+palmitate"/>
    <hyperlink ref="G597" r:id="rId1270" display="https://www.ema.europa.eu/en/documents/other/article-57-product-data_en.xlsx"/>
    <hyperlink ref="D598" r:id="rId1271" display="https://dailymed.nlm.nih.gov/dailymed/search.cfm?labeltype=all&amp;query=rocuronium"/>
    <hyperlink ref="G598" r:id="rId1272" location="search:rocuronium" display="https://medicineprices.org.za/#search:rocuronium"/>
    <hyperlink ref="D599" r:id="rId1273" display="https://dailymed.nlm.nih.gov/dailymed/search.cfm?labeltype=all&amp;query=voriconazole"/>
    <hyperlink ref="G599" r:id="rId1274" display="https://www.ema.europa.eu/en/documents/other/article-57-product-data_en.xlsx"/>
    <hyperlink ref="D600" r:id="rId1275" display="https://dailymed.nlm.nih.gov/dailymed/search.cfm?labeltype=all&amp;query=bleomycin"/>
    <hyperlink ref="G600" r:id="rId1276" display="https://mhraproducts4853.blob.core.windows.net/docs/bb8555ee31d8ac21ce7ea2481563ab908752699c"/>
    <hyperlink ref="D601" r:id="rId1277" display="https://dailymed.nlm.nih.gov/dailymed/search.cfm?labeltype=all&amp;query=ceftazidime"/>
    <hyperlink ref="G601" r:id="rId1278" display="https://dmd-browser.nhsbsa.nhs.uk/ampp/view/170191"/>
    <hyperlink ref="D602" r:id="rId1279" display="https://dailymed.nlm.nih.gov/dailymed/search.cfm?labeltype=all&amp;query=ceftriaxone"/>
    <hyperlink ref="G602" r:id="rId1280" display="https://mhraproducts4853.blob.core.windows.net/docs/620992012871d9e5a72bdb1e861678d5901cf630"/>
    <hyperlink ref="D603" r:id="rId1281" display="https://dailymed.nlm.nih.gov/dailymed/search.cfm?labeltype=all&amp;query=meropenem"/>
    <hyperlink ref="G603" r:id="rId1282" display="https://mhraproducts4853.blob.core.windows.net/docs/acbc6e7bb34bb7ce66320f7e651ff6f476c3ade3"/>
    <hyperlink ref="D604" r:id="rId1283" display="https://dailymed.nlm.nih.gov/dailymed/search.cfm?labeltype=all&amp;query=meropenem"/>
    <hyperlink ref="G604" r:id="rId1284" display="https://www.ema.europa.eu/en/documents/other/article-57-product-data_en.xlsx"/>
    <hyperlink ref="D605" r:id="rId1285" display="https://dailymed.nlm.nih.gov/dailymed/search.cfm?labeltype=all&amp;query=meropenem"/>
    <hyperlink ref="G605" r:id="rId1286" display="https://base-donnees-publique.medicaments.gouv.fr/index.php?page=1&amp;choixRecherche=medicament&amp;txtCaracteres=Meropenem%20Venus&amp;action=show"/>
    <hyperlink ref="J605" r:id="rId1287" display="https://www.ema.europa.eu/en/documents/other/article-57-product-data_en.xlsx"/>
    <hyperlink ref="D606" r:id="rId1288" display="https://dailymed.nlm.nih.gov/dailymed/search.cfm?labeltype=all&amp;query=adenosine"/>
    <hyperlink ref="G606" r:id="rId1289" display="https://mhraproducts4853.blob.core.windows.net/docs/ce49908fa961f98a13c36c78620a967d33be1b8b"/>
    <hyperlink ref="D607" r:id="rId1290" display="https://dailymed.nlm.nih.gov/dailymed/search.cfm?labeltype=all&amp;query=adenosine"/>
    <hyperlink ref="G607" r:id="rId1291" display="https://www.ema.europa.eu/en/documents/other/article-57-product-data_en.xlsx"/>
    <hyperlink ref="D608" r:id="rId1292" display="https://dailymed.nlm.nih.gov/dailymed/search.cfm?labeltype=all&amp;query=amikacin"/>
    <hyperlink ref="G608" r:id="rId1293" display="https://www.ebs.tga.gov.au/ebs/picmi/picmirepository.nsf/pdf?OpenAgent&amp;id=CP-2018-PI-01293-1"/>
    <hyperlink ref="D609" r:id="rId1294" display="https://dailymed.nlm.nih.gov/dailymed/search.cfm?labeltype=all&amp;query=caffeine+citrate"/>
    <hyperlink ref="G609" r:id="rId1295" display="https://mhraproducts4853.blob.core.windows.net/docs/eadef0847539ae80277f0273fc908c29f79089c5"/>
    <hyperlink ref="D610" r:id="rId1296" display="https://dailymed.nlm.nih.gov/dailymed/search.cfm?labeltype=all&amp;query=caffeine+citrate"/>
    <hyperlink ref="G610" r:id="rId1297" display="https://www.ema.europa.eu/en/documents/other/article-57-product-data_en.xlsx"/>
    <hyperlink ref="D611" r:id="rId1298" display="https://dailymed.nlm.nih.gov/dailymed/search.cfm?labeltype=all&amp;query=ceftazidime"/>
    <hyperlink ref="G611" r:id="rId1299" display="https://dmd-browser.nhsbsa.nhs.uk/ampp/view/110863"/>
    <hyperlink ref="D612" r:id="rId1300" display="https://dailymed.nlm.nih.gov/dailymed/search.cfm?labeltype=all&amp;query=ceftazidime"/>
    <hyperlink ref="G612" r:id="rId1301" display="https://www.ema.europa.eu/en/documents/other/article-57-product-data_en.xlsx"/>
    <hyperlink ref="D613" r:id="rId1302" display="https://dailymed.nlm.nih.gov/dailymed/search.cfm?labeltype=all&amp;query=ceftazidime"/>
    <hyperlink ref="G613" r:id="rId1303" display="https://www.ema.europa.eu/en/documents/other/article-57-product-data_en.xlsx"/>
    <hyperlink ref="D614" r:id="rId1304" display="https://dailymed.nlm.nih.gov/dailymed/search.cfm?labeltype=all&amp;query=ceftriaxone"/>
    <hyperlink ref="G614" r:id="rId1305" display="https://dailymed.nlm.nih.gov/dailymed/drugInfo.cfm?setid=3b36beb7-db94-4b07-8c81-bd2b601a6601"/>
    <hyperlink ref="D615" r:id="rId1306" display="https://dailymed.nlm.nih.gov/dailymed/search.cfm?labeltype=all&amp;query=ceftriaxone"/>
    <hyperlink ref="G615" r:id="rId1307" display="https://dmd-browser.nhsbsa.nhs.uk/ampp/view/110861"/>
    <hyperlink ref="D616" r:id="rId1308" display="https://dailymed.nlm.nih.gov/dailymed/search.cfm?labeltype=all&amp;query=ceftriaxone"/>
    <hyperlink ref="G616" r:id="rId1309" display="https://www.ema.europa.eu/en/documents/other/article-57-product-data_en.xlsx"/>
    <hyperlink ref="D617" r:id="rId1310" display="https://dailymed.nlm.nih.gov/dailymed/search.cfm?labeltype=all&amp;query=ceftriaxone"/>
    <hyperlink ref="G617" r:id="rId1311" display="https://www.ema.europa.eu/en/documents/other/article-57-product-data_en.xlsx"/>
    <hyperlink ref="D618" r:id="rId1312" display="https://www.medicines.org.uk/emc/search?q=chlorphenamine+injection"/>
    <hyperlink ref="G618" r:id="rId1313" display="https://mhraproducts4853.blob.core.windows.net/docs/f4594f4c3cc23114acb072e65ac513664e1ab8d4"/>
    <hyperlink ref="D619" r:id="rId1314" display="https://www.medicines.org.uk/emc/search?q=chlorphenamine+injection"/>
    <hyperlink ref="G619" r:id="rId1315" display="https://www.ema.europa.eu/en/documents/other/article-57-product-data_en.xlsx"/>
    <hyperlink ref="D620" r:id="rId1316" display="https://dailymed.nlm.nih.gov/dailymed/search.cfm?labeltype=all&amp;query=daptomycin"/>
    <hyperlink ref="G620" r:id="rId1317" display="https://dmd-browser.nhsbsa.nhs.uk/ampp/view/197707"/>
    <hyperlink ref="D621" r:id="rId1318" display="https://dailymed.nlm.nih.gov/dailymed/search.cfm?labeltype=all&amp;query=daptomycin"/>
    <hyperlink ref="G621" r:id="rId1319" display="https://www.ema.europa.eu/en/documents/other/article-57-product-data_en.xlsx"/>
    <hyperlink ref="D622" r:id="rId1320" display="https://dailymed.nlm.nih.gov/dailymed/search.cfm?labeltype=all&amp;query=daptomycin"/>
    <hyperlink ref="G622" r:id="rId1321" display="https://www.ebs.tga.gov.au/ebs/picmi/picmirepository.nsf/pdf?OpenAgent&amp;id=CP-2023-PI-01384-1"/>
    <hyperlink ref="D623" r:id="rId1322" display="https://dailymed.nlm.nih.gov/dailymed/search.cfm?labeltype=all&amp;query=haloperidol+lactate"/>
    <hyperlink ref="G623" r:id="rId1323" display="https://mhraproducts4853.blob.core.windows.net/docs/c39d08ff0acc6dc6d5b1523ab09699a21e4f0137"/>
    <hyperlink ref="D624" r:id="rId1324" display="https://dailymed.nlm.nih.gov/dailymed/search.cfm?labeltype=all&amp;query=haloperidol+lactate"/>
    <hyperlink ref="G624" r:id="rId1325" display="https://www.ema.europa.eu/en/documents/other/article-57-product-data_en.xlsx"/>
    <hyperlink ref="D625" r:id="rId1326" display="https://www.medicines.org.uk/emc/search?q=hyalase"/>
    <hyperlink ref="G625" r:id="rId1327" display="https://www.ema.europa.eu/en/documents/other/article-57-product-data_en.xlsx"/>
    <hyperlink ref="D626" r:id="rId1328" display="https://www.medicines.org.uk/emc/search?q=hyalase"/>
    <hyperlink ref="G626" r:id="rId1329" display="https://www.ema.europa.eu/en/documents/other/article-57-product-data_en.xlsx"/>
    <hyperlink ref="D627" r:id="rId1330" display="https://www.medicines.org.uk/emc/search?q=hyoscine+hydrobromide+injection"/>
    <hyperlink ref="G627" r:id="rId1331" display="https://products.mhra.gov.uk/search/?search=hyoscine"/>
    <hyperlink ref="D628" r:id="rId1332" display="https://www.medicines.org.uk/emc/search?q=hyoscine+hydrobromide+injection"/>
    <hyperlink ref="G628" r:id="rId1333" display="https://www.ema.europa.eu/en/documents/other/article-57-product-data_en.xlsx"/>
    <hyperlink ref="D629" r:id="rId1334" display="https://www.medicines.org.uk/emc/search?q=metaraminol"/>
    <hyperlink ref="G629" r:id="rId1335" display="https://www.ema.europa.eu/en/documents/other/article-57-product-data_en.xlsx"/>
    <hyperlink ref="D630" r:id="rId1336" display="https://www.medicines.org.uk/emc/search?q=metaraminol"/>
    <hyperlink ref="G630" r:id="rId1337" display="https://www.ebs.tga.gov.au/ebs/picmi/picmirepository.nsf/pdf?OpenAgent&amp;id=CP-2023-PI-01637-1"/>
    <hyperlink ref="D631" r:id="rId1338" display="https://dailymed.nlm.nih.gov/dailymed/search.cfm?labeltype=all&amp;query=milrinone"/>
    <hyperlink ref="G631" r:id="rId1339" display="https://mhraproducts4853.blob.core.windows.net/docs/8d4555c20d185d4c32c594d228e76e53b76b0650"/>
    <hyperlink ref="D632" r:id="rId1340" display="https://dailymed.nlm.nih.gov/dailymed/search.cfm?labeltype=all&amp;query=milrinone"/>
    <hyperlink ref="G632" r:id="rId1341" display="https://www.ema.europa.eu/en/documents/other/article-57-product-data_en.xlsx"/>
    <hyperlink ref="D633" r:id="rId1342" display="https://dailymed.nlm.nih.gov/dailymed/search.cfm?labeltype=all&amp;query=milrinone"/>
    <hyperlink ref="G633" r:id="rId1343" display="https://www.ema.europa.eu/en/documents/other/article-57-product-data_en.xlsx"/>
    <hyperlink ref="D634" r:id="rId1344" display="https://dailymed.nlm.nih.gov/dailymed/search.cfm?labeltype=all&amp;query=morphine+sulfate+injection"/>
    <hyperlink ref="G634" r:id="rId1345" display="https://products.mhra.gov.uk/search/?search=morphine"/>
    <hyperlink ref="D635" r:id="rId1346" display="https://dailymed.nlm.nih.gov/dailymed/search.cfm?labeltype=all&amp;query=morphine+sulfate+injection"/>
    <hyperlink ref="G635" r:id="rId1347" display="https://www.ema.europa.eu/en/documents/other/article-57-product-data_en.xlsx"/>
    <hyperlink ref="D636" r:id="rId1348" display="https://dailymed.nlm.nih.gov/dailymed/search.cfm?labeltype=all&amp;query=ondansetron+injection"/>
    <hyperlink ref="G636" r:id="rId1349" display="https://www.ema.europa.eu/en/documents/other/article-57-product-data_en.xlsx"/>
    <hyperlink ref="D637" r:id="rId1350" display="https://dailymed.nlm.nih.gov/dailymed/search.cfm?labeltype=all&amp;query=oxacillin"/>
    <hyperlink ref="G637" r:id="rId1351" display="https://dailymed.nlm.nih.gov/dailymed/search.cfm?searchdb=ndc&amp;query=64679-698"/>
    <hyperlink ref="D638" r:id="rId1352" display="https://dailymed.nlm.nih.gov/dailymed/search.cfm?labeltype=all&amp;query=protamine"/>
    <hyperlink ref="G638" r:id="rId1353" display="https://dmd-browser.nhsbsa.nhs.uk/ampp/view/64125"/>
    <hyperlink ref="D639" r:id="rId1354" display="https://dailymed.nlm.nih.gov/dailymed/search.cfm?labeltype=all&amp;query=protamine"/>
    <hyperlink ref="G639" r:id="rId1355" display="https://www.ema.europa.eu/en/documents/other/article-57-product-data_en.xlsx"/>
    <hyperlink ref="D640" r:id="rId1356" display="https://dailymed.nlm.nih.gov/dailymed/search.cfm?labeltype=all&amp;query=remifentanil"/>
    <hyperlink ref="G640" r:id="rId1357" display="https://dmd-browser.nhsbsa.nhs.uk/ampp/view/87654"/>
    <hyperlink ref="D641" r:id="rId1358" display="https://dailymed.nlm.nih.gov/dailymed/search.cfm?labeltype=all&amp;query=remifentanil"/>
    <hyperlink ref="G641" r:id="rId1359" display="https://www.ema.europa.eu/en/documents/other/article-57-product-data_en.xlsx"/>
    <hyperlink ref="D642" r:id="rId1360" display="https://dailymed.nlm.nih.gov/dailymed/search.cfm?labeltype=all&amp;query=valproate+sodium+injection"/>
    <hyperlink ref="G642" r:id="rId1361" display="https://dmd-browser.nhsbsa.nhs.uk/ampp/view/102025"/>
    <hyperlink ref="D643" r:id="rId1362" display="https://dailymed.nlm.nih.gov/dailymed/search.cfm?labeltype=all&amp;query=valproate+sodium+injection"/>
    <hyperlink ref="G643" r:id="rId1363" display="https://www.ema.europa.eu/en/documents/other/article-57-product-data_en.xlsx"/>
    <hyperlink ref="D644" r:id="rId1364" display="https://dailymed.nlm.nih.gov/dailymed/search.cfm?labeltype=all&amp;query=valproate+sodium+injection"/>
    <hyperlink ref="G644" r:id="rId1365" display="https://www.tga.gov.au/resources/artg/279248"/>
    <hyperlink ref="D645" r:id="rId1366" display="https://dailymed.nlm.nih.gov/dailymed/search.cfm?labeltype=all&amp;query=sugammadex"/>
    <hyperlink ref="G645" r:id="rId1367" display="https://dmd-browser.nhsbsa.nhs.uk/ampp/view/197725"/>
    <hyperlink ref="D646" r:id="rId1368" display="https://dailymed.nlm.nih.gov/dailymed/search.cfm?labeltype=all&amp;query=sugammadex"/>
    <hyperlink ref="G646" r:id="rId1369" display="https://www.ema.europa.eu/en/documents/other/article-57-product-data_en.xlsx"/>
    <hyperlink ref="D647" r:id="rId1370" display="https://dailymed.nlm.nih.gov/dailymed/search.cfm?labeltype=all&amp;query=vancomycin+injection"/>
    <hyperlink ref="G647" r:id="rId1371" display="https://www.ema.europa.eu/en/documents/other/article-57-product-data_en.xlsx"/>
    <hyperlink ref="D648" r:id="rId1372" display="https://dailymed.nlm.nih.gov/dailymed/search.cfm?labeltype=all&amp;query=acetazolamide"/>
    <hyperlink ref="G648" r:id="rId1373" display="https://dailymed.nlm.nih.gov/dailymed/search.cfm?labeltype=all&amp;query=Acetazolamide+Sodium"/>
    <hyperlink ref="D649" r:id="rId1374" display="https://dailymed.nlm.nih.gov/dailymed/search.cfm?labeltype=all&amp;query=bortezomib"/>
    <hyperlink ref="G649" r:id="rId1375" display="https://dailymed.nlm.nih.gov/dailymed/drugInfo.cfm?setid=0eb8daef-18da-43bb-b7c6-38c4c8b5dd80"/>
    <hyperlink ref="D650" r:id="rId1376" display="https://dailymed.nlm.nih.gov/dailymed/search.cfm?labeltype=all&amp;query=bortezomib"/>
    <hyperlink ref="G650" r:id="rId1377" display="https://mhraproducts4853.blob.core.windows.net/docs/fd1559e1fe8ad5d4484aa5c74fde8d60c48452b0"/>
    <hyperlink ref="D651" r:id="rId1378" display="https://dailymed.nlm.nih.gov/dailymed/search.cfm?labeltype=all&amp;query=bortezomib"/>
    <hyperlink ref="G651" r:id="rId1379" display="https://www.ema.europa.eu/en/documents/other/article-57-product-data_en.xlsx"/>
    <hyperlink ref="D652" r:id="rId1380" display="https://dailymed.nlm.nih.gov/dailymed/search.cfm?labeltype=all&amp;query=bortezomib"/>
    <hyperlink ref="G652" r:id="rId1381" display="https://www.ema.europa.eu/en/documents/other/article-57-product-data_en.xlsx"/>
    <hyperlink ref="D653" r:id="rId1382" display="https://dailymed.nlm.nih.gov/dailymed/search.cfm?labeltype=all&amp;query=bortezomib"/>
    <hyperlink ref="G653" r:id="rId1383" display="https://pi-pil-repository.sahpra.org.za/wp-content/uploads/2025/01/1.3.2-Bortezomib-Zydus-PIL-for-repository.pdf"/>
    <hyperlink ref="D654" r:id="rId1384" display="https://dailymed.nlm.nih.gov/dailymed/search.cfm?labeltype=all&amp;query=ceftriaxone"/>
    <hyperlink ref="G654" r:id="rId1385" display="https://base-donnees-publique.medicaments.gouv.fr/index.php?page=1&amp;choixRecherche=medicament&amp;txtCaracteres=Ceftriaxone%20Zydus&amp;action=show"/>
    <hyperlink ref="J654" r:id="rId1386" display="https://www.ema.europa.eu/en/documents/other/article-57-product-data_en.xlsx"/>
    <hyperlink ref="D655" r:id="rId1387" display="https://dailymed.nlm.nih.gov/dailymed/search.cfm?labeltype=all&amp;query=chlorpromazine"/>
    <hyperlink ref="G655" r:id="rId1388" display="https://dailymed.nlm.nih.gov/dailymed/lookup.cfm?setid=7cd6dc0d-e98d-40ae-80d4-c15f63056abf"/>
    <hyperlink ref="D656" r:id="rId1389" display="https://dailymed.nlm.nih.gov/dailymed/search.cfm?labeltype=all&amp;query=cisatracurium"/>
    <hyperlink ref="G656" r:id="rId1390" display="https://dailymed.nlm.nih.gov/dailymed/fda/fdaDrugXsl.cfm?setid=e145a40e-b046-4064-b35e-0da40ff3703e&amp;type=display"/>
    <hyperlink ref="D657" r:id="rId1391" display="https://dailymed.nlm.nih.gov/dailymed/search.cfm?labeltype=all&amp;query=cyanocobalamin+injection"/>
    <hyperlink ref="G657" r:id="rId1392" display="https://dailymed.nlm.nih.gov/dailymed/drugInfo.cfm?setid=e6712877-ace0-441c-99a9-adf567c0b9a2"/>
    <hyperlink ref="D658" r:id="rId1393" display="https://dailymed.nlm.nih.gov/dailymed/search.cfm?labeltype=all&amp;query=ethacrynate+sodium"/>
    <hyperlink ref="G658" r:id="rId1394" display="https://dailymed.nlm.nih.gov/dailymed/search.cfm?labeltype=all&amp;query=Ethacrynate+Sodium"/>
    <hyperlink ref="D659" r:id="rId1395" display="https://dailymed.nlm.nih.gov/dailymed/search.cfm?labeltype=all&amp;query=etomidate"/>
    <hyperlink ref="G659" r:id="rId1396" display="https://dailymed.nlm.nih.gov/dailymed/search.cfm?labeltype=all&amp;query=Etomidate"/>
    <hyperlink ref="D660" r:id="rId1397" display="https://dailymed.nlm.nih.gov/dailymed/search.cfm?labeltype=all&amp;query=fluorescein"/>
    <hyperlink ref="G660" r:id="rId1398" display="https://dailymed.nlm.nih.gov/dailymed/drugInfo.cfm?setid=19aea137-3f47-4b69-9884-3bff5f79b04a"/>
    <hyperlink ref="D661" r:id="rId1399" display="https://dailymed.nlm.nih.gov/dailymed/search.cfm?labeltype=all&amp;query=fulvestrant"/>
    <hyperlink ref="G661" r:id="rId1400" display="https://dailymed.nlm.nih.gov/dailymed/drugInfo.cfm?setid=994edf79-20a5-4e3a-bb35-c4fe3e65acba"/>
    <hyperlink ref="D662" r:id="rId1401" display="https://dailymed.nlm.nih.gov/dailymed/search.cfm?labeltype=all&amp;query=haloperidol+decanoate"/>
    <hyperlink ref="G662" r:id="rId1402" display="https://dailymed.nlm.nih.gov/dailymed/search.cfm?searchdb=ndc&amp;query=70710-1461"/>
    <hyperlink ref="D663" r:id="rId1403" display="https://dailymed.nlm.nih.gov/dailymed/search.cfm?labeltype=all&amp;query=hydrocortisone+sodium+succinate"/>
    <hyperlink ref="G663" r:id="rId1404" display="https://dailymed.nlm.nih.gov/dailymed/drugInfo.cfm?setid=37534164-9de5-4bb3-9f87-341dfcf90883"/>
    <hyperlink ref="D664" r:id="rId1405" display="https://dailymed.nlm.nih.gov/dailymed/search.cfm?labeltype=all&amp;query=indocyanine+green"/>
    <hyperlink ref="G664" r:id="rId1406" display="https://dailymed.nlm.nih.gov/dailymed/search.cfm?labeltype=all&amp;query=Indocyanine+Green"/>
    <hyperlink ref="D665" r:id="rId1407" display="https://dailymed.nlm.nih.gov/dailymed/search.cfm?labeltype=all&amp;query=iron+sucrose"/>
    <hyperlink ref="G665" r:id="rId1408" location="search:zypiron" display="https://medicineprices.org.za/#search:zypiron"/>
    <hyperlink ref="D666" r:id="rId1409" display="https://dailymed.nlm.nih.gov/dailymed/search.cfm?labeltype=all&amp;query=ondansetron+injection"/>
    <hyperlink ref="G666" r:id="rId1410" location="search:zydus-ondansetron" display="https://medicineprices.org.za/#search:zydus-ondansetron"/>
    <hyperlink ref="D667" r:id="rId1411" display="https://dailymed.nlm.nih.gov/dailymed/search.cfm?labeltype=all&amp;query=succinylcholine"/>
    <hyperlink ref="G667" r:id="rId1412" display="https://dailymed.nlm.nih.gov/dailymed/drugInfo.cfm?setid=017e5ad4-028e-4e34-ac09-d0c8d64c880a"/>
    <hyperlink ref="D668" r:id="rId1413" display="https://dailymed.nlm.nih.gov/dailymed/search.cfm?labeltype=all&amp;query=sugammadex"/>
    <hyperlink ref="G668" r:id="rId1414" display="https://dailymed.nlm.nih.gov/dailymed/drugInfo.cfm?setid=ab41ea1c-266f-421c-8fc4-6e7ff518a75d"/>
    <hyperlink ref="D669" r:id="rId1415" display="https://dailymed.nlm.nih.gov/dailymed/search.cfm?labeltype=all&amp;query=verapamil+hydrochloride+injection"/>
    <hyperlink ref="G669" r:id="rId1416" display="https://dailymed.nlm.nih.gov/dailymed/fda/fdaDrugXsl.cfm?setid=c87c7f7e-cdf5-42c7-a831-a7515d2d51d6&amp;type=display"/>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41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M7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2"/>
    <col collapsed="false" customWidth="true" hidden="false" outlineLevel="0" max="4" min="4" style="0" width="20"/>
    <col collapsed="false" customWidth="true" hidden="false" outlineLevel="0" max="5" min="5" style="0" width="38"/>
    <col collapsed="false" customWidth="true" hidden="false" outlineLevel="0" max="6" min="6" style="0" width="14"/>
    <col collapsed="false" customWidth="true" hidden="false" outlineLevel="0" max="7" min="7" style="0" width="9"/>
    <col collapsed="false" customWidth="true" hidden="false" outlineLevel="0" max="8" min="8" style="0" width="10"/>
    <col collapsed="false" customWidth="true" hidden="false" outlineLevel="0" max="9" min="9" style="0" width="13"/>
    <col collapsed="false" customWidth="true" hidden="false" outlineLevel="0" max="10" min="10" style="0" width="10"/>
    <col collapsed="false" customWidth="true" hidden="false" outlineLevel="0" max="11" min="11" style="0" width="30"/>
    <col collapsed="false" customWidth="true" hidden="false" outlineLevel="0" max="12" min="12" style="0" width="45"/>
    <col collapsed="false" customWidth="true" hidden="false" outlineLevel="0" max="13" min="13" style="0" width="70"/>
  </cols>
  <sheetData>
    <row r="1" customFormat="false" ht="17.35" hidden="false" customHeight="false" outlineLevel="0" collapsed="false">
      <c r="A1" s="1" t="s">
        <v>3539</v>
      </c>
    </row>
    <row r="2" customFormat="false" ht="15" hidden="false" customHeight="false" outlineLevel="0" collapsed="false">
      <c r="A2" s="2" t="s">
        <v>3540</v>
      </c>
    </row>
    <row r="4" customFormat="false" ht="42" hidden="false" customHeight="true" outlineLevel="0" collapsed="false">
      <c r="A4" s="6" t="s">
        <v>12</v>
      </c>
      <c r="B4" s="6" t="s">
        <v>62</v>
      </c>
      <c r="C4" s="6" t="s">
        <v>3541</v>
      </c>
      <c r="D4" s="6" t="s">
        <v>636</v>
      </c>
      <c r="E4" s="6" t="s">
        <v>637</v>
      </c>
      <c r="F4" s="6" t="s">
        <v>70</v>
      </c>
      <c r="G4" s="6" t="s">
        <v>3542</v>
      </c>
      <c r="H4" s="6" t="s">
        <v>3543</v>
      </c>
      <c r="I4" s="6" t="s">
        <v>66</v>
      </c>
      <c r="J4" s="6" t="s">
        <v>3544</v>
      </c>
      <c r="K4" s="6" t="s">
        <v>646</v>
      </c>
      <c r="L4" s="6" t="s">
        <v>2172</v>
      </c>
      <c r="M4" s="6" t="s">
        <v>3545</v>
      </c>
    </row>
    <row r="5" customFormat="false" ht="46.25" hidden="false" customHeight="false" outlineLevel="0" collapsed="false">
      <c r="A5" s="12" t="s">
        <v>55</v>
      </c>
      <c r="B5" s="12" t="s">
        <v>162</v>
      </c>
      <c r="C5" s="10" t="s">
        <v>652</v>
      </c>
      <c r="D5" s="12" t="s">
        <v>654</v>
      </c>
      <c r="E5" s="10" t="s">
        <v>655</v>
      </c>
      <c r="F5" s="12" t="s">
        <v>79</v>
      </c>
      <c r="G5" s="12" t="n">
        <v>1</v>
      </c>
      <c r="H5" s="26" t="n">
        <v>30.01</v>
      </c>
      <c r="I5" s="12" t="s">
        <v>102</v>
      </c>
      <c r="J5" s="12" t="s">
        <v>144</v>
      </c>
      <c r="K5" s="10" t="s">
        <v>658</v>
      </c>
      <c r="L5" s="30" t="s">
        <v>659</v>
      </c>
      <c r="M5" s="10" t="s">
        <v>3546</v>
      </c>
    </row>
    <row r="6" customFormat="false" ht="79.85" hidden="false" customHeight="false" outlineLevel="0" collapsed="false">
      <c r="A6" s="12" t="s">
        <v>55</v>
      </c>
      <c r="B6" s="12" t="s">
        <v>162</v>
      </c>
      <c r="C6" s="10" t="s">
        <v>683</v>
      </c>
      <c r="D6" s="12" t="s">
        <v>684</v>
      </c>
      <c r="E6" s="10" t="s">
        <v>685</v>
      </c>
      <c r="F6" s="12" t="s">
        <v>79</v>
      </c>
      <c r="G6" s="12" t="n">
        <v>1</v>
      </c>
      <c r="H6" s="26" t="n">
        <v>74.8286</v>
      </c>
      <c r="I6" s="12" t="s">
        <v>153</v>
      </c>
      <c r="J6" s="12" t="s">
        <v>3547</v>
      </c>
      <c r="K6" s="10" t="s">
        <v>658</v>
      </c>
      <c r="L6" s="30" t="s">
        <v>686</v>
      </c>
      <c r="M6" s="10" t="s">
        <v>3548</v>
      </c>
    </row>
    <row r="7" customFormat="false" ht="35.05" hidden="false" customHeight="false" outlineLevel="0" collapsed="false">
      <c r="A7" s="12" t="s">
        <v>55</v>
      </c>
      <c r="B7" s="12" t="s">
        <v>291</v>
      </c>
      <c r="C7" s="10" t="s">
        <v>291</v>
      </c>
      <c r="D7" s="12" t="s">
        <v>661</v>
      </c>
      <c r="E7" s="10" t="s">
        <v>662</v>
      </c>
      <c r="F7" s="12" t="s">
        <v>85</v>
      </c>
      <c r="G7" s="12" t="n">
        <v>2</v>
      </c>
      <c r="H7" s="26" t="n">
        <v>10.14</v>
      </c>
      <c r="I7" s="12" t="s">
        <v>102</v>
      </c>
      <c r="J7" s="12" t="s">
        <v>144</v>
      </c>
      <c r="K7" s="10" t="s">
        <v>665</v>
      </c>
      <c r="L7" s="30" t="s">
        <v>666</v>
      </c>
      <c r="M7" s="10" t="s">
        <v>3549</v>
      </c>
    </row>
    <row r="8" customFormat="false" ht="46.25" hidden="false" customHeight="false" outlineLevel="0" collapsed="false">
      <c r="A8" s="12" t="s">
        <v>55</v>
      </c>
      <c r="B8" s="12" t="s">
        <v>114</v>
      </c>
      <c r="C8" s="10" t="s">
        <v>114</v>
      </c>
      <c r="D8" s="12" t="s">
        <v>679</v>
      </c>
      <c r="E8" s="10" t="s">
        <v>680</v>
      </c>
      <c r="F8" s="12" t="s">
        <v>85</v>
      </c>
      <c r="G8" s="12" t="n">
        <v>5</v>
      </c>
      <c r="H8" s="26" t="n">
        <v>29.97</v>
      </c>
      <c r="I8" s="12" t="s">
        <v>102</v>
      </c>
      <c r="J8" s="12" t="s">
        <v>144</v>
      </c>
      <c r="K8" s="10" t="s">
        <v>658</v>
      </c>
      <c r="L8" s="30" t="s">
        <v>682</v>
      </c>
      <c r="M8" s="10" t="s">
        <v>3550</v>
      </c>
    </row>
    <row r="9" customFormat="false" ht="46.25" hidden="false" customHeight="false" outlineLevel="0" collapsed="false">
      <c r="A9" s="12" t="s">
        <v>55</v>
      </c>
      <c r="B9" s="12" t="s">
        <v>289</v>
      </c>
      <c r="C9" s="10" t="s">
        <v>667</v>
      </c>
      <c r="D9" s="12" t="s">
        <v>668</v>
      </c>
      <c r="E9" s="10" t="s">
        <v>669</v>
      </c>
      <c r="F9" s="12" t="s">
        <v>79</v>
      </c>
      <c r="G9" s="12" t="n">
        <v>40</v>
      </c>
      <c r="H9" s="26" t="n">
        <v>15.1</v>
      </c>
      <c r="I9" s="12" t="s">
        <v>102</v>
      </c>
      <c r="J9" s="12" t="s">
        <v>144</v>
      </c>
      <c r="K9" s="10" t="s">
        <v>658</v>
      </c>
      <c r="L9" s="30" t="s">
        <v>670</v>
      </c>
      <c r="M9" s="10" t="s">
        <v>3551</v>
      </c>
    </row>
    <row r="10" customFormat="false" ht="46.25" hidden="false" customHeight="false" outlineLevel="0" collapsed="false">
      <c r="A10" s="12" t="s">
        <v>55</v>
      </c>
      <c r="B10" s="12" t="s">
        <v>289</v>
      </c>
      <c r="C10" s="10" t="s">
        <v>667</v>
      </c>
      <c r="D10" s="12" t="s">
        <v>672</v>
      </c>
      <c r="E10" s="10" t="s">
        <v>673</v>
      </c>
      <c r="F10" s="12" t="s">
        <v>79</v>
      </c>
      <c r="G10" s="12" t="n">
        <v>2</v>
      </c>
      <c r="H10" s="26" t="n">
        <v>5.61</v>
      </c>
      <c r="I10" s="12" t="s">
        <v>102</v>
      </c>
      <c r="J10" s="12" t="s">
        <v>144</v>
      </c>
      <c r="K10" s="10" t="s">
        <v>658</v>
      </c>
      <c r="L10" s="30" t="s">
        <v>670</v>
      </c>
      <c r="M10" s="10" t="s">
        <v>3552</v>
      </c>
    </row>
    <row r="11" customFormat="false" ht="35.05" hidden="false" customHeight="false" outlineLevel="0" collapsed="false">
      <c r="A11" s="12" t="s">
        <v>55</v>
      </c>
      <c r="B11" s="12" t="s">
        <v>312</v>
      </c>
      <c r="C11" s="10" t="s">
        <v>312</v>
      </c>
      <c r="D11" s="12" t="s">
        <v>674</v>
      </c>
      <c r="E11" s="10" t="s">
        <v>675</v>
      </c>
      <c r="F11" s="12" t="s">
        <v>85</v>
      </c>
      <c r="G11" s="12" t="n">
        <v>0.5</v>
      </c>
      <c r="H11" s="26" t="n">
        <v>3.99</v>
      </c>
      <c r="I11" s="12" t="s">
        <v>102</v>
      </c>
      <c r="J11" s="12" t="s">
        <v>144</v>
      </c>
      <c r="K11" s="10" t="s">
        <v>665</v>
      </c>
      <c r="L11" s="30" t="s">
        <v>666</v>
      </c>
      <c r="M11" s="10" t="s">
        <v>3553</v>
      </c>
    </row>
    <row r="12" customFormat="false" ht="35.05" hidden="false" customHeight="false" outlineLevel="0" collapsed="false">
      <c r="A12" s="12" t="s">
        <v>55</v>
      </c>
      <c r="B12" s="12" t="s">
        <v>308</v>
      </c>
      <c r="C12" s="10" t="s">
        <v>308</v>
      </c>
      <c r="D12" s="12" t="s">
        <v>677</v>
      </c>
      <c r="E12" s="10" t="s">
        <v>678</v>
      </c>
      <c r="F12" s="12" t="s">
        <v>97</v>
      </c>
      <c r="G12" s="12"/>
      <c r="H12" s="26" t="n">
        <v>3.15</v>
      </c>
      <c r="I12" s="12" t="s">
        <v>102</v>
      </c>
      <c r="J12" s="12" t="s">
        <v>144</v>
      </c>
      <c r="K12" s="10" t="s">
        <v>665</v>
      </c>
      <c r="L12" s="30" t="s">
        <v>666</v>
      </c>
      <c r="M12" s="10" t="s">
        <v>3554</v>
      </c>
    </row>
    <row r="13" customFormat="false" ht="15" hidden="false" customHeight="false" outlineLevel="0" collapsed="false">
      <c r="A13" s="12" t="s">
        <v>23</v>
      </c>
      <c r="B13" s="12" t="s">
        <v>352</v>
      </c>
      <c r="C13" s="10" t="s">
        <v>924</v>
      </c>
      <c r="D13" s="12" t="s">
        <v>925</v>
      </c>
      <c r="E13" s="10" t="s">
        <v>926</v>
      </c>
      <c r="F13" s="12" t="s">
        <v>79</v>
      </c>
      <c r="G13" s="12" t="n">
        <v>20</v>
      </c>
      <c r="H13" s="26" t="n">
        <v>7.7889</v>
      </c>
      <c r="I13" s="12" t="s">
        <v>77</v>
      </c>
      <c r="J13" s="12" t="s">
        <v>948</v>
      </c>
      <c r="K13" s="10" t="s">
        <v>658</v>
      </c>
      <c r="L13" s="30" t="s">
        <v>927</v>
      </c>
      <c r="M13" s="10" t="s">
        <v>3555</v>
      </c>
    </row>
    <row r="14" customFormat="false" ht="15" hidden="false" customHeight="false" outlineLevel="0" collapsed="false">
      <c r="A14" s="12" t="s">
        <v>23</v>
      </c>
      <c r="B14" s="12" t="s">
        <v>352</v>
      </c>
      <c r="C14" s="10" t="s">
        <v>924</v>
      </c>
      <c r="D14" s="12" t="s">
        <v>925</v>
      </c>
      <c r="E14" s="10" t="s">
        <v>952</v>
      </c>
      <c r="F14" s="12" t="s">
        <v>79</v>
      </c>
      <c r="G14" s="12" t="n">
        <v>20</v>
      </c>
      <c r="H14" s="26" t="n">
        <v>7.7889</v>
      </c>
      <c r="I14" s="12" t="s">
        <v>77</v>
      </c>
      <c r="J14" s="12" t="s">
        <v>948</v>
      </c>
      <c r="K14" s="10" t="s">
        <v>658</v>
      </c>
      <c r="L14" s="30" t="s">
        <v>927</v>
      </c>
      <c r="M14" s="10" t="s">
        <v>3555</v>
      </c>
    </row>
    <row r="15" customFormat="false" ht="46.25" hidden="false" customHeight="false" outlineLevel="0" collapsed="false">
      <c r="A15" s="12" t="s">
        <v>23</v>
      </c>
      <c r="B15" s="12" t="s">
        <v>357</v>
      </c>
      <c r="C15" s="10" t="s">
        <v>793</v>
      </c>
      <c r="D15" s="12" t="s">
        <v>794</v>
      </c>
      <c r="E15" s="10" t="s">
        <v>795</v>
      </c>
      <c r="F15" s="12" t="s">
        <v>79</v>
      </c>
      <c r="G15" s="12" t="n">
        <v>50</v>
      </c>
      <c r="H15" s="26" t="n">
        <v>90.4</v>
      </c>
      <c r="I15" s="12" t="s">
        <v>102</v>
      </c>
      <c r="J15" s="12" t="s">
        <v>144</v>
      </c>
      <c r="K15" s="10" t="s">
        <v>658</v>
      </c>
      <c r="L15" s="30" t="s">
        <v>796</v>
      </c>
      <c r="M15" s="10" t="s">
        <v>3556</v>
      </c>
    </row>
    <row r="16" customFormat="false" ht="35.05" hidden="false" customHeight="false" outlineLevel="0" collapsed="false">
      <c r="A16" s="12" t="s">
        <v>23</v>
      </c>
      <c r="B16" s="12" t="s">
        <v>75</v>
      </c>
      <c r="C16" s="10" t="s">
        <v>75</v>
      </c>
      <c r="D16" s="12" t="s">
        <v>838</v>
      </c>
      <c r="E16" s="10" t="s">
        <v>839</v>
      </c>
      <c r="F16" s="12" t="s">
        <v>79</v>
      </c>
      <c r="G16" s="12"/>
      <c r="H16" s="26" t="n">
        <v>360.71</v>
      </c>
      <c r="I16" s="12" t="s">
        <v>102</v>
      </c>
      <c r="J16" s="12" t="s">
        <v>194</v>
      </c>
      <c r="K16" s="10" t="s">
        <v>658</v>
      </c>
      <c r="L16" s="30" t="s">
        <v>840</v>
      </c>
      <c r="M16" s="10" t="s">
        <v>3557</v>
      </c>
    </row>
    <row r="17" customFormat="false" ht="35.05" hidden="false" customHeight="false" outlineLevel="0" collapsed="false">
      <c r="A17" s="12" t="s">
        <v>23</v>
      </c>
      <c r="B17" s="12" t="s">
        <v>75</v>
      </c>
      <c r="C17" s="10" t="s">
        <v>850</v>
      </c>
      <c r="D17" s="12" t="s">
        <v>851</v>
      </c>
      <c r="E17" s="10" t="s">
        <v>839</v>
      </c>
      <c r="F17" s="12" t="s">
        <v>79</v>
      </c>
      <c r="G17" s="12"/>
      <c r="H17" s="26" t="n">
        <v>397.421</v>
      </c>
      <c r="I17" s="12" t="s">
        <v>77</v>
      </c>
      <c r="J17" s="12" t="s">
        <v>3558</v>
      </c>
      <c r="K17" s="10" t="s">
        <v>658</v>
      </c>
      <c r="L17" s="30" t="s">
        <v>852</v>
      </c>
      <c r="M17" s="10" t="s">
        <v>3559</v>
      </c>
    </row>
    <row r="18" customFormat="false" ht="35.05" hidden="false" customHeight="false" outlineLevel="0" collapsed="false">
      <c r="A18" s="12" t="s">
        <v>23</v>
      </c>
      <c r="B18" s="12" t="s">
        <v>75</v>
      </c>
      <c r="C18" s="10" t="s">
        <v>977</v>
      </c>
      <c r="D18" s="12" t="s">
        <v>978</v>
      </c>
      <c r="E18" s="10" t="s">
        <v>979</v>
      </c>
      <c r="F18" s="12" t="s">
        <v>79</v>
      </c>
      <c r="G18" s="12"/>
      <c r="H18" s="26" t="n">
        <v>10.241</v>
      </c>
      <c r="I18" s="12" t="s">
        <v>102</v>
      </c>
      <c r="J18" s="12" t="s">
        <v>1044</v>
      </c>
      <c r="K18" s="10" t="s">
        <v>658</v>
      </c>
      <c r="L18" s="30" t="s">
        <v>976</v>
      </c>
      <c r="M18" s="10" t="s">
        <v>3560</v>
      </c>
    </row>
    <row r="19" customFormat="false" ht="46.25" hidden="false" customHeight="false" outlineLevel="0" collapsed="false">
      <c r="A19" s="12" t="s">
        <v>23</v>
      </c>
      <c r="B19" s="12" t="s">
        <v>89</v>
      </c>
      <c r="C19" s="10" t="s">
        <v>89</v>
      </c>
      <c r="D19" s="12" t="s">
        <v>775</v>
      </c>
      <c r="E19" s="10" t="s">
        <v>776</v>
      </c>
      <c r="F19" s="12" t="s">
        <v>79</v>
      </c>
      <c r="G19" s="12"/>
      <c r="H19" s="26" t="n">
        <v>22.25</v>
      </c>
      <c r="I19" s="12" t="s">
        <v>102</v>
      </c>
      <c r="J19" s="12" t="s">
        <v>144</v>
      </c>
      <c r="K19" s="10" t="s">
        <v>658</v>
      </c>
      <c r="L19" s="30" t="s">
        <v>777</v>
      </c>
      <c r="M19" s="10" t="s">
        <v>3561</v>
      </c>
    </row>
    <row r="20" customFormat="false" ht="35.05" hidden="false" customHeight="false" outlineLevel="0" collapsed="false">
      <c r="A20" s="12" t="s">
        <v>23</v>
      </c>
      <c r="B20" s="12" t="s">
        <v>89</v>
      </c>
      <c r="C20" s="10" t="s">
        <v>827</v>
      </c>
      <c r="D20" s="12" t="s">
        <v>828</v>
      </c>
      <c r="E20" s="10" t="s">
        <v>829</v>
      </c>
      <c r="F20" s="12" t="s">
        <v>79</v>
      </c>
      <c r="G20" s="12"/>
      <c r="H20" s="26" t="n">
        <v>856.68</v>
      </c>
      <c r="I20" s="12" t="s">
        <v>102</v>
      </c>
      <c r="J20" s="12" t="s">
        <v>194</v>
      </c>
      <c r="K20" s="10" t="s">
        <v>658</v>
      </c>
      <c r="L20" s="30" t="s">
        <v>830</v>
      </c>
      <c r="M20" s="10" t="s">
        <v>3562</v>
      </c>
    </row>
    <row r="21" customFormat="false" ht="35.05" hidden="false" customHeight="false" outlineLevel="0" collapsed="false">
      <c r="A21" s="12" t="s">
        <v>23</v>
      </c>
      <c r="B21" s="12" t="s">
        <v>89</v>
      </c>
      <c r="C21" s="10" t="s">
        <v>853</v>
      </c>
      <c r="D21" s="12" t="s">
        <v>854</v>
      </c>
      <c r="E21" s="10" t="s">
        <v>829</v>
      </c>
      <c r="F21" s="12" t="s">
        <v>79</v>
      </c>
      <c r="G21" s="12"/>
      <c r="H21" s="26" t="n">
        <v>1444.1174</v>
      </c>
      <c r="I21" s="12" t="s">
        <v>77</v>
      </c>
      <c r="J21" s="12" t="s">
        <v>3558</v>
      </c>
      <c r="K21" s="10" t="s">
        <v>658</v>
      </c>
      <c r="L21" s="30" t="s">
        <v>852</v>
      </c>
      <c r="M21" s="10" t="s">
        <v>3563</v>
      </c>
    </row>
    <row r="22" customFormat="false" ht="46.25" hidden="false" customHeight="false" outlineLevel="0" collapsed="false">
      <c r="A22" s="12" t="s">
        <v>23</v>
      </c>
      <c r="B22" s="12" t="s">
        <v>89</v>
      </c>
      <c r="C22" s="10" t="s">
        <v>980</v>
      </c>
      <c r="D22" s="12" t="s">
        <v>981</v>
      </c>
      <c r="E22" s="10" t="s">
        <v>982</v>
      </c>
      <c r="F22" s="12" t="s">
        <v>79</v>
      </c>
      <c r="G22" s="12"/>
      <c r="H22" s="26" t="n">
        <v>14.329</v>
      </c>
      <c r="I22" s="12" t="s">
        <v>77</v>
      </c>
      <c r="J22" s="12" t="s">
        <v>1044</v>
      </c>
      <c r="K22" s="10" t="s">
        <v>658</v>
      </c>
      <c r="L22" s="30" t="s">
        <v>983</v>
      </c>
      <c r="M22" s="10" t="s">
        <v>3564</v>
      </c>
    </row>
    <row r="23" customFormat="false" ht="46.25" hidden="false" customHeight="false" outlineLevel="0" collapsed="false">
      <c r="A23" s="12" t="s">
        <v>23</v>
      </c>
      <c r="B23" s="12" t="s">
        <v>283</v>
      </c>
      <c r="C23" s="10" t="s">
        <v>855</v>
      </c>
      <c r="D23" s="12" t="s">
        <v>856</v>
      </c>
      <c r="E23" s="10" t="s">
        <v>857</v>
      </c>
      <c r="F23" s="12" t="s">
        <v>172</v>
      </c>
      <c r="G23" s="12" t="n">
        <v>5</v>
      </c>
      <c r="H23" s="26" t="n">
        <v>5.1528</v>
      </c>
      <c r="I23" s="12" t="s">
        <v>77</v>
      </c>
      <c r="J23" s="12" t="s">
        <v>3565</v>
      </c>
      <c r="K23" s="10" t="s">
        <v>658</v>
      </c>
      <c r="L23" s="30" t="s">
        <v>858</v>
      </c>
      <c r="M23" s="10" t="s">
        <v>3566</v>
      </c>
    </row>
    <row r="24" customFormat="false" ht="46.25" hidden="false" customHeight="false" outlineLevel="0" collapsed="false">
      <c r="A24" s="12" t="s">
        <v>23</v>
      </c>
      <c r="B24" s="12" t="s">
        <v>162</v>
      </c>
      <c r="C24" s="10" t="s">
        <v>652</v>
      </c>
      <c r="D24" s="12" t="s">
        <v>654</v>
      </c>
      <c r="E24" s="10" t="s">
        <v>655</v>
      </c>
      <c r="F24" s="12" t="s">
        <v>79</v>
      </c>
      <c r="G24" s="12" t="n">
        <v>1</v>
      </c>
      <c r="H24" s="26" t="n">
        <v>30.01</v>
      </c>
      <c r="I24" s="12" t="s">
        <v>102</v>
      </c>
      <c r="J24" s="12" t="s">
        <v>144</v>
      </c>
      <c r="K24" s="10" t="s">
        <v>658</v>
      </c>
      <c r="L24" s="30" t="s">
        <v>659</v>
      </c>
      <c r="M24" s="10" t="s">
        <v>3546</v>
      </c>
    </row>
    <row r="25" customFormat="false" ht="46.25" hidden="false" customHeight="false" outlineLevel="0" collapsed="false">
      <c r="A25" s="12" t="s">
        <v>23</v>
      </c>
      <c r="B25" s="12" t="s">
        <v>269</v>
      </c>
      <c r="C25" s="10" t="s">
        <v>993</v>
      </c>
      <c r="D25" s="12" t="s">
        <v>994</v>
      </c>
      <c r="E25" s="10" t="s">
        <v>990</v>
      </c>
      <c r="F25" s="12" t="s">
        <v>79</v>
      </c>
      <c r="G25" s="12" t="n">
        <v>20</v>
      </c>
      <c r="H25" s="26" t="n">
        <v>5.74</v>
      </c>
      <c r="I25" s="12" t="s">
        <v>77</v>
      </c>
      <c r="J25" s="12" t="s">
        <v>995</v>
      </c>
      <c r="K25" s="10" t="s">
        <v>658</v>
      </c>
      <c r="L25" s="30" t="s">
        <v>991</v>
      </c>
      <c r="M25" s="10" t="s">
        <v>3567</v>
      </c>
    </row>
    <row r="26" customFormat="false" ht="46.25" hidden="false" customHeight="false" outlineLevel="0" collapsed="false">
      <c r="A26" s="12" t="s">
        <v>23</v>
      </c>
      <c r="B26" s="12" t="s">
        <v>269</v>
      </c>
      <c r="C26" s="10" t="s">
        <v>993</v>
      </c>
      <c r="D26" s="12" t="s">
        <v>994</v>
      </c>
      <c r="E26" s="10" t="s">
        <v>992</v>
      </c>
      <c r="F26" s="12" t="s">
        <v>79</v>
      </c>
      <c r="G26" s="12" t="n">
        <v>20</v>
      </c>
      <c r="H26" s="26" t="n">
        <v>5.74</v>
      </c>
      <c r="I26" s="12" t="s">
        <v>77</v>
      </c>
      <c r="J26" s="12" t="s">
        <v>995</v>
      </c>
      <c r="K26" s="10" t="s">
        <v>658</v>
      </c>
      <c r="L26" s="30" t="s">
        <v>991</v>
      </c>
      <c r="M26" s="10" t="s">
        <v>3567</v>
      </c>
    </row>
    <row r="27" customFormat="false" ht="57.45" hidden="false" customHeight="false" outlineLevel="0" collapsed="false">
      <c r="A27" s="12" t="s">
        <v>23</v>
      </c>
      <c r="B27" s="12" t="s">
        <v>269</v>
      </c>
      <c r="C27" s="10" t="s">
        <v>993</v>
      </c>
      <c r="D27" s="12" t="s">
        <v>996</v>
      </c>
      <c r="E27" s="10" t="s">
        <v>997</v>
      </c>
      <c r="F27" s="12" t="s">
        <v>79</v>
      </c>
      <c r="G27" s="12" t="n">
        <v>50</v>
      </c>
      <c r="H27" s="26" t="n">
        <v>12.42</v>
      </c>
      <c r="I27" s="12" t="s">
        <v>77</v>
      </c>
      <c r="J27" s="12" t="s">
        <v>995</v>
      </c>
      <c r="K27" s="10" t="s">
        <v>658</v>
      </c>
      <c r="L27" s="30" t="s">
        <v>991</v>
      </c>
      <c r="M27" s="10" t="s">
        <v>3568</v>
      </c>
    </row>
    <row r="28" customFormat="false" ht="57.45" hidden="false" customHeight="false" outlineLevel="0" collapsed="false">
      <c r="A28" s="12" t="s">
        <v>23</v>
      </c>
      <c r="B28" s="12" t="s">
        <v>269</v>
      </c>
      <c r="C28" s="10" t="s">
        <v>993</v>
      </c>
      <c r="D28" s="12" t="s">
        <v>996</v>
      </c>
      <c r="E28" s="10" t="s">
        <v>998</v>
      </c>
      <c r="F28" s="12" t="s">
        <v>79</v>
      </c>
      <c r="G28" s="12" t="n">
        <v>50</v>
      </c>
      <c r="H28" s="26" t="n">
        <v>12.42</v>
      </c>
      <c r="I28" s="12" t="s">
        <v>77</v>
      </c>
      <c r="J28" s="12" t="s">
        <v>995</v>
      </c>
      <c r="K28" s="10" t="s">
        <v>658</v>
      </c>
      <c r="L28" s="30" t="s">
        <v>991</v>
      </c>
      <c r="M28" s="10" t="s">
        <v>3568</v>
      </c>
    </row>
    <row r="29" customFormat="false" ht="35.05" hidden="false" customHeight="false" outlineLevel="0" collapsed="false">
      <c r="A29" s="12" t="s">
        <v>23</v>
      </c>
      <c r="B29" s="12" t="s">
        <v>206</v>
      </c>
      <c r="C29" s="10" t="s">
        <v>860</v>
      </c>
      <c r="D29" s="12" t="s">
        <v>861</v>
      </c>
      <c r="E29" s="10" t="s">
        <v>862</v>
      </c>
      <c r="F29" s="12" t="s">
        <v>79</v>
      </c>
      <c r="G29" s="12"/>
      <c r="H29" s="26" t="n">
        <v>8.4976</v>
      </c>
      <c r="I29" s="12" t="s">
        <v>77</v>
      </c>
      <c r="J29" s="12" t="s">
        <v>3569</v>
      </c>
      <c r="K29" s="10" t="s">
        <v>658</v>
      </c>
      <c r="L29" s="30" t="s">
        <v>863</v>
      </c>
      <c r="M29" s="10" t="s">
        <v>3570</v>
      </c>
    </row>
    <row r="30" customFormat="false" ht="46.25" hidden="false" customHeight="false" outlineLevel="0" collapsed="false">
      <c r="A30" s="12" t="s">
        <v>23</v>
      </c>
      <c r="B30" s="12" t="s">
        <v>201</v>
      </c>
      <c r="C30" s="10" t="s">
        <v>865</v>
      </c>
      <c r="D30" s="12" t="s">
        <v>861</v>
      </c>
      <c r="E30" s="10" t="s">
        <v>866</v>
      </c>
      <c r="F30" s="12" t="s">
        <v>79</v>
      </c>
      <c r="G30" s="12" t="n">
        <v>3.5</v>
      </c>
      <c r="H30" s="26" t="n">
        <v>5.6048</v>
      </c>
      <c r="I30" s="12" t="s">
        <v>77</v>
      </c>
      <c r="J30" s="12" t="s">
        <v>3558</v>
      </c>
      <c r="K30" s="10" t="s">
        <v>658</v>
      </c>
      <c r="L30" s="30" t="s">
        <v>867</v>
      </c>
      <c r="M30" s="10" t="s">
        <v>3571</v>
      </c>
    </row>
    <row r="31" customFormat="false" ht="57.45" hidden="false" customHeight="false" outlineLevel="0" collapsed="false">
      <c r="A31" s="12" t="s">
        <v>23</v>
      </c>
      <c r="B31" s="12" t="s">
        <v>201</v>
      </c>
      <c r="C31" s="10" t="s">
        <v>869</v>
      </c>
      <c r="D31" s="12" t="s">
        <v>861</v>
      </c>
      <c r="E31" s="10" t="s">
        <v>870</v>
      </c>
      <c r="F31" s="12" t="s">
        <v>172</v>
      </c>
      <c r="G31" s="12" t="n">
        <v>3.5</v>
      </c>
      <c r="H31" s="26" t="n">
        <v>5.6048</v>
      </c>
      <c r="I31" s="12" t="s">
        <v>102</v>
      </c>
      <c r="J31" s="12" t="s">
        <v>3558</v>
      </c>
      <c r="K31" s="10" t="s">
        <v>658</v>
      </c>
      <c r="L31" s="30" t="s">
        <v>871</v>
      </c>
      <c r="M31" s="10" t="s">
        <v>3572</v>
      </c>
    </row>
    <row r="32" customFormat="false" ht="57.45" hidden="false" customHeight="false" outlineLevel="0" collapsed="false">
      <c r="A32" s="12" t="s">
        <v>23</v>
      </c>
      <c r="B32" s="12" t="s">
        <v>223</v>
      </c>
      <c r="C32" s="10" t="s">
        <v>689</v>
      </c>
      <c r="D32" s="12" t="s">
        <v>690</v>
      </c>
      <c r="E32" s="10" t="s">
        <v>691</v>
      </c>
      <c r="F32" s="12" t="s">
        <v>172</v>
      </c>
      <c r="G32" s="12" t="n">
        <v>1</v>
      </c>
      <c r="H32" s="26" t="n">
        <v>14.96</v>
      </c>
      <c r="I32" s="12" t="s">
        <v>102</v>
      </c>
      <c r="J32" s="12" t="s">
        <v>144</v>
      </c>
      <c r="K32" s="10" t="s">
        <v>658</v>
      </c>
      <c r="L32" s="30" t="s">
        <v>692</v>
      </c>
      <c r="M32" s="10" t="s">
        <v>3573</v>
      </c>
    </row>
    <row r="33" customFormat="false" ht="35.05" hidden="false" customHeight="false" outlineLevel="0" collapsed="false">
      <c r="A33" s="12" t="s">
        <v>23</v>
      </c>
      <c r="B33" s="12" t="s">
        <v>124</v>
      </c>
      <c r="C33" s="10" t="s">
        <v>124</v>
      </c>
      <c r="D33" s="12" t="s">
        <v>797</v>
      </c>
      <c r="E33" s="10" t="s">
        <v>798</v>
      </c>
      <c r="F33" s="12" t="s">
        <v>79</v>
      </c>
      <c r="G33" s="12" t="n">
        <v>5</v>
      </c>
      <c r="H33" s="26" t="n">
        <v>216.12</v>
      </c>
      <c r="I33" s="12" t="s">
        <v>102</v>
      </c>
      <c r="J33" s="12" t="s">
        <v>144</v>
      </c>
      <c r="K33" s="10" t="s">
        <v>658</v>
      </c>
      <c r="L33" s="30" t="s">
        <v>799</v>
      </c>
      <c r="M33" s="10" t="s">
        <v>3574</v>
      </c>
    </row>
    <row r="34" customFormat="false" ht="35.05" hidden="false" customHeight="false" outlineLevel="0" collapsed="false">
      <c r="A34" s="12" t="s">
        <v>23</v>
      </c>
      <c r="B34" s="12" t="s">
        <v>124</v>
      </c>
      <c r="C34" s="10" t="s">
        <v>124</v>
      </c>
      <c r="D34" s="12" t="s">
        <v>800</v>
      </c>
      <c r="E34" s="10" t="s">
        <v>801</v>
      </c>
      <c r="F34" s="12" t="s">
        <v>79</v>
      </c>
      <c r="G34" s="12" t="n">
        <v>10</v>
      </c>
      <c r="H34" s="26" t="n">
        <v>427.8</v>
      </c>
      <c r="I34" s="12" t="s">
        <v>102</v>
      </c>
      <c r="J34" s="12" t="s">
        <v>144</v>
      </c>
      <c r="K34" s="10" t="s">
        <v>658</v>
      </c>
      <c r="L34" s="30" t="s">
        <v>799</v>
      </c>
      <c r="M34" s="10" t="s">
        <v>3575</v>
      </c>
    </row>
    <row r="35" customFormat="false" ht="35.05" hidden="false" customHeight="false" outlineLevel="0" collapsed="false">
      <c r="A35" s="12" t="s">
        <v>23</v>
      </c>
      <c r="B35" s="12" t="s">
        <v>124</v>
      </c>
      <c r="C35" s="10" t="s">
        <v>124</v>
      </c>
      <c r="D35" s="12" t="s">
        <v>802</v>
      </c>
      <c r="E35" s="10" t="s">
        <v>803</v>
      </c>
      <c r="F35" s="12" t="s">
        <v>79</v>
      </c>
      <c r="G35" s="12" t="n">
        <v>2.5</v>
      </c>
      <c r="H35" s="26" t="n">
        <v>58.2</v>
      </c>
      <c r="I35" s="12" t="s">
        <v>102</v>
      </c>
      <c r="J35" s="12" t="s">
        <v>144</v>
      </c>
      <c r="K35" s="10" t="s">
        <v>658</v>
      </c>
      <c r="L35" s="30" t="s">
        <v>799</v>
      </c>
      <c r="M35" s="10" t="s">
        <v>3576</v>
      </c>
    </row>
    <row r="36" customFormat="false" ht="35.05" hidden="false" customHeight="false" outlineLevel="0" collapsed="false">
      <c r="A36" s="12" t="s">
        <v>23</v>
      </c>
      <c r="B36" s="12" t="s">
        <v>330</v>
      </c>
      <c r="C36" s="10" t="s">
        <v>330</v>
      </c>
      <c r="D36" s="12" t="s">
        <v>693</v>
      </c>
      <c r="E36" s="10" t="s">
        <v>694</v>
      </c>
      <c r="F36" s="12" t="s">
        <v>79</v>
      </c>
      <c r="G36" s="12"/>
      <c r="H36" s="26" t="n">
        <v>427.8</v>
      </c>
      <c r="I36" s="12" t="s">
        <v>102</v>
      </c>
      <c r="J36" s="12" t="s">
        <v>144</v>
      </c>
      <c r="K36" s="10" t="s">
        <v>658</v>
      </c>
      <c r="L36" s="30" t="s">
        <v>695</v>
      </c>
      <c r="M36" s="10" t="s">
        <v>3577</v>
      </c>
    </row>
    <row r="37" customFormat="false" ht="57.45" hidden="false" customHeight="false" outlineLevel="0" collapsed="false">
      <c r="A37" s="12" t="s">
        <v>23</v>
      </c>
      <c r="B37" s="12" t="s">
        <v>107</v>
      </c>
      <c r="C37" s="10" t="s">
        <v>872</v>
      </c>
      <c r="D37" s="12" t="s">
        <v>873</v>
      </c>
      <c r="E37" s="10" t="s">
        <v>874</v>
      </c>
      <c r="F37" s="12" t="s">
        <v>79</v>
      </c>
      <c r="G37" s="12"/>
      <c r="H37" s="26" t="n">
        <v>93.7335</v>
      </c>
      <c r="I37" s="12" t="s">
        <v>102</v>
      </c>
      <c r="J37" s="12" t="s">
        <v>3558</v>
      </c>
      <c r="K37" s="10" t="s">
        <v>658</v>
      </c>
      <c r="L37" s="30" t="s">
        <v>852</v>
      </c>
      <c r="M37" s="10" t="s">
        <v>3578</v>
      </c>
    </row>
    <row r="38" customFormat="false" ht="35.05" hidden="false" customHeight="false" outlineLevel="0" collapsed="false">
      <c r="A38" s="12" t="s">
        <v>23</v>
      </c>
      <c r="B38" s="12" t="s">
        <v>120</v>
      </c>
      <c r="C38" s="10" t="s">
        <v>876</v>
      </c>
      <c r="D38" s="12" t="s">
        <v>877</v>
      </c>
      <c r="E38" s="10" t="s">
        <v>878</v>
      </c>
      <c r="F38" s="12" t="s">
        <v>79</v>
      </c>
      <c r="G38" s="12" t="n">
        <v>5</v>
      </c>
      <c r="H38" s="26" t="n">
        <v>16.837</v>
      </c>
      <c r="I38" s="12" t="s">
        <v>77</v>
      </c>
      <c r="J38" s="12" t="s">
        <v>3558</v>
      </c>
      <c r="K38" s="10" t="s">
        <v>658</v>
      </c>
      <c r="L38" s="30" t="s">
        <v>852</v>
      </c>
      <c r="M38" s="10" t="s">
        <v>3579</v>
      </c>
    </row>
    <row r="39" customFormat="false" ht="46.25" hidden="false" customHeight="false" outlineLevel="0" collapsed="false">
      <c r="A39" s="12" t="s">
        <v>23</v>
      </c>
      <c r="B39" s="12" t="s">
        <v>411</v>
      </c>
      <c r="C39" s="10" t="s">
        <v>804</v>
      </c>
      <c r="D39" s="12" t="s">
        <v>805</v>
      </c>
      <c r="E39" s="10" t="s">
        <v>806</v>
      </c>
      <c r="F39" s="12" t="s">
        <v>79</v>
      </c>
      <c r="G39" s="12" t="n">
        <v>1</v>
      </c>
      <c r="H39" s="26" t="n">
        <v>5.35</v>
      </c>
      <c r="I39" s="12" t="s">
        <v>102</v>
      </c>
      <c r="J39" s="12" t="s">
        <v>144</v>
      </c>
      <c r="K39" s="10" t="s">
        <v>658</v>
      </c>
      <c r="L39" s="30" t="s">
        <v>807</v>
      </c>
      <c r="M39" s="10" t="s">
        <v>3580</v>
      </c>
    </row>
    <row r="40" customFormat="false" ht="57.45" hidden="false" customHeight="false" outlineLevel="0" collapsed="false">
      <c r="A40" s="12" t="s">
        <v>23</v>
      </c>
      <c r="B40" s="12" t="s">
        <v>342</v>
      </c>
      <c r="C40" s="10" t="s">
        <v>880</v>
      </c>
      <c r="D40" s="12" t="s">
        <v>881</v>
      </c>
      <c r="E40" s="10" t="s">
        <v>882</v>
      </c>
      <c r="F40" s="12" t="s">
        <v>79</v>
      </c>
      <c r="G40" s="12" t="n">
        <v>25</v>
      </c>
      <c r="H40" s="26" t="n">
        <v>91.7334</v>
      </c>
      <c r="I40" s="12" t="s">
        <v>153</v>
      </c>
      <c r="J40" s="12" t="s">
        <v>3558</v>
      </c>
      <c r="K40" s="10" t="s">
        <v>658</v>
      </c>
      <c r="L40" s="30" t="s">
        <v>852</v>
      </c>
      <c r="M40" s="10" t="s">
        <v>3581</v>
      </c>
    </row>
    <row r="41" customFormat="false" ht="46.25" hidden="false" customHeight="false" outlineLevel="0" collapsed="false">
      <c r="A41" s="12" t="s">
        <v>23</v>
      </c>
      <c r="B41" s="12" t="s">
        <v>142</v>
      </c>
      <c r="C41" s="10" t="s">
        <v>142</v>
      </c>
      <c r="D41" s="12" t="s">
        <v>696</v>
      </c>
      <c r="E41" s="10" t="s">
        <v>697</v>
      </c>
      <c r="F41" s="12" t="s">
        <v>79</v>
      </c>
      <c r="G41" s="12" t="n">
        <v>10</v>
      </c>
      <c r="H41" s="26" t="n">
        <v>343.8</v>
      </c>
      <c r="I41" s="12" t="s">
        <v>102</v>
      </c>
      <c r="J41" s="12" t="s">
        <v>144</v>
      </c>
      <c r="K41" s="10" t="s">
        <v>658</v>
      </c>
      <c r="L41" s="30" t="s">
        <v>698</v>
      </c>
      <c r="M41" s="10" t="s">
        <v>3582</v>
      </c>
    </row>
    <row r="42" customFormat="false" ht="46.25" hidden="false" customHeight="false" outlineLevel="0" collapsed="false">
      <c r="A42" s="12" t="s">
        <v>23</v>
      </c>
      <c r="B42" s="12" t="s">
        <v>145</v>
      </c>
      <c r="C42" s="10" t="s">
        <v>761</v>
      </c>
      <c r="D42" s="12" t="s">
        <v>726</v>
      </c>
      <c r="E42" s="10" t="s">
        <v>762</v>
      </c>
      <c r="F42" s="12" t="s">
        <v>79</v>
      </c>
      <c r="G42" s="12"/>
      <c r="H42" s="26" t="n">
        <v>10.02</v>
      </c>
      <c r="I42" s="12" t="s">
        <v>102</v>
      </c>
      <c r="J42" s="12" t="s">
        <v>144</v>
      </c>
      <c r="K42" s="10" t="s">
        <v>658</v>
      </c>
      <c r="L42" s="30" t="s">
        <v>763</v>
      </c>
      <c r="M42" s="10" t="s">
        <v>3583</v>
      </c>
    </row>
    <row r="43" customFormat="false" ht="23.85" hidden="false" customHeight="false" outlineLevel="0" collapsed="false">
      <c r="A43" s="12" t="s">
        <v>23</v>
      </c>
      <c r="B43" s="12" t="s">
        <v>145</v>
      </c>
      <c r="C43" s="10" t="s">
        <v>145</v>
      </c>
      <c r="D43" s="12" t="s">
        <v>932</v>
      </c>
      <c r="E43" s="10" t="s">
        <v>943</v>
      </c>
      <c r="F43" s="12" t="s">
        <v>79</v>
      </c>
      <c r="G43" s="12"/>
      <c r="H43" s="26" t="n">
        <v>42.56</v>
      </c>
      <c r="I43" s="12" t="s">
        <v>77</v>
      </c>
      <c r="J43" s="12" t="s">
        <v>948</v>
      </c>
      <c r="K43" s="10" t="s">
        <v>658</v>
      </c>
      <c r="L43" s="30" t="s">
        <v>944</v>
      </c>
      <c r="M43" s="10" t="s">
        <v>3584</v>
      </c>
    </row>
    <row r="44" customFormat="false" ht="23.85" hidden="false" customHeight="false" outlineLevel="0" collapsed="false">
      <c r="A44" s="12" t="s">
        <v>23</v>
      </c>
      <c r="B44" s="12" t="s">
        <v>145</v>
      </c>
      <c r="C44" s="10" t="s">
        <v>145</v>
      </c>
      <c r="D44" s="12" t="s">
        <v>932</v>
      </c>
      <c r="E44" s="10" t="s">
        <v>957</v>
      </c>
      <c r="F44" s="12" t="s">
        <v>79</v>
      </c>
      <c r="G44" s="12"/>
      <c r="H44" s="26" t="n">
        <v>42.56</v>
      </c>
      <c r="I44" s="12" t="s">
        <v>77</v>
      </c>
      <c r="J44" s="12" t="s">
        <v>948</v>
      </c>
      <c r="K44" s="10" t="s">
        <v>658</v>
      </c>
      <c r="L44" s="30" t="s">
        <v>944</v>
      </c>
      <c r="M44" s="10" t="s">
        <v>3584</v>
      </c>
    </row>
    <row r="45" customFormat="false" ht="57.45" hidden="false" customHeight="false" outlineLevel="0" collapsed="false">
      <c r="A45" s="12" t="s">
        <v>23</v>
      </c>
      <c r="B45" s="12" t="s">
        <v>145</v>
      </c>
      <c r="C45" s="10" t="s">
        <v>988</v>
      </c>
      <c r="D45" s="12" t="s">
        <v>989</v>
      </c>
      <c r="E45" s="10" t="s">
        <v>990</v>
      </c>
      <c r="F45" s="12" t="s">
        <v>79</v>
      </c>
      <c r="G45" s="12" t="n">
        <v>20</v>
      </c>
      <c r="H45" s="26" t="n">
        <v>18.86</v>
      </c>
      <c r="I45" s="12" t="s">
        <v>77</v>
      </c>
      <c r="J45" s="12" t="s">
        <v>995</v>
      </c>
      <c r="K45" s="10" t="s">
        <v>658</v>
      </c>
      <c r="L45" s="30" t="s">
        <v>991</v>
      </c>
      <c r="M45" s="10" t="s">
        <v>3585</v>
      </c>
    </row>
    <row r="46" customFormat="false" ht="57.45" hidden="false" customHeight="false" outlineLevel="0" collapsed="false">
      <c r="A46" s="12" t="s">
        <v>23</v>
      </c>
      <c r="B46" s="12" t="s">
        <v>145</v>
      </c>
      <c r="C46" s="10" t="s">
        <v>988</v>
      </c>
      <c r="D46" s="12" t="s">
        <v>989</v>
      </c>
      <c r="E46" s="10" t="s">
        <v>992</v>
      </c>
      <c r="F46" s="12" t="s">
        <v>79</v>
      </c>
      <c r="G46" s="12" t="n">
        <v>20</v>
      </c>
      <c r="H46" s="26" t="n">
        <v>18.86</v>
      </c>
      <c r="I46" s="12" t="s">
        <v>77</v>
      </c>
      <c r="J46" s="12" t="s">
        <v>995</v>
      </c>
      <c r="K46" s="10" t="s">
        <v>658</v>
      </c>
      <c r="L46" s="30" t="s">
        <v>991</v>
      </c>
      <c r="M46" s="10" t="s">
        <v>3586</v>
      </c>
    </row>
    <row r="47" customFormat="false" ht="57.45" hidden="false" customHeight="false" outlineLevel="0" collapsed="false">
      <c r="A47" s="12" t="s">
        <v>23</v>
      </c>
      <c r="B47" s="12" t="s">
        <v>145</v>
      </c>
      <c r="C47" s="10" t="s">
        <v>999</v>
      </c>
      <c r="D47" s="12" t="s">
        <v>989</v>
      </c>
      <c r="E47" s="10" t="s">
        <v>992</v>
      </c>
      <c r="F47" s="12" t="s">
        <v>79</v>
      </c>
      <c r="G47" s="12" t="n">
        <v>20</v>
      </c>
      <c r="H47" s="26" t="n">
        <v>33.51</v>
      </c>
      <c r="I47" s="12" t="s">
        <v>77</v>
      </c>
      <c r="J47" s="12" t="s">
        <v>995</v>
      </c>
      <c r="K47" s="10" t="s">
        <v>658</v>
      </c>
      <c r="L47" s="30" t="s">
        <v>991</v>
      </c>
      <c r="M47" s="10" t="s">
        <v>3587</v>
      </c>
    </row>
    <row r="48" customFormat="false" ht="46.25" hidden="false" customHeight="false" outlineLevel="0" collapsed="false">
      <c r="A48" s="12" t="s">
        <v>23</v>
      </c>
      <c r="B48" s="12" t="s">
        <v>145</v>
      </c>
      <c r="C48" s="10" t="s">
        <v>999</v>
      </c>
      <c r="D48" s="12" t="s">
        <v>989</v>
      </c>
      <c r="E48" s="10" t="s">
        <v>990</v>
      </c>
      <c r="F48" s="12" t="s">
        <v>79</v>
      </c>
      <c r="G48" s="12" t="n">
        <v>20</v>
      </c>
      <c r="H48" s="26" t="n">
        <v>33.51</v>
      </c>
      <c r="I48" s="12" t="s">
        <v>77</v>
      </c>
      <c r="J48" s="12" t="s">
        <v>995</v>
      </c>
      <c r="K48" s="10" t="s">
        <v>658</v>
      </c>
      <c r="L48" s="30" t="s">
        <v>991</v>
      </c>
      <c r="M48" s="10" t="s">
        <v>3588</v>
      </c>
    </row>
    <row r="49" customFormat="false" ht="23.85" hidden="false" customHeight="false" outlineLevel="0" collapsed="false">
      <c r="A49" s="12" t="s">
        <v>23</v>
      </c>
      <c r="B49" s="12" t="s">
        <v>326</v>
      </c>
      <c r="C49" s="10" t="s">
        <v>699</v>
      </c>
      <c r="D49" s="12" t="s">
        <v>700</v>
      </c>
      <c r="E49" s="10"/>
      <c r="F49" s="12" t="s">
        <v>97</v>
      </c>
      <c r="G49" s="12" t="n">
        <v>100</v>
      </c>
      <c r="H49" s="26"/>
      <c r="I49" s="12" t="s">
        <v>323</v>
      </c>
      <c r="J49" s="12" t="s">
        <v>323</v>
      </c>
      <c r="K49" s="10" t="s">
        <v>3589</v>
      </c>
      <c r="L49" s="12"/>
      <c r="M49" s="10" t="s">
        <v>3590</v>
      </c>
    </row>
    <row r="50" customFormat="false" ht="35.05" hidden="false" customHeight="false" outlineLevel="0" collapsed="false">
      <c r="A50" s="12" t="s">
        <v>23</v>
      </c>
      <c r="B50" s="12" t="s">
        <v>326</v>
      </c>
      <c r="C50" s="10" t="s">
        <v>699</v>
      </c>
      <c r="D50" s="12" t="s">
        <v>703</v>
      </c>
      <c r="E50" s="10" t="s">
        <v>704</v>
      </c>
      <c r="F50" s="12" t="s">
        <v>328</v>
      </c>
      <c r="G50" s="12" t="n">
        <v>100</v>
      </c>
      <c r="H50" s="26" t="n">
        <v>54.54</v>
      </c>
      <c r="I50" s="12" t="s">
        <v>102</v>
      </c>
      <c r="J50" s="12" t="s">
        <v>144</v>
      </c>
      <c r="K50" s="10" t="s">
        <v>658</v>
      </c>
      <c r="L50" s="30" t="s">
        <v>705</v>
      </c>
      <c r="M50" s="10" t="s">
        <v>3591</v>
      </c>
    </row>
    <row r="51" customFormat="false" ht="35.05" hidden="false" customHeight="false" outlineLevel="0" collapsed="false">
      <c r="A51" s="12" t="s">
        <v>23</v>
      </c>
      <c r="B51" s="12" t="s">
        <v>423</v>
      </c>
      <c r="C51" s="10" t="s">
        <v>962</v>
      </c>
      <c r="D51" s="12" t="s">
        <v>963</v>
      </c>
      <c r="E51" s="10" t="s">
        <v>964</v>
      </c>
      <c r="F51" s="12" t="s">
        <v>79</v>
      </c>
      <c r="G51" s="12"/>
      <c r="H51" s="26" t="n">
        <v>3.31</v>
      </c>
      <c r="I51" s="12" t="s">
        <v>102</v>
      </c>
      <c r="J51" s="12" t="s">
        <v>194</v>
      </c>
      <c r="K51" s="10" t="s">
        <v>965</v>
      </c>
      <c r="L51" s="30" t="s">
        <v>966</v>
      </c>
      <c r="M51" s="10" t="s">
        <v>3592</v>
      </c>
    </row>
    <row r="52" customFormat="false" ht="35.05" hidden="false" customHeight="false" outlineLevel="0" collapsed="false">
      <c r="A52" s="12" t="s">
        <v>23</v>
      </c>
      <c r="B52" s="12" t="s">
        <v>423</v>
      </c>
      <c r="C52" s="10" t="s">
        <v>962</v>
      </c>
      <c r="D52" s="12" t="s">
        <v>968</v>
      </c>
      <c r="E52" s="10" t="s">
        <v>969</v>
      </c>
      <c r="F52" s="12" t="s">
        <v>79</v>
      </c>
      <c r="G52" s="12"/>
      <c r="H52" s="26" t="n">
        <v>3.33</v>
      </c>
      <c r="I52" s="12" t="s">
        <v>153</v>
      </c>
      <c r="J52" s="12" t="s">
        <v>3558</v>
      </c>
      <c r="K52" s="10" t="s">
        <v>970</v>
      </c>
      <c r="L52" s="30" t="s">
        <v>852</v>
      </c>
      <c r="M52" s="10" t="s">
        <v>3593</v>
      </c>
    </row>
    <row r="53" customFormat="false" ht="15" hidden="false" customHeight="false" outlineLevel="0" collapsed="false">
      <c r="A53" s="12" t="s">
        <v>23</v>
      </c>
      <c r="B53" s="12" t="s">
        <v>423</v>
      </c>
      <c r="C53" s="10" t="s">
        <v>962</v>
      </c>
      <c r="D53" s="12" t="s">
        <v>971</v>
      </c>
      <c r="E53" s="10" t="s">
        <v>972</v>
      </c>
      <c r="F53" s="12" t="s">
        <v>79</v>
      </c>
      <c r="G53" s="12"/>
      <c r="H53" s="26"/>
      <c r="I53" s="12" t="s">
        <v>323</v>
      </c>
      <c r="J53" s="12" t="s">
        <v>323</v>
      </c>
      <c r="K53" s="10" t="s">
        <v>3594</v>
      </c>
      <c r="L53" s="12"/>
      <c r="M53" s="10" t="s">
        <v>3595</v>
      </c>
    </row>
    <row r="54" customFormat="false" ht="46.25" hidden="false" customHeight="false" outlineLevel="0" collapsed="false">
      <c r="A54" s="12" t="s">
        <v>23</v>
      </c>
      <c r="B54" s="12" t="s">
        <v>394</v>
      </c>
      <c r="C54" s="10" t="s">
        <v>394</v>
      </c>
      <c r="D54" s="12" t="s">
        <v>706</v>
      </c>
      <c r="E54" s="10" t="s">
        <v>707</v>
      </c>
      <c r="F54" s="12" t="s">
        <v>79</v>
      </c>
      <c r="G54" s="12" t="n">
        <v>20</v>
      </c>
      <c r="H54" s="26" t="n">
        <v>5.68</v>
      </c>
      <c r="I54" s="12" t="s">
        <v>102</v>
      </c>
      <c r="J54" s="12" t="s">
        <v>144</v>
      </c>
      <c r="K54" s="10" t="s">
        <v>658</v>
      </c>
      <c r="L54" s="30" t="s">
        <v>708</v>
      </c>
      <c r="M54" s="10" t="s">
        <v>3596</v>
      </c>
    </row>
    <row r="55" customFormat="false" ht="46.25" hidden="false" customHeight="false" outlineLevel="0" collapsed="false">
      <c r="A55" s="12" t="s">
        <v>23</v>
      </c>
      <c r="B55" s="12" t="s">
        <v>217</v>
      </c>
      <c r="C55" s="10" t="s">
        <v>217</v>
      </c>
      <c r="D55" s="12" t="s">
        <v>690</v>
      </c>
      <c r="E55" s="10" t="s">
        <v>709</v>
      </c>
      <c r="F55" s="12" t="s">
        <v>79</v>
      </c>
      <c r="G55" s="12" t="n">
        <v>5</v>
      </c>
      <c r="H55" s="26" t="n">
        <v>54.55</v>
      </c>
      <c r="I55" s="12" t="s">
        <v>102</v>
      </c>
      <c r="J55" s="12" t="s">
        <v>144</v>
      </c>
      <c r="K55" s="10" t="s">
        <v>658</v>
      </c>
      <c r="L55" s="30" t="s">
        <v>710</v>
      </c>
      <c r="M55" s="10" t="s">
        <v>3597</v>
      </c>
    </row>
    <row r="56" customFormat="false" ht="68.65" hidden="false" customHeight="false" outlineLevel="0" collapsed="false">
      <c r="A56" s="12" t="s">
        <v>23</v>
      </c>
      <c r="B56" s="12" t="s">
        <v>337</v>
      </c>
      <c r="C56" s="10" t="s">
        <v>884</v>
      </c>
      <c r="D56" s="12" t="s">
        <v>885</v>
      </c>
      <c r="E56" s="10" t="s">
        <v>886</v>
      </c>
      <c r="F56" s="12" t="s">
        <v>79</v>
      </c>
      <c r="G56" s="12" t="n">
        <v>100</v>
      </c>
      <c r="H56" s="26" t="n">
        <v>64.9298</v>
      </c>
      <c r="I56" s="12" t="s">
        <v>153</v>
      </c>
      <c r="J56" s="12" t="s">
        <v>3547</v>
      </c>
      <c r="K56" s="10" t="s">
        <v>658</v>
      </c>
      <c r="L56" s="30" t="s">
        <v>887</v>
      </c>
      <c r="M56" s="10" t="s">
        <v>3598</v>
      </c>
    </row>
    <row r="57" customFormat="false" ht="46.25" hidden="false" customHeight="false" outlineLevel="0" collapsed="false">
      <c r="A57" s="12" t="s">
        <v>23</v>
      </c>
      <c r="B57" s="12" t="s">
        <v>114</v>
      </c>
      <c r="C57" s="10" t="s">
        <v>114</v>
      </c>
      <c r="D57" s="12" t="s">
        <v>831</v>
      </c>
      <c r="E57" s="10" t="s">
        <v>832</v>
      </c>
      <c r="F57" s="12" t="s">
        <v>85</v>
      </c>
      <c r="G57" s="12" t="n">
        <v>5</v>
      </c>
      <c r="H57" s="26" t="n">
        <v>345.31</v>
      </c>
      <c r="I57" s="12" t="s">
        <v>102</v>
      </c>
      <c r="J57" s="12" t="s">
        <v>194</v>
      </c>
      <c r="K57" s="10" t="s">
        <v>658</v>
      </c>
      <c r="L57" s="30" t="s">
        <v>833</v>
      </c>
      <c r="M57" s="10" t="s">
        <v>3599</v>
      </c>
    </row>
    <row r="58" customFormat="false" ht="46.25" hidden="false" customHeight="false" outlineLevel="0" collapsed="false">
      <c r="A58" s="12" t="s">
        <v>23</v>
      </c>
      <c r="B58" s="12" t="s">
        <v>114</v>
      </c>
      <c r="C58" s="10" t="s">
        <v>889</v>
      </c>
      <c r="D58" s="12" t="s">
        <v>890</v>
      </c>
      <c r="E58" s="10" t="s">
        <v>891</v>
      </c>
      <c r="F58" s="12" t="s">
        <v>85</v>
      </c>
      <c r="G58" s="12" t="n">
        <v>5</v>
      </c>
      <c r="H58" s="26" t="n">
        <v>531.8684</v>
      </c>
      <c r="I58" s="12" t="s">
        <v>77</v>
      </c>
      <c r="J58" s="12" t="s">
        <v>3558</v>
      </c>
      <c r="K58" s="10" t="s">
        <v>658</v>
      </c>
      <c r="L58" s="30" t="s">
        <v>852</v>
      </c>
      <c r="M58" s="10" t="s">
        <v>3600</v>
      </c>
    </row>
    <row r="59" customFormat="false" ht="46.25" hidden="false" customHeight="false" outlineLevel="0" collapsed="false">
      <c r="A59" s="12" t="s">
        <v>23</v>
      </c>
      <c r="B59" s="12" t="s">
        <v>114</v>
      </c>
      <c r="C59" s="10" t="s">
        <v>973</v>
      </c>
      <c r="D59" s="12" t="s">
        <v>974</v>
      </c>
      <c r="E59" s="10" t="s">
        <v>975</v>
      </c>
      <c r="F59" s="12" t="s">
        <v>85</v>
      </c>
      <c r="G59" s="12" t="n">
        <v>5</v>
      </c>
      <c r="H59" s="26" t="n">
        <v>47.11</v>
      </c>
      <c r="I59" s="12" t="s">
        <v>102</v>
      </c>
      <c r="J59" s="12" t="s">
        <v>1044</v>
      </c>
      <c r="K59" s="10" t="s">
        <v>658</v>
      </c>
      <c r="L59" s="30" t="s">
        <v>976</v>
      </c>
      <c r="M59" s="10" t="s">
        <v>3601</v>
      </c>
    </row>
    <row r="60" customFormat="false" ht="15" hidden="false" customHeight="false" outlineLevel="0" collapsed="false">
      <c r="A60" s="12" t="s">
        <v>23</v>
      </c>
      <c r="B60" s="12" t="s">
        <v>397</v>
      </c>
      <c r="C60" s="10" t="s">
        <v>945</v>
      </c>
      <c r="D60" s="12" t="s">
        <v>835</v>
      </c>
      <c r="E60" s="10" t="s">
        <v>946</v>
      </c>
      <c r="F60" s="12" t="s">
        <v>79</v>
      </c>
      <c r="G60" s="12" t="n">
        <v>1</v>
      </c>
      <c r="H60" s="26" t="n">
        <v>6.11625</v>
      </c>
      <c r="I60" s="12" t="s">
        <v>77</v>
      </c>
      <c r="J60" s="12" t="s">
        <v>948</v>
      </c>
      <c r="K60" s="10" t="s">
        <v>658</v>
      </c>
      <c r="L60" s="30" t="s">
        <v>947</v>
      </c>
      <c r="M60" s="10" t="s">
        <v>3602</v>
      </c>
    </row>
    <row r="61" customFormat="false" ht="23.85" hidden="false" customHeight="false" outlineLevel="0" collapsed="false">
      <c r="A61" s="12" t="s">
        <v>23</v>
      </c>
      <c r="B61" s="12" t="s">
        <v>397</v>
      </c>
      <c r="C61" s="10" t="s">
        <v>945</v>
      </c>
      <c r="D61" s="12" t="s">
        <v>835</v>
      </c>
      <c r="E61" s="10" t="s">
        <v>958</v>
      </c>
      <c r="F61" s="12" t="s">
        <v>79</v>
      </c>
      <c r="G61" s="12" t="n">
        <v>1</v>
      </c>
      <c r="H61" s="26" t="n">
        <v>8.6037</v>
      </c>
      <c r="I61" s="12" t="s">
        <v>77</v>
      </c>
      <c r="J61" s="12" t="s">
        <v>948</v>
      </c>
      <c r="K61" s="10" t="s">
        <v>658</v>
      </c>
      <c r="L61" s="30" t="s">
        <v>944</v>
      </c>
      <c r="M61" s="10" t="s">
        <v>3603</v>
      </c>
    </row>
    <row r="62" customFormat="false" ht="57.45" hidden="false" customHeight="false" outlineLevel="0" collapsed="false">
      <c r="A62" s="12" t="s">
        <v>23</v>
      </c>
      <c r="B62" s="12" t="s">
        <v>368</v>
      </c>
      <c r="C62" s="10" t="s">
        <v>765</v>
      </c>
      <c r="D62" s="12" t="s">
        <v>766</v>
      </c>
      <c r="E62" s="10" t="s">
        <v>767</v>
      </c>
      <c r="F62" s="12" t="s">
        <v>85</v>
      </c>
      <c r="G62" s="12" t="n">
        <v>3</v>
      </c>
      <c r="H62" s="26" t="n">
        <v>125</v>
      </c>
      <c r="I62" s="12" t="s">
        <v>102</v>
      </c>
      <c r="J62" s="12" t="s">
        <v>144</v>
      </c>
      <c r="K62" s="10" t="s">
        <v>658</v>
      </c>
      <c r="L62" s="30" t="s">
        <v>768</v>
      </c>
      <c r="M62" s="10" t="s">
        <v>3604</v>
      </c>
    </row>
    <row r="63" customFormat="false" ht="46.25" hidden="false" customHeight="false" outlineLevel="0" collapsed="false">
      <c r="A63" s="12" t="s">
        <v>23</v>
      </c>
      <c r="B63" s="12" t="s">
        <v>365</v>
      </c>
      <c r="C63" s="10" t="s">
        <v>365</v>
      </c>
      <c r="D63" s="12" t="s">
        <v>711</v>
      </c>
      <c r="E63" s="10" t="s">
        <v>712</v>
      </c>
      <c r="F63" s="12" t="s">
        <v>79</v>
      </c>
      <c r="G63" s="12" t="n">
        <v>1</v>
      </c>
      <c r="H63" s="26" t="n">
        <v>25.66</v>
      </c>
      <c r="I63" s="12" t="s">
        <v>102</v>
      </c>
      <c r="J63" s="12" t="s">
        <v>144</v>
      </c>
      <c r="K63" s="10" t="s">
        <v>658</v>
      </c>
      <c r="L63" s="30" t="s">
        <v>713</v>
      </c>
      <c r="M63" s="10" t="s">
        <v>3605</v>
      </c>
    </row>
    <row r="64" customFormat="false" ht="46.25" hidden="false" customHeight="false" outlineLevel="0" collapsed="false">
      <c r="A64" s="12" t="s">
        <v>23</v>
      </c>
      <c r="B64" s="12" t="s">
        <v>365</v>
      </c>
      <c r="C64" s="10" t="s">
        <v>365</v>
      </c>
      <c r="D64" s="12" t="s">
        <v>711</v>
      </c>
      <c r="E64" s="10" t="s">
        <v>714</v>
      </c>
      <c r="F64" s="12" t="s">
        <v>85</v>
      </c>
      <c r="G64" s="12" t="n">
        <v>1</v>
      </c>
      <c r="H64" s="26" t="n">
        <v>44.85</v>
      </c>
      <c r="I64" s="12" t="s">
        <v>102</v>
      </c>
      <c r="J64" s="12" t="s">
        <v>144</v>
      </c>
      <c r="K64" s="10" t="s">
        <v>658</v>
      </c>
      <c r="L64" s="30" t="s">
        <v>715</v>
      </c>
      <c r="M64" s="10" t="s">
        <v>3606</v>
      </c>
    </row>
    <row r="65" customFormat="false" ht="68.65" hidden="false" customHeight="false" outlineLevel="0" collapsed="false">
      <c r="A65" s="12" t="s">
        <v>23</v>
      </c>
      <c r="B65" s="12" t="s">
        <v>128</v>
      </c>
      <c r="C65" s="10" t="s">
        <v>892</v>
      </c>
      <c r="D65" s="12" t="s">
        <v>893</v>
      </c>
      <c r="E65" s="10" t="s">
        <v>894</v>
      </c>
      <c r="F65" s="12" t="s">
        <v>79</v>
      </c>
      <c r="G65" s="12"/>
      <c r="H65" s="26" t="n">
        <v>95.2025</v>
      </c>
      <c r="I65" s="12" t="s">
        <v>153</v>
      </c>
      <c r="J65" s="12" t="s">
        <v>3558</v>
      </c>
      <c r="K65" s="10" t="s">
        <v>658</v>
      </c>
      <c r="L65" s="30" t="s">
        <v>852</v>
      </c>
      <c r="M65" s="10" t="s">
        <v>3607</v>
      </c>
    </row>
    <row r="66" customFormat="false" ht="46.25" hidden="false" customHeight="false" outlineLevel="0" collapsed="false">
      <c r="A66" s="12" t="s">
        <v>23</v>
      </c>
      <c r="B66" s="12" t="s">
        <v>148</v>
      </c>
      <c r="C66" s="10" t="s">
        <v>896</v>
      </c>
      <c r="D66" s="12" t="s">
        <v>897</v>
      </c>
      <c r="E66" s="10" t="s">
        <v>898</v>
      </c>
      <c r="F66" s="12" t="s">
        <v>79</v>
      </c>
      <c r="G66" s="12"/>
      <c r="H66" s="26" t="n">
        <v>12.0797</v>
      </c>
      <c r="I66" s="12" t="s">
        <v>77</v>
      </c>
      <c r="J66" s="12" t="s">
        <v>3558</v>
      </c>
      <c r="K66" s="10" t="s">
        <v>658</v>
      </c>
      <c r="L66" s="30" t="s">
        <v>852</v>
      </c>
      <c r="M66" s="10" t="s">
        <v>3608</v>
      </c>
    </row>
    <row r="67" customFormat="false" ht="46.25" hidden="false" customHeight="false" outlineLevel="0" collapsed="false">
      <c r="A67" s="12" t="s">
        <v>23</v>
      </c>
      <c r="B67" s="12" t="s">
        <v>148</v>
      </c>
      <c r="C67" s="10" t="s">
        <v>900</v>
      </c>
      <c r="D67" s="12" t="s">
        <v>897</v>
      </c>
      <c r="E67" s="10" t="s">
        <v>898</v>
      </c>
      <c r="F67" s="12" t="s">
        <v>79</v>
      </c>
      <c r="G67" s="12"/>
      <c r="H67" s="26" t="n">
        <v>12.0797</v>
      </c>
      <c r="I67" s="12" t="s">
        <v>77</v>
      </c>
      <c r="J67" s="12" t="s">
        <v>3558</v>
      </c>
      <c r="K67" s="10" t="s">
        <v>658</v>
      </c>
      <c r="L67" s="30" t="s">
        <v>852</v>
      </c>
      <c r="M67" s="10" t="s">
        <v>3608</v>
      </c>
    </row>
    <row r="68" customFormat="false" ht="46.25" hidden="false" customHeight="false" outlineLevel="0" collapsed="false">
      <c r="A68" s="12" t="s">
        <v>23</v>
      </c>
      <c r="B68" s="12" t="s">
        <v>148</v>
      </c>
      <c r="C68" s="10" t="s">
        <v>901</v>
      </c>
      <c r="D68" s="12" t="s">
        <v>897</v>
      </c>
      <c r="E68" s="10" t="s">
        <v>898</v>
      </c>
      <c r="F68" s="12" t="s">
        <v>79</v>
      </c>
      <c r="G68" s="12"/>
      <c r="H68" s="26" t="n">
        <v>12.0797</v>
      </c>
      <c r="I68" s="12" t="s">
        <v>77</v>
      </c>
      <c r="J68" s="12" t="s">
        <v>3558</v>
      </c>
      <c r="K68" s="10" t="s">
        <v>658</v>
      </c>
      <c r="L68" s="30" t="s">
        <v>852</v>
      </c>
      <c r="M68" s="10" t="s">
        <v>3608</v>
      </c>
    </row>
    <row r="69" customFormat="false" ht="15" hidden="false" customHeight="false" outlineLevel="0" collapsed="false">
      <c r="A69" s="12" t="s">
        <v>23</v>
      </c>
      <c r="B69" s="12" t="s">
        <v>148</v>
      </c>
      <c r="C69" s="10" t="s">
        <v>148</v>
      </c>
      <c r="D69" s="12" t="s">
        <v>929</v>
      </c>
      <c r="E69" s="10" t="s">
        <v>930</v>
      </c>
      <c r="F69" s="12" t="s">
        <v>79</v>
      </c>
      <c r="G69" s="12" t="n">
        <v>30</v>
      </c>
      <c r="H69" s="26" t="n">
        <v>16.247</v>
      </c>
      <c r="I69" s="12" t="s">
        <v>77</v>
      </c>
      <c r="J69" s="12" t="s">
        <v>948</v>
      </c>
      <c r="K69" s="10" t="s">
        <v>658</v>
      </c>
      <c r="L69" s="30" t="s">
        <v>931</v>
      </c>
      <c r="M69" s="10" t="s">
        <v>3609</v>
      </c>
    </row>
    <row r="70" customFormat="false" ht="15" hidden="false" customHeight="false" outlineLevel="0" collapsed="false">
      <c r="A70" s="12" t="s">
        <v>23</v>
      </c>
      <c r="B70" s="12" t="s">
        <v>148</v>
      </c>
      <c r="C70" s="10" t="s">
        <v>148</v>
      </c>
      <c r="D70" s="12" t="s">
        <v>932</v>
      </c>
      <c r="E70" s="10" t="s">
        <v>933</v>
      </c>
      <c r="F70" s="12" t="s">
        <v>79</v>
      </c>
      <c r="G70" s="12" t="n">
        <v>40</v>
      </c>
      <c r="H70" s="26" t="n">
        <v>36.113</v>
      </c>
      <c r="I70" s="12" t="s">
        <v>77</v>
      </c>
      <c r="J70" s="12" t="s">
        <v>948</v>
      </c>
      <c r="K70" s="10" t="s">
        <v>658</v>
      </c>
      <c r="L70" s="30" t="s">
        <v>931</v>
      </c>
      <c r="M70" s="10" t="s">
        <v>3609</v>
      </c>
    </row>
    <row r="71" customFormat="false" ht="15" hidden="false" customHeight="false" outlineLevel="0" collapsed="false">
      <c r="A71" s="12" t="s">
        <v>23</v>
      </c>
      <c r="B71" s="12" t="s">
        <v>148</v>
      </c>
      <c r="C71" s="10" t="s">
        <v>148</v>
      </c>
      <c r="D71" s="12" t="s">
        <v>929</v>
      </c>
      <c r="E71" s="10" t="s">
        <v>949</v>
      </c>
      <c r="F71" s="12" t="s">
        <v>79</v>
      </c>
      <c r="G71" s="12" t="n">
        <v>30</v>
      </c>
      <c r="H71" s="26" t="n">
        <v>16.247</v>
      </c>
      <c r="I71" s="12" t="s">
        <v>77</v>
      </c>
      <c r="J71" s="12" t="s">
        <v>948</v>
      </c>
      <c r="K71" s="10" t="s">
        <v>658</v>
      </c>
      <c r="L71" s="30" t="s">
        <v>931</v>
      </c>
      <c r="M71" s="10" t="s">
        <v>3609</v>
      </c>
    </row>
    <row r="72" customFormat="false" ht="15" hidden="false" customHeight="false" outlineLevel="0" collapsed="false">
      <c r="A72" s="12" t="s">
        <v>23</v>
      </c>
      <c r="B72" s="12" t="s">
        <v>148</v>
      </c>
      <c r="C72" s="10" t="s">
        <v>148</v>
      </c>
      <c r="D72" s="12" t="s">
        <v>932</v>
      </c>
      <c r="E72" s="10" t="s">
        <v>950</v>
      </c>
      <c r="F72" s="12" t="s">
        <v>79</v>
      </c>
      <c r="G72" s="12" t="n">
        <v>40</v>
      </c>
      <c r="H72" s="26" t="n">
        <v>36.113</v>
      </c>
      <c r="I72" s="12" t="s">
        <v>77</v>
      </c>
      <c r="J72" s="12" t="s">
        <v>948</v>
      </c>
      <c r="K72" s="10" t="s">
        <v>658</v>
      </c>
      <c r="L72" s="30" t="s">
        <v>931</v>
      </c>
      <c r="M72" s="10" t="s">
        <v>3609</v>
      </c>
    </row>
    <row r="73" customFormat="false" ht="46.25" hidden="false" customHeight="false" outlineLevel="0" collapsed="false">
      <c r="A73" s="12" t="s">
        <v>23</v>
      </c>
      <c r="B73" s="12" t="s">
        <v>408</v>
      </c>
      <c r="C73" s="10" t="s">
        <v>408</v>
      </c>
      <c r="D73" s="12" t="s">
        <v>744</v>
      </c>
      <c r="E73" s="10" t="s">
        <v>769</v>
      </c>
      <c r="F73" s="12" t="s">
        <v>79</v>
      </c>
      <c r="G73" s="12" t="n">
        <v>10</v>
      </c>
      <c r="H73" s="26" t="n">
        <v>22.25</v>
      </c>
      <c r="I73" s="12" t="s">
        <v>102</v>
      </c>
      <c r="J73" s="12" t="s">
        <v>144</v>
      </c>
      <c r="K73" s="10" t="s">
        <v>658</v>
      </c>
      <c r="L73" s="30" t="s">
        <v>770</v>
      </c>
      <c r="M73" s="10" t="s">
        <v>3610</v>
      </c>
    </row>
    <row r="74" customFormat="false" ht="46.25" hidden="false" customHeight="false" outlineLevel="0" collapsed="false">
      <c r="A74" s="12" t="s">
        <v>23</v>
      </c>
      <c r="B74" s="12" t="s">
        <v>289</v>
      </c>
      <c r="C74" s="10" t="s">
        <v>716</v>
      </c>
      <c r="D74" s="12" t="s">
        <v>672</v>
      </c>
      <c r="E74" s="10" t="s">
        <v>717</v>
      </c>
      <c r="F74" s="12" t="s">
        <v>79</v>
      </c>
      <c r="G74" s="12" t="n">
        <v>2</v>
      </c>
      <c r="H74" s="26" t="n">
        <v>7.15</v>
      </c>
      <c r="I74" s="12" t="s">
        <v>102</v>
      </c>
      <c r="J74" s="12" t="s">
        <v>144</v>
      </c>
      <c r="K74" s="10" t="s">
        <v>658</v>
      </c>
      <c r="L74" s="30" t="s">
        <v>670</v>
      </c>
      <c r="M74" s="10" t="s">
        <v>3611</v>
      </c>
    </row>
    <row r="75" customFormat="false" ht="57.45" hidden="false" customHeight="false" outlineLevel="0" collapsed="false">
      <c r="A75" s="12" t="s">
        <v>23</v>
      </c>
      <c r="B75" s="12" t="s">
        <v>289</v>
      </c>
      <c r="C75" s="10" t="s">
        <v>716</v>
      </c>
      <c r="D75" s="12" t="s">
        <v>718</v>
      </c>
      <c r="E75" s="10" t="s">
        <v>719</v>
      </c>
      <c r="F75" s="12" t="s">
        <v>79</v>
      </c>
      <c r="G75" s="12" t="n">
        <v>8</v>
      </c>
      <c r="H75" s="26" t="n">
        <v>9.9</v>
      </c>
      <c r="I75" s="12" t="s">
        <v>102</v>
      </c>
      <c r="J75" s="12" t="s">
        <v>144</v>
      </c>
      <c r="K75" s="10" t="s">
        <v>658</v>
      </c>
      <c r="L75" s="30" t="s">
        <v>670</v>
      </c>
      <c r="M75" s="10" t="s">
        <v>3612</v>
      </c>
    </row>
    <row r="76" customFormat="false" ht="46.25" hidden="false" customHeight="false" outlineLevel="0" collapsed="false">
      <c r="A76" s="12" t="s">
        <v>23</v>
      </c>
      <c r="B76" s="12" t="s">
        <v>289</v>
      </c>
      <c r="C76" s="10" t="s">
        <v>716</v>
      </c>
      <c r="D76" s="12" t="s">
        <v>720</v>
      </c>
      <c r="E76" s="10" t="s">
        <v>721</v>
      </c>
      <c r="F76" s="12" t="s">
        <v>79</v>
      </c>
      <c r="G76" s="12" t="n">
        <v>10</v>
      </c>
      <c r="H76" s="26" t="n">
        <v>12.38</v>
      </c>
      <c r="I76" s="12" t="s">
        <v>102</v>
      </c>
      <c r="J76" s="12" t="s">
        <v>144</v>
      </c>
      <c r="K76" s="10" t="s">
        <v>658</v>
      </c>
      <c r="L76" s="30" t="s">
        <v>670</v>
      </c>
      <c r="M76" s="10" t="s">
        <v>3613</v>
      </c>
    </row>
    <row r="77" customFormat="false" ht="35.05" hidden="false" customHeight="false" outlineLevel="0" collapsed="false">
      <c r="A77" s="12" t="s">
        <v>23</v>
      </c>
      <c r="B77" s="12" t="s">
        <v>381</v>
      </c>
      <c r="C77" s="10" t="s">
        <v>381</v>
      </c>
      <c r="D77" s="12" t="s">
        <v>677</v>
      </c>
      <c r="E77" s="10" t="s">
        <v>722</v>
      </c>
      <c r="F77" s="12" t="s">
        <v>79</v>
      </c>
      <c r="G77" s="12"/>
      <c r="H77" s="26" t="n">
        <v>4.92</v>
      </c>
      <c r="I77" s="12" t="s">
        <v>102</v>
      </c>
      <c r="J77" s="12" t="s">
        <v>144</v>
      </c>
      <c r="K77" s="10" t="s">
        <v>665</v>
      </c>
      <c r="L77" s="30" t="s">
        <v>666</v>
      </c>
      <c r="M77" s="10" t="s">
        <v>3614</v>
      </c>
    </row>
    <row r="78" customFormat="false" ht="35.05" hidden="false" customHeight="false" outlineLevel="0" collapsed="false">
      <c r="A78" s="12" t="s">
        <v>23</v>
      </c>
      <c r="B78" s="12" t="s">
        <v>381</v>
      </c>
      <c r="C78" s="10" t="s">
        <v>381</v>
      </c>
      <c r="D78" s="12" t="s">
        <v>723</v>
      </c>
      <c r="E78" s="10" t="s">
        <v>724</v>
      </c>
      <c r="F78" s="12" t="s">
        <v>79</v>
      </c>
      <c r="G78" s="12"/>
      <c r="H78" s="26" t="n">
        <v>9.84</v>
      </c>
      <c r="I78" s="12" t="s">
        <v>102</v>
      </c>
      <c r="J78" s="12" t="s">
        <v>144</v>
      </c>
      <c r="K78" s="10" t="s">
        <v>665</v>
      </c>
      <c r="L78" s="30" t="s">
        <v>666</v>
      </c>
      <c r="M78" s="10" t="s">
        <v>3615</v>
      </c>
    </row>
    <row r="79" customFormat="false" ht="68.65" hidden="false" customHeight="false" outlineLevel="0" collapsed="false">
      <c r="A79" s="12" t="s">
        <v>23</v>
      </c>
      <c r="B79" s="12" t="s">
        <v>151</v>
      </c>
      <c r="C79" s="10" t="s">
        <v>902</v>
      </c>
      <c r="D79" s="12" t="s">
        <v>903</v>
      </c>
      <c r="E79" s="10" t="s">
        <v>904</v>
      </c>
      <c r="F79" s="12" t="s">
        <v>79</v>
      </c>
      <c r="G79" s="12"/>
      <c r="H79" s="26" t="n">
        <v>55.8898</v>
      </c>
      <c r="I79" s="12" t="s">
        <v>153</v>
      </c>
      <c r="J79" s="12" t="s">
        <v>3558</v>
      </c>
      <c r="K79" s="10" t="s">
        <v>658</v>
      </c>
      <c r="L79" s="30" t="s">
        <v>852</v>
      </c>
      <c r="M79" s="10" t="s">
        <v>3616</v>
      </c>
    </row>
    <row r="80" customFormat="false" ht="46.25" hidden="false" customHeight="false" outlineLevel="0" collapsed="false">
      <c r="A80" s="12" t="s">
        <v>23</v>
      </c>
      <c r="B80" s="12" t="s">
        <v>287</v>
      </c>
      <c r="C80" s="10" t="s">
        <v>725</v>
      </c>
      <c r="D80" s="12" t="s">
        <v>726</v>
      </c>
      <c r="E80" s="10" t="s">
        <v>727</v>
      </c>
      <c r="F80" s="12" t="s">
        <v>79</v>
      </c>
      <c r="G80" s="12"/>
      <c r="H80" s="26" t="n">
        <v>8.76</v>
      </c>
      <c r="I80" s="12" t="s">
        <v>102</v>
      </c>
      <c r="J80" s="12" t="s">
        <v>144</v>
      </c>
      <c r="K80" s="10" t="s">
        <v>658</v>
      </c>
      <c r="L80" s="30" t="s">
        <v>728</v>
      </c>
      <c r="M80" s="10" t="s">
        <v>3617</v>
      </c>
    </row>
    <row r="81" customFormat="false" ht="46.25" hidden="false" customHeight="false" outlineLevel="0" collapsed="false">
      <c r="A81" s="12" t="s">
        <v>23</v>
      </c>
      <c r="B81" s="12" t="s">
        <v>287</v>
      </c>
      <c r="C81" s="10" t="s">
        <v>725</v>
      </c>
      <c r="D81" s="12" t="s">
        <v>729</v>
      </c>
      <c r="E81" s="10" t="s">
        <v>730</v>
      </c>
      <c r="F81" s="12" t="s">
        <v>79</v>
      </c>
      <c r="G81" s="12"/>
      <c r="H81" s="26" t="n">
        <v>6.06</v>
      </c>
      <c r="I81" s="12" t="s">
        <v>102</v>
      </c>
      <c r="J81" s="12" t="s">
        <v>144</v>
      </c>
      <c r="K81" s="10" t="s">
        <v>658</v>
      </c>
      <c r="L81" s="30" t="s">
        <v>728</v>
      </c>
      <c r="M81" s="10" t="s">
        <v>3618</v>
      </c>
    </row>
    <row r="82" customFormat="false" ht="23.85" hidden="false" customHeight="false" outlineLevel="0" collapsed="false">
      <c r="A82" s="12" t="s">
        <v>23</v>
      </c>
      <c r="B82" s="12" t="s">
        <v>374</v>
      </c>
      <c r="C82" s="10" t="s">
        <v>731</v>
      </c>
      <c r="D82" s="12" t="s">
        <v>732</v>
      </c>
      <c r="E82" s="10" t="s">
        <v>733</v>
      </c>
      <c r="F82" s="12" t="s">
        <v>85</v>
      </c>
      <c r="G82" s="12" t="n">
        <v>2</v>
      </c>
      <c r="H82" s="26"/>
      <c r="I82" s="12" t="s">
        <v>323</v>
      </c>
      <c r="J82" s="12" t="s">
        <v>323</v>
      </c>
      <c r="K82" s="10" t="s">
        <v>3589</v>
      </c>
      <c r="L82" s="12"/>
      <c r="M82" s="10" t="s">
        <v>3590</v>
      </c>
    </row>
    <row r="83" customFormat="false" ht="46.25" hidden="false" customHeight="false" outlineLevel="0" collapsed="false">
      <c r="A83" s="12" t="s">
        <v>23</v>
      </c>
      <c r="B83" s="12" t="s">
        <v>374</v>
      </c>
      <c r="C83" s="10" t="s">
        <v>731</v>
      </c>
      <c r="D83" s="12" t="s">
        <v>735</v>
      </c>
      <c r="E83" s="10" t="s">
        <v>736</v>
      </c>
      <c r="F83" s="12" t="s">
        <v>79</v>
      </c>
      <c r="G83" s="12" t="n">
        <v>1</v>
      </c>
      <c r="H83" s="26" t="n">
        <v>6.43</v>
      </c>
      <c r="I83" s="12" t="s">
        <v>102</v>
      </c>
      <c r="J83" s="12" t="s">
        <v>144</v>
      </c>
      <c r="K83" s="10" t="s">
        <v>658</v>
      </c>
      <c r="L83" s="30" t="s">
        <v>737</v>
      </c>
      <c r="M83" s="10" t="s">
        <v>3619</v>
      </c>
    </row>
    <row r="84" customFormat="false" ht="35.05" hidden="false" customHeight="false" outlineLevel="0" collapsed="false">
      <c r="A84" s="12" t="s">
        <v>23</v>
      </c>
      <c r="B84" s="12" t="s">
        <v>374</v>
      </c>
      <c r="C84" s="10" t="s">
        <v>731</v>
      </c>
      <c r="D84" s="12" t="s">
        <v>955</v>
      </c>
      <c r="E84" s="10" t="s">
        <v>956</v>
      </c>
      <c r="F84" s="12" t="s">
        <v>79</v>
      </c>
      <c r="G84" s="12" t="n">
        <v>10</v>
      </c>
      <c r="H84" s="26" t="n">
        <v>96.215</v>
      </c>
      <c r="I84" s="12" t="s">
        <v>102</v>
      </c>
      <c r="J84" s="12" t="s">
        <v>948</v>
      </c>
      <c r="K84" s="10" t="s">
        <v>658</v>
      </c>
      <c r="L84" s="30" t="s">
        <v>944</v>
      </c>
      <c r="M84" s="10" t="s">
        <v>3620</v>
      </c>
    </row>
    <row r="85" customFormat="false" ht="46.25" hidden="false" customHeight="false" outlineLevel="0" collapsed="false">
      <c r="A85" s="12" t="s">
        <v>23</v>
      </c>
      <c r="B85" s="12" t="s">
        <v>210</v>
      </c>
      <c r="C85" s="10" t="s">
        <v>210</v>
      </c>
      <c r="D85" s="12" t="s">
        <v>846</v>
      </c>
      <c r="E85" s="10" t="s">
        <v>847</v>
      </c>
      <c r="F85" s="12" t="s">
        <v>172</v>
      </c>
      <c r="G85" s="12"/>
      <c r="H85" s="26" t="n">
        <v>6.34</v>
      </c>
      <c r="I85" s="12" t="s">
        <v>102</v>
      </c>
      <c r="J85" s="12" t="s">
        <v>194</v>
      </c>
      <c r="K85" s="10" t="s">
        <v>658</v>
      </c>
      <c r="L85" s="30" t="s">
        <v>848</v>
      </c>
      <c r="M85" s="10" t="s">
        <v>3621</v>
      </c>
    </row>
    <row r="86" customFormat="false" ht="57.45" hidden="false" customHeight="false" outlineLevel="0" collapsed="false">
      <c r="A86" s="12" t="s">
        <v>23</v>
      </c>
      <c r="B86" s="12" t="s">
        <v>210</v>
      </c>
      <c r="C86" s="10" t="s">
        <v>906</v>
      </c>
      <c r="D86" s="12" t="s">
        <v>907</v>
      </c>
      <c r="E86" s="10" t="s">
        <v>908</v>
      </c>
      <c r="F86" s="12" t="s">
        <v>172</v>
      </c>
      <c r="G86" s="12" t="n">
        <v>2</v>
      </c>
      <c r="H86" s="26" t="n">
        <v>5.3223</v>
      </c>
      <c r="I86" s="12" t="s">
        <v>102</v>
      </c>
      <c r="J86" s="12" t="s">
        <v>3558</v>
      </c>
      <c r="K86" s="10" t="s">
        <v>658</v>
      </c>
      <c r="L86" s="30" t="s">
        <v>852</v>
      </c>
      <c r="M86" s="10" t="s">
        <v>3622</v>
      </c>
    </row>
    <row r="87" customFormat="false" ht="35.05" hidden="false" customHeight="false" outlineLevel="0" collapsed="false">
      <c r="A87" s="12" t="s">
        <v>23</v>
      </c>
      <c r="B87" s="12" t="s">
        <v>210</v>
      </c>
      <c r="C87" s="10" t="s">
        <v>938</v>
      </c>
      <c r="D87" s="12" t="s">
        <v>846</v>
      </c>
      <c r="E87" s="10" t="s">
        <v>939</v>
      </c>
      <c r="F87" s="12" t="s">
        <v>79</v>
      </c>
      <c r="G87" s="12" t="n">
        <v>2</v>
      </c>
      <c r="H87" s="26" t="n">
        <v>9.2526</v>
      </c>
      <c r="I87" s="12" t="s">
        <v>77</v>
      </c>
      <c r="J87" s="12" t="s">
        <v>948</v>
      </c>
      <c r="K87" s="10" t="s">
        <v>658</v>
      </c>
      <c r="L87" s="30" t="s">
        <v>940</v>
      </c>
      <c r="M87" s="10" t="s">
        <v>3623</v>
      </c>
    </row>
    <row r="88" customFormat="false" ht="35.05" hidden="false" customHeight="false" outlineLevel="0" collapsed="false">
      <c r="A88" s="12" t="s">
        <v>23</v>
      </c>
      <c r="B88" s="12" t="s">
        <v>210</v>
      </c>
      <c r="C88" s="10" t="s">
        <v>938</v>
      </c>
      <c r="D88" s="12" t="s">
        <v>846</v>
      </c>
      <c r="E88" s="10" t="s">
        <v>941</v>
      </c>
      <c r="F88" s="12" t="s">
        <v>79</v>
      </c>
      <c r="G88" s="12" t="n">
        <v>4</v>
      </c>
      <c r="H88" s="26" t="n">
        <v>18.5052</v>
      </c>
      <c r="I88" s="12" t="s">
        <v>77</v>
      </c>
      <c r="J88" s="12" t="s">
        <v>948</v>
      </c>
      <c r="K88" s="10" t="s">
        <v>658</v>
      </c>
      <c r="L88" s="30" t="s">
        <v>942</v>
      </c>
      <c r="M88" s="10" t="s">
        <v>3624</v>
      </c>
    </row>
    <row r="89" customFormat="false" ht="35.05" hidden="false" customHeight="false" outlineLevel="0" collapsed="false">
      <c r="A89" s="12" t="s">
        <v>23</v>
      </c>
      <c r="B89" s="12" t="s">
        <v>210</v>
      </c>
      <c r="C89" s="10" t="s">
        <v>960</v>
      </c>
      <c r="D89" s="12" t="s">
        <v>846</v>
      </c>
      <c r="E89" s="10" t="s">
        <v>961</v>
      </c>
      <c r="F89" s="12" t="s">
        <v>79</v>
      </c>
      <c r="G89" s="12" t="n">
        <v>4</v>
      </c>
      <c r="H89" s="26" t="n">
        <v>9.67456</v>
      </c>
      <c r="I89" s="12" t="s">
        <v>102</v>
      </c>
      <c r="J89" s="12" t="s">
        <v>948</v>
      </c>
      <c r="K89" s="10" t="s">
        <v>658</v>
      </c>
      <c r="L89" s="30" t="s">
        <v>944</v>
      </c>
      <c r="M89" s="10" t="s">
        <v>3625</v>
      </c>
    </row>
    <row r="90" customFormat="false" ht="46.25" hidden="false" customHeight="false" outlineLevel="0" collapsed="false">
      <c r="A90" s="12" t="s">
        <v>23</v>
      </c>
      <c r="B90" s="12" t="s">
        <v>418</v>
      </c>
      <c r="C90" s="10" t="s">
        <v>738</v>
      </c>
      <c r="D90" s="12" t="s">
        <v>726</v>
      </c>
      <c r="E90" s="10" t="s">
        <v>739</v>
      </c>
      <c r="F90" s="12" t="s">
        <v>79</v>
      </c>
      <c r="G90" s="12"/>
      <c r="H90" s="26" t="n">
        <v>10.93</v>
      </c>
      <c r="I90" s="12" t="s">
        <v>102</v>
      </c>
      <c r="J90" s="12" t="s">
        <v>144</v>
      </c>
      <c r="K90" s="10" t="s">
        <v>658</v>
      </c>
      <c r="L90" s="30" t="s">
        <v>740</v>
      </c>
      <c r="M90" s="10" t="s">
        <v>3626</v>
      </c>
    </row>
    <row r="91" customFormat="false" ht="46.25" hidden="false" customHeight="false" outlineLevel="0" collapsed="false">
      <c r="A91" s="12" t="s">
        <v>23</v>
      </c>
      <c r="B91" s="12" t="s">
        <v>400</v>
      </c>
      <c r="C91" s="10" t="s">
        <v>771</v>
      </c>
      <c r="D91" s="12" t="s">
        <v>772</v>
      </c>
      <c r="E91" s="10" t="s">
        <v>773</v>
      </c>
      <c r="F91" s="12" t="s">
        <v>79</v>
      </c>
      <c r="G91" s="12" t="n">
        <v>5</v>
      </c>
      <c r="H91" s="26" t="n">
        <v>9.74</v>
      </c>
      <c r="I91" s="12" t="s">
        <v>102</v>
      </c>
      <c r="J91" s="12" t="s">
        <v>144</v>
      </c>
      <c r="K91" s="10" t="s">
        <v>658</v>
      </c>
      <c r="L91" s="30" t="s">
        <v>774</v>
      </c>
      <c r="M91" s="10" t="s">
        <v>3627</v>
      </c>
    </row>
    <row r="92" customFormat="false" ht="35.05" hidden="false" customHeight="false" outlineLevel="0" collapsed="false">
      <c r="A92" s="12" t="s">
        <v>23</v>
      </c>
      <c r="B92" s="12" t="s">
        <v>180</v>
      </c>
      <c r="C92" s="10" t="s">
        <v>180</v>
      </c>
      <c r="D92" s="12" t="s">
        <v>842</v>
      </c>
      <c r="E92" s="10" t="s">
        <v>843</v>
      </c>
      <c r="F92" s="12" t="s">
        <v>79</v>
      </c>
      <c r="G92" s="12"/>
      <c r="H92" s="26" t="n">
        <v>6.61</v>
      </c>
      <c r="I92" s="12" t="s">
        <v>102</v>
      </c>
      <c r="J92" s="12" t="s">
        <v>194</v>
      </c>
      <c r="K92" s="10" t="s">
        <v>658</v>
      </c>
      <c r="L92" s="30" t="s">
        <v>844</v>
      </c>
      <c r="M92" s="10" t="s">
        <v>3628</v>
      </c>
    </row>
    <row r="93" customFormat="false" ht="15" hidden="false" customHeight="false" outlineLevel="0" collapsed="false">
      <c r="A93" s="12" t="s">
        <v>23</v>
      </c>
      <c r="B93" s="12" t="s">
        <v>180</v>
      </c>
      <c r="C93" s="10" t="s">
        <v>180</v>
      </c>
      <c r="D93" s="12" t="s">
        <v>921</v>
      </c>
      <c r="E93" s="10" t="s">
        <v>922</v>
      </c>
      <c r="F93" s="12" t="s">
        <v>79</v>
      </c>
      <c r="G93" s="12"/>
      <c r="H93" s="26" t="n">
        <v>8.2474</v>
      </c>
      <c r="I93" s="12" t="s">
        <v>77</v>
      </c>
      <c r="J93" s="12" t="s">
        <v>948</v>
      </c>
      <c r="K93" s="10" t="s">
        <v>658</v>
      </c>
      <c r="L93" s="30" t="s">
        <v>923</v>
      </c>
      <c r="M93" s="10" t="s">
        <v>3629</v>
      </c>
    </row>
    <row r="94" customFormat="false" ht="15" hidden="false" customHeight="false" outlineLevel="0" collapsed="false">
      <c r="A94" s="12" t="s">
        <v>23</v>
      </c>
      <c r="B94" s="12" t="s">
        <v>180</v>
      </c>
      <c r="C94" s="10" t="s">
        <v>180</v>
      </c>
      <c r="D94" s="12" t="s">
        <v>921</v>
      </c>
      <c r="E94" s="10" t="s">
        <v>951</v>
      </c>
      <c r="F94" s="12" t="s">
        <v>79</v>
      </c>
      <c r="G94" s="12" t="n">
        <v>10</v>
      </c>
      <c r="H94" s="26" t="n">
        <v>8.2474</v>
      </c>
      <c r="I94" s="12" t="s">
        <v>77</v>
      </c>
      <c r="J94" s="12" t="s">
        <v>948</v>
      </c>
      <c r="K94" s="10" t="s">
        <v>658</v>
      </c>
      <c r="L94" s="30" t="s">
        <v>923</v>
      </c>
      <c r="M94" s="10" t="s">
        <v>3629</v>
      </c>
    </row>
    <row r="95" customFormat="false" ht="46.25" hidden="false" customHeight="false" outlineLevel="0" collapsed="false">
      <c r="A95" s="12" t="s">
        <v>23</v>
      </c>
      <c r="B95" s="12" t="s">
        <v>112</v>
      </c>
      <c r="C95" s="10" t="s">
        <v>112</v>
      </c>
      <c r="D95" s="12" t="s">
        <v>823</v>
      </c>
      <c r="E95" s="10" t="s">
        <v>824</v>
      </c>
      <c r="F95" s="12" t="s">
        <v>79</v>
      </c>
      <c r="G95" s="12" t="n">
        <v>1.2</v>
      </c>
      <c r="H95" s="26" t="n">
        <v>343.8</v>
      </c>
      <c r="I95" s="12" t="s">
        <v>102</v>
      </c>
      <c r="J95" s="12" t="s">
        <v>144</v>
      </c>
      <c r="K95" s="10" t="s">
        <v>658</v>
      </c>
      <c r="L95" s="30" t="s">
        <v>825</v>
      </c>
      <c r="M95" s="10" t="s">
        <v>3630</v>
      </c>
    </row>
    <row r="96" customFormat="false" ht="46.25" hidden="false" customHeight="false" outlineLevel="0" collapsed="false">
      <c r="A96" s="12" t="s">
        <v>23</v>
      </c>
      <c r="B96" s="12" t="s">
        <v>112</v>
      </c>
      <c r="C96" s="10" t="s">
        <v>112</v>
      </c>
      <c r="D96" s="12" t="s">
        <v>835</v>
      </c>
      <c r="E96" s="10" t="s">
        <v>836</v>
      </c>
      <c r="F96" s="12" t="s">
        <v>79</v>
      </c>
      <c r="G96" s="12" t="n">
        <v>1.2</v>
      </c>
      <c r="H96" s="26" t="n">
        <v>6345.6</v>
      </c>
      <c r="I96" s="12" t="s">
        <v>102</v>
      </c>
      <c r="J96" s="12" t="s">
        <v>194</v>
      </c>
      <c r="K96" s="10" t="s">
        <v>658</v>
      </c>
      <c r="L96" s="30" t="s">
        <v>837</v>
      </c>
      <c r="M96" s="10" t="s">
        <v>3631</v>
      </c>
    </row>
    <row r="97" customFormat="false" ht="46.25" hidden="false" customHeight="false" outlineLevel="0" collapsed="false">
      <c r="A97" s="12" t="s">
        <v>23</v>
      </c>
      <c r="B97" s="12" t="s">
        <v>112</v>
      </c>
      <c r="C97" s="10" t="s">
        <v>909</v>
      </c>
      <c r="D97" s="12" t="s">
        <v>910</v>
      </c>
      <c r="E97" s="10" t="s">
        <v>836</v>
      </c>
      <c r="F97" s="12" t="s">
        <v>79</v>
      </c>
      <c r="G97" s="12" t="n">
        <v>1.2</v>
      </c>
      <c r="H97" s="26" t="n">
        <v>7322.4226</v>
      </c>
      <c r="I97" s="12" t="s">
        <v>77</v>
      </c>
      <c r="J97" s="12" t="s">
        <v>3558</v>
      </c>
      <c r="K97" s="10" t="s">
        <v>658</v>
      </c>
      <c r="L97" s="30" t="s">
        <v>852</v>
      </c>
      <c r="M97" s="10" t="s">
        <v>3632</v>
      </c>
    </row>
    <row r="98" customFormat="false" ht="23.85" hidden="false" customHeight="false" outlineLevel="0" collapsed="false">
      <c r="A98" s="12" t="s">
        <v>23</v>
      </c>
      <c r="B98" s="12" t="s">
        <v>112</v>
      </c>
      <c r="C98" s="10" t="s">
        <v>112</v>
      </c>
      <c r="D98" s="12" t="s">
        <v>835</v>
      </c>
      <c r="E98" s="10" t="s">
        <v>959</v>
      </c>
      <c r="F98" s="12" t="s">
        <v>79</v>
      </c>
      <c r="G98" s="12" t="n">
        <v>1.2</v>
      </c>
      <c r="H98" s="26" t="n">
        <v>3979.598</v>
      </c>
      <c r="I98" s="12" t="s">
        <v>77</v>
      </c>
      <c r="J98" s="12" t="s">
        <v>948</v>
      </c>
      <c r="K98" s="10" t="s">
        <v>658</v>
      </c>
      <c r="L98" s="30" t="s">
        <v>944</v>
      </c>
      <c r="M98" s="10" t="s">
        <v>3633</v>
      </c>
    </row>
    <row r="99" customFormat="false" ht="46.25" hidden="false" customHeight="false" outlineLevel="0" collapsed="false">
      <c r="A99" s="12" t="s">
        <v>23</v>
      </c>
      <c r="B99" s="12" t="s">
        <v>112</v>
      </c>
      <c r="C99" s="10" t="s">
        <v>984</v>
      </c>
      <c r="D99" s="12" t="s">
        <v>985</v>
      </c>
      <c r="E99" s="10" t="s">
        <v>986</v>
      </c>
      <c r="F99" s="12" t="s">
        <v>79</v>
      </c>
      <c r="G99" s="12" t="n">
        <v>1.2</v>
      </c>
      <c r="H99" s="26" t="n">
        <v>559.566</v>
      </c>
      <c r="I99" s="12" t="s">
        <v>77</v>
      </c>
      <c r="J99" s="12" t="s">
        <v>1044</v>
      </c>
      <c r="K99" s="10" t="s">
        <v>658</v>
      </c>
      <c r="L99" s="30" t="s">
        <v>987</v>
      </c>
      <c r="M99" s="10" t="s">
        <v>3634</v>
      </c>
    </row>
    <row r="100" customFormat="false" ht="46.25" hidden="false" customHeight="false" outlineLevel="0" collapsed="false">
      <c r="A100" s="12" t="s">
        <v>23</v>
      </c>
      <c r="B100" s="12" t="s">
        <v>388</v>
      </c>
      <c r="C100" s="10" t="s">
        <v>388</v>
      </c>
      <c r="D100" s="12" t="s">
        <v>741</v>
      </c>
      <c r="E100" s="10" t="s">
        <v>742</v>
      </c>
      <c r="F100" s="12" t="s">
        <v>79</v>
      </c>
      <c r="G100" s="12" t="n">
        <v>10</v>
      </c>
      <c r="H100" s="26" t="n">
        <v>22.25</v>
      </c>
      <c r="I100" s="12" t="s">
        <v>102</v>
      </c>
      <c r="J100" s="12" t="s">
        <v>144</v>
      </c>
      <c r="K100" s="10" t="s">
        <v>658</v>
      </c>
      <c r="L100" s="30" t="s">
        <v>743</v>
      </c>
      <c r="M100" s="10" t="s">
        <v>3635</v>
      </c>
    </row>
    <row r="101" customFormat="false" ht="35.05" hidden="false" customHeight="false" outlineLevel="0" collapsed="false">
      <c r="A101" s="12" t="s">
        <v>23</v>
      </c>
      <c r="B101" s="12" t="s">
        <v>415</v>
      </c>
      <c r="C101" s="10" t="s">
        <v>415</v>
      </c>
      <c r="D101" s="12" t="s">
        <v>809</v>
      </c>
      <c r="E101" s="10" t="s">
        <v>810</v>
      </c>
      <c r="F101" s="12" t="s">
        <v>85</v>
      </c>
      <c r="G101" s="12" t="n">
        <v>5</v>
      </c>
      <c r="H101" s="26" t="n">
        <v>10.03</v>
      </c>
      <c r="I101" s="12" t="s">
        <v>102</v>
      </c>
      <c r="J101" s="12" t="s">
        <v>144</v>
      </c>
      <c r="K101" s="10" t="s">
        <v>665</v>
      </c>
      <c r="L101" s="30" t="s">
        <v>666</v>
      </c>
      <c r="M101" s="10" t="s">
        <v>3636</v>
      </c>
    </row>
    <row r="102" customFormat="false" ht="68.65" hidden="false" customHeight="false" outlineLevel="0" collapsed="false">
      <c r="A102" s="12" t="s">
        <v>23</v>
      </c>
      <c r="B102" s="12" t="s">
        <v>275</v>
      </c>
      <c r="C102" s="10" t="s">
        <v>911</v>
      </c>
      <c r="D102" s="12" t="s">
        <v>912</v>
      </c>
      <c r="E102" s="10" t="s">
        <v>913</v>
      </c>
      <c r="F102" s="12" t="s">
        <v>79</v>
      </c>
      <c r="G102" s="12"/>
      <c r="H102" s="26" t="n">
        <v>7.0399</v>
      </c>
      <c r="I102" s="12" t="s">
        <v>153</v>
      </c>
      <c r="J102" s="12" t="s">
        <v>3547</v>
      </c>
      <c r="K102" s="10" t="s">
        <v>658</v>
      </c>
      <c r="L102" s="30" t="s">
        <v>914</v>
      </c>
      <c r="M102" s="10" t="s">
        <v>3637</v>
      </c>
    </row>
    <row r="103" customFormat="false" ht="35.05" hidden="false" customHeight="false" outlineLevel="0" collapsed="false">
      <c r="A103" s="12" t="s">
        <v>23</v>
      </c>
      <c r="B103" s="12" t="s">
        <v>371</v>
      </c>
      <c r="C103" s="10" t="s">
        <v>779</v>
      </c>
      <c r="D103" s="12" t="s">
        <v>780</v>
      </c>
      <c r="E103" s="10" t="s">
        <v>781</v>
      </c>
      <c r="F103" s="12" t="s">
        <v>79</v>
      </c>
      <c r="G103" s="12" t="n">
        <v>20</v>
      </c>
      <c r="H103" s="26" t="n">
        <v>7.54</v>
      </c>
      <c r="I103" s="12" t="s">
        <v>102</v>
      </c>
      <c r="J103" s="12" t="s">
        <v>144</v>
      </c>
      <c r="K103" s="10" t="s">
        <v>658</v>
      </c>
      <c r="L103" s="30" t="s">
        <v>782</v>
      </c>
      <c r="M103" s="10" t="s">
        <v>3638</v>
      </c>
    </row>
    <row r="104" customFormat="false" ht="35.05" hidden="false" customHeight="false" outlineLevel="0" collapsed="false">
      <c r="A104" s="12" t="s">
        <v>23</v>
      </c>
      <c r="B104" s="12" t="s">
        <v>371</v>
      </c>
      <c r="C104" s="10" t="s">
        <v>779</v>
      </c>
      <c r="D104" s="12" t="s">
        <v>783</v>
      </c>
      <c r="E104" s="10" t="s">
        <v>784</v>
      </c>
      <c r="F104" s="12" t="s">
        <v>79</v>
      </c>
      <c r="G104" s="12" t="n">
        <v>20</v>
      </c>
      <c r="H104" s="26" t="n">
        <v>5.02</v>
      </c>
      <c r="I104" s="12" t="s">
        <v>102</v>
      </c>
      <c r="J104" s="12" t="s">
        <v>144</v>
      </c>
      <c r="K104" s="10" t="s">
        <v>658</v>
      </c>
      <c r="L104" s="30" t="s">
        <v>782</v>
      </c>
      <c r="M104" s="10" t="s">
        <v>3639</v>
      </c>
    </row>
    <row r="105" customFormat="false" ht="35.05" hidden="false" customHeight="false" outlineLevel="0" collapsed="false">
      <c r="A105" s="12" t="s">
        <v>23</v>
      </c>
      <c r="B105" s="12" t="s">
        <v>371</v>
      </c>
      <c r="C105" s="10" t="s">
        <v>779</v>
      </c>
      <c r="D105" s="12" t="s">
        <v>785</v>
      </c>
      <c r="E105" s="10" t="s">
        <v>786</v>
      </c>
      <c r="F105" s="12" t="s">
        <v>79</v>
      </c>
      <c r="G105" s="12" t="n">
        <v>10</v>
      </c>
      <c r="H105" s="26" t="n">
        <v>9.85</v>
      </c>
      <c r="I105" s="12" t="s">
        <v>102</v>
      </c>
      <c r="J105" s="12" t="s">
        <v>144</v>
      </c>
      <c r="K105" s="10" t="s">
        <v>658</v>
      </c>
      <c r="L105" s="30" t="s">
        <v>782</v>
      </c>
      <c r="M105" s="10" t="s">
        <v>3640</v>
      </c>
    </row>
    <row r="106" customFormat="false" ht="35.05" hidden="false" customHeight="false" outlineLevel="0" collapsed="false">
      <c r="A106" s="12" t="s">
        <v>23</v>
      </c>
      <c r="B106" s="12" t="s">
        <v>371</v>
      </c>
      <c r="C106" s="10" t="s">
        <v>779</v>
      </c>
      <c r="D106" s="12" t="s">
        <v>787</v>
      </c>
      <c r="E106" s="10" t="s">
        <v>788</v>
      </c>
      <c r="F106" s="12" t="s">
        <v>79</v>
      </c>
      <c r="G106" s="12" t="n">
        <v>30</v>
      </c>
      <c r="H106" s="26" t="n">
        <v>7.03</v>
      </c>
      <c r="I106" s="12" t="s">
        <v>102</v>
      </c>
      <c r="J106" s="12" t="s">
        <v>144</v>
      </c>
      <c r="K106" s="10" t="s">
        <v>658</v>
      </c>
      <c r="L106" s="30" t="s">
        <v>782</v>
      </c>
      <c r="M106" s="10" t="s">
        <v>3641</v>
      </c>
    </row>
    <row r="107" customFormat="false" ht="35.05" hidden="false" customHeight="false" outlineLevel="0" collapsed="false">
      <c r="A107" s="12" t="s">
        <v>23</v>
      </c>
      <c r="B107" s="12" t="s">
        <v>371</v>
      </c>
      <c r="C107" s="10" t="s">
        <v>779</v>
      </c>
      <c r="D107" s="12" t="s">
        <v>789</v>
      </c>
      <c r="E107" s="10" t="s">
        <v>790</v>
      </c>
      <c r="F107" s="12" t="s">
        <v>79</v>
      </c>
      <c r="G107" s="12" t="n">
        <v>20</v>
      </c>
      <c r="H107" s="26" t="n">
        <v>16.57</v>
      </c>
      <c r="I107" s="12" t="s">
        <v>102</v>
      </c>
      <c r="J107" s="12" t="s">
        <v>144</v>
      </c>
      <c r="K107" s="10" t="s">
        <v>658</v>
      </c>
      <c r="L107" s="30" t="s">
        <v>782</v>
      </c>
      <c r="M107" s="10" t="s">
        <v>3642</v>
      </c>
    </row>
    <row r="108" customFormat="false" ht="35.05" hidden="false" customHeight="false" outlineLevel="0" collapsed="false">
      <c r="A108" s="12" t="s">
        <v>23</v>
      </c>
      <c r="B108" s="12" t="s">
        <v>371</v>
      </c>
      <c r="C108" s="10" t="s">
        <v>779</v>
      </c>
      <c r="D108" s="12" t="s">
        <v>791</v>
      </c>
      <c r="E108" s="10" t="s">
        <v>792</v>
      </c>
      <c r="F108" s="12" t="s">
        <v>79</v>
      </c>
      <c r="G108" s="12" t="n">
        <v>20</v>
      </c>
      <c r="H108" s="26" t="n">
        <v>7.03</v>
      </c>
      <c r="I108" s="12" t="s">
        <v>102</v>
      </c>
      <c r="J108" s="12" t="s">
        <v>144</v>
      </c>
      <c r="K108" s="10" t="s">
        <v>658</v>
      </c>
      <c r="L108" s="30" t="s">
        <v>782</v>
      </c>
      <c r="M108" s="10" t="s">
        <v>3643</v>
      </c>
    </row>
    <row r="109" customFormat="false" ht="46.25" hidden="false" customHeight="false" outlineLevel="0" collapsed="false">
      <c r="A109" s="12" t="s">
        <v>23</v>
      </c>
      <c r="B109" s="12" t="s">
        <v>362</v>
      </c>
      <c r="C109" s="10" t="s">
        <v>812</v>
      </c>
      <c r="D109" s="12" t="s">
        <v>813</v>
      </c>
      <c r="E109" s="10" t="s">
        <v>814</v>
      </c>
      <c r="F109" s="12" t="s">
        <v>79</v>
      </c>
      <c r="G109" s="12" t="n">
        <v>12.5</v>
      </c>
      <c r="H109" s="26" t="n">
        <v>161.8</v>
      </c>
      <c r="I109" s="12" t="s">
        <v>102</v>
      </c>
      <c r="J109" s="12" t="s">
        <v>144</v>
      </c>
      <c r="K109" s="10" t="s">
        <v>658</v>
      </c>
      <c r="L109" s="30" t="s">
        <v>815</v>
      </c>
      <c r="M109" s="10" t="s">
        <v>3644</v>
      </c>
    </row>
    <row r="110" customFormat="false" ht="46.25" hidden="false" customHeight="false" outlineLevel="0" collapsed="false">
      <c r="A110" s="12" t="s">
        <v>23</v>
      </c>
      <c r="B110" s="12" t="s">
        <v>195</v>
      </c>
      <c r="C110" s="10" t="s">
        <v>195</v>
      </c>
      <c r="D110" s="12" t="s">
        <v>744</v>
      </c>
      <c r="E110" s="10" t="s">
        <v>745</v>
      </c>
      <c r="F110" s="12" t="s">
        <v>79</v>
      </c>
      <c r="G110" s="12" t="n">
        <v>10</v>
      </c>
      <c r="H110" s="26" t="n">
        <v>27.26</v>
      </c>
      <c r="I110" s="12" t="s">
        <v>102</v>
      </c>
      <c r="J110" s="12" t="s">
        <v>144</v>
      </c>
      <c r="K110" s="10" t="s">
        <v>658</v>
      </c>
      <c r="L110" s="30" t="s">
        <v>746</v>
      </c>
      <c r="M110" s="10" t="s">
        <v>3645</v>
      </c>
    </row>
    <row r="111" customFormat="false" ht="46.25" hidden="false" customHeight="false" outlineLevel="0" collapsed="false">
      <c r="A111" s="12" t="s">
        <v>23</v>
      </c>
      <c r="B111" s="12" t="s">
        <v>195</v>
      </c>
      <c r="C111" s="10" t="s">
        <v>195</v>
      </c>
      <c r="D111" s="12" t="s">
        <v>747</v>
      </c>
      <c r="E111" s="10" t="s">
        <v>748</v>
      </c>
      <c r="F111" s="12" t="s">
        <v>79</v>
      </c>
      <c r="G111" s="12" t="n">
        <v>1</v>
      </c>
      <c r="H111" s="26" t="n">
        <v>14</v>
      </c>
      <c r="I111" s="12" t="s">
        <v>102</v>
      </c>
      <c r="J111" s="12" t="s">
        <v>144</v>
      </c>
      <c r="K111" s="10" t="s">
        <v>658</v>
      </c>
      <c r="L111" s="30" t="s">
        <v>746</v>
      </c>
      <c r="M111" s="10" t="s">
        <v>3646</v>
      </c>
    </row>
    <row r="112" customFormat="false" ht="46.25" hidden="false" customHeight="false" outlineLevel="0" collapsed="false">
      <c r="A112" s="12" t="s">
        <v>23</v>
      </c>
      <c r="B112" s="12" t="s">
        <v>385</v>
      </c>
      <c r="C112" s="10" t="s">
        <v>385</v>
      </c>
      <c r="D112" s="12" t="s">
        <v>747</v>
      </c>
      <c r="E112" s="10" t="s">
        <v>749</v>
      </c>
      <c r="F112" s="12" t="s">
        <v>79</v>
      </c>
      <c r="G112" s="12" t="n">
        <v>5</v>
      </c>
      <c r="H112" s="26" t="n">
        <v>36.17</v>
      </c>
      <c r="I112" s="12" t="s">
        <v>102</v>
      </c>
      <c r="J112" s="12" t="s">
        <v>144</v>
      </c>
      <c r="K112" s="10" t="s">
        <v>658</v>
      </c>
      <c r="L112" s="30" t="s">
        <v>746</v>
      </c>
      <c r="M112" s="10" t="s">
        <v>3647</v>
      </c>
    </row>
    <row r="113" customFormat="false" ht="35.05" hidden="false" customHeight="false" outlineLevel="0" collapsed="false">
      <c r="A113" s="12" t="s">
        <v>23</v>
      </c>
      <c r="B113" s="12" t="s">
        <v>333</v>
      </c>
      <c r="C113" s="10" t="s">
        <v>816</v>
      </c>
      <c r="D113" s="12" t="s">
        <v>817</v>
      </c>
      <c r="E113" s="10" t="s">
        <v>818</v>
      </c>
      <c r="F113" s="12" t="s">
        <v>328</v>
      </c>
      <c r="G113" s="12" t="n">
        <v>100</v>
      </c>
      <c r="H113" s="26" t="n">
        <v>81.22</v>
      </c>
      <c r="I113" s="12" t="s">
        <v>102</v>
      </c>
      <c r="J113" s="12" t="s">
        <v>144</v>
      </c>
      <c r="K113" s="10" t="s">
        <v>658</v>
      </c>
      <c r="L113" s="30" t="s">
        <v>819</v>
      </c>
      <c r="M113" s="10" t="s">
        <v>3648</v>
      </c>
    </row>
    <row r="114" customFormat="false" ht="35.05" hidden="false" customHeight="false" outlineLevel="0" collapsed="false">
      <c r="A114" s="12" t="s">
        <v>23</v>
      </c>
      <c r="B114" s="12" t="s">
        <v>333</v>
      </c>
      <c r="C114" s="10" t="s">
        <v>816</v>
      </c>
      <c r="D114" s="12" t="s">
        <v>821</v>
      </c>
      <c r="E114" s="10" t="s">
        <v>822</v>
      </c>
      <c r="F114" s="12" t="s">
        <v>328</v>
      </c>
      <c r="G114" s="12" t="n">
        <v>250</v>
      </c>
      <c r="H114" s="26" t="n">
        <v>198.4</v>
      </c>
      <c r="I114" s="12" t="s">
        <v>102</v>
      </c>
      <c r="J114" s="12" t="s">
        <v>144</v>
      </c>
      <c r="K114" s="10" t="s">
        <v>658</v>
      </c>
      <c r="L114" s="30" t="s">
        <v>819</v>
      </c>
      <c r="M114" s="10" t="s">
        <v>3649</v>
      </c>
    </row>
    <row r="115" customFormat="false" ht="23.85" hidden="false" customHeight="false" outlineLevel="0" collapsed="false">
      <c r="A115" s="12" t="s">
        <v>23</v>
      </c>
      <c r="B115" s="12" t="s">
        <v>346</v>
      </c>
      <c r="C115" s="10" t="s">
        <v>346</v>
      </c>
      <c r="D115" s="12" t="s">
        <v>934</v>
      </c>
      <c r="E115" s="10" t="s">
        <v>935</v>
      </c>
      <c r="F115" s="12" t="s">
        <v>172</v>
      </c>
      <c r="G115" s="12" t="n">
        <v>5</v>
      </c>
      <c r="H115" s="26" t="n">
        <v>13.20375</v>
      </c>
      <c r="I115" s="12" t="s">
        <v>102</v>
      </c>
      <c r="J115" s="12" t="s">
        <v>948</v>
      </c>
      <c r="K115" s="10" t="s">
        <v>658</v>
      </c>
      <c r="L115" s="30" t="s">
        <v>936</v>
      </c>
      <c r="M115" s="10" t="s">
        <v>3650</v>
      </c>
    </row>
    <row r="116" customFormat="false" ht="23.85" hidden="false" customHeight="false" outlineLevel="0" collapsed="false">
      <c r="A116" s="12" t="s">
        <v>23</v>
      </c>
      <c r="B116" s="12" t="s">
        <v>346</v>
      </c>
      <c r="C116" s="10" t="s">
        <v>346</v>
      </c>
      <c r="D116" s="12" t="s">
        <v>934</v>
      </c>
      <c r="E116" s="10" t="s">
        <v>953</v>
      </c>
      <c r="F116" s="12" t="s">
        <v>172</v>
      </c>
      <c r="G116" s="12" t="n">
        <v>5</v>
      </c>
      <c r="H116" s="26" t="n">
        <v>13.20375</v>
      </c>
      <c r="I116" s="12" t="s">
        <v>102</v>
      </c>
      <c r="J116" s="12" t="s">
        <v>948</v>
      </c>
      <c r="K116" s="10" t="s">
        <v>658</v>
      </c>
      <c r="L116" s="30" t="s">
        <v>936</v>
      </c>
      <c r="M116" s="10" t="s">
        <v>3650</v>
      </c>
    </row>
    <row r="117" customFormat="false" ht="23.85" hidden="false" customHeight="false" outlineLevel="0" collapsed="false">
      <c r="A117" s="12" t="s">
        <v>23</v>
      </c>
      <c r="B117" s="12" t="s">
        <v>346</v>
      </c>
      <c r="C117" s="10" t="s">
        <v>346</v>
      </c>
      <c r="D117" s="12" t="s">
        <v>934</v>
      </c>
      <c r="E117" s="10" t="s">
        <v>954</v>
      </c>
      <c r="F117" s="12" t="s">
        <v>79</v>
      </c>
      <c r="G117" s="12" t="n">
        <v>5</v>
      </c>
      <c r="H117" s="26" t="n">
        <v>14.19425</v>
      </c>
      <c r="I117" s="12" t="s">
        <v>77</v>
      </c>
      <c r="J117" s="12" t="s">
        <v>948</v>
      </c>
      <c r="K117" s="10" t="s">
        <v>658</v>
      </c>
      <c r="L117" s="30" t="s">
        <v>944</v>
      </c>
      <c r="M117" s="10" t="s">
        <v>3651</v>
      </c>
    </row>
    <row r="118" customFormat="false" ht="35.05" hidden="false" customHeight="false" outlineLevel="0" collapsed="false">
      <c r="A118" s="12" t="s">
        <v>23</v>
      </c>
      <c r="B118" s="12" t="s">
        <v>308</v>
      </c>
      <c r="C118" s="10" t="s">
        <v>308</v>
      </c>
      <c r="D118" s="12" t="s">
        <v>677</v>
      </c>
      <c r="E118" s="10" t="s">
        <v>678</v>
      </c>
      <c r="F118" s="12" t="s">
        <v>97</v>
      </c>
      <c r="G118" s="12"/>
      <c r="H118" s="26" t="n">
        <v>3.15</v>
      </c>
      <c r="I118" s="12" t="s">
        <v>102</v>
      </c>
      <c r="J118" s="12" t="s">
        <v>144</v>
      </c>
      <c r="K118" s="10" t="s">
        <v>665</v>
      </c>
      <c r="L118" s="30" t="s">
        <v>666</v>
      </c>
      <c r="M118" s="10" t="s">
        <v>3554</v>
      </c>
    </row>
    <row r="119" customFormat="false" ht="35.05" hidden="false" customHeight="false" outlineLevel="0" collapsed="false">
      <c r="A119" s="12" t="s">
        <v>23</v>
      </c>
      <c r="B119" s="12" t="s">
        <v>391</v>
      </c>
      <c r="C119" s="10" t="s">
        <v>750</v>
      </c>
      <c r="D119" s="12" t="s">
        <v>751</v>
      </c>
      <c r="E119" s="10" t="s">
        <v>752</v>
      </c>
      <c r="F119" s="12" t="s">
        <v>79</v>
      </c>
      <c r="G119" s="12"/>
      <c r="H119" s="26" t="n">
        <v>7.95</v>
      </c>
      <c r="I119" s="12" t="s">
        <v>153</v>
      </c>
      <c r="J119" s="12" t="s">
        <v>995</v>
      </c>
      <c r="K119" s="10" t="s">
        <v>753</v>
      </c>
      <c r="L119" s="30" t="s">
        <v>754</v>
      </c>
      <c r="M119" s="10" t="s">
        <v>3652</v>
      </c>
    </row>
    <row r="120" customFormat="false" ht="15" hidden="false" customHeight="false" outlineLevel="0" collapsed="false">
      <c r="A120" s="12" t="s">
        <v>23</v>
      </c>
      <c r="B120" s="12" t="s">
        <v>391</v>
      </c>
      <c r="C120" s="10" t="s">
        <v>750</v>
      </c>
      <c r="D120" s="12" t="s">
        <v>755</v>
      </c>
      <c r="E120" s="10" t="s">
        <v>756</v>
      </c>
      <c r="F120" s="12" t="s">
        <v>79</v>
      </c>
      <c r="G120" s="12"/>
      <c r="H120" s="26"/>
      <c r="I120" s="12" t="s">
        <v>323</v>
      </c>
      <c r="J120" s="12" t="s">
        <v>323</v>
      </c>
      <c r="K120" s="10" t="s">
        <v>3594</v>
      </c>
      <c r="L120" s="12"/>
      <c r="M120" s="10" t="s">
        <v>3595</v>
      </c>
    </row>
    <row r="121" customFormat="false" ht="46.25" hidden="false" customHeight="false" outlineLevel="0" collapsed="false">
      <c r="A121" s="12" t="s">
        <v>23</v>
      </c>
      <c r="B121" s="12" t="s">
        <v>261</v>
      </c>
      <c r="C121" s="10" t="s">
        <v>757</v>
      </c>
      <c r="D121" s="12" t="s">
        <v>758</v>
      </c>
      <c r="E121" s="10" t="s">
        <v>759</v>
      </c>
      <c r="F121" s="12" t="s">
        <v>79</v>
      </c>
      <c r="G121" s="12" t="n">
        <v>2</v>
      </c>
      <c r="H121" s="26" t="n">
        <v>13.63</v>
      </c>
      <c r="I121" s="12" t="s">
        <v>102</v>
      </c>
      <c r="J121" s="12" t="s">
        <v>144</v>
      </c>
      <c r="K121" s="10" t="s">
        <v>658</v>
      </c>
      <c r="L121" s="30" t="s">
        <v>760</v>
      </c>
      <c r="M121" s="10" t="s">
        <v>3653</v>
      </c>
    </row>
    <row r="122" customFormat="false" ht="35.05" hidden="false" customHeight="false" outlineLevel="0" collapsed="false">
      <c r="A122" s="12" t="s">
        <v>23</v>
      </c>
      <c r="B122" s="12" t="s">
        <v>403</v>
      </c>
      <c r="C122" s="10" t="s">
        <v>916</v>
      </c>
      <c r="D122" s="12" t="s">
        <v>917</v>
      </c>
      <c r="E122" s="10" t="s">
        <v>918</v>
      </c>
      <c r="F122" s="12" t="s">
        <v>79</v>
      </c>
      <c r="G122" s="12" t="n">
        <v>1</v>
      </c>
      <c r="H122" s="26" t="n">
        <v>24.3967</v>
      </c>
      <c r="I122" s="12" t="s">
        <v>77</v>
      </c>
      <c r="J122" s="12" t="s">
        <v>3558</v>
      </c>
      <c r="K122" s="10" t="s">
        <v>658</v>
      </c>
      <c r="L122" s="30" t="s">
        <v>852</v>
      </c>
      <c r="M122" s="10" t="s">
        <v>3654</v>
      </c>
    </row>
    <row r="123" customFormat="false" ht="35.05" hidden="false" customHeight="false" outlineLevel="0" collapsed="false">
      <c r="A123" s="12" t="s">
        <v>23</v>
      </c>
      <c r="B123" s="12" t="s">
        <v>403</v>
      </c>
      <c r="C123" s="10" t="s">
        <v>920</v>
      </c>
      <c r="D123" s="12" t="s">
        <v>917</v>
      </c>
      <c r="E123" s="10" t="s">
        <v>918</v>
      </c>
      <c r="F123" s="12" t="s">
        <v>79</v>
      </c>
      <c r="G123" s="12" t="n">
        <v>1</v>
      </c>
      <c r="H123" s="26" t="n">
        <v>24.3967</v>
      </c>
      <c r="I123" s="12" t="s">
        <v>77</v>
      </c>
      <c r="J123" s="12" t="s">
        <v>3558</v>
      </c>
      <c r="K123" s="10" t="s">
        <v>658</v>
      </c>
      <c r="L123" s="30" t="s">
        <v>852</v>
      </c>
      <c r="M123" s="10" t="s">
        <v>3654</v>
      </c>
    </row>
    <row r="124" customFormat="false" ht="35.05" hidden="false" customHeight="false" outlineLevel="0" collapsed="false">
      <c r="A124" s="12" t="s">
        <v>27</v>
      </c>
      <c r="B124" s="12" t="s">
        <v>75</v>
      </c>
      <c r="C124" s="10" t="s">
        <v>1059</v>
      </c>
      <c r="D124" s="12" t="s">
        <v>978</v>
      </c>
      <c r="E124" s="10" t="s">
        <v>979</v>
      </c>
      <c r="F124" s="12" t="s">
        <v>79</v>
      </c>
      <c r="G124" s="12"/>
      <c r="H124" s="26" t="n">
        <v>10.241</v>
      </c>
      <c r="I124" s="12" t="s">
        <v>102</v>
      </c>
      <c r="J124" s="12" t="s">
        <v>1044</v>
      </c>
      <c r="K124" s="10" t="s">
        <v>658</v>
      </c>
      <c r="L124" s="30" t="s">
        <v>976</v>
      </c>
      <c r="M124" s="10" t="s">
        <v>3560</v>
      </c>
    </row>
    <row r="125" customFormat="false" ht="35.05" hidden="false" customHeight="false" outlineLevel="0" collapsed="false">
      <c r="A125" s="12" t="s">
        <v>27</v>
      </c>
      <c r="B125" s="12" t="s">
        <v>173</v>
      </c>
      <c r="C125" s="10" t="s">
        <v>1062</v>
      </c>
      <c r="D125" s="12" t="s">
        <v>1063</v>
      </c>
      <c r="E125" s="10" t="s">
        <v>1064</v>
      </c>
      <c r="F125" s="12" t="s">
        <v>79</v>
      </c>
      <c r="G125" s="12"/>
      <c r="H125" s="26" t="n">
        <v>30.583</v>
      </c>
      <c r="I125" s="12" t="s">
        <v>102</v>
      </c>
      <c r="J125" s="12" t="s">
        <v>1044</v>
      </c>
      <c r="K125" s="10" t="s">
        <v>658</v>
      </c>
      <c r="L125" s="30" t="s">
        <v>983</v>
      </c>
      <c r="M125" s="10" t="s">
        <v>3655</v>
      </c>
    </row>
    <row r="126" customFormat="false" ht="46.25" hidden="false" customHeight="false" outlineLevel="0" collapsed="false">
      <c r="A126" s="12" t="s">
        <v>27</v>
      </c>
      <c r="B126" s="12" t="s">
        <v>173</v>
      </c>
      <c r="C126" s="10" t="s">
        <v>1103</v>
      </c>
      <c r="D126" s="12" t="s">
        <v>1104</v>
      </c>
      <c r="E126" s="10" t="s">
        <v>1093</v>
      </c>
      <c r="F126" s="12" t="s">
        <v>79</v>
      </c>
      <c r="G126" s="12" t="n">
        <v>5</v>
      </c>
      <c r="H126" s="26" t="n">
        <v>51.95</v>
      </c>
      <c r="I126" s="12" t="s">
        <v>77</v>
      </c>
      <c r="J126" s="12" t="s">
        <v>995</v>
      </c>
      <c r="K126" s="10" t="s">
        <v>658</v>
      </c>
      <c r="L126" s="30" t="s">
        <v>991</v>
      </c>
      <c r="M126" s="10" t="s">
        <v>3656</v>
      </c>
    </row>
    <row r="127" customFormat="false" ht="46.25" hidden="false" customHeight="false" outlineLevel="0" collapsed="false">
      <c r="A127" s="12" t="s">
        <v>27</v>
      </c>
      <c r="B127" s="12" t="s">
        <v>89</v>
      </c>
      <c r="C127" s="10" t="s">
        <v>1082</v>
      </c>
      <c r="D127" s="12" t="s">
        <v>1083</v>
      </c>
      <c r="E127" s="10" t="s">
        <v>1084</v>
      </c>
      <c r="F127" s="12" t="s">
        <v>79</v>
      </c>
      <c r="G127" s="12" t="n">
        <v>1.4</v>
      </c>
      <c r="H127" s="26" t="n">
        <v>163.29</v>
      </c>
      <c r="I127" s="12" t="s">
        <v>77</v>
      </c>
      <c r="J127" s="12" t="s">
        <v>995</v>
      </c>
      <c r="K127" s="10" t="s">
        <v>658</v>
      </c>
      <c r="L127" s="30" t="s">
        <v>991</v>
      </c>
      <c r="M127" s="10" t="s">
        <v>3657</v>
      </c>
    </row>
    <row r="128" customFormat="false" ht="23.85" hidden="false" customHeight="false" outlineLevel="0" collapsed="false">
      <c r="A128" s="12" t="s">
        <v>27</v>
      </c>
      <c r="B128" s="12" t="s">
        <v>269</v>
      </c>
      <c r="C128" s="10" t="s">
        <v>1072</v>
      </c>
      <c r="D128" s="12" t="s">
        <v>989</v>
      </c>
      <c r="E128" s="10"/>
      <c r="F128" s="12" t="s">
        <v>97</v>
      </c>
      <c r="G128" s="12"/>
      <c r="H128" s="26" t="n">
        <v>17.03</v>
      </c>
      <c r="I128" s="12" t="s">
        <v>77</v>
      </c>
      <c r="J128" s="12" t="s">
        <v>995</v>
      </c>
      <c r="K128" s="10" t="s">
        <v>1069</v>
      </c>
      <c r="L128" s="30" t="s">
        <v>1073</v>
      </c>
      <c r="M128" s="10" t="s">
        <v>3658</v>
      </c>
    </row>
    <row r="129" customFormat="false" ht="23.85" hidden="false" customHeight="false" outlineLevel="0" collapsed="false">
      <c r="A129" s="12" t="s">
        <v>27</v>
      </c>
      <c r="B129" s="12" t="s">
        <v>269</v>
      </c>
      <c r="C129" s="10" t="s">
        <v>1072</v>
      </c>
      <c r="D129" s="12" t="s">
        <v>1074</v>
      </c>
      <c r="E129" s="10"/>
      <c r="F129" s="12" t="s">
        <v>97</v>
      </c>
      <c r="G129" s="12"/>
      <c r="H129" s="26" t="n">
        <v>31.81</v>
      </c>
      <c r="I129" s="12" t="s">
        <v>77</v>
      </c>
      <c r="J129" s="12" t="s">
        <v>995</v>
      </c>
      <c r="K129" s="10" t="s">
        <v>1069</v>
      </c>
      <c r="L129" s="30" t="s">
        <v>1073</v>
      </c>
      <c r="M129" s="10" t="s">
        <v>3658</v>
      </c>
    </row>
    <row r="130" customFormat="false" ht="35.05" hidden="false" customHeight="false" outlineLevel="0" collapsed="false">
      <c r="A130" s="12" t="s">
        <v>27</v>
      </c>
      <c r="B130" s="12" t="s">
        <v>107</v>
      </c>
      <c r="C130" s="10" t="s">
        <v>107</v>
      </c>
      <c r="D130" s="12" t="s">
        <v>1019</v>
      </c>
      <c r="E130" s="10" t="s">
        <v>1020</v>
      </c>
      <c r="F130" s="12" t="s">
        <v>79</v>
      </c>
      <c r="G130" s="12" t="n">
        <v>10</v>
      </c>
      <c r="H130" s="26" t="n">
        <v>81.96</v>
      </c>
      <c r="I130" s="12" t="s">
        <v>77</v>
      </c>
      <c r="J130" s="12" t="s">
        <v>194</v>
      </c>
      <c r="K130" s="10" t="s">
        <v>658</v>
      </c>
      <c r="L130" s="30" t="s">
        <v>1021</v>
      </c>
      <c r="M130" s="10" t="s">
        <v>3659</v>
      </c>
    </row>
    <row r="131" customFormat="false" ht="46.25" hidden="false" customHeight="false" outlineLevel="0" collapsed="false">
      <c r="A131" s="12" t="s">
        <v>27</v>
      </c>
      <c r="B131" s="12" t="s">
        <v>107</v>
      </c>
      <c r="C131" s="10" t="s">
        <v>1023</v>
      </c>
      <c r="D131" s="12" t="s">
        <v>873</v>
      </c>
      <c r="E131" s="10" t="s">
        <v>874</v>
      </c>
      <c r="F131" s="12" t="s">
        <v>79</v>
      </c>
      <c r="G131" s="12"/>
      <c r="H131" s="26" t="n">
        <v>93.7335</v>
      </c>
      <c r="I131" s="12" t="s">
        <v>153</v>
      </c>
      <c r="J131" s="12" t="s">
        <v>3558</v>
      </c>
      <c r="K131" s="10" t="s">
        <v>658</v>
      </c>
      <c r="L131" s="30" t="s">
        <v>852</v>
      </c>
      <c r="M131" s="10" t="s">
        <v>3660</v>
      </c>
    </row>
    <row r="132" customFormat="false" ht="23.85" hidden="false" customHeight="false" outlineLevel="0" collapsed="false">
      <c r="A132" s="12" t="s">
        <v>27</v>
      </c>
      <c r="B132" s="12" t="s">
        <v>107</v>
      </c>
      <c r="C132" s="10" t="s">
        <v>1036</v>
      </c>
      <c r="D132" s="12" t="s">
        <v>1037</v>
      </c>
      <c r="E132" s="10" t="s">
        <v>1038</v>
      </c>
      <c r="F132" s="12" t="s">
        <v>79</v>
      </c>
      <c r="G132" s="12"/>
      <c r="H132" s="26"/>
      <c r="I132" s="12" t="s">
        <v>323</v>
      </c>
      <c r="J132" s="12" t="s">
        <v>323</v>
      </c>
      <c r="K132" s="10" t="s">
        <v>3589</v>
      </c>
      <c r="L132" s="12"/>
      <c r="M132" s="10" t="s">
        <v>3590</v>
      </c>
    </row>
    <row r="133" customFormat="false" ht="23.85" hidden="false" customHeight="false" outlineLevel="0" collapsed="false">
      <c r="A133" s="12" t="s">
        <v>27</v>
      </c>
      <c r="B133" s="12" t="s">
        <v>107</v>
      </c>
      <c r="C133" s="10" t="s">
        <v>1036</v>
      </c>
      <c r="D133" s="12" t="s">
        <v>963</v>
      </c>
      <c r="E133" s="10" t="s">
        <v>964</v>
      </c>
      <c r="F133" s="12" t="s">
        <v>79</v>
      </c>
      <c r="G133" s="12"/>
      <c r="H133" s="26"/>
      <c r="I133" s="12" t="s">
        <v>323</v>
      </c>
      <c r="J133" s="12" t="s">
        <v>323</v>
      </c>
      <c r="K133" s="10" t="s">
        <v>3589</v>
      </c>
      <c r="L133" s="12"/>
      <c r="M133" s="10" t="s">
        <v>3590</v>
      </c>
    </row>
    <row r="134" customFormat="false" ht="68.65" hidden="false" customHeight="false" outlineLevel="0" collapsed="false">
      <c r="A134" s="12" t="s">
        <v>27</v>
      </c>
      <c r="B134" s="12" t="s">
        <v>120</v>
      </c>
      <c r="C134" s="10" t="s">
        <v>1091</v>
      </c>
      <c r="D134" s="12" t="s">
        <v>1092</v>
      </c>
      <c r="E134" s="10" t="s">
        <v>1093</v>
      </c>
      <c r="F134" s="12" t="s">
        <v>79</v>
      </c>
      <c r="G134" s="12" t="n">
        <v>5</v>
      </c>
      <c r="H134" s="26" t="n">
        <v>6.31</v>
      </c>
      <c r="I134" s="12" t="s">
        <v>77</v>
      </c>
      <c r="J134" s="12" t="s">
        <v>995</v>
      </c>
      <c r="K134" s="10" t="s">
        <v>658</v>
      </c>
      <c r="L134" s="30" t="s">
        <v>991</v>
      </c>
      <c r="M134" s="10" t="s">
        <v>3661</v>
      </c>
    </row>
    <row r="135" customFormat="false" ht="68.65" hidden="false" customHeight="false" outlineLevel="0" collapsed="false">
      <c r="A135" s="12" t="s">
        <v>27</v>
      </c>
      <c r="B135" s="12" t="s">
        <v>120</v>
      </c>
      <c r="C135" s="10" t="s">
        <v>1091</v>
      </c>
      <c r="D135" s="12" t="s">
        <v>1094</v>
      </c>
      <c r="E135" s="10" t="s">
        <v>1095</v>
      </c>
      <c r="F135" s="12" t="s">
        <v>79</v>
      </c>
      <c r="G135" s="12" t="n">
        <v>25</v>
      </c>
      <c r="H135" s="26" t="n">
        <v>31.54</v>
      </c>
      <c r="I135" s="12" t="s">
        <v>77</v>
      </c>
      <c r="J135" s="12" t="s">
        <v>995</v>
      </c>
      <c r="K135" s="10" t="s">
        <v>658</v>
      </c>
      <c r="L135" s="30" t="s">
        <v>991</v>
      </c>
      <c r="M135" s="10" t="s">
        <v>3662</v>
      </c>
    </row>
    <row r="136" customFormat="false" ht="46.25" hidden="false" customHeight="false" outlineLevel="0" collapsed="false">
      <c r="A136" s="12" t="s">
        <v>27</v>
      </c>
      <c r="B136" s="12" t="s">
        <v>114</v>
      </c>
      <c r="C136" s="10" t="s">
        <v>1024</v>
      </c>
      <c r="D136" s="12" t="s">
        <v>890</v>
      </c>
      <c r="E136" s="10" t="s">
        <v>1025</v>
      </c>
      <c r="F136" s="12" t="s">
        <v>85</v>
      </c>
      <c r="G136" s="12" t="n">
        <v>5</v>
      </c>
      <c r="H136" s="26" t="n">
        <v>531.8684</v>
      </c>
      <c r="I136" s="12" t="s">
        <v>153</v>
      </c>
      <c r="J136" s="12" t="s">
        <v>3558</v>
      </c>
      <c r="K136" s="10" t="s">
        <v>658</v>
      </c>
      <c r="L136" s="30" t="s">
        <v>852</v>
      </c>
      <c r="M136" s="10" t="s">
        <v>3663</v>
      </c>
    </row>
    <row r="137" customFormat="false" ht="35.05" hidden="false" customHeight="false" outlineLevel="0" collapsed="false">
      <c r="A137" s="12" t="s">
        <v>27</v>
      </c>
      <c r="B137" s="12" t="s">
        <v>229</v>
      </c>
      <c r="C137" s="10" t="s">
        <v>1000</v>
      </c>
      <c r="D137" s="12" t="s">
        <v>1001</v>
      </c>
      <c r="E137" s="10" t="s">
        <v>1002</v>
      </c>
      <c r="F137" s="12" t="s">
        <v>79</v>
      </c>
      <c r="G137" s="12"/>
      <c r="H137" s="26" t="n">
        <v>23.15</v>
      </c>
      <c r="I137" s="12" t="s">
        <v>102</v>
      </c>
      <c r="J137" s="12" t="s">
        <v>144</v>
      </c>
      <c r="K137" s="10" t="s">
        <v>665</v>
      </c>
      <c r="L137" s="30" t="s">
        <v>666</v>
      </c>
      <c r="M137" s="10" t="s">
        <v>3664</v>
      </c>
    </row>
    <row r="138" customFormat="false" ht="35.05" hidden="false" customHeight="false" outlineLevel="0" collapsed="false">
      <c r="A138" s="12" t="s">
        <v>27</v>
      </c>
      <c r="B138" s="12" t="s">
        <v>229</v>
      </c>
      <c r="C138" s="10" t="s">
        <v>1045</v>
      </c>
      <c r="D138" s="12" t="s">
        <v>978</v>
      </c>
      <c r="E138" s="10" t="s">
        <v>979</v>
      </c>
      <c r="F138" s="12" t="s">
        <v>79</v>
      </c>
      <c r="G138" s="12"/>
      <c r="H138" s="26" t="n">
        <v>23.15</v>
      </c>
      <c r="I138" s="12" t="s">
        <v>102</v>
      </c>
      <c r="J138" s="12" t="s">
        <v>144</v>
      </c>
      <c r="K138" s="10" t="s">
        <v>665</v>
      </c>
      <c r="L138" s="30" t="s">
        <v>666</v>
      </c>
      <c r="M138" s="10" t="s">
        <v>3664</v>
      </c>
    </row>
    <row r="139" customFormat="false" ht="35.05" hidden="false" customHeight="false" outlineLevel="0" collapsed="false">
      <c r="A139" s="12" t="s">
        <v>27</v>
      </c>
      <c r="B139" s="12" t="s">
        <v>170</v>
      </c>
      <c r="C139" s="10" t="s">
        <v>1046</v>
      </c>
      <c r="D139" s="12" t="s">
        <v>1047</v>
      </c>
      <c r="E139" s="10" t="s">
        <v>1048</v>
      </c>
      <c r="F139" s="12" t="s">
        <v>172</v>
      </c>
      <c r="G139" s="12" t="n">
        <v>1</v>
      </c>
      <c r="H139" s="26" t="n">
        <v>69.18</v>
      </c>
      <c r="I139" s="12" t="s">
        <v>153</v>
      </c>
      <c r="J139" s="12" t="s">
        <v>144</v>
      </c>
      <c r="K139" s="10" t="s">
        <v>1049</v>
      </c>
      <c r="L139" s="30" t="s">
        <v>1050</v>
      </c>
      <c r="M139" s="10" t="s">
        <v>3665</v>
      </c>
    </row>
    <row r="140" customFormat="false" ht="35.05" hidden="false" customHeight="false" outlineLevel="0" collapsed="false">
      <c r="A140" s="12" t="s">
        <v>27</v>
      </c>
      <c r="B140" s="12" t="s">
        <v>170</v>
      </c>
      <c r="C140" s="10" t="s">
        <v>1051</v>
      </c>
      <c r="D140" s="12" t="s">
        <v>1047</v>
      </c>
      <c r="E140" s="10"/>
      <c r="F140" s="12" t="s">
        <v>97</v>
      </c>
      <c r="G140" s="12"/>
      <c r="H140" s="26" t="n">
        <v>69.18</v>
      </c>
      <c r="I140" s="12" t="s">
        <v>153</v>
      </c>
      <c r="J140" s="12" t="s">
        <v>144</v>
      </c>
      <c r="K140" s="10" t="s">
        <v>1049</v>
      </c>
      <c r="L140" s="30" t="s">
        <v>1050</v>
      </c>
      <c r="M140" s="10" t="s">
        <v>3665</v>
      </c>
    </row>
    <row r="141" customFormat="false" ht="35.05" hidden="false" customHeight="false" outlineLevel="0" collapsed="false">
      <c r="A141" s="12" t="s">
        <v>27</v>
      </c>
      <c r="B141" s="12" t="s">
        <v>170</v>
      </c>
      <c r="C141" s="10" t="s">
        <v>1046</v>
      </c>
      <c r="D141" s="12" t="s">
        <v>1052</v>
      </c>
      <c r="E141" s="10" t="s">
        <v>1053</v>
      </c>
      <c r="F141" s="12" t="s">
        <v>172</v>
      </c>
      <c r="G141" s="12" t="n">
        <v>5</v>
      </c>
      <c r="H141" s="26" t="n">
        <v>109.16</v>
      </c>
      <c r="I141" s="12" t="s">
        <v>153</v>
      </c>
      <c r="J141" s="12" t="s">
        <v>144</v>
      </c>
      <c r="K141" s="10" t="s">
        <v>1049</v>
      </c>
      <c r="L141" s="30" t="s">
        <v>1050</v>
      </c>
      <c r="M141" s="10" t="s">
        <v>3666</v>
      </c>
    </row>
    <row r="142" customFormat="false" ht="46.25" hidden="false" customHeight="false" outlineLevel="0" collapsed="false">
      <c r="A142" s="12" t="s">
        <v>27</v>
      </c>
      <c r="B142" s="12" t="s">
        <v>431</v>
      </c>
      <c r="C142" s="10" t="s">
        <v>1010</v>
      </c>
      <c r="D142" s="12" t="s">
        <v>1011</v>
      </c>
      <c r="E142" s="10" t="s">
        <v>1012</v>
      </c>
      <c r="F142" s="12" t="s">
        <v>85</v>
      </c>
      <c r="G142" s="12" t="n">
        <v>0.2</v>
      </c>
      <c r="H142" s="26" t="n">
        <v>6545.62</v>
      </c>
      <c r="I142" s="12" t="s">
        <v>102</v>
      </c>
      <c r="J142" s="12" t="s">
        <v>144</v>
      </c>
      <c r="K142" s="10" t="s">
        <v>658</v>
      </c>
      <c r="L142" s="30" t="s">
        <v>1013</v>
      </c>
      <c r="M142" s="10" t="s">
        <v>3667</v>
      </c>
    </row>
    <row r="143" customFormat="false" ht="46.25" hidden="false" customHeight="false" outlineLevel="0" collapsed="false">
      <c r="A143" s="12" t="s">
        <v>27</v>
      </c>
      <c r="B143" s="12" t="s">
        <v>431</v>
      </c>
      <c r="C143" s="10" t="s">
        <v>1010</v>
      </c>
      <c r="D143" s="12" t="s">
        <v>1014</v>
      </c>
      <c r="E143" s="10" t="s">
        <v>1015</v>
      </c>
      <c r="F143" s="12" t="s">
        <v>85</v>
      </c>
      <c r="G143" s="12" t="n">
        <v>0.3</v>
      </c>
      <c r="H143" s="26" t="n">
        <v>8714.12</v>
      </c>
      <c r="I143" s="12" t="s">
        <v>102</v>
      </c>
      <c r="J143" s="12" t="s">
        <v>144</v>
      </c>
      <c r="K143" s="10" t="s">
        <v>658</v>
      </c>
      <c r="L143" s="30" t="s">
        <v>1013</v>
      </c>
      <c r="M143" s="10" t="s">
        <v>3668</v>
      </c>
    </row>
    <row r="144" customFormat="false" ht="46.25" hidden="false" customHeight="false" outlineLevel="0" collapsed="false">
      <c r="A144" s="12" t="s">
        <v>27</v>
      </c>
      <c r="B144" s="12" t="s">
        <v>431</v>
      </c>
      <c r="C144" s="10" t="s">
        <v>1010</v>
      </c>
      <c r="D144" s="12" t="s">
        <v>1016</v>
      </c>
      <c r="E144" s="10" t="s">
        <v>1017</v>
      </c>
      <c r="F144" s="12" t="s">
        <v>85</v>
      </c>
      <c r="G144" s="12" t="n">
        <v>0.5</v>
      </c>
      <c r="H144" s="26" t="n">
        <v>2652.02</v>
      </c>
      <c r="I144" s="12" t="s">
        <v>102</v>
      </c>
      <c r="J144" s="12" t="s">
        <v>144</v>
      </c>
      <c r="K144" s="10" t="s">
        <v>658</v>
      </c>
      <c r="L144" s="30" t="s">
        <v>1018</v>
      </c>
      <c r="M144" s="10" t="s">
        <v>3669</v>
      </c>
    </row>
    <row r="145" customFormat="false" ht="46.25" hidden="false" customHeight="false" outlineLevel="0" collapsed="false">
      <c r="A145" s="12" t="s">
        <v>27</v>
      </c>
      <c r="B145" s="12" t="s">
        <v>167</v>
      </c>
      <c r="C145" s="10" t="s">
        <v>1099</v>
      </c>
      <c r="D145" s="12" t="s">
        <v>1100</v>
      </c>
      <c r="E145" s="10" t="s">
        <v>1101</v>
      </c>
      <c r="F145" s="12" t="s">
        <v>79</v>
      </c>
      <c r="G145" s="12" t="n">
        <v>0.5</v>
      </c>
      <c r="H145" s="26" t="n">
        <v>9.55</v>
      </c>
      <c r="I145" s="12" t="s">
        <v>77</v>
      </c>
      <c r="J145" s="12" t="s">
        <v>995</v>
      </c>
      <c r="K145" s="10" t="s">
        <v>658</v>
      </c>
      <c r="L145" s="30" t="s">
        <v>991</v>
      </c>
      <c r="M145" s="10" t="s">
        <v>3670</v>
      </c>
    </row>
    <row r="146" customFormat="false" ht="46.25" hidden="false" customHeight="false" outlineLevel="0" collapsed="false">
      <c r="A146" s="12" t="s">
        <v>27</v>
      </c>
      <c r="B146" s="12" t="s">
        <v>167</v>
      </c>
      <c r="C146" s="10" t="s">
        <v>1099</v>
      </c>
      <c r="D146" s="12" t="s">
        <v>1100</v>
      </c>
      <c r="E146" s="10" t="s">
        <v>1102</v>
      </c>
      <c r="F146" s="12" t="s">
        <v>79</v>
      </c>
      <c r="G146" s="12" t="n">
        <v>0.5</v>
      </c>
      <c r="H146" s="26" t="n">
        <v>95.55</v>
      </c>
      <c r="I146" s="12" t="s">
        <v>77</v>
      </c>
      <c r="J146" s="12" t="s">
        <v>995</v>
      </c>
      <c r="K146" s="10" t="s">
        <v>658</v>
      </c>
      <c r="L146" s="30" t="s">
        <v>991</v>
      </c>
      <c r="M146" s="10" t="s">
        <v>3671</v>
      </c>
    </row>
    <row r="147" customFormat="false" ht="15" hidden="false" customHeight="false" outlineLevel="0" collapsed="false">
      <c r="A147" s="12" t="s">
        <v>27</v>
      </c>
      <c r="B147" s="12" t="s">
        <v>365</v>
      </c>
      <c r="C147" s="10" t="s">
        <v>1054</v>
      </c>
      <c r="D147" s="12" t="s">
        <v>1055</v>
      </c>
      <c r="E147" s="10" t="s">
        <v>1056</v>
      </c>
      <c r="F147" s="12" t="s">
        <v>79</v>
      </c>
      <c r="G147" s="12" t="n">
        <v>1</v>
      </c>
      <c r="H147" s="26" t="n">
        <v>19.649</v>
      </c>
      <c r="I147" s="12" t="s">
        <v>102</v>
      </c>
      <c r="J147" s="12" t="s">
        <v>1044</v>
      </c>
      <c r="K147" s="10" t="s">
        <v>658</v>
      </c>
      <c r="L147" s="30" t="s">
        <v>1057</v>
      </c>
      <c r="M147" s="10" t="s">
        <v>3672</v>
      </c>
    </row>
    <row r="148" customFormat="false" ht="46.25" hidden="false" customHeight="false" outlineLevel="0" collapsed="false">
      <c r="A148" s="12" t="s">
        <v>27</v>
      </c>
      <c r="B148" s="12" t="s">
        <v>400</v>
      </c>
      <c r="C148" s="10" t="s">
        <v>1060</v>
      </c>
      <c r="D148" s="12" t="s">
        <v>1061</v>
      </c>
      <c r="E148" s="10" t="s">
        <v>1035</v>
      </c>
      <c r="F148" s="12" t="s">
        <v>79</v>
      </c>
      <c r="G148" s="12" t="n">
        <v>5</v>
      </c>
      <c r="H148" s="26" t="n">
        <v>6.937</v>
      </c>
      <c r="I148" s="12" t="s">
        <v>102</v>
      </c>
      <c r="J148" s="12" t="s">
        <v>1044</v>
      </c>
      <c r="K148" s="10" t="s">
        <v>658</v>
      </c>
      <c r="L148" s="30" t="s">
        <v>976</v>
      </c>
      <c r="M148" s="10" t="s">
        <v>3673</v>
      </c>
    </row>
    <row r="149" customFormat="false" ht="35.05" hidden="false" customHeight="false" outlineLevel="0" collapsed="false">
      <c r="A149" s="12" t="s">
        <v>27</v>
      </c>
      <c r="B149" s="12" t="s">
        <v>440</v>
      </c>
      <c r="C149" s="10" t="s">
        <v>1058</v>
      </c>
      <c r="D149" s="12" t="s">
        <v>917</v>
      </c>
      <c r="E149" s="10" t="s">
        <v>1056</v>
      </c>
      <c r="F149" s="12" t="s">
        <v>79</v>
      </c>
      <c r="G149" s="12" t="n">
        <v>1</v>
      </c>
      <c r="H149" s="26" t="n">
        <v>1</v>
      </c>
      <c r="I149" s="12" t="s">
        <v>153</v>
      </c>
      <c r="J149" s="12" t="s">
        <v>144</v>
      </c>
      <c r="K149" s="10" t="s">
        <v>665</v>
      </c>
      <c r="L149" s="30" t="s">
        <v>666</v>
      </c>
      <c r="M149" s="10" t="s">
        <v>3674</v>
      </c>
    </row>
    <row r="150" customFormat="false" ht="35.05" hidden="false" customHeight="false" outlineLevel="0" collapsed="false">
      <c r="A150" s="12" t="s">
        <v>27</v>
      </c>
      <c r="B150" s="12" t="s">
        <v>312</v>
      </c>
      <c r="C150" s="10" t="s">
        <v>312</v>
      </c>
      <c r="D150" s="12" t="s">
        <v>674</v>
      </c>
      <c r="E150" s="10" t="s">
        <v>1004</v>
      </c>
      <c r="F150" s="12" t="s">
        <v>85</v>
      </c>
      <c r="G150" s="12" t="n">
        <v>0.5</v>
      </c>
      <c r="H150" s="26" t="n">
        <v>3.99</v>
      </c>
      <c r="I150" s="12" t="s">
        <v>102</v>
      </c>
      <c r="J150" s="12" t="s">
        <v>144</v>
      </c>
      <c r="K150" s="10" t="s">
        <v>665</v>
      </c>
      <c r="L150" s="30" t="s">
        <v>666</v>
      </c>
      <c r="M150" s="10" t="s">
        <v>3553</v>
      </c>
    </row>
    <row r="151" customFormat="false" ht="35.05" hidden="false" customHeight="false" outlineLevel="0" collapsed="false">
      <c r="A151" s="12" t="s">
        <v>27</v>
      </c>
      <c r="B151" s="12" t="s">
        <v>312</v>
      </c>
      <c r="C151" s="10" t="s">
        <v>312</v>
      </c>
      <c r="D151" s="12" t="s">
        <v>1005</v>
      </c>
      <c r="E151" s="10" t="s">
        <v>1006</v>
      </c>
      <c r="F151" s="12" t="s">
        <v>79</v>
      </c>
      <c r="G151" s="12" t="n">
        <v>0.5</v>
      </c>
      <c r="H151" s="26" t="n">
        <v>39.89</v>
      </c>
      <c r="I151" s="12" t="s">
        <v>102</v>
      </c>
      <c r="J151" s="12" t="s">
        <v>144</v>
      </c>
      <c r="K151" s="10" t="s">
        <v>665</v>
      </c>
      <c r="L151" s="30" t="s">
        <v>666</v>
      </c>
      <c r="M151" s="10" t="s">
        <v>3675</v>
      </c>
    </row>
    <row r="152" customFormat="false" ht="23.85" hidden="false" customHeight="false" outlineLevel="0" collapsed="false">
      <c r="A152" s="12" t="s">
        <v>27</v>
      </c>
      <c r="B152" s="12" t="s">
        <v>435</v>
      </c>
      <c r="C152" s="10" t="s">
        <v>1066</v>
      </c>
      <c r="D152" s="12" t="s">
        <v>1067</v>
      </c>
      <c r="E152" s="10" t="s">
        <v>1068</v>
      </c>
      <c r="F152" s="12" t="s">
        <v>79</v>
      </c>
      <c r="G152" s="12"/>
      <c r="H152" s="26" t="n">
        <v>145.39</v>
      </c>
      <c r="I152" s="12" t="s">
        <v>77</v>
      </c>
      <c r="J152" s="12" t="s">
        <v>995</v>
      </c>
      <c r="K152" s="10" t="s">
        <v>1069</v>
      </c>
      <c r="L152" s="30" t="s">
        <v>1070</v>
      </c>
      <c r="M152" s="10" t="s">
        <v>3676</v>
      </c>
    </row>
    <row r="153" customFormat="false" ht="23.85" hidden="false" customHeight="false" outlineLevel="0" collapsed="false">
      <c r="A153" s="12" t="s">
        <v>27</v>
      </c>
      <c r="B153" s="12" t="s">
        <v>435</v>
      </c>
      <c r="C153" s="10" t="s">
        <v>1066</v>
      </c>
      <c r="D153" s="12" t="s">
        <v>1071</v>
      </c>
      <c r="E153" s="10" t="s">
        <v>1068</v>
      </c>
      <c r="F153" s="12" t="s">
        <v>79</v>
      </c>
      <c r="G153" s="12"/>
      <c r="H153" s="26" t="n">
        <v>290.78</v>
      </c>
      <c r="I153" s="12" t="s">
        <v>77</v>
      </c>
      <c r="J153" s="12" t="s">
        <v>995</v>
      </c>
      <c r="K153" s="10" t="s">
        <v>1069</v>
      </c>
      <c r="L153" s="30" t="s">
        <v>1070</v>
      </c>
      <c r="M153" s="10" t="s">
        <v>3676</v>
      </c>
    </row>
    <row r="154" customFormat="false" ht="46.25" hidden="false" customHeight="false" outlineLevel="0" collapsed="false">
      <c r="A154" s="12" t="s">
        <v>27</v>
      </c>
      <c r="B154" s="12" t="s">
        <v>117</v>
      </c>
      <c r="C154" s="10" t="s">
        <v>1026</v>
      </c>
      <c r="D154" s="12" t="s">
        <v>1027</v>
      </c>
      <c r="E154" s="10" t="s">
        <v>1028</v>
      </c>
      <c r="F154" s="12" t="s">
        <v>79</v>
      </c>
      <c r="G154" s="12" t="n">
        <v>2</v>
      </c>
      <c r="H154" s="26" t="n">
        <v>65.0089</v>
      </c>
      <c r="I154" s="12" t="s">
        <v>102</v>
      </c>
      <c r="J154" s="12" t="s">
        <v>3565</v>
      </c>
      <c r="K154" s="10" t="s">
        <v>658</v>
      </c>
      <c r="L154" s="30" t="s">
        <v>1029</v>
      </c>
      <c r="M154" s="10" t="s">
        <v>3677</v>
      </c>
    </row>
    <row r="155" customFormat="false" ht="23.85" hidden="false" customHeight="false" outlineLevel="0" collapsed="false">
      <c r="A155" s="12" t="s">
        <v>27</v>
      </c>
      <c r="B155" s="12" t="s">
        <v>117</v>
      </c>
      <c r="C155" s="10" t="s">
        <v>1031</v>
      </c>
      <c r="D155" s="12" t="s">
        <v>1032</v>
      </c>
      <c r="E155" s="10" t="s">
        <v>1033</v>
      </c>
      <c r="F155" s="12" t="s">
        <v>79</v>
      </c>
      <c r="G155" s="12" t="n">
        <v>2</v>
      </c>
      <c r="H155" s="26"/>
      <c r="I155" s="12" t="s">
        <v>323</v>
      </c>
      <c r="J155" s="12" t="s">
        <v>323</v>
      </c>
      <c r="K155" s="10" t="s">
        <v>3589</v>
      </c>
      <c r="L155" s="12"/>
      <c r="M155" s="10" t="s">
        <v>3590</v>
      </c>
    </row>
    <row r="156" customFormat="false" ht="23.85" hidden="false" customHeight="false" outlineLevel="0" collapsed="false">
      <c r="A156" s="12" t="s">
        <v>27</v>
      </c>
      <c r="B156" s="12" t="s">
        <v>117</v>
      </c>
      <c r="C156" s="10" t="s">
        <v>1031</v>
      </c>
      <c r="D156" s="12" t="s">
        <v>1034</v>
      </c>
      <c r="E156" s="10" t="s">
        <v>1035</v>
      </c>
      <c r="F156" s="12" t="s">
        <v>79</v>
      </c>
      <c r="G156" s="12" t="n">
        <v>5</v>
      </c>
      <c r="H156" s="26"/>
      <c r="I156" s="12" t="s">
        <v>323</v>
      </c>
      <c r="J156" s="12" t="s">
        <v>323</v>
      </c>
      <c r="K156" s="10" t="s">
        <v>3589</v>
      </c>
      <c r="L156" s="12"/>
      <c r="M156" s="10" t="s">
        <v>3590</v>
      </c>
    </row>
    <row r="157" customFormat="false" ht="23.85" hidden="false" customHeight="false" outlineLevel="0" collapsed="false">
      <c r="A157" s="12" t="s">
        <v>27</v>
      </c>
      <c r="B157" s="12" t="s">
        <v>117</v>
      </c>
      <c r="C157" s="10" t="s">
        <v>1078</v>
      </c>
      <c r="D157" s="12" t="s">
        <v>1079</v>
      </c>
      <c r="E157" s="10" t="s">
        <v>1080</v>
      </c>
      <c r="F157" s="12" t="s">
        <v>79</v>
      </c>
      <c r="G157" s="12" t="n">
        <v>2</v>
      </c>
      <c r="H157" s="26" t="n">
        <v>13.84</v>
      </c>
      <c r="I157" s="12" t="s">
        <v>77</v>
      </c>
      <c r="J157" s="12" t="s">
        <v>995</v>
      </c>
      <c r="K157" s="10" t="s">
        <v>1069</v>
      </c>
      <c r="L157" s="30" t="s">
        <v>1081</v>
      </c>
      <c r="M157" s="10" t="s">
        <v>3678</v>
      </c>
    </row>
    <row r="158" customFormat="false" ht="35.05" hidden="false" customHeight="false" outlineLevel="0" collapsed="false">
      <c r="A158" s="12" t="s">
        <v>27</v>
      </c>
      <c r="B158" s="12" t="s">
        <v>178</v>
      </c>
      <c r="C158" s="10" t="s">
        <v>1096</v>
      </c>
      <c r="D158" s="12" t="s">
        <v>1097</v>
      </c>
      <c r="E158" s="10" t="s">
        <v>1098</v>
      </c>
      <c r="F158" s="12" t="s">
        <v>79</v>
      </c>
      <c r="G158" s="12" t="n">
        <v>3</v>
      </c>
      <c r="H158" s="26" t="n">
        <v>13.97</v>
      </c>
      <c r="I158" s="12" t="s">
        <v>77</v>
      </c>
      <c r="J158" s="12" t="s">
        <v>995</v>
      </c>
      <c r="K158" s="10" t="s">
        <v>658</v>
      </c>
      <c r="L158" s="30" t="s">
        <v>991</v>
      </c>
      <c r="M158" s="10" t="s">
        <v>3679</v>
      </c>
    </row>
    <row r="159" customFormat="false" ht="46.25" hidden="false" customHeight="false" outlineLevel="0" collapsed="false">
      <c r="A159" s="12" t="s">
        <v>27</v>
      </c>
      <c r="B159" s="12" t="s">
        <v>195</v>
      </c>
      <c r="C159" s="10" t="s">
        <v>195</v>
      </c>
      <c r="D159" s="12" t="s">
        <v>744</v>
      </c>
      <c r="E159" s="10" t="s">
        <v>1008</v>
      </c>
      <c r="F159" s="12" t="s">
        <v>79</v>
      </c>
      <c r="G159" s="12" t="n">
        <v>10</v>
      </c>
      <c r="H159" s="26" t="n">
        <v>27.26</v>
      </c>
      <c r="I159" s="12" t="s">
        <v>102</v>
      </c>
      <c r="J159" s="12" t="s">
        <v>144</v>
      </c>
      <c r="K159" s="10" t="s">
        <v>658</v>
      </c>
      <c r="L159" s="30" t="s">
        <v>746</v>
      </c>
      <c r="M159" s="10" t="s">
        <v>3645</v>
      </c>
    </row>
    <row r="160" customFormat="false" ht="46.25" hidden="false" customHeight="false" outlineLevel="0" collapsed="false">
      <c r="A160" s="12" t="s">
        <v>27</v>
      </c>
      <c r="B160" s="12" t="s">
        <v>195</v>
      </c>
      <c r="C160" s="10" t="s">
        <v>195</v>
      </c>
      <c r="D160" s="12" t="s">
        <v>747</v>
      </c>
      <c r="E160" s="10" t="s">
        <v>1009</v>
      </c>
      <c r="F160" s="12" t="s">
        <v>79</v>
      </c>
      <c r="G160" s="12" t="n">
        <v>1</v>
      </c>
      <c r="H160" s="26" t="n">
        <v>14</v>
      </c>
      <c r="I160" s="12" t="s">
        <v>102</v>
      </c>
      <c r="J160" s="12" t="s">
        <v>144</v>
      </c>
      <c r="K160" s="10" t="s">
        <v>658</v>
      </c>
      <c r="L160" s="30" t="s">
        <v>746</v>
      </c>
      <c r="M160" s="10" t="s">
        <v>3646</v>
      </c>
    </row>
    <row r="161" customFormat="false" ht="46.25" hidden="false" customHeight="false" outlineLevel="0" collapsed="false">
      <c r="A161" s="12" t="s">
        <v>27</v>
      </c>
      <c r="B161" s="12" t="s">
        <v>247</v>
      </c>
      <c r="C161" s="10" t="s">
        <v>1075</v>
      </c>
      <c r="D161" s="12" t="s">
        <v>1076</v>
      </c>
      <c r="E161" s="10" t="s">
        <v>1077</v>
      </c>
      <c r="F161" s="12" t="s">
        <v>79</v>
      </c>
      <c r="G161" s="12" t="n">
        <v>4</v>
      </c>
      <c r="H161" s="26" t="n">
        <v>118.45</v>
      </c>
      <c r="I161" s="12" t="s">
        <v>77</v>
      </c>
      <c r="J161" s="12" t="s">
        <v>995</v>
      </c>
      <c r="K161" s="10" t="s">
        <v>658</v>
      </c>
      <c r="L161" s="30" t="s">
        <v>991</v>
      </c>
      <c r="M161" s="10" t="s">
        <v>3680</v>
      </c>
    </row>
    <row r="162" customFormat="false" ht="23.85" hidden="false" customHeight="false" outlineLevel="0" collapsed="false">
      <c r="A162" s="12" t="s">
        <v>27</v>
      </c>
      <c r="B162" s="12" t="s">
        <v>164</v>
      </c>
      <c r="C162" s="10" t="s">
        <v>1039</v>
      </c>
      <c r="D162" s="12" t="s">
        <v>1040</v>
      </c>
      <c r="E162" s="10" t="s">
        <v>1041</v>
      </c>
      <c r="F162" s="12" t="s">
        <v>79</v>
      </c>
      <c r="G162" s="12"/>
      <c r="H162" s="26" t="n">
        <v>73.63</v>
      </c>
      <c r="I162" s="12" t="s">
        <v>102</v>
      </c>
      <c r="J162" s="12" t="s">
        <v>1044</v>
      </c>
      <c r="K162" s="10" t="s">
        <v>1042</v>
      </c>
      <c r="L162" s="30" t="s">
        <v>1043</v>
      </c>
      <c r="M162" s="10" t="s">
        <v>3681</v>
      </c>
    </row>
    <row r="163" customFormat="false" ht="46.25" hidden="false" customHeight="false" outlineLevel="0" collapsed="false">
      <c r="A163" s="12" t="s">
        <v>27</v>
      </c>
      <c r="B163" s="12" t="s">
        <v>444</v>
      </c>
      <c r="C163" s="10" t="s">
        <v>1088</v>
      </c>
      <c r="D163" s="12" t="s">
        <v>1089</v>
      </c>
      <c r="E163" s="10" t="s">
        <v>1090</v>
      </c>
      <c r="F163" s="12" t="s">
        <v>79</v>
      </c>
      <c r="G163" s="12" t="n">
        <v>10</v>
      </c>
      <c r="H163" s="26" t="n">
        <v>21.16</v>
      </c>
      <c r="I163" s="12" t="s">
        <v>77</v>
      </c>
      <c r="J163" s="12" t="s">
        <v>995</v>
      </c>
      <c r="K163" s="10" t="s">
        <v>658</v>
      </c>
      <c r="L163" s="30" t="s">
        <v>991</v>
      </c>
      <c r="M163" s="10" t="s">
        <v>3682</v>
      </c>
    </row>
    <row r="164" customFormat="false" ht="35.05" hidden="false" customHeight="false" outlineLevel="0" collapsed="false">
      <c r="A164" s="12" t="s">
        <v>27</v>
      </c>
      <c r="B164" s="12" t="s">
        <v>403</v>
      </c>
      <c r="C164" s="10" t="s">
        <v>1085</v>
      </c>
      <c r="D164" s="12" t="s">
        <v>1086</v>
      </c>
      <c r="E164" s="10" t="s">
        <v>918</v>
      </c>
      <c r="F164" s="12" t="s">
        <v>79</v>
      </c>
      <c r="G164" s="12" t="n">
        <v>1</v>
      </c>
      <c r="H164" s="26" t="n">
        <v>20.12</v>
      </c>
      <c r="I164" s="12" t="s">
        <v>77</v>
      </c>
      <c r="J164" s="12" t="s">
        <v>995</v>
      </c>
      <c r="K164" s="10" t="s">
        <v>658</v>
      </c>
      <c r="L164" s="30" t="s">
        <v>991</v>
      </c>
      <c r="M164" s="10" t="s">
        <v>3683</v>
      </c>
    </row>
    <row r="165" customFormat="false" ht="46.25" hidden="false" customHeight="false" outlineLevel="0" collapsed="false">
      <c r="A165" s="12" t="s">
        <v>27</v>
      </c>
      <c r="B165" s="12" t="s">
        <v>403</v>
      </c>
      <c r="C165" s="10" t="s">
        <v>1085</v>
      </c>
      <c r="D165" s="12" t="s">
        <v>1087</v>
      </c>
      <c r="E165" s="10" t="s">
        <v>878</v>
      </c>
      <c r="F165" s="12" t="s">
        <v>79</v>
      </c>
      <c r="G165" s="12" t="n">
        <v>5</v>
      </c>
      <c r="H165" s="26" t="n">
        <v>100.61</v>
      </c>
      <c r="I165" s="12" t="s">
        <v>77</v>
      </c>
      <c r="J165" s="12" t="s">
        <v>995</v>
      </c>
      <c r="K165" s="10" t="s">
        <v>658</v>
      </c>
      <c r="L165" s="30" t="s">
        <v>991</v>
      </c>
      <c r="M165" s="10" t="s">
        <v>3684</v>
      </c>
    </row>
    <row r="166" customFormat="false" ht="35.05" hidden="false" customHeight="false" outlineLevel="0" collapsed="false">
      <c r="A166" s="12" t="s">
        <v>25</v>
      </c>
      <c r="B166" s="12" t="s">
        <v>75</v>
      </c>
      <c r="C166" s="10" t="s">
        <v>1167</v>
      </c>
      <c r="D166" s="12" t="s">
        <v>838</v>
      </c>
      <c r="E166" s="10" t="s">
        <v>843</v>
      </c>
      <c r="F166" s="12" t="s">
        <v>79</v>
      </c>
      <c r="G166" s="12"/>
      <c r="H166" s="26" t="n">
        <v>360.71</v>
      </c>
      <c r="I166" s="12" t="s">
        <v>102</v>
      </c>
      <c r="J166" s="12" t="s">
        <v>194</v>
      </c>
      <c r="K166" s="10" t="s">
        <v>658</v>
      </c>
      <c r="L166" s="30" t="s">
        <v>840</v>
      </c>
      <c r="M166" s="10" t="s">
        <v>3557</v>
      </c>
    </row>
    <row r="167" customFormat="false" ht="35.05" hidden="false" customHeight="false" outlineLevel="0" collapsed="false">
      <c r="A167" s="12" t="s">
        <v>25</v>
      </c>
      <c r="B167" s="12" t="s">
        <v>75</v>
      </c>
      <c r="C167" s="10" t="s">
        <v>1167</v>
      </c>
      <c r="D167" s="12" t="s">
        <v>851</v>
      </c>
      <c r="E167" s="10" t="s">
        <v>839</v>
      </c>
      <c r="F167" s="12" t="s">
        <v>79</v>
      </c>
      <c r="G167" s="12"/>
      <c r="H167" s="26" t="n">
        <v>397.421</v>
      </c>
      <c r="I167" s="12" t="s">
        <v>77</v>
      </c>
      <c r="J167" s="12" t="s">
        <v>3558</v>
      </c>
      <c r="K167" s="10" t="s">
        <v>658</v>
      </c>
      <c r="L167" s="30" t="s">
        <v>852</v>
      </c>
      <c r="M167" s="10" t="s">
        <v>3685</v>
      </c>
    </row>
    <row r="168" customFormat="false" ht="15" hidden="false" customHeight="false" outlineLevel="0" collapsed="false">
      <c r="A168" s="12" t="s">
        <v>25</v>
      </c>
      <c r="B168" s="12" t="s">
        <v>75</v>
      </c>
      <c r="C168" s="10" t="s">
        <v>75</v>
      </c>
      <c r="D168" s="12" t="s">
        <v>1186</v>
      </c>
      <c r="E168" s="10" t="s">
        <v>1187</v>
      </c>
      <c r="F168" s="12" t="s">
        <v>79</v>
      </c>
      <c r="G168" s="12"/>
      <c r="H168" s="26" t="n">
        <v>398.335</v>
      </c>
      <c r="I168" s="12" t="s">
        <v>102</v>
      </c>
      <c r="J168" s="12" t="s">
        <v>948</v>
      </c>
      <c r="K168" s="10" t="s">
        <v>658</v>
      </c>
      <c r="L168" s="30" t="s">
        <v>927</v>
      </c>
      <c r="M168" s="10" t="s">
        <v>3686</v>
      </c>
    </row>
    <row r="169" customFormat="false" ht="46.25" hidden="false" customHeight="false" outlineLevel="0" collapsed="false">
      <c r="A169" s="12" t="s">
        <v>25</v>
      </c>
      <c r="B169" s="12" t="s">
        <v>75</v>
      </c>
      <c r="C169" s="10" t="s">
        <v>1207</v>
      </c>
      <c r="D169" s="12" t="s">
        <v>978</v>
      </c>
      <c r="E169" s="10" t="s">
        <v>979</v>
      </c>
      <c r="F169" s="12" t="s">
        <v>79</v>
      </c>
      <c r="G169" s="12"/>
      <c r="H169" s="26" t="n">
        <v>10.241</v>
      </c>
      <c r="I169" s="12" t="s">
        <v>77</v>
      </c>
      <c r="J169" s="12" t="s">
        <v>1044</v>
      </c>
      <c r="K169" s="10" t="s">
        <v>658</v>
      </c>
      <c r="L169" s="30" t="s">
        <v>976</v>
      </c>
      <c r="M169" s="10" t="s">
        <v>3687</v>
      </c>
    </row>
    <row r="170" customFormat="false" ht="46.25" hidden="false" customHeight="false" outlineLevel="0" collapsed="false">
      <c r="A170" s="12" t="s">
        <v>25</v>
      </c>
      <c r="B170" s="12" t="s">
        <v>75</v>
      </c>
      <c r="C170" s="10" t="s">
        <v>1219</v>
      </c>
      <c r="D170" s="12" t="s">
        <v>1220</v>
      </c>
      <c r="E170" s="10" t="s">
        <v>1221</v>
      </c>
      <c r="F170" s="12" t="s">
        <v>79</v>
      </c>
      <c r="G170" s="12" t="n">
        <v>30</v>
      </c>
      <c r="H170" s="26" t="n">
        <v>129.54</v>
      </c>
      <c r="I170" s="12" t="s">
        <v>77</v>
      </c>
      <c r="J170" s="12" t="s">
        <v>995</v>
      </c>
      <c r="K170" s="10" t="s">
        <v>658</v>
      </c>
      <c r="L170" s="30" t="s">
        <v>991</v>
      </c>
      <c r="M170" s="10" t="s">
        <v>3688</v>
      </c>
    </row>
    <row r="171" customFormat="false" ht="57.45" hidden="false" customHeight="false" outlineLevel="0" collapsed="false">
      <c r="A171" s="12" t="s">
        <v>25</v>
      </c>
      <c r="B171" s="12" t="s">
        <v>455</v>
      </c>
      <c r="C171" s="10" t="s">
        <v>455</v>
      </c>
      <c r="D171" s="12" t="s">
        <v>1120</v>
      </c>
      <c r="E171" s="10" t="s">
        <v>1121</v>
      </c>
      <c r="F171" s="12" t="s">
        <v>79</v>
      </c>
      <c r="G171" s="12"/>
      <c r="H171" s="26" t="n">
        <v>31.16</v>
      </c>
      <c r="I171" s="12" t="s">
        <v>102</v>
      </c>
      <c r="J171" s="12" t="s">
        <v>144</v>
      </c>
      <c r="K171" s="10" t="s">
        <v>658</v>
      </c>
      <c r="L171" s="30" t="s">
        <v>1122</v>
      </c>
      <c r="M171" s="10" t="s">
        <v>3689</v>
      </c>
    </row>
    <row r="172" customFormat="false" ht="46.25" hidden="false" customHeight="false" outlineLevel="0" collapsed="false">
      <c r="A172" s="12" t="s">
        <v>25</v>
      </c>
      <c r="B172" s="12" t="s">
        <v>89</v>
      </c>
      <c r="C172" s="10" t="s">
        <v>89</v>
      </c>
      <c r="D172" s="12" t="s">
        <v>775</v>
      </c>
      <c r="E172" s="10" t="s">
        <v>1125</v>
      </c>
      <c r="F172" s="12" t="s">
        <v>79</v>
      </c>
      <c r="G172" s="12"/>
      <c r="H172" s="26" t="n">
        <v>22.25</v>
      </c>
      <c r="I172" s="12" t="s">
        <v>102</v>
      </c>
      <c r="J172" s="12" t="s">
        <v>144</v>
      </c>
      <c r="K172" s="10" t="s">
        <v>658</v>
      </c>
      <c r="L172" s="30" t="s">
        <v>777</v>
      </c>
      <c r="M172" s="10" t="s">
        <v>3561</v>
      </c>
    </row>
    <row r="173" customFormat="false" ht="35.05" hidden="false" customHeight="false" outlineLevel="0" collapsed="false">
      <c r="A173" s="12" t="s">
        <v>25</v>
      </c>
      <c r="B173" s="12" t="s">
        <v>89</v>
      </c>
      <c r="C173" s="10" t="s">
        <v>1156</v>
      </c>
      <c r="D173" s="12" t="s">
        <v>828</v>
      </c>
      <c r="E173" s="10" t="s">
        <v>829</v>
      </c>
      <c r="F173" s="12" t="s">
        <v>79</v>
      </c>
      <c r="G173" s="12"/>
      <c r="H173" s="26" t="n">
        <v>1007.87</v>
      </c>
      <c r="I173" s="12" t="s">
        <v>77</v>
      </c>
      <c r="J173" s="12" t="s">
        <v>194</v>
      </c>
      <c r="K173" s="10" t="s">
        <v>658</v>
      </c>
      <c r="L173" s="30" t="s">
        <v>1157</v>
      </c>
      <c r="M173" s="10" t="s">
        <v>3690</v>
      </c>
    </row>
    <row r="174" customFormat="false" ht="35.05" hidden="false" customHeight="false" outlineLevel="0" collapsed="false">
      <c r="A174" s="12" t="s">
        <v>25</v>
      </c>
      <c r="B174" s="12" t="s">
        <v>89</v>
      </c>
      <c r="C174" s="10" t="s">
        <v>89</v>
      </c>
      <c r="D174" s="12" t="s">
        <v>854</v>
      </c>
      <c r="E174" s="10" t="s">
        <v>829</v>
      </c>
      <c r="F174" s="12" t="s">
        <v>79</v>
      </c>
      <c r="G174" s="12"/>
      <c r="H174" s="26" t="n">
        <v>1444.1174</v>
      </c>
      <c r="I174" s="12" t="s">
        <v>77</v>
      </c>
      <c r="J174" s="12" t="s">
        <v>3558</v>
      </c>
      <c r="K174" s="10" t="s">
        <v>658</v>
      </c>
      <c r="L174" s="30" t="s">
        <v>852</v>
      </c>
      <c r="M174" s="10" t="s">
        <v>3691</v>
      </c>
    </row>
    <row r="175" customFormat="false" ht="15" hidden="false" customHeight="false" outlineLevel="0" collapsed="false">
      <c r="A175" s="12" t="s">
        <v>25</v>
      </c>
      <c r="B175" s="12" t="s">
        <v>89</v>
      </c>
      <c r="C175" s="10" t="s">
        <v>89</v>
      </c>
      <c r="D175" s="12" t="s">
        <v>1184</v>
      </c>
      <c r="E175" s="10" t="s">
        <v>1185</v>
      </c>
      <c r="F175" s="12" t="s">
        <v>79</v>
      </c>
      <c r="G175" s="12"/>
      <c r="H175" s="26" t="n">
        <v>981.694</v>
      </c>
      <c r="I175" s="12" t="s">
        <v>102</v>
      </c>
      <c r="J175" s="12" t="s">
        <v>948</v>
      </c>
      <c r="K175" s="10" t="s">
        <v>658</v>
      </c>
      <c r="L175" s="30" t="s">
        <v>927</v>
      </c>
      <c r="M175" s="10" t="s">
        <v>3692</v>
      </c>
    </row>
    <row r="176" customFormat="false" ht="23.85" hidden="false" customHeight="false" outlineLevel="0" collapsed="false">
      <c r="A176" s="12" t="s">
        <v>25</v>
      </c>
      <c r="B176" s="12" t="s">
        <v>89</v>
      </c>
      <c r="C176" s="10" t="s">
        <v>1216</v>
      </c>
      <c r="D176" s="12" t="s">
        <v>1083</v>
      </c>
      <c r="E176" s="10" t="s">
        <v>1217</v>
      </c>
      <c r="F176" s="12" t="s">
        <v>79</v>
      </c>
      <c r="G176" s="12" t="n">
        <v>10</v>
      </c>
      <c r="H176" s="26" t="n">
        <v>102.85</v>
      </c>
      <c r="I176" s="12" t="s">
        <v>77</v>
      </c>
      <c r="J176" s="12" t="s">
        <v>995</v>
      </c>
      <c r="K176" s="10" t="s">
        <v>1069</v>
      </c>
      <c r="L176" s="30" t="s">
        <v>1218</v>
      </c>
      <c r="M176" s="10" t="s">
        <v>3693</v>
      </c>
    </row>
    <row r="177" customFormat="false" ht="35.05" hidden="false" customHeight="false" outlineLevel="0" collapsed="false">
      <c r="A177" s="12" t="s">
        <v>25</v>
      </c>
      <c r="B177" s="12" t="s">
        <v>162</v>
      </c>
      <c r="C177" s="10" t="s">
        <v>652</v>
      </c>
      <c r="D177" s="12" t="s">
        <v>654</v>
      </c>
      <c r="E177" s="10" t="s">
        <v>1106</v>
      </c>
      <c r="F177" s="12" t="s">
        <v>85</v>
      </c>
      <c r="G177" s="12" t="n">
        <v>1</v>
      </c>
      <c r="H177" s="26" t="n">
        <v>127.38</v>
      </c>
      <c r="I177" s="12" t="s">
        <v>102</v>
      </c>
      <c r="J177" s="12" t="s">
        <v>144</v>
      </c>
      <c r="K177" s="10" t="s">
        <v>1049</v>
      </c>
      <c r="L177" s="30" t="s">
        <v>1050</v>
      </c>
      <c r="M177" s="10" t="s">
        <v>3694</v>
      </c>
    </row>
    <row r="178" customFormat="false" ht="35.05" hidden="false" customHeight="false" outlineLevel="0" collapsed="false">
      <c r="A178" s="12" t="s">
        <v>25</v>
      </c>
      <c r="B178" s="12" t="s">
        <v>162</v>
      </c>
      <c r="C178" s="10" t="s">
        <v>1201</v>
      </c>
      <c r="D178" s="12" t="s">
        <v>1202</v>
      </c>
      <c r="E178" s="10" t="s">
        <v>1056</v>
      </c>
      <c r="F178" s="12" t="s">
        <v>79</v>
      </c>
      <c r="G178" s="12" t="n">
        <v>1</v>
      </c>
      <c r="H178" s="26" t="n">
        <v>127.38</v>
      </c>
      <c r="I178" s="12" t="s">
        <v>102</v>
      </c>
      <c r="J178" s="12" t="s">
        <v>144</v>
      </c>
      <c r="K178" s="10" t="s">
        <v>1049</v>
      </c>
      <c r="L178" s="30" t="s">
        <v>1050</v>
      </c>
      <c r="M178" s="10" t="s">
        <v>3694</v>
      </c>
    </row>
    <row r="179" customFormat="false" ht="35.05" hidden="false" customHeight="false" outlineLevel="0" collapsed="false">
      <c r="A179" s="12" t="s">
        <v>25</v>
      </c>
      <c r="B179" s="12" t="s">
        <v>124</v>
      </c>
      <c r="C179" s="10" t="s">
        <v>124</v>
      </c>
      <c r="D179" s="12" t="s">
        <v>797</v>
      </c>
      <c r="E179" s="10" t="s">
        <v>1129</v>
      </c>
      <c r="F179" s="12" t="s">
        <v>79</v>
      </c>
      <c r="G179" s="12" t="n">
        <v>5</v>
      </c>
      <c r="H179" s="26" t="n">
        <v>216.12</v>
      </c>
      <c r="I179" s="12" t="s">
        <v>102</v>
      </c>
      <c r="J179" s="12" t="s">
        <v>144</v>
      </c>
      <c r="K179" s="10" t="s">
        <v>658</v>
      </c>
      <c r="L179" s="30" t="s">
        <v>799</v>
      </c>
      <c r="M179" s="10" t="s">
        <v>3574</v>
      </c>
    </row>
    <row r="180" customFormat="false" ht="35.05" hidden="false" customHeight="false" outlineLevel="0" collapsed="false">
      <c r="A180" s="12" t="s">
        <v>25</v>
      </c>
      <c r="B180" s="12" t="s">
        <v>124</v>
      </c>
      <c r="C180" s="10" t="s">
        <v>124</v>
      </c>
      <c r="D180" s="12" t="s">
        <v>800</v>
      </c>
      <c r="E180" s="10" t="s">
        <v>1131</v>
      </c>
      <c r="F180" s="12" t="s">
        <v>79</v>
      </c>
      <c r="G180" s="12" t="n">
        <v>10</v>
      </c>
      <c r="H180" s="26" t="n">
        <v>427.8</v>
      </c>
      <c r="I180" s="12" t="s">
        <v>102</v>
      </c>
      <c r="J180" s="12" t="s">
        <v>144</v>
      </c>
      <c r="K180" s="10" t="s">
        <v>658</v>
      </c>
      <c r="L180" s="30" t="s">
        <v>799</v>
      </c>
      <c r="M180" s="10" t="s">
        <v>3575</v>
      </c>
    </row>
    <row r="181" customFormat="false" ht="35.05" hidden="false" customHeight="false" outlineLevel="0" collapsed="false">
      <c r="A181" s="12" t="s">
        <v>25</v>
      </c>
      <c r="B181" s="12" t="s">
        <v>124</v>
      </c>
      <c r="C181" s="10" t="s">
        <v>124</v>
      </c>
      <c r="D181" s="12" t="s">
        <v>802</v>
      </c>
      <c r="E181" s="10" t="s">
        <v>1132</v>
      </c>
      <c r="F181" s="12" t="s">
        <v>79</v>
      </c>
      <c r="G181" s="12" t="n">
        <v>2.5</v>
      </c>
      <c r="H181" s="26" t="n">
        <v>58.2</v>
      </c>
      <c r="I181" s="12" t="s">
        <v>102</v>
      </c>
      <c r="J181" s="12" t="s">
        <v>144</v>
      </c>
      <c r="K181" s="10" t="s">
        <v>658</v>
      </c>
      <c r="L181" s="30" t="s">
        <v>799</v>
      </c>
      <c r="M181" s="10" t="s">
        <v>3576</v>
      </c>
    </row>
    <row r="182" customFormat="false" ht="79.85" hidden="false" customHeight="false" outlineLevel="0" collapsed="false">
      <c r="A182" s="12" t="s">
        <v>25</v>
      </c>
      <c r="B182" s="12" t="s">
        <v>124</v>
      </c>
      <c r="C182" s="10" t="s">
        <v>1169</v>
      </c>
      <c r="D182" s="12" t="s">
        <v>1170</v>
      </c>
      <c r="E182" s="10" t="s">
        <v>918</v>
      </c>
      <c r="F182" s="12" t="s">
        <v>79</v>
      </c>
      <c r="G182" s="12" t="n">
        <v>1</v>
      </c>
      <c r="H182" s="26" t="n">
        <v>4.9946</v>
      </c>
      <c r="I182" s="12" t="s">
        <v>77</v>
      </c>
      <c r="J182" s="12" t="s">
        <v>3695</v>
      </c>
      <c r="K182" s="10" t="s">
        <v>658</v>
      </c>
      <c r="L182" s="30" t="s">
        <v>1171</v>
      </c>
      <c r="M182" s="10" t="s">
        <v>3696</v>
      </c>
    </row>
    <row r="183" customFormat="false" ht="35.05" hidden="false" customHeight="false" outlineLevel="0" collapsed="false">
      <c r="A183" s="12" t="s">
        <v>25</v>
      </c>
      <c r="B183" s="12" t="s">
        <v>107</v>
      </c>
      <c r="C183" s="10" t="s">
        <v>1158</v>
      </c>
      <c r="D183" s="12" t="s">
        <v>1019</v>
      </c>
      <c r="E183" s="10" t="s">
        <v>874</v>
      </c>
      <c r="F183" s="12" t="s">
        <v>79</v>
      </c>
      <c r="G183" s="12"/>
      <c r="H183" s="26" t="n">
        <v>81.96</v>
      </c>
      <c r="I183" s="12" t="s">
        <v>77</v>
      </c>
      <c r="J183" s="12" t="s">
        <v>194</v>
      </c>
      <c r="K183" s="10" t="s">
        <v>658</v>
      </c>
      <c r="L183" s="30" t="s">
        <v>1159</v>
      </c>
      <c r="M183" s="10" t="s">
        <v>3659</v>
      </c>
    </row>
    <row r="184" customFormat="false" ht="23.85" hidden="false" customHeight="false" outlineLevel="0" collapsed="false">
      <c r="A184" s="12" t="s">
        <v>25</v>
      </c>
      <c r="B184" s="12" t="s">
        <v>107</v>
      </c>
      <c r="C184" s="10" t="s">
        <v>1172</v>
      </c>
      <c r="D184" s="12" t="s">
        <v>873</v>
      </c>
      <c r="E184" s="10" t="s">
        <v>874</v>
      </c>
      <c r="F184" s="12" t="s">
        <v>79</v>
      </c>
      <c r="G184" s="12"/>
      <c r="H184" s="26" t="n">
        <v>100.4344</v>
      </c>
      <c r="I184" s="12" t="s">
        <v>471</v>
      </c>
      <c r="J184" s="12" t="s">
        <v>323</v>
      </c>
      <c r="K184" s="10" t="s">
        <v>658</v>
      </c>
      <c r="L184" s="12"/>
      <c r="M184" s="10" t="s">
        <v>3697</v>
      </c>
    </row>
    <row r="185" customFormat="false" ht="15" hidden="false" customHeight="false" outlineLevel="0" collapsed="false">
      <c r="A185" s="12" t="s">
        <v>25</v>
      </c>
      <c r="B185" s="12" t="s">
        <v>107</v>
      </c>
      <c r="C185" s="10" t="s">
        <v>107</v>
      </c>
      <c r="D185" s="12" t="s">
        <v>929</v>
      </c>
      <c r="E185" s="10" t="s">
        <v>1188</v>
      </c>
      <c r="F185" s="12" t="s">
        <v>79</v>
      </c>
      <c r="G185" s="12"/>
      <c r="H185" s="26" t="n">
        <v>113.645</v>
      </c>
      <c r="I185" s="12" t="s">
        <v>77</v>
      </c>
      <c r="J185" s="12" t="s">
        <v>948</v>
      </c>
      <c r="K185" s="10" t="s">
        <v>658</v>
      </c>
      <c r="L185" s="30" t="s">
        <v>1189</v>
      </c>
      <c r="M185" s="10" t="s">
        <v>3698</v>
      </c>
    </row>
    <row r="186" customFormat="false" ht="23.85" hidden="false" customHeight="false" outlineLevel="0" collapsed="false">
      <c r="A186" s="12" t="s">
        <v>25</v>
      </c>
      <c r="B186" s="12" t="s">
        <v>107</v>
      </c>
      <c r="C186" s="10" t="s">
        <v>1203</v>
      </c>
      <c r="D186" s="12" t="s">
        <v>1037</v>
      </c>
      <c r="E186" s="10" t="s">
        <v>1038</v>
      </c>
      <c r="F186" s="12" t="s">
        <v>79</v>
      </c>
      <c r="G186" s="12"/>
      <c r="H186" s="26"/>
      <c r="I186" s="12" t="s">
        <v>323</v>
      </c>
      <c r="J186" s="12" t="s">
        <v>323</v>
      </c>
      <c r="K186" s="10" t="s">
        <v>3589</v>
      </c>
      <c r="L186" s="12"/>
      <c r="M186" s="10" t="s">
        <v>3590</v>
      </c>
    </row>
    <row r="187" customFormat="false" ht="23.85" hidden="false" customHeight="false" outlineLevel="0" collapsed="false">
      <c r="A187" s="12" t="s">
        <v>25</v>
      </c>
      <c r="B187" s="12" t="s">
        <v>107</v>
      </c>
      <c r="C187" s="10" t="s">
        <v>1203</v>
      </c>
      <c r="D187" s="12" t="s">
        <v>963</v>
      </c>
      <c r="E187" s="10" t="s">
        <v>964</v>
      </c>
      <c r="F187" s="12" t="s">
        <v>79</v>
      </c>
      <c r="G187" s="12"/>
      <c r="H187" s="26"/>
      <c r="I187" s="12" t="s">
        <v>323</v>
      </c>
      <c r="J187" s="12" t="s">
        <v>323</v>
      </c>
      <c r="K187" s="10" t="s">
        <v>3589</v>
      </c>
      <c r="L187" s="12"/>
      <c r="M187" s="10" t="s">
        <v>3590</v>
      </c>
    </row>
    <row r="188" customFormat="false" ht="46.25" hidden="false" customHeight="false" outlineLevel="0" collapsed="false">
      <c r="A188" s="12" t="s">
        <v>25</v>
      </c>
      <c r="B188" s="12" t="s">
        <v>451</v>
      </c>
      <c r="C188" s="10" t="s">
        <v>1107</v>
      </c>
      <c r="D188" s="12" t="s">
        <v>1108</v>
      </c>
      <c r="E188" s="10" t="s">
        <v>1109</v>
      </c>
      <c r="F188" s="12" t="s">
        <v>79</v>
      </c>
      <c r="G188" s="12" t="n">
        <v>10</v>
      </c>
      <c r="H188" s="26" t="n">
        <v>133.8</v>
      </c>
      <c r="I188" s="12" t="s">
        <v>102</v>
      </c>
      <c r="J188" s="12" t="s">
        <v>144</v>
      </c>
      <c r="K188" s="10" t="s">
        <v>658</v>
      </c>
      <c r="L188" s="30" t="s">
        <v>1110</v>
      </c>
      <c r="M188" s="10" t="s">
        <v>3699</v>
      </c>
    </row>
    <row r="189" customFormat="false" ht="35.05" hidden="false" customHeight="false" outlineLevel="0" collapsed="false">
      <c r="A189" s="12" t="s">
        <v>25</v>
      </c>
      <c r="B189" s="12" t="s">
        <v>291</v>
      </c>
      <c r="C189" s="10" t="s">
        <v>291</v>
      </c>
      <c r="D189" s="12" t="s">
        <v>661</v>
      </c>
      <c r="E189" s="10" t="s">
        <v>662</v>
      </c>
      <c r="F189" s="12" t="s">
        <v>85</v>
      </c>
      <c r="G189" s="12" t="n">
        <v>2</v>
      </c>
      <c r="H189" s="26" t="n">
        <v>10.14</v>
      </c>
      <c r="I189" s="12" t="s">
        <v>102</v>
      </c>
      <c r="J189" s="12" t="s">
        <v>144</v>
      </c>
      <c r="K189" s="10" t="s">
        <v>665</v>
      </c>
      <c r="L189" s="30" t="s">
        <v>666</v>
      </c>
      <c r="M189" s="10" t="s">
        <v>3549</v>
      </c>
    </row>
    <row r="190" customFormat="false" ht="46.25" hidden="false" customHeight="false" outlineLevel="0" collapsed="false">
      <c r="A190" s="12" t="s">
        <v>25</v>
      </c>
      <c r="B190" s="12" t="s">
        <v>411</v>
      </c>
      <c r="C190" s="10" t="s">
        <v>804</v>
      </c>
      <c r="D190" s="12" t="s">
        <v>805</v>
      </c>
      <c r="E190" s="10" t="s">
        <v>1133</v>
      </c>
      <c r="F190" s="12" t="s">
        <v>79</v>
      </c>
      <c r="G190" s="12" t="n">
        <v>1</v>
      </c>
      <c r="H190" s="26" t="n">
        <v>5.35</v>
      </c>
      <c r="I190" s="12" t="s">
        <v>102</v>
      </c>
      <c r="J190" s="12" t="s">
        <v>144</v>
      </c>
      <c r="K190" s="10" t="s">
        <v>658</v>
      </c>
      <c r="L190" s="30" t="s">
        <v>807</v>
      </c>
      <c r="M190" s="10" t="s">
        <v>3580</v>
      </c>
    </row>
    <row r="191" customFormat="false" ht="35.05" hidden="false" customHeight="false" outlineLevel="0" collapsed="false">
      <c r="A191" s="12" t="s">
        <v>25</v>
      </c>
      <c r="B191" s="12" t="s">
        <v>131</v>
      </c>
      <c r="C191" s="10" t="s">
        <v>1134</v>
      </c>
      <c r="D191" s="12" t="s">
        <v>1135</v>
      </c>
      <c r="E191" s="10" t="s">
        <v>1136</v>
      </c>
      <c r="F191" s="12" t="s">
        <v>79</v>
      </c>
      <c r="G191" s="12" t="n">
        <v>2</v>
      </c>
      <c r="H191" s="26" t="n">
        <v>301.8</v>
      </c>
      <c r="I191" s="12" t="s">
        <v>102</v>
      </c>
      <c r="J191" s="12" t="s">
        <v>144</v>
      </c>
      <c r="K191" s="10" t="s">
        <v>658</v>
      </c>
      <c r="L191" s="30" t="s">
        <v>1137</v>
      </c>
      <c r="M191" s="10" t="s">
        <v>3700</v>
      </c>
    </row>
    <row r="192" customFormat="false" ht="35.05" hidden="false" customHeight="false" outlineLevel="0" collapsed="false">
      <c r="A192" s="12" t="s">
        <v>25</v>
      </c>
      <c r="B192" s="12" t="s">
        <v>131</v>
      </c>
      <c r="C192" s="10" t="s">
        <v>131</v>
      </c>
      <c r="D192" s="12" t="s">
        <v>1164</v>
      </c>
      <c r="E192" s="10" t="s">
        <v>1165</v>
      </c>
      <c r="F192" s="12" t="s">
        <v>79</v>
      </c>
      <c r="G192" s="12" t="n">
        <v>2</v>
      </c>
      <c r="H192" s="26" t="n">
        <v>429.52</v>
      </c>
      <c r="I192" s="12" t="s">
        <v>77</v>
      </c>
      <c r="J192" s="12" t="s">
        <v>194</v>
      </c>
      <c r="K192" s="10" t="s">
        <v>658</v>
      </c>
      <c r="L192" s="30" t="s">
        <v>1166</v>
      </c>
      <c r="M192" s="10" t="s">
        <v>3701</v>
      </c>
    </row>
    <row r="193" customFormat="false" ht="46.25" hidden="false" customHeight="false" outlineLevel="0" collapsed="false">
      <c r="A193" s="12" t="s">
        <v>25</v>
      </c>
      <c r="B193" s="12" t="s">
        <v>131</v>
      </c>
      <c r="C193" s="10" t="s">
        <v>1173</v>
      </c>
      <c r="D193" s="12" t="s">
        <v>1174</v>
      </c>
      <c r="E193" s="10" t="s">
        <v>1175</v>
      </c>
      <c r="F193" s="12" t="s">
        <v>79</v>
      </c>
      <c r="G193" s="12" t="n">
        <v>2</v>
      </c>
      <c r="H193" s="26" t="n">
        <v>471.2665</v>
      </c>
      <c r="I193" s="12" t="s">
        <v>153</v>
      </c>
      <c r="J193" s="12" t="s">
        <v>3558</v>
      </c>
      <c r="K193" s="10" t="s">
        <v>658</v>
      </c>
      <c r="L193" s="30" t="s">
        <v>852</v>
      </c>
      <c r="M193" s="10" t="s">
        <v>3702</v>
      </c>
    </row>
    <row r="194" customFormat="false" ht="23.85" hidden="false" customHeight="false" outlineLevel="0" collapsed="false">
      <c r="A194" s="12" t="s">
        <v>25</v>
      </c>
      <c r="B194" s="12" t="s">
        <v>131</v>
      </c>
      <c r="C194" s="10" t="s">
        <v>1134</v>
      </c>
      <c r="D194" s="12" t="s">
        <v>1191</v>
      </c>
      <c r="E194" s="10" t="s">
        <v>1192</v>
      </c>
      <c r="F194" s="12" t="s">
        <v>79</v>
      </c>
      <c r="G194" s="12" t="n">
        <v>2</v>
      </c>
      <c r="H194" s="26" t="n">
        <v>378</v>
      </c>
      <c r="I194" s="12" t="s">
        <v>102</v>
      </c>
      <c r="J194" s="12" t="s">
        <v>948</v>
      </c>
      <c r="K194" s="10" t="s">
        <v>658</v>
      </c>
      <c r="L194" s="30" t="s">
        <v>944</v>
      </c>
      <c r="M194" s="10" t="s">
        <v>3703</v>
      </c>
    </row>
    <row r="195" customFormat="false" ht="46.25" hidden="false" customHeight="false" outlineLevel="0" collapsed="false">
      <c r="A195" s="12" t="s">
        <v>25</v>
      </c>
      <c r="B195" s="12" t="s">
        <v>131</v>
      </c>
      <c r="C195" s="10" t="s">
        <v>1199</v>
      </c>
      <c r="D195" s="12" t="s">
        <v>1200</v>
      </c>
      <c r="E195" s="10" t="s">
        <v>1033</v>
      </c>
      <c r="F195" s="12" t="s">
        <v>79</v>
      </c>
      <c r="G195" s="12" t="n">
        <v>2</v>
      </c>
      <c r="H195" s="26" t="n">
        <v>113.715</v>
      </c>
      <c r="I195" s="12" t="s">
        <v>77</v>
      </c>
      <c r="J195" s="12" t="s">
        <v>1044</v>
      </c>
      <c r="K195" s="10" t="s">
        <v>658</v>
      </c>
      <c r="L195" s="30" t="s">
        <v>983</v>
      </c>
      <c r="M195" s="10" t="s">
        <v>3704</v>
      </c>
    </row>
    <row r="196" customFormat="false" ht="46.25" hidden="false" customHeight="false" outlineLevel="0" collapsed="false">
      <c r="A196" s="12" t="s">
        <v>25</v>
      </c>
      <c r="B196" s="12" t="s">
        <v>131</v>
      </c>
      <c r="C196" s="10" t="s">
        <v>1208</v>
      </c>
      <c r="D196" s="12" t="s">
        <v>1209</v>
      </c>
      <c r="E196" s="10" t="s">
        <v>1210</v>
      </c>
      <c r="F196" s="12" t="s">
        <v>79</v>
      </c>
      <c r="G196" s="12" t="n">
        <v>2</v>
      </c>
      <c r="H196" s="26" t="n">
        <v>308.77</v>
      </c>
      <c r="I196" s="12" t="s">
        <v>77</v>
      </c>
      <c r="J196" s="12" t="s">
        <v>995</v>
      </c>
      <c r="K196" s="10" t="s">
        <v>658</v>
      </c>
      <c r="L196" s="30" t="s">
        <v>991</v>
      </c>
      <c r="M196" s="10" t="s">
        <v>3705</v>
      </c>
    </row>
    <row r="197" customFormat="false" ht="23.85" hidden="false" customHeight="false" outlineLevel="0" collapsed="false">
      <c r="A197" s="12" t="s">
        <v>25</v>
      </c>
      <c r="B197" s="12" t="s">
        <v>145</v>
      </c>
      <c r="C197" s="10" t="s">
        <v>145</v>
      </c>
      <c r="D197" s="12" t="s">
        <v>932</v>
      </c>
      <c r="E197" s="10" t="s">
        <v>957</v>
      </c>
      <c r="F197" s="12" t="s">
        <v>79</v>
      </c>
      <c r="G197" s="12"/>
      <c r="H197" s="26" t="n">
        <v>36.5855</v>
      </c>
      <c r="I197" s="12" t="s">
        <v>77</v>
      </c>
      <c r="J197" s="12" t="s">
        <v>948</v>
      </c>
      <c r="K197" s="10" t="s">
        <v>658</v>
      </c>
      <c r="L197" s="30" t="s">
        <v>944</v>
      </c>
      <c r="M197" s="10" t="s">
        <v>3706</v>
      </c>
    </row>
    <row r="198" customFormat="false" ht="35.05" hidden="false" customHeight="false" outlineLevel="0" collapsed="false">
      <c r="A198" s="12" t="s">
        <v>25</v>
      </c>
      <c r="B198" s="12" t="s">
        <v>458</v>
      </c>
      <c r="C198" s="10" t="s">
        <v>1193</v>
      </c>
      <c r="D198" s="12" t="s">
        <v>1194</v>
      </c>
      <c r="E198" s="10" t="s">
        <v>1109</v>
      </c>
      <c r="F198" s="12" t="s">
        <v>79</v>
      </c>
      <c r="G198" s="12" t="n">
        <v>10</v>
      </c>
      <c r="H198" s="26" t="n">
        <v>28.679</v>
      </c>
      <c r="I198" s="12" t="s">
        <v>77</v>
      </c>
      <c r="J198" s="12" t="s">
        <v>1044</v>
      </c>
      <c r="K198" s="10" t="s">
        <v>658</v>
      </c>
      <c r="L198" s="30" t="s">
        <v>976</v>
      </c>
      <c r="M198" s="10" t="s">
        <v>3707</v>
      </c>
    </row>
    <row r="199" customFormat="false" ht="35.05" hidden="false" customHeight="false" outlineLevel="0" collapsed="false">
      <c r="A199" s="12" t="s">
        <v>25</v>
      </c>
      <c r="B199" s="12" t="s">
        <v>458</v>
      </c>
      <c r="C199" s="10" t="s">
        <v>1193</v>
      </c>
      <c r="D199" s="12" t="s">
        <v>1195</v>
      </c>
      <c r="E199" s="10" t="s">
        <v>1196</v>
      </c>
      <c r="F199" s="12" t="s">
        <v>79</v>
      </c>
      <c r="G199" s="12" t="n">
        <v>20</v>
      </c>
      <c r="H199" s="26" t="n">
        <v>57.358</v>
      </c>
      <c r="I199" s="12" t="s">
        <v>77</v>
      </c>
      <c r="J199" s="12" t="s">
        <v>1044</v>
      </c>
      <c r="K199" s="10" t="s">
        <v>658</v>
      </c>
      <c r="L199" s="30" t="s">
        <v>976</v>
      </c>
      <c r="M199" s="10" t="s">
        <v>3708</v>
      </c>
    </row>
    <row r="200" customFormat="false" ht="46.25" hidden="false" customHeight="false" outlineLevel="0" collapsed="false">
      <c r="A200" s="12" t="s">
        <v>25</v>
      </c>
      <c r="B200" s="12" t="s">
        <v>458</v>
      </c>
      <c r="C200" s="10" t="s">
        <v>1193</v>
      </c>
      <c r="D200" s="12" t="s">
        <v>1197</v>
      </c>
      <c r="E200" s="10" t="s">
        <v>1033</v>
      </c>
      <c r="F200" s="12" t="s">
        <v>79</v>
      </c>
      <c r="G200" s="12" t="n">
        <v>2</v>
      </c>
      <c r="H200" s="26" t="n">
        <v>5.733</v>
      </c>
      <c r="I200" s="12" t="s">
        <v>102</v>
      </c>
      <c r="J200" s="12" t="s">
        <v>1044</v>
      </c>
      <c r="K200" s="10" t="s">
        <v>658</v>
      </c>
      <c r="L200" s="30" t="s">
        <v>1198</v>
      </c>
      <c r="M200" s="10" t="s">
        <v>3709</v>
      </c>
    </row>
    <row r="201" customFormat="false" ht="46.25" hidden="false" customHeight="false" outlineLevel="0" collapsed="false">
      <c r="A201" s="12" t="s">
        <v>25</v>
      </c>
      <c r="B201" s="12" t="s">
        <v>114</v>
      </c>
      <c r="C201" s="10" t="s">
        <v>114</v>
      </c>
      <c r="D201" s="12" t="s">
        <v>679</v>
      </c>
      <c r="E201" s="10" t="s">
        <v>1127</v>
      </c>
      <c r="F201" s="12" t="s">
        <v>85</v>
      </c>
      <c r="G201" s="12" t="n">
        <v>5</v>
      </c>
      <c r="H201" s="26" t="n">
        <v>29.97</v>
      </c>
      <c r="I201" s="12" t="s">
        <v>102</v>
      </c>
      <c r="J201" s="12" t="s">
        <v>144</v>
      </c>
      <c r="K201" s="10" t="s">
        <v>658</v>
      </c>
      <c r="L201" s="30" t="s">
        <v>682</v>
      </c>
      <c r="M201" s="10" t="s">
        <v>3550</v>
      </c>
    </row>
    <row r="202" customFormat="false" ht="35.05" hidden="false" customHeight="false" outlineLevel="0" collapsed="false">
      <c r="A202" s="12" t="s">
        <v>25</v>
      </c>
      <c r="B202" s="12" t="s">
        <v>114</v>
      </c>
      <c r="C202" s="10" t="s">
        <v>1161</v>
      </c>
      <c r="D202" s="12" t="s">
        <v>831</v>
      </c>
      <c r="E202" s="10" t="s">
        <v>832</v>
      </c>
      <c r="F202" s="12" t="s">
        <v>85</v>
      </c>
      <c r="G202" s="12" t="n">
        <v>5</v>
      </c>
      <c r="H202" s="26" t="n">
        <v>345.31</v>
      </c>
      <c r="I202" s="12" t="s">
        <v>77</v>
      </c>
      <c r="J202" s="12" t="s">
        <v>194</v>
      </c>
      <c r="K202" s="10" t="s">
        <v>658</v>
      </c>
      <c r="L202" s="30" t="s">
        <v>1162</v>
      </c>
      <c r="M202" s="10" t="s">
        <v>3710</v>
      </c>
    </row>
    <row r="203" customFormat="false" ht="46.25" hidden="false" customHeight="false" outlineLevel="0" collapsed="false">
      <c r="A203" s="12" t="s">
        <v>25</v>
      </c>
      <c r="B203" s="12" t="s">
        <v>114</v>
      </c>
      <c r="C203" s="10" t="s">
        <v>1176</v>
      </c>
      <c r="D203" s="12" t="s">
        <v>890</v>
      </c>
      <c r="E203" s="10" t="s">
        <v>891</v>
      </c>
      <c r="F203" s="12" t="s">
        <v>85</v>
      </c>
      <c r="G203" s="12" t="n">
        <v>5</v>
      </c>
      <c r="H203" s="26" t="n">
        <v>531.8684</v>
      </c>
      <c r="I203" s="12" t="s">
        <v>102</v>
      </c>
      <c r="J203" s="12" t="s">
        <v>3558</v>
      </c>
      <c r="K203" s="10" t="s">
        <v>658</v>
      </c>
      <c r="L203" s="30" t="s">
        <v>852</v>
      </c>
      <c r="M203" s="10" t="s">
        <v>3711</v>
      </c>
    </row>
    <row r="204" customFormat="false" ht="23.85" hidden="false" customHeight="false" outlineLevel="0" collapsed="false">
      <c r="A204" s="12" t="s">
        <v>25</v>
      </c>
      <c r="B204" s="12" t="s">
        <v>114</v>
      </c>
      <c r="C204" s="10" t="s">
        <v>1213</v>
      </c>
      <c r="D204" s="12" t="s">
        <v>1214</v>
      </c>
      <c r="E204" s="10" t="s">
        <v>891</v>
      </c>
      <c r="F204" s="12" t="s">
        <v>85</v>
      </c>
      <c r="G204" s="12" t="n">
        <v>5</v>
      </c>
      <c r="H204" s="26" t="n">
        <v>87.27</v>
      </c>
      <c r="I204" s="12" t="s">
        <v>77</v>
      </c>
      <c r="J204" s="12" t="s">
        <v>995</v>
      </c>
      <c r="K204" s="10" t="s">
        <v>1069</v>
      </c>
      <c r="L204" s="30" t="s">
        <v>1215</v>
      </c>
      <c r="M204" s="10" t="s">
        <v>3712</v>
      </c>
    </row>
    <row r="205" customFormat="false" ht="46.25" hidden="false" customHeight="false" outlineLevel="0" collapsed="false">
      <c r="A205" s="12" t="s">
        <v>25</v>
      </c>
      <c r="B205" s="12" t="s">
        <v>368</v>
      </c>
      <c r="C205" s="10" t="s">
        <v>1177</v>
      </c>
      <c r="D205" s="12" t="s">
        <v>1178</v>
      </c>
      <c r="E205" s="10" t="s">
        <v>1179</v>
      </c>
      <c r="F205" s="12" t="s">
        <v>85</v>
      </c>
      <c r="G205" s="12"/>
      <c r="H205" s="26" t="n">
        <v>46.3526</v>
      </c>
      <c r="I205" s="12" t="s">
        <v>77</v>
      </c>
      <c r="J205" s="12" t="s">
        <v>3565</v>
      </c>
      <c r="K205" s="10" t="s">
        <v>658</v>
      </c>
      <c r="L205" s="30" t="s">
        <v>1180</v>
      </c>
      <c r="M205" s="10" t="s">
        <v>3713</v>
      </c>
    </row>
    <row r="206" customFormat="false" ht="23.85" hidden="false" customHeight="false" outlineLevel="0" collapsed="false">
      <c r="A206" s="12" t="s">
        <v>25</v>
      </c>
      <c r="B206" s="12" t="s">
        <v>374</v>
      </c>
      <c r="C206" s="10" t="s">
        <v>731</v>
      </c>
      <c r="D206" s="12" t="s">
        <v>732</v>
      </c>
      <c r="E206" s="10" t="s">
        <v>1111</v>
      </c>
      <c r="F206" s="12" t="s">
        <v>85</v>
      </c>
      <c r="G206" s="12" t="n">
        <v>2</v>
      </c>
      <c r="H206" s="26" t="n">
        <v>13.87</v>
      </c>
      <c r="I206" s="12" t="s">
        <v>77</v>
      </c>
      <c r="J206" s="12" t="s">
        <v>144</v>
      </c>
      <c r="K206" s="10" t="s">
        <v>1049</v>
      </c>
      <c r="L206" s="30" t="s">
        <v>1050</v>
      </c>
      <c r="M206" s="10" t="s">
        <v>3714</v>
      </c>
    </row>
    <row r="207" customFormat="false" ht="46.25" hidden="false" customHeight="false" outlineLevel="0" collapsed="false">
      <c r="A207" s="12" t="s">
        <v>25</v>
      </c>
      <c r="B207" s="12" t="s">
        <v>461</v>
      </c>
      <c r="C207" s="10" t="s">
        <v>1139</v>
      </c>
      <c r="D207" s="12" t="s">
        <v>1140</v>
      </c>
      <c r="E207" s="10" t="s">
        <v>1141</v>
      </c>
      <c r="F207" s="12" t="s">
        <v>85</v>
      </c>
      <c r="G207" s="12" t="n">
        <v>3</v>
      </c>
      <c r="H207" s="26" t="n">
        <v>13.38</v>
      </c>
      <c r="I207" s="12" t="s">
        <v>102</v>
      </c>
      <c r="J207" s="12" t="s">
        <v>144</v>
      </c>
      <c r="K207" s="10" t="s">
        <v>658</v>
      </c>
      <c r="L207" s="30" t="s">
        <v>1143</v>
      </c>
      <c r="M207" s="10" t="s">
        <v>3715</v>
      </c>
    </row>
    <row r="208" customFormat="false" ht="35.05" hidden="false" customHeight="false" outlineLevel="0" collapsed="false">
      <c r="A208" s="12" t="s">
        <v>25</v>
      </c>
      <c r="B208" s="12" t="s">
        <v>461</v>
      </c>
      <c r="C208" s="10" t="s">
        <v>1139</v>
      </c>
      <c r="D208" s="12" t="s">
        <v>1144</v>
      </c>
      <c r="E208" s="10" t="s">
        <v>1145</v>
      </c>
      <c r="F208" s="12" t="s">
        <v>79</v>
      </c>
      <c r="G208" s="12" t="n">
        <v>10</v>
      </c>
      <c r="H208" s="26" t="n">
        <v>19.55</v>
      </c>
      <c r="I208" s="12" t="s">
        <v>102</v>
      </c>
      <c r="J208" s="12" t="s">
        <v>144</v>
      </c>
      <c r="K208" s="10" t="s">
        <v>658</v>
      </c>
      <c r="L208" s="30" t="s">
        <v>1143</v>
      </c>
      <c r="M208" s="10" t="s">
        <v>3716</v>
      </c>
    </row>
    <row r="209" customFormat="false" ht="35.05" hidden="false" customHeight="false" outlineLevel="0" collapsed="false">
      <c r="A209" s="12" t="s">
        <v>25</v>
      </c>
      <c r="B209" s="12" t="s">
        <v>461</v>
      </c>
      <c r="C209" s="10" t="s">
        <v>1139</v>
      </c>
      <c r="D209" s="12" t="s">
        <v>1146</v>
      </c>
      <c r="E209" s="10" t="s">
        <v>1147</v>
      </c>
      <c r="F209" s="12" t="s">
        <v>79</v>
      </c>
      <c r="G209" s="12" t="n">
        <v>10</v>
      </c>
      <c r="H209" s="26" t="n">
        <v>20.45</v>
      </c>
      <c r="I209" s="12" t="s">
        <v>102</v>
      </c>
      <c r="J209" s="12" t="s">
        <v>144</v>
      </c>
      <c r="K209" s="10" t="s">
        <v>658</v>
      </c>
      <c r="L209" s="30" t="s">
        <v>1143</v>
      </c>
      <c r="M209" s="10" t="s">
        <v>3717</v>
      </c>
    </row>
    <row r="210" customFormat="false" ht="46.25" hidden="false" customHeight="false" outlineLevel="0" collapsed="false">
      <c r="A210" s="12" t="s">
        <v>25</v>
      </c>
      <c r="B210" s="12" t="s">
        <v>400</v>
      </c>
      <c r="C210" s="10" t="s">
        <v>771</v>
      </c>
      <c r="D210" s="12" t="s">
        <v>772</v>
      </c>
      <c r="E210" s="10" t="s">
        <v>1123</v>
      </c>
      <c r="F210" s="12" t="s">
        <v>79</v>
      </c>
      <c r="G210" s="12" t="n">
        <v>5</v>
      </c>
      <c r="H210" s="26" t="n">
        <v>9.74</v>
      </c>
      <c r="I210" s="12" t="s">
        <v>102</v>
      </c>
      <c r="J210" s="12" t="s">
        <v>144</v>
      </c>
      <c r="K210" s="10" t="s">
        <v>658</v>
      </c>
      <c r="L210" s="30" t="s">
        <v>774</v>
      </c>
      <c r="M210" s="10" t="s">
        <v>3627</v>
      </c>
    </row>
    <row r="211" customFormat="false" ht="46.25" hidden="false" customHeight="false" outlineLevel="0" collapsed="false">
      <c r="A211" s="12" t="s">
        <v>25</v>
      </c>
      <c r="B211" s="12" t="s">
        <v>400</v>
      </c>
      <c r="C211" s="10" t="s">
        <v>1181</v>
      </c>
      <c r="D211" s="12" t="s">
        <v>1182</v>
      </c>
      <c r="E211" s="10" t="s">
        <v>878</v>
      </c>
      <c r="F211" s="12" t="s">
        <v>79</v>
      </c>
      <c r="G211" s="12" t="n">
        <v>5</v>
      </c>
      <c r="H211" s="26" t="n">
        <v>96.9427</v>
      </c>
      <c r="I211" s="12" t="s">
        <v>102</v>
      </c>
      <c r="J211" s="12" t="s">
        <v>3558</v>
      </c>
      <c r="K211" s="10" t="s">
        <v>658</v>
      </c>
      <c r="L211" s="30" t="s">
        <v>852</v>
      </c>
      <c r="M211" s="10" t="s">
        <v>3718</v>
      </c>
    </row>
    <row r="212" customFormat="false" ht="46.25" hidden="false" customHeight="false" outlineLevel="0" collapsed="false">
      <c r="A212" s="12" t="s">
        <v>25</v>
      </c>
      <c r="B212" s="12" t="s">
        <v>400</v>
      </c>
      <c r="C212" s="10" t="s">
        <v>1206</v>
      </c>
      <c r="D212" s="12" t="s">
        <v>1061</v>
      </c>
      <c r="E212" s="10" t="s">
        <v>1035</v>
      </c>
      <c r="F212" s="12" t="s">
        <v>79</v>
      </c>
      <c r="G212" s="12" t="n">
        <v>5</v>
      </c>
      <c r="H212" s="26" t="n">
        <v>6.937</v>
      </c>
      <c r="I212" s="12" t="s">
        <v>77</v>
      </c>
      <c r="J212" s="12" t="s">
        <v>1044</v>
      </c>
      <c r="K212" s="10" t="s">
        <v>658</v>
      </c>
      <c r="L212" s="30" t="s">
        <v>976</v>
      </c>
      <c r="M212" s="10" t="s">
        <v>3719</v>
      </c>
    </row>
    <row r="213" customFormat="false" ht="23.85" hidden="false" customHeight="false" outlineLevel="0" collapsed="false">
      <c r="A213" s="12" t="s">
        <v>25</v>
      </c>
      <c r="B213" s="12" t="s">
        <v>312</v>
      </c>
      <c r="C213" s="10" t="s">
        <v>312</v>
      </c>
      <c r="D213" s="12" t="s">
        <v>674</v>
      </c>
      <c r="E213" s="10" t="s">
        <v>1112</v>
      </c>
      <c r="F213" s="12" t="s">
        <v>172</v>
      </c>
      <c r="G213" s="12" t="n">
        <v>0.5</v>
      </c>
      <c r="H213" s="26"/>
      <c r="I213" s="12" t="s">
        <v>323</v>
      </c>
      <c r="J213" s="12" t="s">
        <v>323</v>
      </c>
      <c r="K213" s="10" t="s">
        <v>3589</v>
      </c>
      <c r="L213" s="12"/>
      <c r="M213" s="10" t="s">
        <v>3590</v>
      </c>
    </row>
    <row r="214" customFormat="false" ht="46.25" hidden="false" customHeight="false" outlineLevel="0" collapsed="false">
      <c r="A214" s="12" t="s">
        <v>25</v>
      </c>
      <c r="B214" s="12" t="s">
        <v>312</v>
      </c>
      <c r="C214" s="10" t="s">
        <v>312</v>
      </c>
      <c r="D214" s="12" t="s">
        <v>1005</v>
      </c>
      <c r="E214" s="10" t="s">
        <v>1112</v>
      </c>
      <c r="F214" s="12" t="s">
        <v>172</v>
      </c>
      <c r="G214" s="12" t="n">
        <v>1</v>
      </c>
      <c r="H214" s="26" t="n">
        <v>16.96</v>
      </c>
      <c r="I214" s="12" t="s">
        <v>102</v>
      </c>
      <c r="J214" s="12" t="s">
        <v>144</v>
      </c>
      <c r="K214" s="10" t="s">
        <v>658</v>
      </c>
      <c r="L214" s="30" t="s">
        <v>1113</v>
      </c>
      <c r="M214" s="10" t="s">
        <v>3720</v>
      </c>
    </row>
    <row r="215" customFormat="false" ht="46.25" hidden="false" customHeight="false" outlineLevel="0" collapsed="false">
      <c r="A215" s="12" t="s">
        <v>25</v>
      </c>
      <c r="B215" s="12" t="s">
        <v>112</v>
      </c>
      <c r="C215" s="10" t="s">
        <v>112</v>
      </c>
      <c r="D215" s="12" t="s">
        <v>823</v>
      </c>
      <c r="E215" s="10" t="s">
        <v>824</v>
      </c>
      <c r="F215" s="12" t="s">
        <v>79</v>
      </c>
      <c r="G215" s="12" t="n">
        <v>1.2</v>
      </c>
      <c r="H215" s="26" t="n">
        <v>343.8</v>
      </c>
      <c r="I215" s="12" t="s">
        <v>102</v>
      </c>
      <c r="J215" s="12" t="s">
        <v>144</v>
      </c>
      <c r="K215" s="10" t="s">
        <v>658</v>
      </c>
      <c r="L215" s="30" t="s">
        <v>825</v>
      </c>
      <c r="M215" s="10" t="s">
        <v>3630</v>
      </c>
    </row>
    <row r="216" customFormat="false" ht="35.05" hidden="false" customHeight="false" outlineLevel="0" collapsed="false">
      <c r="A216" s="12" t="s">
        <v>25</v>
      </c>
      <c r="B216" s="12" t="s">
        <v>415</v>
      </c>
      <c r="C216" s="10" t="s">
        <v>415</v>
      </c>
      <c r="D216" s="12" t="s">
        <v>809</v>
      </c>
      <c r="E216" s="10" t="s">
        <v>1148</v>
      </c>
      <c r="F216" s="12" t="s">
        <v>85</v>
      </c>
      <c r="G216" s="12" t="n">
        <v>5</v>
      </c>
      <c r="H216" s="26" t="n">
        <v>10.03</v>
      </c>
      <c r="I216" s="12" t="s">
        <v>102</v>
      </c>
      <c r="J216" s="12" t="s">
        <v>144</v>
      </c>
      <c r="K216" s="10" t="s">
        <v>665</v>
      </c>
      <c r="L216" s="30" t="s">
        <v>666</v>
      </c>
      <c r="M216" s="10" t="s">
        <v>3636</v>
      </c>
    </row>
    <row r="217" customFormat="false" ht="23.85" hidden="false" customHeight="false" outlineLevel="0" collapsed="false">
      <c r="A217" s="12" t="s">
        <v>25</v>
      </c>
      <c r="B217" s="12" t="s">
        <v>265</v>
      </c>
      <c r="C217" s="10" t="s">
        <v>1114</v>
      </c>
      <c r="D217" s="12" t="s">
        <v>1115</v>
      </c>
      <c r="E217" s="10" t="s">
        <v>1116</v>
      </c>
      <c r="F217" s="12" t="s">
        <v>79</v>
      </c>
      <c r="G217" s="12" t="n">
        <v>10</v>
      </c>
      <c r="H217" s="26"/>
      <c r="I217" s="12" t="s">
        <v>323</v>
      </c>
      <c r="J217" s="12" t="s">
        <v>323</v>
      </c>
      <c r="K217" s="10" t="s">
        <v>3589</v>
      </c>
      <c r="L217" s="12"/>
      <c r="M217" s="10" t="s">
        <v>3590</v>
      </c>
    </row>
    <row r="218" customFormat="false" ht="23.85" hidden="false" customHeight="false" outlineLevel="0" collapsed="false">
      <c r="A218" s="12" t="s">
        <v>25</v>
      </c>
      <c r="B218" s="12" t="s">
        <v>265</v>
      </c>
      <c r="C218" s="10" t="s">
        <v>1114</v>
      </c>
      <c r="D218" s="12" t="s">
        <v>835</v>
      </c>
      <c r="E218" s="10" t="s">
        <v>1190</v>
      </c>
      <c r="F218" s="12" t="s">
        <v>79</v>
      </c>
      <c r="G218" s="12" t="n">
        <v>10</v>
      </c>
      <c r="H218" s="26" t="n">
        <v>22.7605</v>
      </c>
      <c r="I218" s="12" t="s">
        <v>102</v>
      </c>
      <c r="J218" s="12" t="s">
        <v>948</v>
      </c>
      <c r="K218" s="10" t="s">
        <v>658</v>
      </c>
      <c r="L218" s="30" t="s">
        <v>944</v>
      </c>
      <c r="M218" s="10" t="s">
        <v>3721</v>
      </c>
    </row>
    <row r="219" customFormat="false" ht="46.25" hidden="false" customHeight="false" outlineLevel="0" collapsed="false">
      <c r="A219" s="12" t="s">
        <v>25</v>
      </c>
      <c r="B219" s="12" t="s">
        <v>117</v>
      </c>
      <c r="C219" s="10" t="s">
        <v>1149</v>
      </c>
      <c r="D219" s="12" t="s">
        <v>1150</v>
      </c>
      <c r="E219" s="10" t="s">
        <v>1151</v>
      </c>
      <c r="F219" s="12" t="s">
        <v>79</v>
      </c>
      <c r="G219" s="12" t="n">
        <v>2</v>
      </c>
      <c r="H219" s="26" t="n">
        <v>21.78</v>
      </c>
      <c r="I219" s="12" t="s">
        <v>102</v>
      </c>
      <c r="J219" s="12" t="s">
        <v>144</v>
      </c>
      <c r="K219" s="10" t="s">
        <v>658</v>
      </c>
      <c r="L219" s="30" t="s">
        <v>1152</v>
      </c>
      <c r="M219" s="10" t="s">
        <v>3722</v>
      </c>
    </row>
    <row r="220" customFormat="false" ht="46.25" hidden="false" customHeight="false" outlineLevel="0" collapsed="false">
      <c r="A220" s="12" t="s">
        <v>25</v>
      </c>
      <c r="B220" s="12" t="s">
        <v>117</v>
      </c>
      <c r="C220" s="10" t="s">
        <v>1149</v>
      </c>
      <c r="D220" s="12" t="s">
        <v>1154</v>
      </c>
      <c r="E220" s="10" t="s">
        <v>1155</v>
      </c>
      <c r="F220" s="12" t="s">
        <v>79</v>
      </c>
      <c r="G220" s="12" t="n">
        <v>5</v>
      </c>
      <c r="H220" s="26" t="n">
        <v>48.28</v>
      </c>
      <c r="I220" s="12" t="s">
        <v>102</v>
      </c>
      <c r="J220" s="12" t="s">
        <v>144</v>
      </c>
      <c r="K220" s="10" t="s">
        <v>658</v>
      </c>
      <c r="L220" s="30" t="s">
        <v>1152</v>
      </c>
      <c r="M220" s="10" t="s">
        <v>3723</v>
      </c>
    </row>
    <row r="221" customFormat="false" ht="35.05" hidden="false" customHeight="false" outlineLevel="0" collapsed="false">
      <c r="A221" s="12" t="s">
        <v>25</v>
      </c>
      <c r="B221" s="12" t="s">
        <v>117</v>
      </c>
      <c r="C221" s="10" t="s">
        <v>117</v>
      </c>
      <c r="D221" s="12" t="s">
        <v>934</v>
      </c>
      <c r="E221" s="10" t="s">
        <v>1080</v>
      </c>
      <c r="F221" s="12" t="s">
        <v>79</v>
      </c>
      <c r="G221" s="12" t="n">
        <v>2</v>
      </c>
      <c r="H221" s="26" t="n">
        <v>78.84</v>
      </c>
      <c r="I221" s="12" t="s">
        <v>77</v>
      </c>
      <c r="J221" s="12" t="s">
        <v>194</v>
      </c>
      <c r="K221" s="10" t="s">
        <v>658</v>
      </c>
      <c r="L221" s="30" t="s">
        <v>1163</v>
      </c>
      <c r="M221" s="10" t="s">
        <v>3724</v>
      </c>
    </row>
    <row r="222" customFormat="false" ht="46.25" hidden="false" customHeight="false" outlineLevel="0" collapsed="false">
      <c r="A222" s="12" t="s">
        <v>25</v>
      </c>
      <c r="B222" s="12" t="s">
        <v>117</v>
      </c>
      <c r="C222" s="10" t="s">
        <v>117</v>
      </c>
      <c r="D222" s="12" t="s">
        <v>1183</v>
      </c>
      <c r="E222" s="10" t="s">
        <v>1080</v>
      </c>
      <c r="F222" s="12" t="s">
        <v>79</v>
      </c>
      <c r="G222" s="12" t="n">
        <v>2</v>
      </c>
      <c r="H222" s="26" t="n">
        <v>92.0498</v>
      </c>
      <c r="I222" s="12" t="s">
        <v>77</v>
      </c>
      <c r="J222" s="12" t="s">
        <v>3558</v>
      </c>
      <c r="K222" s="10" t="s">
        <v>658</v>
      </c>
      <c r="L222" s="30" t="s">
        <v>852</v>
      </c>
      <c r="M222" s="10" t="s">
        <v>3725</v>
      </c>
    </row>
    <row r="223" customFormat="false" ht="46.25" hidden="false" customHeight="false" outlineLevel="0" collapsed="false">
      <c r="A223" s="12" t="s">
        <v>25</v>
      </c>
      <c r="B223" s="12" t="s">
        <v>117</v>
      </c>
      <c r="C223" s="10" t="s">
        <v>117</v>
      </c>
      <c r="D223" s="12" t="s">
        <v>1183</v>
      </c>
      <c r="E223" s="10" t="s">
        <v>1080</v>
      </c>
      <c r="F223" s="12" t="s">
        <v>79</v>
      </c>
      <c r="G223" s="12" t="n">
        <v>2</v>
      </c>
      <c r="H223" s="26" t="n">
        <v>92.0498</v>
      </c>
      <c r="I223" s="12" t="s">
        <v>77</v>
      </c>
      <c r="J223" s="12" t="s">
        <v>3558</v>
      </c>
      <c r="K223" s="10" t="s">
        <v>658</v>
      </c>
      <c r="L223" s="30" t="s">
        <v>852</v>
      </c>
      <c r="M223" s="10" t="s">
        <v>3725</v>
      </c>
    </row>
    <row r="224" customFormat="false" ht="23.85" hidden="false" customHeight="false" outlineLevel="0" collapsed="false">
      <c r="A224" s="12" t="s">
        <v>25</v>
      </c>
      <c r="B224" s="12" t="s">
        <v>117</v>
      </c>
      <c r="C224" s="10" t="s">
        <v>1204</v>
      </c>
      <c r="D224" s="12" t="s">
        <v>1032</v>
      </c>
      <c r="E224" s="10" t="s">
        <v>1033</v>
      </c>
      <c r="F224" s="12" t="s">
        <v>79</v>
      </c>
      <c r="G224" s="12" t="n">
        <v>2</v>
      </c>
      <c r="H224" s="26"/>
      <c r="I224" s="12" t="s">
        <v>323</v>
      </c>
      <c r="J224" s="12" t="s">
        <v>323</v>
      </c>
      <c r="K224" s="10" t="s">
        <v>3589</v>
      </c>
      <c r="L224" s="12"/>
      <c r="M224" s="10" t="s">
        <v>3590</v>
      </c>
    </row>
    <row r="225" customFormat="false" ht="23.85" hidden="false" customHeight="false" outlineLevel="0" collapsed="false">
      <c r="A225" s="12" t="s">
        <v>25</v>
      </c>
      <c r="B225" s="12" t="s">
        <v>117</v>
      </c>
      <c r="C225" s="10" t="s">
        <v>1205</v>
      </c>
      <c r="D225" s="12" t="s">
        <v>1034</v>
      </c>
      <c r="E225" s="10" t="s">
        <v>1035</v>
      </c>
      <c r="F225" s="12" t="s">
        <v>79</v>
      </c>
      <c r="G225" s="12" t="n">
        <v>5</v>
      </c>
      <c r="H225" s="26"/>
      <c r="I225" s="12" t="s">
        <v>323</v>
      </c>
      <c r="J225" s="12" t="s">
        <v>323</v>
      </c>
      <c r="K225" s="10" t="s">
        <v>3589</v>
      </c>
      <c r="L225" s="12"/>
      <c r="M225" s="10" t="s">
        <v>3590</v>
      </c>
    </row>
    <row r="226" customFormat="false" ht="23.85" hidden="false" customHeight="false" outlineLevel="0" collapsed="false">
      <c r="A226" s="12" t="s">
        <v>25</v>
      </c>
      <c r="B226" s="12" t="s">
        <v>117</v>
      </c>
      <c r="C226" s="10" t="s">
        <v>1211</v>
      </c>
      <c r="D226" s="12" t="s">
        <v>1079</v>
      </c>
      <c r="E226" s="10" t="s">
        <v>1080</v>
      </c>
      <c r="F226" s="12" t="s">
        <v>79</v>
      </c>
      <c r="G226" s="12" t="n">
        <v>2</v>
      </c>
      <c r="H226" s="26" t="n">
        <v>6.93</v>
      </c>
      <c r="I226" s="12" t="s">
        <v>77</v>
      </c>
      <c r="J226" s="12" t="s">
        <v>995</v>
      </c>
      <c r="K226" s="10" t="s">
        <v>1069</v>
      </c>
      <c r="L226" s="30" t="s">
        <v>1212</v>
      </c>
      <c r="M226" s="10" t="s">
        <v>3726</v>
      </c>
    </row>
    <row r="227" customFormat="false" ht="46.25" hidden="false" customHeight="false" outlineLevel="0" collapsed="false">
      <c r="A227" s="12" t="s">
        <v>25</v>
      </c>
      <c r="B227" s="12" t="s">
        <v>158</v>
      </c>
      <c r="C227" s="10" t="s">
        <v>158</v>
      </c>
      <c r="D227" s="12" t="s">
        <v>1117</v>
      </c>
      <c r="E227" s="10" t="s">
        <v>1118</v>
      </c>
      <c r="F227" s="12" t="s">
        <v>79</v>
      </c>
      <c r="G227" s="12"/>
      <c r="H227" s="26" t="n">
        <v>154.8</v>
      </c>
      <c r="I227" s="12" t="s">
        <v>102</v>
      </c>
      <c r="J227" s="12" t="s">
        <v>144</v>
      </c>
      <c r="K227" s="10" t="s">
        <v>658</v>
      </c>
      <c r="L227" s="30" t="s">
        <v>1119</v>
      </c>
      <c r="M227" s="10" t="s">
        <v>3727</v>
      </c>
    </row>
    <row r="228" customFormat="false" ht="35.05" hidden="false" customHeight="false" outlineLevel="0" collapsed="false">
      <c r="A228" s="12" t="s">
        <v>25</v>
      </c>
      <c r="B228" s="12" t="s">
        <v>308</v>
      </c>
      <c r="C228" s="10" t="s">
        <v>308</v>
      </c>
      <c r="D228" s="12" t="s">
        <v>1005</v>
      </c>
      <c r="E228" s="10" t="s">
        <v>678</v>
      </c>
      <c r="F228" s="12" t="s">
        <v>97</v>
      </c>
      <c r="G228" s="12"/>
      <c r="H228" s="26" t="n">
        <v>3.94</v>
      </c>
      <c r="I228" s="12" t="s">
        <v>102</v>
      </c>
      <c r="J228" s="12" t="s">
        <v>144</v>
      </c>
      <c r="K228" s="10" t="s">
        <v>665</v>
      </c>
      <c r="L228" s="30" t="s">
        <v>666</v>
      </c>
      <c r="M228" s="10" t="s">
        <v>3728</v>
      </c>
    </row>
    <row r="229" customFormat="false" ht="35.05" hidden="false" customHeight="false" outlineLevel="0" collapsed="false">
      <c r="A229" s="12" t="s">
        <v>25</v>
      </c>
      <c r="B229" s="12" t="s">
        <v>308</v>
      </c>
      <c r="C229" s="10" t="s">
        <v>308</v>
      </c>
      <c r="D229" s="12" t="s">
        <v>677</v>
      </c>
      <c r="E229" s="10" t="s">
        <v>678</v>
      </c>
      <c r="F229" s="12" t="s">
        <v>97</v>
      </c>
      <c r="G229" s="12"/>
      <c r="H229" s="26" t="n">
        <v>3.15</v>
      </c>
      <c r="I229" s="12" t="s">
        <v>102</v>
      </c>
      <c r="J229" s="12" t="s">
        <v>144</v>
      </c>
      <c r="K229" s="10" t="s">
        <v>665</v>
      </c>
      <c r="L229" s="30" t="s">
        <v>666</v>
      </c>
      <c r="M229" s="10" t="s">
        <v>3554</v>
      </c>
    </row>
    <row r="230" customFormat="false" ht="35.05" hidden="false" customHeight="false" outlineLevel="0" collapsed="false">
      <c r="A230" s="12" t="s">
        <v>21</v>
      </c>
      <c r="B230" s="12" t="s">
        <v>480</v>
      </c>
      <c r="C230" s="10" t="s">
        <v>1253</v>
      </c>
      <c r="D230" s="12" t="s">
        <v>1254</v>
      </c>
      <c r="E230" s="10" t="s">
        <v>843</v>
      </c>
      <c r="F230" s="12" t="s">
        <v>79</v>
      </c>
      <c r="G230" s="12"/>
      <c r="H230" s="26" t="n">
        <v>19.51</v>
      </c>
      <c r="I230" s="12" t="s">
        <v>102</v>
      </c>
      <c r="J230" s="12" t="s">
        <v>194</v>
      </c>
      <c r="K230" s="10" t="s">
        <v>658</v>
      </c>
      <c r="L230" s="30" t="s">
        <v>1255</v>
      </c>
      <c r="M230" s="10" t="s">
        <v>3729</v>
      </c>
    </row>
    <row r="231" customFormat="false" ht="102.2" hidden="false" customHeight="false" outlineLevel="0" collapsed="false">
      <c r="A231" s="12" t="s">
        <v>21</v>
      </c>
      <c r="B231" s="12" t="s">
        <v>480</v>
      </c>
      <c r="C231" s="10" t="s">
        <v>1253</v>
      </c>
      <c r="D231" s="12" t="s">
        <v>897</v>
      </c>
      <c r="E231" s="10" t="s">
        <v>1256</v>
      </c>
      <c r="F231" s="12" t="s">
        <v>79</v>
      </c>
      <c r="G231" s="12"/>
      <c r="H231" s="26" t="n">
        <v>16.1025</v>
      </c>
      <c r="I231" s="12" t="s">
        <v>153</v>
      </c>
      <c r="J231" s="12" t="s">
        <v>3730</v>
      </c>
      <c r="K231" s="10" t="s">
        <v>658</v>
      </c>
      <c r="L231" s="30" t="s">
        <v>1257</v>
      </c>
      <c r="M231" s="10" t="s">
        <v>3731</v>
      </c>
    </row>
    <row r="232" customFormat="false" ht="35.05" hidden="false" customHeight="false" outlineLevel="0" collapsed="false">
      <c r="A232" s="12" t="s">
        <v>21</v>
      </c>
      <c r="B232" s="12" t="s">
        <v>134</v>
      </c>
      <c r="C232" s="10" t="s">
        <v>134</v>
      </c>
      <c r="D232" s="12" t="s">
        <v>1249</v>
      </c>
      <c r="E232" s="10" t="s">
        <v>1250</v>
      </c>
      <c r="F232" s="12" t="s">
        <v>79</v>
      </c>
      <c r="G232" s="12" t="n">
        <v>2</v>
      </c>
      <c r="H232" s="26" t="n">
        <v>15.86</v>
      </c>
      <c r="I232" s="12" t="s">
        <v>77</v>
      </c>
      <c r="J232" s="12" t="s">
        <v>194</v>
      </c>
      <c r="K232" s="10" t="s">
        <v>658</v>
      </c>
      <c r="L232" s="30" t="s">
        <v>1251</v>
      </c>
      <c r="M232" s="10" t="s">
        <v>3732</v>
      </c>
    </row>
    <row r="233" customFormat="false" ht="57.45" hidden="false" customHeight="false" outlineLevel="0" collapsed="false">
      <c r="A233" s="12" t="s">
        <v>21</v>
      </c>
      <c r="B233" s="12" t="s">
        <v>134</v>
      </c>
      <c r="C233" s="10" t="s">
        <v>1258</v>
      </c>
      <c r="D233" s="12" t="s">
        <v>1259</v>
      </c>
      <c r="E233" s="10" t="s">
        <v>1250</v>
      </c>
      <c r="F233" s="12" t="s">
        <v>79</v>
      </c>
      <c r="G233" s="12" t="n">
        <v>2</v>
      </c>
      <c r="H233" s="26" t="n">
        <v>5.6839</v>
      </c>
      <c r="I233" s="12" t="s">
        <v>153</v>
      </c>
      <c r="J233" s="12" t="s">
        <v>3558</v>
      </c>
      <c r="K233" s="10" t="s">
        <v>658</v>
      </c>
      <c r="L233" s="30" t="s">
        <v>871</v>
      </c>
      <c r="M233" s="10" t="s">
        <v>3733</v>
      </c>
    </row>
    <row r="234" customFormat="false" ht="23.85" hidden="false" customHeight="false" outlineLevel="0" collapsed="false">
      <c r="A234" s="12" t="s">
        <v>21</v>
      </c>
      <c r="B234" s="12" t="s">
        <v>134</v>
      </c>
      <c r="C234" s="10" t="s">
        <v>1292</v>
      </c>
      <c r="D234" s="12" t="s">
        <v>1293</v>
      </c>
      <c r="E234" s="10" t="s">
        <v>1294</v>
      </c>
      <c r="F234" s="12" t="s">
        <v>79</v>
      </c>
      <c r="G234" s="12" t="n">
        <v>2</v>
      </c>
      <c r="H234" s="26" t="n">
        <v>62.4008</v>
      </c>
      <c r="I234" s="12" t="s">
        <v>77</v>
      </c>
      <c r="J234" s="12" t="s">
        <v>948</v>
      </c>
      <c r="K234" s="10" t="s">
        <v>658</v>
      </c>
      <c r="L234" s="30" t="s">
        <v>936</v>
      </c>
      <c r="M234" s="10" t="s">
        <v>3734</v>
      </c>
    </row>
    <row r="235" customFormat="false" ht="23.85" hidden="false" customHeight="false" outlineLevel="0" collapsed="false">
      <c r="A235" s="12" t="s">
        <v>21</v>
      </c>
      <c r="B235" s="12" t="s">
        <v>134</v>
      </c>
      <c r="C235" s="10" t="s">
        <v>1317</v>
      </c>
      <c r="D235" s="12" t="s">
        <v>1318</v>
      </c>
      <c r="E235" s="10" t="s">
        <v>1033</v>
      </c>
      <c r="F235" s="12" t="s">
        <v>79</v>
      </c>
      <c r="G235" s="12" t="n">
        <v>2</v>
      </c>
      <c r="H235" s="26"/>
      <c r="I235" s="12" t="s">
        <v>323</v>
      </c>
      <c r="J235" s="12" t="s">
        <v>323</v>
      </c>
      <c r="K235" s="10" t="s">
        <v>3589</v>
      </c>
      <c r="L235" s="12"/>
      <c r="M235" s="10" t="s">
        <v>3590</v>
      </c>
    </row>
    <row r="236" customFormat="false" ht="46.25" hidden="false" customHeight="false" outlineLevel="0" collapsed="false">
      <c r="A236" s="12" t="s">
        <v>21</v>
      </c>
      <c r="B236" s="12" t="s">
        <v>352</v>
      </c>
      <c r="C236" s="10" t="s">
        <v>1260</v>
      </c>
      <c r="D236" s="12" t="s">
        <v>861</v>
      </c>
      <c r="E236" s="10" t="s">
        <v>1261</v>
      </c>
      <c r="F236" s="12" t="s">
        <v>79</v>
      </c>
      <c r="G236" s="12"/>
      <c r="H236" s="26" t="n">
        <v>9.04</v>
      </c>
      <c r="I236" s="12" t="s">
        <v>77</v>
      </c>
      <c r="J236" s="12" t="s">
        <v>3558</v>
      </c>
      <c r="K236" s="10" t="s">
        <v>658</v>
      </c>
      <c r="L236" s="30" t="s">
        <v>1262</v>
      </c>
      <c r="M236" s="10" t="s">
        <v>3735</v>
      </c>
    </row>
    <row r="237" customFormat="false" ht="35.05" hidden="false" customHeight="false" outlineLevel="0" collapsed="false">
      <c r="A237" s="12" t="s">
        <v>21</v>
      </c>
      <c r="B237" s="12" t="s">
        <v>75</v>
      </c>
      <c r="C237" s="10" t="s">
        <v>1222</v>
      </c>
      <c r="D237" s="12" t="s">
        <v>838</v>
      </c>
      <c r="E237" s="10" t="s">
        <v>839</v>
      </c>
      <c r="F237" s="12" t="s">
        <v>79</v>
      </c>
      <c r="G237" s="12"/>
      <c r="H237" s="26" t="n">
        <v>424.36</v>
      </c>
      <c r="I237" s="12" t="s">
        <v>77</v>
      </c>
      <c r="J237" s="12" t="s">
        <v>194</v>
      </c>
      <c r="K237" s="10" t="s">
        <v>658</v>
      </c>
      <c r="L237" s="30" t="s">
        <v>1224</v>
      </c>
      <c r="M237" s="10" t="s">
        <v>3736</v>
      </c>
    </row>
    <row r="238" customFormat="false" ht="23.85" hidden="false" customHeight="false" outlineLevel="0" collapsed="false">
      <c r="A238" s="12" t="s">
        <v>21</v>
      </c>
      <c r="B238" s="12" t="s">
        <v>75</v>
      </c>
      <c r="C238" s="10" t="s">
        <v>1264</v>
      </c>
      <c r="D238" s="12" t="s">
        <v>851</v>
      </c>
      <c r="E238" s="10" t="s">
        <v>839</v>
      </c>
      <c r="F238" s="12" t="s">
        <v>79</v>
      </c>
      <c r="G238" s="12"/>
      <c r="H238" s="26" t="n">
        <v>397.421</v>
      </c>
      <c r="I238" s="12" t="s">
        <v>77</v>
      </c>
      <c r="J238" s="12" t="s">
        <v>3558</v>
      </c>
      <c r="K238" s="10" t="s">
        <v>658</v>
      </c>
      <c r="L238" s="30" t="s">
        <v>852</v>
      </c>
      <c r="M238" s="10" t="s">
        <v>3737</v>
      </c>
    </row>
    <row r="239" customFormat="false" ht="68.65" hidden="false" customHeight="false" outlineLevel="0" collapsed="false">
      <c r="A239" s="12" t="s">
        <v>21</v>
      </c>
      <c r="B239" s="12" t="s">
        <v>89</v>
      </c>
      <c r="C239" s="10" t="s">
        <v>1265</v>
      </c>
      <c r="D239" s="12" t="s">
        <v>854</v>
      </c>
      <c r="E239" s="10" t="s">
        <v>829</v>
      </c>
      <c r="F239" s="12" t="s">
        <v>79</v>
      </c>
      <c r="G239" s="12"/>
      <c r="H239" s="26" t="n">
        <v>1444.1174</v>
      </c>
      <c r="I239" s="12" t="s">
        <v>153</v>
      </c>
      <c r="J239" s="12" t="s">
        <v>3558</v>
      </c>
      <c r="K239" s="10" t="s">
        <v>658</v>
      </c>
      <c r="L239" s="30" t="s">
        <v>852</v>
      </c>
      <c r="M239" s="10" t="s">
        <v>3738</v>
      </c>
    </row>
    <row r="240" customFormat="false" ht="23.85" hidden="false" customHeight="false" outlineLevel="0" collapsed="false">
      <c r="A240" s="12" t="s">
        <v>21</v>
      </c>
      <c r="B240" s="12" t="s">
        <v>89</v>
      </c>
      <c r="C240" s="10" t="s">
        <v>89</v>
      </c>
      <c r="D240" s="12" t="s">
        <v>1184</v>
      </c>
      <c r="E240" s="10" t="s">
        <v>1295</v>
      </c>
      <c r="F240" s="12" t="s">
        <v>79</v>
      </c>
      <c r="G240" s="12" t="n">
        <v>10</v>
      </c>
      <c r="H240" s="26" t="n">
        <v>981.694</v>
      </c>
      <c r="I240" s="12" t="s">
        <v>102</v>
      </c>
      <c r="J240" s="12" t="s">
        <v>948</v>
      </c>
      <c r="K240" s="10" t="s">
        <v>658</v>
      </c>
      <c r="L240" s="30" t="s">
        <v>944</v>
      </c>
      <c r="M240" s="10" t="s">
        <v>3739</v>
      </c>
    </row>
    <row r="241" customFormat="false" ht="35.05" hidden="false" customHeight="false" outlineLevel="0" collapsed="false">
      <c r="A241" s="12" t="s">
        <v>21</v>
      </c>
      <c r="B241" s="12" t="s">
        <v>477</v>
      </c>
      <c r="C241" s="10" t="s">
        <v>1307</v>
      </c>
      <c r="D241" s="12" t="s">
        <v>1308</v>
      </c>
      <c r="E241" s="10" t="s">
        <v>1309</v>
      </c>
      <c r="F241" s="12" t="s">
        <v>79</v>
      </c>
      <c r="G241" s="12" t="n">
        <v>10</v>
      </c>
      <c r="H241" s="26" t="n">
        <v>23.975</v>
      </c>
      <c r="I241" s="12" t="s">
        <v>102</v>
      </c>
      <c r="J241" s="12" t="s">
        <v>948</v>
      </c>
      <c r="K241" s="10" t="s">
        <v>658</v>
      </c>
      <c r="L241" s="30" t="s">
        <v>944</v>
      </c>
      <c r="M241" s="10" t="s">
        <v>3740</v>
      </c>
    </row>
    <row r="242" customFormat="false" ht="23.85" hidden="false" customHeight="false" outlineLevel="0" collapsed="false">
      <c r="A242" s="12" t="s">
        <v>21</v>
      </c>
      <c r="B242" s="12" t="s">
        <v>124</v>
      </c>
      <c r="C242" s="10" t="s">
        <v>124</v>
      </c>
      <c r="D242" s="12" t="s">
        <v>1310</v>
      </c>
      <c r="E242" s="10" t="s">
        <v>1311</v>
      </c>
      <c r="F242" s="12" t="s">
        <v>79</v>
      </c>
      <c r="G242" s="12" t="n">
        <v>100</v>
      </c>
      <c r="H242" s="26" t="n">
        <v>80.5</v>
      </c>
      <c r="I242" s="12" t="s">
        <v>102</v>
      </c>
      <c r="J242" s="12" t="s">
        <v>948</v>
      </c>
      <c r="K242" s="10" t="s">
        <v>658</v>
      </c>
      <c r="L242" s="30" t="s">
        <v>944</v>
      </c>
      <c r="M242" s="10" t="s">
        <v>3741</v>
      </c>
    </row>
    <row r="243" customFormat="false" ht="23.85" hidden="false" customHeight="false" outlineLevel="0" collapsed="false">
      <c r="A243" s="12" t="s">
        <v>21</v>
      </c>
      <c r="B243" s="12" t="s">
        <v>124</v>
      </c>
      <c r="C243" s="10" t="s">
        <v>124</v>
      </c>
      <c r="D243" s="12" t="s">
        <v>1312</v>
      </c>
      <c r="E243" s="10" t="s">
        <v>1313</v>
      </c>
      <c r="F243" s="12" t="s">
        <v>79</v>
      </c>
      <c r="G243" s="12" t="n">
        <v>100</v>
      </c>
      <c r="H243" s="26" t="n">
        <v>105</v>
      </c>
      <c r="I243" s="12" t="s">
        <v>102</v>
      </c>
      <c r="J243" s="12" t="s">
        <v>948</v>
      </c>
      <c r="K243" s="10" t="s">
        <v>658</v>
      </c>
      <c r="L243" s="30" t="s">
        <v>944</v>
      </c>
      <c r="M243" s="10" t="s">
        <v>3742</v>
      </c>
    </row>
    <row r="244" customFormat="false" ht="35.05" hidden="false" customHeight="false" outlineLevel="0" collapsed="false">
      <c r="A244" s="12" t="s">
        <v>21</v>
      </c>
      <c r="B244" s="12" t="s">
        <v>107</v>
      </c>
      <c r="C244" s="10" t="s">
        <v>1228</v>
      </c>
      <c r="D244" s="12" t="s">
        <v>1019</v>
      </c>
      <c r="E244" s="10" t="s">
        <v>1229</v>
      </c>
      <c r="F244" s="12" t="s">
        <v>79</v>
      </c>
      <c r="G244" s="12"/>
      <c r="H244" s="26" t="n">
        <v>81.96</v>
      </c>
      <c r="I244" s="12" t="s">
        <v>77</v>
      </c>
      <c r="J244" s="12" t="s">
        <v>194</v>
      </c>
      <c r="K244" s="10" t="s">
        <v>658</v>
      </c>
      <c r="L244" s="30" t="s">
        <v>1230</v>
      </c>
      <c r="M244" s="10" t="s">
        <v>3659</v>
      </c>
    </row>
    <row r="245" customFormat="false" ht="35.05" hidden="false" customHeight="false" outlineLevel="0" collapsed="false">
      <c r="A245" s="12" t="s">
        <v>21</v>
      </c>
      <c r="B245" s="12" t="s">
        <v>107</v>
      </c>
      <c r="C245" s="10" t="s">
        <v>1267</v>
      </c>
      <c r="D245" s="12" t="s">
        <v>873</v>
      </c>
      <c r="E245" s="10" t="s">
        <v>874</v>
      </c>
      <c r="F245" s="12" t="s">
        <v>79</v>
      </c>
      <c r="G245" s="12"/>
      <c r="H245" s="26" t="n">
        <v>93.7335</v>
      </c>
      <c r="I245" s="12" t="s">
        <v>77</v>
      </c>
      <c r="J245" s="12" t="s">
        <v>3558</v>
      </c>
      <c r="K245" s="10" t="s">
        <v>658</v>
      </c>
      <c r="L245" s="30" t="s">
        <v>852</v>
      </c>
      <c r="M245" s="10" t="s">
        <v>3743</v>
      </c>
    </row>
    <row r="246" customFormat="false" ht="57.45" hidden="false" customHeight="false" outlineLevel="0" collapsed="false">
      <c r="A246" s="12" t="s">
        <v>21</v>
      </c>
      <c r="B246" s="12" t="s">
        <v>131</v>
      </c>
      <c r="C246" s="10" t="s">
        <v>1268</v>
      </c>
      <c r="D246" s="12" t="s">
        <v>1269</v>
      </c>
      <c r="E246" s="10" t="s">
        <v>1210</v>
      </c>
      <c r="F246" s="12" t="s">
        <v>79</v>
      </c>
      <c r="G246" s="12" t="n">
        <v>2</v>
      </c>
      <c r="H246" s="26" t="n">
        <v>404.5852</v>
      </c>
      <c r="I246" s="12" t="s">
        <v>102</v>
      </c>
      <c r="J246" s="12" t="s">
        <v>3547</v>
      </c>
      <c r="K246" s="10" t="s">
        <v>658</v>
      </c>
      <c r="L246" s="30" t="s">
        <v>1270</v>
      </c>
      <c r="M246" s="10" t="s">
        <v>3744</v>
      </c>
    </row>
    <row r="247" customFormat="false" ht="46.25" hidden="false" customHeight="false" outlineLevel="0" collapsed="false">
      <c r="A247" s="12" t="s">
        <v>21</v>
      </c>
      <c r="B247" s="12" t="s">
        <v>473</v>
      </c>
      <c r="C247" s="10" t="s">
        <v>1272</v>
      </c>
      <c r="D247" s="12" t="s">
        <v>1273</v>
      </c>
      <c r="E247" s="10" t="s">
        <v>1274</v>
      </c>
      <c r="F247" s="12" t="s">
        <v>79</v>
      </c>
      <c r="G247" s="12"/>
      <c r="H247" s="26" t="n">
        <v>7.2772</v>
      </c>
      <c r="I247" s="12" t="s">
        <v>77</v>
      </c>
      <c r="J247" s="12" t="s">
        <v>3558</v>
      </c>
      <c r="K247" s="10" t="s">
        <v>658</v>
      </c>
      <c r="L247" s="30" t="s">
        <v>852</v>
      </c>
      <c r="M247" s="10" t="s">
        <v>3745</v>
      </c>
    </row>
    <row r="248" customFormat="false" ht="23.85" hidden="false" customHeight="false" outlineLevel="0" collapsed="false">
      <c r="A248" s="12" t="s">
        <v>21</v>
      </c>
      <c r="B248" s="12" t="s">
        <v>170</v>
      </c>
      <c r="C248" s="10" t="s">
        <v>1296</v>
      </c>
      <c r="D248" s="12" t="s">
        <v>1297</v>
      </c>
      <c r="E248" s="10" t="s">
        <v>1298</v>
      </c>
      <c r="F248" s="12" t="s">
        <v>79</v>
      </c>
      <c r="G248" s="12" t="n">
        <v>1</v>
      </c>
      <c r="H248" s="26" t="n">
        <v>8.4133</v>
      </c>
      <c r="I248" s="12" t="s">
        <v>471</v>
      </c>
      <c r="J248" s="12" t="s">
        <v>323</v>
      </c>
      <c r="K248" s="10" t="s">
        <v>658</v>
      </c>
      <c r="L248" s="12"/>
      <c r="M248" s="10" t="s">
        <v>3697</v>
      </c>
    </row>
    <row r="249" customFormat="false" ht="23.85" hidden="false" customHeight="false" outlineLevel="0" collapsed="false">
      <c r="A249" s="12" t="s">
        <v>21</v>
      </c>
      <c r="B249" s="12" t="s">
        <v>170</v>
      </c>
      <c r="C249" s="10" t="s">
        <v>1296</v>
      </c>
      <c r="D249" s="12" t="s">
        <v>1300</v>
      </c>
      <c r="E249" s="10" t="s">
        <v>1301</v>
      </c>
      <c r="F249" s="12" t="s">
        <v>79</v>
      </c>
      <c r="G249" s="12" t="n">
        <v>5</v>
      </c>
      <c r="H249" s="26" t="n">
        <v>42.0665</v>
      </c>
      <c r="I249" s="12" t="s">
        <v>471</v>
      </c>
      <c r="J249" s="12" t="s">
        <v>323</v>
      </c>
      <c r="K249" s="10" t="s">
        <v>658</v>
      </c>
      <c r="L249" s="12"/>
      <c r="M249" s="10" t="s">
        <v>3697</v>
      </c>
    </row>
    <row r="250" customFormat="false" ht="35.05" hidden="false" customHeight="false" outlineLevel="0" collapsed="false">
      <c r="A250" s="12" t="s">
        <v>21</v>
      </c>
      <c r="B250" s="12" t="s">
        <v>128</v>
      </c>
      <c r="C250" s="10" t="s">
        <v>128</v>
      </c>
      <c r="D250" s="12" t="s">
        <v>1245</v>
      </c>
      <c r="E250" s="10" t="s">
        <v>1246</v>
      </c>
      <c r="F250" s="12" t="s">
        <v>79</v>
      </c>
      <c r="G250" s="12" t="n">
        <v>10</v>
      </c>
      <c r="H250" s="26" t="n">
        <v>138.81</v>
      </c>
      <c r="I250" s="12" t="s">
        <v>77</v>
      </c>
      <c r="J250" s="12" t="s">
        <v>194</v>
      </c>
      <c r="K250" s="10" t="s">
        <v>658</v>
      </c>
      <c r="L250" s="30" t="s">
        <v>1247</v>
      </c>
      <c r="M250" s="10" t="s">
        <v>3746</v>
      </c>
    </row>
    <row r="251" customFormat="false" ht="68.65" hidden="false" customHeight="false" outlineLevel="0" collapsed="false">
      <c r="A251" s="12" t="s">
        <v>21</v>
      </c>
      <c r="B251" s="12" t="s">
        <v>128</v>
      </c>
      <c r="C251" s="10" t="s">
        <v>1276</v>
      </c>
      <c r="D251" s="12" t="s">
        <v>893</v>
      </c>
      <c r="E251" s="10" t="s">
        <v>1246</v>
      </c>
      <c r="F251" s="12" t="s">
        <v>79</v>
      </c>
      <c r="G251" s="12" t="n">
        <v>10</v>
      </c>
      <c r="H251" s="26" t="n">
        <v>189.1846</v>
      </c>
      <c r="I251" s="12" t="s">
        <v>77</v>
      </c>
      <c r="J251" s="12" t="s">
        <v>3558</v>
      </c>
      <c r="K251" s="10" t="s">
        <v>658</v>
      </c>
      <c r="L251" s="30" t="s">
        <v>852</v>
      </c>
      <c r="M251" s="10" t="s">
        <v>3747</v>
      </c>
    </row>
    <row r="252" customFormat="false" ht="68.65" hidden="false" customHeight="false" outlineLevel="0" collapsed="false">
      <c r="A252" s="12" t="s">
        <v>21</v>
      </c>
      <c r="B252" s="12" t="s">
        <v>128</v>
      </c>
      <c r="C252" s="10" t="s">
        <v>1277</v>
      </c>
      <c r="D252" s="12" t="s">
        <v>893</v>
      </c>
      <c r="E252" s="10" t="s">
        <v>1246</v>
      </c>
      <c r="F252" s="12" t="s">
        <v>79</v>
      </c>
      <c r="G252" s="12" t="n">
        <v>10</v>
      </c>
      <c r="H252" s="26" t="n">
        <v>189.1846</v>
      </c>
      <c r="I252" s="12" t="s">
        <v>77</v>
      </c>
      <c r="J252" s="12" t="s">
        <v>3558</v>
      </c>
      <c r="K252" s="10" t="s">
        <v>658</v>
      </c>
      <c r="L252" s="30" t="s">
        <v>852</v>
      </c>
      <c r="M252" s="10" t="s">
        <v>3747</v>
      </c>
    </row>
    <row r="253" customFormat="false" ht="23.85" hidden="false" customHeight="false" outlineLevel="0" collapsed="false">
      <c r="A253" s="12" t="s">
        <v>21</v>
      </c>
      <c r="B253" s="12" t="s">
        <v>128</v>
      </c>
      <c r="C253" s="10" t="s">
        <v>128</v>
      </c>
      <c r="D253" s="12" t="s">
        <v>1289</v>
      </c>
      <c r="E253" s="10" t="s">
        <v>1290</v>
      </c>
      <c r="F253" s="12" t="s">
        <v>79</v>
      </c>
      <c r="G253" s="12" t="n">
        <v>10</v>
      </c>
      <c r="H253" s="26" t="n">
        <v>265.643</v>
      </c>
      <c r="I253" s="12" t="s">
        <v>102</v>
      </c>
      <c r="J253" s="12" t="s">
        <v>948</v>
      </c>
      <c r="K253" s="10" t="s">
        <v>658</v>
      </c>
      <c r="L253" s="30" t="s">
        <v>944</v>
      </c>
      <c r="M253" s="10" t="s">
        <v>3748</v>
      </c>
    </row>
    <row r="254" customFormat="false" ht="23.85" hidden="false" customHeight="false" outlineLevel="0" collapsed="false">
      <c r="A254" s="12" t="s">
        <v>21</v>
      </c>
      <c r="B254" s="12" t="s">
        <v>128</v>
      </c>
      <c r="C254" s="10" t="s">
        <v>1319</v>
      </c>
      <c r="D254" s="12" t="s">
        <v>1320</v>
      </c>
      <c r="E254" s="10" t="s">
        <v>1321</v>
      </c>
      <c r="F254" s="12" t="s">
        <v>79</v>
      </c>
      <c r="G254" s="12"/>
      <c r="H254" s="26"/>
      <c r="I254" s="12" t="s">
        <v>323</v>
      </c>
      <c r="J254" s="12" t="s">
        <v>323</v>
      </c>
      <c r="K254" s="10" t="s">
        <v>3589</v>
      </c>
      <c r="L254" s="12"/>
      <c r="M254" s="10" t="s">
        <v>3590</v>
      </c>
    </row>
    <row r="255" customFormat="false" ht="35.05" hidden="false" customHeight="false" outlineLevel="0" collapsed="false">
      <c r="A255" s="12" t="s">
        <v>21</v>
      </c>
      <c r="B255" s="12" t="s">
        <v>208</v>
      </c>
      <c r="C255" s="10" t="s">
        <v>208</v>
      </c>
      <c r="D255" s="12" t="s">
        <v>1241</v>
      </c>
      <c r="E255" s="10" t="s">
        <v>1242</v>
      </c>
      <c r="F255" s="12" t="s">
        <v>79</v>
      </c>
      <c r="G255" s="12" t="n">
        <v>10</v>
      </c>
      <c r="H255" s="26" t="n">
        <v>23.67</v>
      </c>
      <c r="I255" s="12" t="s">
        <v>77</v>
      </c>
      <c r="J255" s="12" t="s">
        <v>194</v>
      </c>
      <c r="K255" s="10" t="s">
        <v>658</v>
      </c>
      <c r="L255" s="30" t="s">
        <v>1243</v>
      </c>
      <c r="M255" s="10" t="s">
        <v>3749</v>
      </c>
    </row>
    <row r="256" customFormat="false" ht="57.45" hidden="false" customHeight="false" outlineLevel="0" collapsed="false">
      <c r="A256" s="12" t="s">
        <v>21</v>
      </c>
      <c r="B256" s="12" t="s">
        <v>208</v>
      </c>
      <c r="C256" s="10" t="s">
        <v>1278</v>
      </c>
      <c r="D256" s="12" t="s">
        <v>1279</v>
      </c>
      <c r="E256" s="10" t="s">
        <v>1242</v>
      </c>
      <c r="F256" s="12" t="s">
        <v>79</v>
      </c>
      <c r="G256" s="12" t="n">
        <v>10</v>
      </c>
      <c r="H256" s="26" t="n">
        <v>21.0971</v>
      </c>
      <c r="I256" s="12" t="s">
        <v>102</v>
      </c>
      <c r="J256" s="12" t="s">
        <v>3565</v>
      </c>
      <c r="K256" s="10" t="s">
        <v>658</v>
      </c>
      <c r="L256" s="30" t="s">
        <v>1280</v>
      </c>
      <c r="M256" s="10" t="s">
        <v>3750</v>
      </c>
    </row>
    <row r="257" customFormat="false" ht="23.85" hidden="false" customHeight="false" outlineLevel="0" collapsed="false">
      <c r="A257" s="12" t="s">
        <v>21</v>
      </c>
      <c r="B257" s="12" t="s">
        <v>461</v>
      </c>
      <c r="C257" s="10" t="s">
        <v>1139</v>
      </c>
      <c r="D257" s="12" t="s">
        <v>1191</v>
      </c>
      <c r="E257" s="10" t="s">
        <v>1291</v>
      </c>
      <c r="F257" s="12" t="s">
        <v>79</v>
      </c>
      <c r="G257" s="12" t="n">
        <v>10</v>
      </c>
      <c r="H257" s="26" t="n">
        <v>7.56</v>
      </c>
      <c r="I257" s="12" t="s">
        <v>102</v>
      </c>
      <c r="J257" s="12" t="s">
        <v>948</v>
      </c>
      <c r="K257" s="10" t="s">
        <v>658</v>
      </c>
      <c r="L257" s="30" t="s">
        <v>944</v>
      </c>
      <c r="M257" s="10" t="s">
        <v>3751</v>
      </c>
    </row>
    <row r="258" customFormat="false" ht="23.85" hidden="false" customHeight="false" outlineLevel="0" collapsed="false">
      <c r="A258" s="12" t="s">
        <v>21</v>
      </c>
      <c r="B258" s="12" t="s">
        <v>461</v>
      </c>
      <c r="C258" s="10" t="s">
        <v>1139</v>
      </c>
      <c r="D258" s="12" t="s">
        <v>1241</v>
      </c>
      <c r="E258" s="10" t="s">
        <v>1291</v>
      </c>
      <c r="F258" s="12" t="s">
        <v>79</v>
      </c>
      <c r="G258" s="12" t="n">
        <v>10</v>
      </c>
      <c r="H258" s="26" t="n">
        <v>8.393</v>
      </c>
      <c r="I258" s="12" t="s">
        <v>102</v>
      </c>
      <c r="J258" s="12" t="s">
        <v>948</v>
      </c>
      <c r="K258" s="10" t="s">
        <v>658</v>
      </c>
      <c r="L258" s="30" t="s">
        <v>944</v>
      </c>
      <c r="M258" s="10" t="s">
        <v>3752</v>
      </c>
    </row>
    <row r="259" customFormat="false" ht="46.25" hidden="false" customHeight="false" outlineLevel="0" collapsed="false">
      <c r="A259" s="12" t="s">
        <v>21</v>
      </c>
      <c r="B259" s="12" t="s">
        <v>210</v>
      </c>
      <c r="C259" s="10" t="s">
        <v>1281</v>
      </c>
      <c r="D259" s="12" t="s">
        <v>907</v>
      </c>
      <c r="E259" s="10" t="s">
        <v>1282</v>
      </c>
      <c r="F259" s="12" t="s">
        <v>172</v>
      </c>
      <c r="G259" s="12" t="n">
        <v>2</v>
      </c>
      <c r="H259" s="26" t="n">
        <v>5.3223</v>
      </c>
      <c r="I259" s="12" t="s">
        <v>153</v>
      </c>
      <c r="J259" s="12" t="s">
        <v>3558</v>
      </c>
      <c r="K259" s="10" t="s">
        <v>658</v>
      </c>
      <c r="L259" s="30" t="s">
        <v>852</v>
      </c>
      <c r="M259" s="10" t="s">
        <v>3753</v>
      </c>
    </row>
    <row r="260" customFormat="false" ht="35.05" hidden="false" customHeight="false" outlineLevel="0" collapsed="false">
      <c r="A260" s="12" t="s">
        <v>21</v>
      </c>
      <c r="B260" s="12" t="s">
        <v>180</v>
      </c>
      <c r="C260" s="10" t="s">
        <v>180</v>
      </c>
      <c r="D260" s="12" t="s">
        <v>842</v>
      </c>
      <c r="E260" s="10" t="s">
        <v>1239</v>
      </c>
      <c r="F260" s="12" t="s">
        <v>79</v>
      </c>
      <c r="G260" s="12"/>
      <c r="H260" s="26" t="n">
        <v>6.61</v>
      </c>
      <c r="I260" s="12" t="s">
        <v>77</v>
      </c>
      <c r="J260" s="12" t="s">
        <v>194</v>
      </c>
      <c r="K260" s="10" t="s">
        <v>658</v>
      </c>
      <c r="L260" s="30" t="s">
        <v>844</v>
      </c>
      <c r="M260" s="10" t="s">
        <v>3754</v>
      </c>
    </row>
    <row r="261" customFormat="false" ht="57.45" hidden="false" customHeight="false" outlineLevel="0" collapsed="false">
      <c r="A261" s="12" t="s">
        <v>21</v>
      </c>
      <c r="B261" s="12" t="s">
        <v>137</v>
      </c>
      <c r="C261" s="10" t="s">
        <v>1234</v>
      </c>
      <c r="D261" s="12" t="s">
        <v>1235</v>
      </c>
      <c r="E261" s="10" t="s">
        <v>1236</v>
      </c>
      <c r="F261" s="12" t="s">
        <v>79</v>
      </c>
      <c r="G261" s="12"/>
      <c r="H261" s="26" t="n">
        <v>452.12</v>
      </c>
      <c r="I261" s="12" t="s">
        <v>77</v>
      </c>
      <c r="J261" s="12" t="s">
        <v>194</v>
      </c>
      <c r="K261" s="10" t="s">
        <v>658</v>
      </c>
      <c r="L261" s="30" t="s">
        <v>1237</v>
      </c>
      <c r="M261" s="10" t="s">
        <v>3755</v>
      </c>
    </row>
    <row r="262" customFormat="false" ht="57.45" hidden="false" customHeight="false" outlineLevel="0" collapsed="false">
      <c r="A262" s="12" t="s">
        <v>21</v>
      </c>
      <c r="B262" s="12" t="s">
        <v>137</v>
      </c>
      <c r="C262" s="10" t="s">
        <v>1283</v>
      </c>
      <c r="D262" s="12" t="s">
        <v>1284</v>
      </c>
      <c r="E262" s="10" t="s">
        <v>1285</v>
      </c>
      <c r="F262" s="12" t="s">
        <v>79</v>
      </c>
      <c r="G262" s="12"/>
      <c r="H262" s="26" t="n">
        <v>15.0064</v>
      </c>
      <c r="I262" s="12" t="s">
        <v>77</v>
      </c>
      <c r="J262" s="12" t="s">
        <v>3569</v>
      </c>
      <c r="K262" s="10" t="s">
        <v>658</v>
      </c>
      <c r="L262" s="30" t="s">
        <v>1286</v>
      </c>
      <c r="M262" s="10" t="s">
        <v>3756</v>
      </c>
    </row>
    <row r="263" customFormat="false" ht="23.85" hidden="false" customHeight="false" outlineLevel="0" collapsed="false">
      <c r="A263" s="12" t="s">
        <v>21</v>
      </c>
      <c r="B263" s="12" t="s">
        <v>137</v>
      </c>
      <c r="C263" s="10" t="s">
        <v>1302</v>
      </c>
      <c r="D263" s="12" t="s">
        <v>1303</v>
      </c>
      <c r="E263" s="10" t="s">
        <v>1304</v>
      </c>
      <c r="F263" s="12" t="s">
        <v>79</v>
      </c>
      <c r="G263" s="12" t="n">
        <v>20</v>
      </c>
      <c r="H263" s="26" t="n">
        <v>91</v>
      </c>
      <c r="I263" s="12" t="s">
        <v>77</v>
      </c>
      <c r="J263" s="12" t="s">
        <v>948</v>
      </c>
      <c r="K263" s="10" t="s">
        <v>658</v>
      </c>
      <c r="L263" s="30" t="s">
        <v>944</v>
      </c>
      <c r="M263" s="10" t="s">
        <v>3757</v>
      </c>
    </row>
    <row r="264" customFormat="false" ht="23.85" hidden="false" customHeight="false" outlineLevel="0" collapsed="false">
      <c r="A264" s="12" t="s">
        <v>21</v>
      </c>
      <c r="B264" s="12" t="s">
        <v>137</v>
      </c>
      <c r="C264" s="10" t="s">
        <v>1314</v>
      </c>
      <c r="D264" s="12" t="s">
        <v>1315</v>
      </c>
      <c r="E264" s="10" t="s">
        <v>1316</v>
      </c>
      <c r="F264" s="12" t="s">
        <v>79</v>
      </c>
      <c r="G264" s="12"/>
      <c r="H264" s="26"/>
      <c r="I264" s="12" t="s">
        <v>323</v>
      </c>
      <c r="J264" s="12" t="s">
        <v>323</v>
      </c>
      <c r="K264" s="10" t="s">
        <v>3589</v>
      </c>
      <c r="L264" s="12"/>
      <c r="M264" s="10" t="s">
        <v>3590</v>
      </c>
    </row>
    <row r="265" customFormat="false" ht="35.05" hidden="false" customHeight="false" outlineLevel="0" collapsed="false">
      <c r="A265" s="12" t="s">
        <v>21</v>
      </c>
      <c r="B265" s="12" t="s">
        <v>112</v>
      </c>
      <c r="C265" s="10" t="s">
        <v>112</v>
      </c>
      <c r="D265" s="12" t="s">
        <v>835</v>
      </c>
      <c r="E265" s="10" t="s">
        <v>836</v>
      </c>
      <c r="F265" s="12" t="s">
        <v>79</v>
      </c>
      <c r="G265" s="12" t="n">
        <v>1.2</v>
      </c>
      <c r="H265" s="26" t="n">
        <v>5023.6</v>
      </c>
      <c r="I265" s="12" t="s">
        <v>77</v>
      </c>
      <c r="J265" s="12" t="s">
        <v>194</v>
      </c>
      <c r="K265" s="10" t="s">
        <v>658</v>
      </c>
      <c r="L265" s="30" t="s">
        <v>1232</v>
      </c>
      <c r="M265" s="10" t="s">
        <v>3758</v>
      </c>
    </row>
    <row r="266" customFormat="false" ht="46.25" hidden="false" customHeight="false" outlineLevel="0" collapsed="false">
      <c r="A266" s="12" t="s">
        <v>21</v>
      </c>
      <c r="B266" s="12" t="s">
        <v>112</v>
      </c>
      <c r="C266" s="10" t="s">
        <v>1287</v>
      </c>
      <c r="D266" s="12" t="s">
        <v>910</v>
      </c>
      <c r="E266" s="10" t="s">
        <v>836</v>
      </c>
      <c r="F266" s="12" t="s">
        <v>79</v>
      </c>
      <c r="G266" s="12" t="n">
        <v>1.2</v>
      </c>
      <c r="H266" s="26" t="n">
        <v>7322.4226</v>
      </c>
      <c r="I266" s="12" t="s">
        <v>77</v>
      </c>
      <c r="J266" s="12" t="s">
        <v>3558</v>
      </c>
      <c r="K266" s="10" t="s">
        <v>658</v>
      </c>
      <c r="L266" s="30" t="s">
        <v>852</v>
      </c>
      <c r="M266" s="10" t="s">
        <v>3759</v>
      </c>
    </row>
    <row r="267" customFormat="false" ht="23.85" hidden="false" customHeight="false" outlineLevel="0" collapsed="false">
      <c r="A267" s="12" t="s">
        <v>21</v>
      </c>
      <c r="B267" s="12" t="s">
        <v>466</v>
      </c>
      <c r="C267" s="10" t="s">
        <v>466</v>
      </c>
      <c r="D267" s="12" t="s">
        <v>1305</v>
      </c>
      <c r="E267" s="10" t="s">
        <v>1306</v>
      </c>
      <c r="F267" s="12" t="s">
        <v>79</v>
      </c>
      <c r="G267" s="12" t="n">
        <v>20</v>
      </c>
      <c r="H267" s="26" t="n">
        <v>6.44</v>
      </c>
      <c r="I267" s="12" t="s">
        <v>102</v>
      </c>
      <c r="J267" s="12" t="s">
        <v>948</v>
      </c>
      <c r="K267" s="10" t="s">
        <v>658</v>
      </c>
      <c r="L267" s="30" t="s">
        <v>944</v>
      </c>
      <c r="M267" s="10" t="s">
        <v>3760</v>
      </c>
    </row>
    <row r="268" customFormat="false" ht="35.05" hidden="false" customHeight="false" outlineLevel="0" collapsed="false">
      <c r="A268" s="12" t="s">
        <v>21</v>
      </c>
      <c r="B268" s="12" t="s">
        <v>117</v>
      </c>
      <c r="C268" s="10" t="s">
        <v>117</v>
      </c>
      <c r="D268" s="12" t="s">
        <v>934</v>
      </c>
      <c r="E268" s="10" t="s">
        <v>1080</v>
      </c>
      <c r="F268" s="12" t="s">
        <v>79</v>
      </c>
      <c r="G268" s="12" t="n">
        <v>2</v>
      </c>
      <c r="H268" s="26" t="n">
        <v>56.77</v>
      </c>
      <c r="I268" s="12" t="s">
        <v>77</v>
      </c>
      <c r="J268" s="12" t="s">
        <v>194</v>
      </c>
      <c r="K268" s="10" t="s">
        <v>658</v>
      </c>
      <c r="L268" s="30" t="s">
        <v>1226</v>
      </c>
      <c r="M268" s="10" t="s">
        <v>3761</v>
      </c>
    </row>
    <row r="269" customFormat="false" ht="35.05" hidden="false" customHeight="false" outlineLevel="0" collapsed="false">
      <c r="A269" s="12" t="s">
        <v>21</v>
      </c>
      <c r="B269" s="12" t="s">
        <v>117</v>
      </c>
      <c r="C269" s="10" t="s">
        <v>1288</v>
      </c>
      <c r="D269" s="12" t="s">
        <v>1183</v>
      </c>
      <c r="E269" s="10" t="s">
        <v>1080</v>
      </c>
      <c r="F269" s="12" t="s">
        <v>79</v>
      </c>
      <c r="G269" s="12" t="n">
        <v>2</v>
      </c>
      <c r="H269" s="26" t="n">
        <v>92.0498</v>
      </c>
      <c r="I269" s="12" t="s">
        <v>77</v>
      </c>
      <c r="J269" s="12" t="s">
        <v>3558</v>
      </c>
      <c r="K269" s="10" t="s">
        <v>658</v>
      </c>
      <c r="L269" s="30" t="s">
        <v>852</v>
      </c>
      <c r="M269" s="10" t="s">
        <v>3762</v>
      </c>
    </row>
    <row r="270" customFormat="false" ht="35.05" hidden="false" customHeight="false" outlineLevel="0" collapsed="false">
      <c r="A270" s="12" t="s">
        <v>31</v>
      </c>
      <c r="B270" s="12" t="s">
        <v>75</v>
      </c>
      <c r="C270" s="10" t="s">
        <v>1332</v>
      </c>
      <c r="D270" s="12" t="s">
        <v>851</v>
      </c>
      <c r="E270" s="10" t="s">
        <v>839</v>
      </c>
      <c r="F270" s="12" t="s">
        <v>79</v>
      </c>
      <c r="G270" s="12"/>
      <c r="H270" s="26" t="n">
        <v>397.421</v>
      </c>
      <c r="I270" s="12" t="s">
        <v>153</v>
      </c>
      <c r="J270" s="12" t="s">
        <v>3558</v>
      </c>
      <c r="K270" s="10" t="s">
        <v>658</v>
      </c>
      <c r="L270" s="30" t="s">
        <v>852</v>
      </c>
      <c r="M270" s="10" t="s">
        <v>3763</v>
      </c>
    </row>
    <row r="271" customFormat="false" ht="79.85" hidden="false" customHeight="false" outlineLevel="0" collapsed="false">
      <c r="A271" s="12" t="s">
        <v>31</v>
      </c>
      <c r="B271" s="12" t="s">
        <v>89</v>
      </c>
      <c r="C271" s="10" t="s">
        <v>1334</v>
      </c>
      <c r="D271" s="12" t="s">
        <v>912</v>
      </c>
      <c r="E271" s="10" t="s">
        <v>1335</v>
      </c>
      <c r="F271" s="12" t="s">
        <v>79</v>
      </c>
      <c r="G271" s="12"/>
      <c r="H271" s="26" t="n">
        <v>162.9686</v>
      </c>
      <c r="I271" s="12" t="s">
        <v>102</v>
      </c>
      <c r="J271" s="12" t="s">
        <v>3695</v>
      </c>
      <c r="K271" s="10" t="s">
        <v>658</v>
      </c>
      <c r="L271" s="30" t="s">
        <v>1171</v>
      </c>
      <c r="M271" s="10" t="s">
        <v>3764</v>
      </c>
    </row>
    <row r="272" customFormat="false" ht="35.05" hidden="false" customHeight="false" outlineLevel="0" collapsed="false">
      <c r="A272" s="12" t="s">
        <v>31</v>
      </c>
      <c r="B272" s="12" t="s">
        <v>89</v>
      </c>
      <c r="C272" s="10" t="s">
        <v>1346</v>
      </c>
      <c r="D272" s="12" t="s">
        <v>1347</v>
      </c>
      <c r="E272" s="10" t="s">
        <v>1056</v>
      </c>
      <c r="F272" s="12" t="s">
        <v>79</v>
      </c>
      <c r="G272" s="12" t="n">
        <v>1</v>
      </c>
      <c r="H272" s="26" t="n">
        <v>17.444</v>
      </c>
      <c r="I272" s="12" t="s">
        <v>77</v>
      </c>
      <c r="J272" s="12" t="s">
        <v>1044</v>
      </c>
      <c r="K272" s="10" t="s">
        <v>658</v>
      </c>
      <c r="L272" s="30" t="s">
        <v>983</v>
      </c>
      <c r="M272" s="10" t="s">
        <v>3765</v>
      </c>
    </row>
    <row r="273" customFormat="false" ht="35.05" hidden="false" customHeight="false" outlineLevel="0" collapsed="false">
      <c r="A273" s="12" t="s">
        <v>31</v>
      </c>
      <c r="B273" s="12" t="s">
        <v>89</v>
      </c>
      <c r="C273" s="10" t="s">
        <v>1346</v>
      </c>
      <c r="D273" s="12" t="s">
        <v>1348</v>
      </c>
      <c r="E273" s="10" t="s">
        <v>1349</v>
      </c>
      <c r="F273" s="12" t="s">
        <v>79</v>
      </c>
      <c r="G273" s="12" t="n">
        <v>1.4</v>
      </c>
      <c r="H273" s="26" t="n">
        <v>14.329</v>
      </c>
      <c r="I273" s="12" t="s">
        <v>77</v>
      </c>
      <c r="J273" s="12" t="s">
        <v>1044</v>
      </c>
      <c r="K273" s="10" t="s">
        <v>658</v>
      </c>
      <c r="L273" s="30" t="s">
        <v>983</v>
      </c>
      <c r="M273" s="10" t="s">
        <v>3766</v>
      </c>
    </row>
    <row r="274" customFormat="false" ht="35.05" hidden="false" customHeight="false" outlineLevel="0" collapsed="false">
      <c r="A274" s="12" t="s">
        <v>31</v>
      </c>
      <c r="B274" s="12" t="s">
        <v>131</v>
      </c>
      <c r="C274" s="10" t="s">
        <v>1134</v>
      </c>
      <c r="D274" s="12" t="s">
        <v>1135</v>
      </c>
      <c r="E274" s="10" t="s">
        <v>1325</v>
      </c>
      <c r="F274" s="12" t="s">
        <v>79</v>
      </c>
      <c r="G274" s="12" t="n">
        <v>2</v>
      </c>
      <c r="H274" s="26" t="n">
        <v>301.8</v>
      </c>
      <c r="I274" s="12" t="s">
        <v>102</v>
      </c>
      <c r="J274" s="12" t="s">
        <v>144</v>
      </c>
      <c r="K274" s="10" t="s">
        <v>658</v>
      </c>
      <c r="L274" s="30" t="s">
        <v>1137</v>
      </c>
      <c r="M274" s="10" t="s">
        <v>3700</v>
      </c>
    </row>
    <row r="275" customFormat="false" ht="35.05" hidden="false" customHeight="false" outlineLevel="0" collapsed="false">
      <c r="A275" s="12" t="s">
        <v>31</v>
      </c>
      <c r="B275" s="12" t="s">
        <v>131</v>
      </c>
      <c r="C275" s="10" t="s">
        <v>131</v>
      </c>
      <c r="D275" s="12" t="s">
        <v>1164</v>
      </c>
      <c r="E275" s="10" t="s">
        <v>843</v>
      </c>
      <c r="F275" s="12" t="s">
        <v>79</v>
      </c>
      <c r="G275" s="12"/>
      <c r="H275" s="26" t="n">
        <v>429.52</v>
      </c>
      <c r="I275" s="12" t="s">
        <v>102</v>
      </c>
      <c r="J275" s="12" t="s">
        <v>194</v>
      </c>
      <c r="K275" s="10" t="s">
        <v>658</v>
      </c>
      <c r="L275" s="30" t="s">
        <v>1331</v>
      </c>
      <c r="M275" s="10" t="s">
        <v>3767</v>
      </c>
    </row>
    <row r="276" customFormat="false" ht="46.25" hidden="false" customHeight="false" outlineLevel="0" collapsed="false">
      <c r="A276" s="12" t="s">
        <v>31</v>
      </c>
      <c r="B276" s="12" t="s">
        <v>131</v>
      </c>
      <c r="C276" s="10" t="s">
        <v>1337</v>
      </c>
      <c r="D276" s="12" t="s">
        <v>1174</v>
      </c>
      <c r="E276" s="10" t="s">
        <v>1210</v>
      </c>
      <c r="F276" s="12" t="s">
        <v>79</v>
      </c>
      <c r="G276" s="12" t="n">
        <v>2</v>
      </c>
      <c r="H276" s="26" t="n">
        <v>471.2665</v>
      </c>
      <c r="I276" s="12" t="s">
        <v>77</v>
      </c>
      <c r="J276" s="12" t="s">
        <v>3558</v>
      </c>
      <c r="K276" s="10" t="s">
        <v>658</v>
      </c>
      <c r="L276" s="30" t="s">
        <v>852</v>
      </c>
      <c r="M276" s="10" t="s">
        <v>3768</v>
      </c>
    </row>
    <row r="277" customFormat="false" ht="46.25" hidden="false" customHeight="false" outlineLevel="0" collapsed="false">
      <c r="A277" s="12" t="s">
        <v>31</v>
      </c>
      <c r="B277" s="12" t="s">
        <v>114</v>
      </c>
      <c r="C277" s="10" t="s">
        <v>114</v>
      </c>
      <c r="D277" s="12" t="s">
        <v>679</v>
      </c>
      <c r="E277" s="10" t="s">
        <v>1323</v>
      </c>
      <c r="F277" s="12" t="s">
        <v>85</v>
      </c>
      <c r="G277" s="12" t="n">
        <v>5</v>
      </c>
      <c r="H277" s="26" t="n">
        <v>29.97</v>
      </c>
      <c r="I277" s="12" t="s">
        <v>102</v>
      </c>
      <c r="J277" s="12" t="s">
        <v>144</v>
      </c>
      <c r="K277" s="10" t="s">
        <v>658</v>
      </c>
      <c r="L277" s="30" t="s">
        <v>682</v>
      </c>
      <c r="M277" s="10" t="s">
        <v>3550</v>
      </c>
    </row>
    <row r="278" customFormat="false" ht="79.85" hidden="false" customHeight="false" outlineLevel="0" collapsed="false">
      <c r="A278" s="12" t="s">
        <v>31</v>
      </c>
      <c r="B278" s="12" t="s">
        <v>114</v>
      </c>
      <c r="C278" s="10" t="s">
        <v>114</v>
      </c>
      <c r="D278" s="12" t="s">
        <v>831</v>
      </c>
      <c r="E278" s="10" t="s">
        <v>1327</v>
      </c>
      <c r="F278" s="12" t="s">
        <v>85</v>
      </c>
      <c r="G278" s="12"/>
      <c r="H278" s="26" t="n">
        <v>345.31</v>
      </c>
      <c r="I278" s="12" t="s">
        <v>102</v>
      </c>
      <c r="J278" s="12" t="s">
        <v>194</v>
      </c>
      <c r="K278" s="10" t="s">
        <v>658</v>
      </c>
      <c r="L278" s="30" t="s">
        <v>833</v>
      </c>
      <c r="M278" s="10" t="s">
        <v>3769</v>
      </c>
    </row>
    <row r="279" customFormat="false" ht="46.25" hidden="false" customHeight="false" outlineLevel="0" collapsed="false">
      <c r="A279" s="12" t="s">
        <v>31</v>
      </c>
      <c r="B279" s="12" t="s">
        <v>114</v>
      </c>
      <c r="C279" s="10" t="s">
        <v>1338</v>
      </c>
      <c r="D279" s="12" t="s">
        <v>1339</v>
      </c>
      <c r="E279" s="10" t="s">
        <v>1340</v>
      </c>
      <c r="F279" s="12" t="s">
        <v>85</v>
      </c>
      <c r="G279" s="12"/>
      <c r="H279" s="26" t="n">
        <v>531.8684</v>
      </c>
      <c r="I279" s="12" t="s">
        <v>153</v>
      </c>
      <c r="J279" s="12" t="s">
        <v>3558</v>
      </c>
      <c r="K279" s="10" t="s">
        <v>658</v>
      </c>
      <c r="L279" s="30" t="s">
        <v>852</v>
      </c>
      <c r="M279" s="10" t="s">
        <v>3770</v>
      </c>
    </row>
    <row r="280" customFormat="false" ht="57.45" hidden="false" customHeight="false" outlineLevel="0" collapsed="false">
      <c r="A280" s="12" t="s">
        <v>31</v>
      </c>
      <c r="B280" s="12" t="s">
        <v>112</v>
      </c>
      <c r="C280" s="10" t="s">
        <v>1341</v>
      </c>
      <c r="D280" s="12" t="s">
        <v>1342</v>
      </c>
      <c r="E280" s="10" t="s">
        <v>1343</v>
      </c>
      <c r="F280" s="12" t="s">
        <v>79</v>
      </c>
      <c r="G280" s="12" t="n">
        <v>1.2</v>
      </c>
      <c r="H280" s="26" t="n">
        <v>7322.4226</v>
      </c>
      <c r="I280" s="12" t="s">
        <v>153</v>
      </c>
      <c r="J280" s="12" t="s">
        <v>3558</v>
      </c>
      <c r="K280" s="10" t="s">
        <v>658</v>
      </c>
      <c r="L280" s="30" t="s">
        <v>852</v>
      </c>
      <c r="M280" s="10" t="s">
        <v>3771</v>
      </c>
    </row>
    <row r="281" customFormat="false" ht="35.05" hidden="false" customHeight="false" outlineLevel="0" collapsed="false">
      <c r="A281" s="12" t="s">
        <v>31</v>
      </c>
      <c r="B281" s="12" t="s">
        <v>117</v>
      </c>
      <c r="C281" s="10" t="s">
        <v>117</v>
      </c>
      <c r="D281" s="12" t="s">
        <v>934</v>
      </c>
      <c r="E281" s="10" t="s">
        <v>1328</v>
      </c>
      <c r="F281" s="12" t="s">
        <v>79</v>
      </c>
      <c r="G281" s="12"/>
      <c r="H281" s="26" t="n">
        <v>67.02</v>
      </c>
      <c r="I281" s="12" t="s">
        <v>102</v>
      </c>
      <c r="J281" s="12" t="s">
        <v>194</v>
      </c>
      <c r="K281" s="10" t="s">
        <v>658</v>
      </c>
      <c r="L281" s="30" t="s">
        <v>1329</v>
      </c>
      <c r="M281" s="10" t="s">
        <v>3772</v>
      </c>
    </row>
    <row r="282" customFormat="false" ht="46.25" hidden="false" customHeight="false" outlineLevel="0" collapsed="false">
      <c r="A282" s="12" t="s">
        <v>31</v>
      </c>
      <c r="B282" s="12" t="s">
        <v>117</v>
      </c>
      <c r="C282" s="10" t="s">
        <v>1345</v>
      </c>
      <c r="D282" s="12" t="s">
        <v>1183</v>
      </c>
      <c r="E282" s="10" t="s">
        <v>1080</v>
      </c>
      <c r="F282" s="12" t="s">
        <v>79</v>
      </c>
      <c r="G282" s="12" t="n">
        <v>2</v>
      </c>
      <c r="H282" s="26" t="n">
        <v>92.0498</v>
      </c>
      <c r="I282" s="12" t="s">
        <v>102</v>
      </c>
      <c r="J282" s="12" t="s">
        <v>3558</v>
      </c>
      <c r="K282" s="10" t="s">
        <v>658</v>
      </c>
      <c r="L282" s="30" t="s">
        <v>852</v>
      </c>
      <c r="M282" s="10" t="s">
        <v>3773</v>
      </c>
    </row>
    <row r="283" customFormat="false" ht="35.05" hidden="false" customHeight="false" outlineLevel="0" collapsed="false">
      <c r="A283" s="12" t="s">
        <v>29</v>
      </c>
      <c r="B283" s="12" t="s">
        <v>75</v>
      </c>
      <c r="C283" s="10" t="s">
        <v>75</v>
      </c>
      <c r="D283" s="12" t="s">
        <v>838</v>
      </c>
      <c r="E283" s="10" t="s">
        <v>839</v>
      </c>
      <c r="F283" s="12" t="s">
        <v>79</v>
      </c>
      <c r="G283" s="12"/>
      <c r="H283" s="26" t="n">
        <v>360.71</v>
      </c>
      <c r="I283" s="12" t="s">
        <v>102</v>
      </c>
      <c r="J283" s="12" t="s">
        <v>194</v>
      </c>
      <c r="K283" s="10" t="s">
        <v>658</v>
      </c>
      <c r="L283" s="30" t="s">
        <v>840</v>
      </c>
      <c r="M283" s="10" t="s">
        <v>3557</v>
      </c>
    </row>
    <row r="284" customFormat="false" ht="23.85" hidden="false" customHeight="false" outlineLevel="0" collapsed="false">
      <c r="A284" s="12" t="s">
        <v>29</v>
      </c>
      <c r="B284" s="12" t="s">
        <v>75</v>
      </c>
      <c r="C284" s="10" t="s">
        <v>1379</v>
      </c>
      <c r="D284" s="12"/>
      <c r="E284" s="10"/>
      <c r="F284" s="12" t="s">
        <v>97</v>
      </c>
      <c r="G284" s="12"/>
      <c r="H284" s="26"/>
      <c r="I284" s="12" t="s">
        <v>323</v>
      </c>
      <c r="J284" s="12" t="s">
        <v>323</v>
      </c>
      <c r="K284" s="10" t="s">
        <v>3589</v>
      </c>
      <c r="L284" s="12"/>
      <c r="M284" s="10" t="s">
        <v>3590</v>
      </c>
    </row>
    <row r="285" customFormat="false" ht="35.05" hidden="false" customHeight="false" outlineLevel="0" collapsed="false">
      <c r="A285" s="12" t="s">
        <v>29</v>
      </c>
      <c r="B285" s="12" t="s">
        <v>89</v>
      </c>
      <c r="C285" s="10" t="s">
        <v>89</v>
      </c>
      <c r="D285" s="12" t="s">
        <v>775</v>
      </c>
      <c r="E285" s="10" t="s">
        <v>1357</v>
      </c>
      <c r="F285" s="12" t="s">
        <v>79</v>
      </c>
      <c r="G285" s="12"/>
      <c r="H285" s="26" t="n">
        <v>22.25</v>
      </c>
      <c r="I285" s="12" t="s">
        <v>102</v>
      </c>
      <c r="J285" s="12" t="s">
        <v>144</v>
      </c>
      <c r="K285" s="10" t="s">
        <v>658</v>
      </c>
      <c r="L285" s="30" t="s">
        <v>777</v>
      </c>
      <c r="M285" s="10" t="s">
        <v>3774</v>
      </c>
    </row>
    <row r="286" customFormat="false" ht="68.65" hidden="false" customHeight="false" outlineLevel="0" collapsed="false">
      <c r="A286" s="12" t="s">
        <v>29</v>
      </c>
      <c r="B286" s="12" t="s">
        <v>89</v>
      </c>
      <c r="C286" s="10" t="s">
        <v>89</v>
      </c>
      <c r="D286" s="12" t="s">
        <v>1373</v>
      </c>
      <c r="E286" s="10" t="s">
        <v>1374</v>
      </c>
      <c r="F286" s="12" t="s">
        <v>79</v>
      </c>
      <c r="G286" s="12" t="n">
        <v>0.4</v>
      </c>
      <c r="H286" s="26" t="n">
        <v>187.18</v>
      </c>
      <c r="I286" s="12" t="s">
        <v>102</v>
      </c>
      <c r="J286" s="12" t="s">
        <v>194</v>
      </c>
      <c r="K286" s="10" t="s">
        <v>658</v>
      </c>
      <c r="L286" s="30" t="s">
        <v>1375</v>
      </c>
      <c r="M286" s="10" t="s">
        <v>3775</v>
      </c>
    </row>
    <row r="287" customFormat="false" ht="35.05" hidden="false" customHeight="false" outlineLevel="0" collapsed="false">
      <c r="A287" s="12" t="s">
        <v>29</v>
      </c>
      <c r="B287" s="12" t="s">
        <v>89</v>
      </c>
      <c r="C287" s="10" t="s">
        <v>1380</v>
      </c>
      <c r="D287" s="12" t="s">
        <v>1381</v>
      </c>
      <c r="E287" s="10" t="s">
        <v>1382</v>
      </c>
      <c r="F287" s="12" t="s">
        <v>79</v>
      </c>
      <c r="G287" s="12" t="n">
        <v>1.4</v>
      </c>
      <c r="H287" s="26" t="n">
        <v>1444.1174</v>
      </c>
      <c r="I287" s="12" t="s">
        <v>153</v>
      </c>
      <c r="J287" s="12" t="s">
        <v>3558</v>
      </c>
      <c r="K287" s="10" t="s">
        <v>658</v>
      </c>
      <c r="L287" s="30" t="s">
        <v>852</v>
      </c>
      <c r="M287" s="10" t="s">
        <v>3776</v>
      </c>
    </row>
    <row r="288" customFormat="false" ht="23.85" hidden="false" customHeight="false" outlineLevel="0" collapsed="false">
      <c r="A288" s="12" t="s">
        <v>29</v>
      </c>
      <c r="B288" s="12" t="s">
        <v>89</v>
      </c>
      <c r="C288" s="10" t="s">
        <v>1399</v>
      </c>
      <c r="D288" s="12" t="s">
        <v>981</v>
      </c>
      <c r="E288" s="10" t="s">
        <v>982</v>
      </c>
      <c r="F288" s="12" t="s">
        <v>79</v>
      </c>
      <c r="G288" s="12"/>
      <c r="H288" s="26"/>
      <c r="I288" s="12" t="s">
        <v>323</v>
      </c>
      <c r="J288" s="12" t="s">
        <v>323</v>
      </c>
      <c r="K288" s="10" t="s">
        <v>3589</v>
      </c>
      <c r="L288" s="12"/>
      <c r="M288" s="10" t="s">
        <v>3590</v>
      </c>
    </row>
    <row r="289" customFormat="false" ht="23.85" hidden="false" customHeight="false" outlineLevel="0" collapsed="false">
      <c r="A289" s="12" t="s">
        <v>29</v>
      </c>
      <c r="B289" s="12" t="s">
        <v>89</v>
      </c>
      <c r="C289" s="10" t="s">
        <v>1403</v>
      </c>
      <c r="D289" s="12" t="s">
        <v>1404</v>
      </c>
      <c r="E289" s="10" t="s">
        <v>918</v>
      </c>
      <c r="F289" s="12" t="s">
        <v>79</v>
      </c>
      <c r="G289" s="12" t="n">
        <v>1</v>
      </c>
      <c r="H289" s="26" t="n">
        <v>118.13</v>
      </c>
      <c r="I289" s="12" t="s">
        <v>77</v>
      </c>
      <c r="J289" s="12" t="s">
        <v>995</v>
      </c>
      <c r="K289" s="10" t="s">
        <v>1069</v>
      </c>
      <c r="L289" s="30" t="s">
        <v>1405</v>
      </c>
      <c r="M289" s="10" t="s">
        <v>3777</v>
      </c>
    </row>
    <row r="290" customFormat="false" ht="23.85" hidden="false" customHeight="false" outlineLevel="0" collapsed="false">
      <c r="A290" s="12" t="s">
        <v>29</v>
      </c>
      <c r="B290" s="12" t="s">
        <v>89</v>
      </c>
      <c r="C290" s="10" t="s">
        <v>1403</v>
      </c>
      <c r="D290" s="12" t="s">
        <v>1406</v>
      </c>
      <c r="E290" s="10" t="s">
        <v>1084</v>
      </c>
      <c r="F290" s="12" t="s">
        <v>79</v>
      </c>
      <c r="G290" s="12" t="n">
        <v>1.4</v>
      </c>
      <c r="H290" s="26" t="n">
        <v>102.88</v>
      </c>
      <c r="I290" s="12" t="s">
        <v>77</v>
      </c>
      <c r="J290" s="12" t="s">
        <v>995</v>
      </c>
      <c r="K290" s="10" t="s">
        <v>1069</v>
      </c>
      <c r="L290" s="30" t="s">
        <v>1405</v>
      </c>
      <c r="M290" s="10" t="s">
        <v>3777</v>
      </c>
    </row>
    <row r="291" customFormat="false" ht="23.85" hidden="false" customHeight="false" outlineLevel="0" collapsed="false">
      <c r="A291" s="12" t="s">
        <v>29</v>
      </c>
      <c r="B291" s="12" t="s">
        <v>89</v>
      </c>
      <c r="C291" s="10" t="s">
        <v>1403</v>
      </c>
      <c r="D291" s="12" t="s">
        <v>1407</v>
      </c>
      <c r="E291" s="10" t="s">
        <v>1408</v>
      </c>
      <c r="F291" s="12" t="s">
        <v>79</v>
      </c>
      <c r="G291" s="12" t="n">
        <v>0.4</v>
      </c>
      <c r="H291" s="26" t="n">
        <v>92.78</v>
      </c>
      <c r="I291" s="12" t="s">
        <v>77</v>
      </c>
      <c r="J291" s="12" t="s">
        <v>995</v>
      </c>
      <c r="K291" s="10" t="s">
        <v>1069</v>
      </c>
      <c r="L291" s="30" t="s">
        <v>1405</v>
      </c>
      <c r="M291" s="10" t="s">
        <v>3777</v>
      </c>
    </row>
    <row r="292" customFormat="false" ht="46.25" hidden="false" customHeight="false" outlineLevel="0" collapsed="false">
      <c r="A292" s="12" t="s">
        <v>29</v>
      </c>
      <c r="B292" s="12" t="s">
        <v>89</v>
      </c>
      <c r="C292" s="10" t="s">
        <v>1403</v>
      </c>
      <c r="D292" s="12" t="s">
        <v>1418</v>
      </c>
      <c r="E292" s="10" t="s">
        <v>1217</v>
      </c>
      <c r="F292" s="12" t="s">
        <v>79</v>
      </c>
      <c r="G292" s="12" t="n">
        <v>10</v>
      </c>
      <c r="H292" s="26" t="n">
        <v>102.88</v>
      </c>
      <c r="I292" s="12" t="s">
        <v>77</v>
      </c>
      <c r="J292" s="12" t="s">
        <v>995</v>
      </c>
      <c r="K292" s="10" t="s">
        <v>658</v>
      </c>
      <c r="L292" s="30" t="s">
        <v>991</v>
      </c>
      <c r="M292" s="10" t="s">
        <v>3778</v>
      </c>
    </row>
    <row r="293" customFormat="false" ht="35.05" hidden="false" customHeight="false" outlineLevel="0" collapsed="false">
      <c r="A293" s="12" t="s">
        <v>29</v>
      </c>
      <c r="B293" s="12" t="s">
        <v>221</v>
      </c>
      <c r="C293" s="10" t="s">
        <v>221</v>
      </c>
      <c r="D293" s="12" t="s">
        <v>1305</v>
      </c>
      <c r="E293" s="10" t="s">
        <v>1370</v>
      </c>
      <c r="F293" s="12" t="s">
        <v>79</v>
      </c>
      <c r="G293" s="12" t="n">
        <v>5</v>
      </c>
      <c r="H293" s="26" t="n">
        <v>29.45</v>
      </c>
      <c r="I293" s="12" t="s">
        <v>102</v>
      </c>
      <c r="J293" s="12" t="s">
        <v>194</v>
      </c>
      <c r="K293" s="10" t="s">
        <v>658</v>
      </c>
      <c r="L293" s="30" t="s">
        <v>1371</v>
      </c>
      <c r="M293" s="10" t="s">
        <v>3779</v>
      </c>
    </row>
    <row r="294" customFormat="false" ht="46.25" hidden="false" customHeight="false" outlineLevel="0" collapsed="false">
      <c r="A294" s="12" t="s">
        <v>29</v>
      </c>
      <c r="B294" s="12" t="s">
        <v>221</v>
      </c>
      <c r="C294" s="10" t="s">
        <v>1383</v>
      </c>
      <c r="D294" s="12" t="s">
        <v>885</v>
      </c>
      <c r="E294" s="10" t="s">
        <v>1370</v>
      </c>
      <c r="F294" s="12" t="s">
        <v>79</v>
      </c>
      <c r="G294" s="12" t="n">
        <v>5</v>
      </c>
      <c r="H294" s="26" t="n">
        <v>48.3866</v>
      </c>
      <c r="I294" s="12" t="s">
        <v>153</v>
      </c>
      <c r="J294" s="12" t="s">
        <v>3730</v>
      </c>
      <c r="K294" s="10" t="s">
        <v>658</v>
      </c>
      <c r="L294" s="30" t="s">
        <v>1384</v>
      </c>
      <c r="M294" s="10" t="s">
        <v>3780</v>
      </c>
    </row>
    <row r="295" customFormat="false" ht="46.25" hidden="false" customHeight="false" outlineLevel="0" collapsed="false">
      <c r="A295" s="12" t="s">
        <v>29</v>
      </c>
      <c r="B295" s="12" t="s">
        <v>223</v>
      </c>
      <c r="C295" s="10" t="s">
        <v>689</v>
      </c>
      <c r="D295" s="12" t="s">
        <v>690</v>
      </c>
      <c r="E295" s="10" t="s">
        <v>1351</v>
      </c>
      <c r="F295" s="12" t="s">
        <v>79</v>
      </c>
      <c r="G295" s="12" t="n">
        <v>1</v>
      </c>
      <c r="H295" s="26" t="n">
        <v>14.96</v>
      </c>
      <c r="I295" s="12" t="s">
        <v>102</v>
      </c>
      <c r="J295" s="12" t="s">
        <v>144</v>
      </c>
      <c r="K295" s="10" t="s">
        <v>658</v>
      </c>
      <c r="L295" s="30" t="s">
        <v>692</v>
      </c>
      <c r="M295" s="10" t="s">
        <v>3781</v>
      </c>
    </row>
    <row r="296" customFormat="false" ht="35.05" hidden="false" customHeight="false" outlineLevel="0" collapsed="false">
      <c r="A296" s="12" t="s">
        <v>29</v>
      </c>
      <c r="B296" s="12" t="s">
        <v>235</v>
      </c>
      <c r="C296" s="10" t="s">
        <v>235</v>
      </c>
      <c r="D296" s="12" t="s">
        <v>732</v>
      </c>
      <c r="E296" s="10"/>
      <c r="F296" s="12" t="s">
        <v>97</v>
      </c>
      <c r="G296" s="12"/>
      <c r="H296" s="26" t="n">
        <v>0.65</v>
      </c>
      <c r="I296" s="12" t="s">
        <v>102</v>
      </c>
      <c r="J296" s="12" t="s">
        <v>144</v>
      </c>
      <c r="K296" s="10" t="s">
        <v>665</v>
      </c>
      <c r="L296" s="30" t="s">
        <v>666</v>
      </c>
      <c r="M296" s="10" t="s">
        <v>3782</v>
      </c>
    </row>
    <row r="297" customFormat="false" ht="35.05" hidden="false" customHeight="false" outlineLevel="0" collapsed="false">
      <c r="A297" s="12" t="s">
        <v>29</v>
      </c>
      <c r="B297" s="12" t="s">
        <v>107</v>
      </c>
      <c r="C297" s="10" t="s">
        <v>107</v>
      </c>
      <c r="D297" s="12" t="s">
        <v>1019</v>
      </c>
      <c r="E297" s="10" t="s">
        <v>874</v>
      </c>
      <c r="F297" s="12" t="s">
        <v>79</v>
      </c>
      <c r="G297" s="12"/>
      <c r="H297" s="26" t="n">
        <v>73.77</v>
      </c>
      <c r="I297" s="12" t="s">
        <v>102</v>
      </c>
      <c r="J297" s="12" t="s">
        <v>194</v>
      </c>
      <c r="K297" s="10" t="s">
        <v>658</v>
      </c>
      <c r="L297" s="30" t="s">
        <v>1368</v>
      </c>
      <c r="M297" s="10" t="s">
        <v>3783</v>
      </c>
    </row>
    <row r="298" customFormat="false" ht="46.25" hidden="false" customHeight="false" outlineLevel="0" collapsed="false">
      <c r="A298" s="12" t="s">
        <v>29</v>
      </c>
      <c r="B298" s="12" t="s">
        <v>107</v>
      </c>
      <c r="C298" s="10" t="s">
        <v>1385</v>
      </c>
      <c r="D298" s="12" t="s">
        <v>873</v>
      </c>
      <c r="E298" s="10" t="s">
        <v>874</v>
      </c>
      <c r="F298" s="12" t="s">
        <v>79</v>
      </c>
      <c r="G298" s="12"/>
      <c r="H298" s="26" t="n">
        <v>93.7335</v>
      </c>
      <c r="I298" s="12" t="s">
        <v>153</v>
      </c>
      <c r="J298" s="12" t="s">
        <v>3558</v>
      </c>
      <c r="K298" s="10" t="s">
        <v>658</v>
      </c>
      <c r="L298" s="30" t="s">
        <v>852</v>
      </c>
      <c r="M298" s="10" t="s">
        <v>3784</v>
      </c>
    </row>
    <row r="299" customFormat="false" ht="35.05" hidden="false" customHeight="false" outlineLevel="0" collapsed="false">
      <c r="A299" s="12" t="s">
        <v>29</v>
      </c>
      <c r="B299" s="12" t="s">
        <v>485</v>
      </c>
      <c r="C299" s="10" t="s">
        <v>1400</v>
      </c>
      <c r="D299" s="12" t="s">
        <v>1401</v>
      </c>
      <c r="E299" s="10" t="s">
        <v>1402</v>
      </c>
      <c r="F299" s="12" t="s">
        <v>79</v>
      </c>
      <c r="G299" s="12" t="n">
        <v>5</v>
      </c>
      <c r="H299" s="26" t="n">
        <v>30.23</v>
      </c>
      <c r="I299" s="12" t="s">
        <v>77</v>
      </c>
      <c r="J299" s="12" t="s">
        <v>995</v>
      </c>
      <c r="K299" s="10" t="s">
        <v>1069</v>
      </c>
      <c r="L299" s="12"/>
      <c r="M299" s="10" t="s">
        <v>3785</v>
      </c>
    </row>
    <row r="300" customFormat="false" ht="35.05" hidden="false" customHeight="false" outlineLevel="0" collapsed="false">
      <c r="A300" s="12" t="s">
        <v>29</v>
      </c>
      <c r="B300" s="12" t="s">
        <v>170</v>
      </c>
      <c r="C300" s="10" t="s">
        <v>1296</v>
      </c>
      <c r="D300" s="12" t="s">
        <v>1352</v>
      </c>
      <c r="E300" s="10"/>
      <c r="F300" s="12" t="s">
        <v>97</v>
      </c>
      <c r="G300" s="12"/>
      <c r="H300" s="26" t="n">
        <v>69.18</v>
      </c>
      <c r="I300" s="12" t="s">
        <v>102</v>
      </c>
      <c r="J300" s="12" t="s">
        <v>144</v>
      </c>
      <c r="K300" s="10" t="s">
        <v>1049</v>
      </c>
      <c r="L300" s="30" t="s">
        <v>1050</v>
      </c>
      <c r="M300" s="10" t="s">
        <v>3786</v>
      </c>
    </row>
    <row r="301" customFormat="false" ht="35.05" hidden="false" customHeight="false" outlineLevel="0" collapsed="false">
      <c r="A301" s="12" t="s">
        <v>29</v>
      </c>
      <c r="B301" s="12" t="s">
        <v>492</v>
      </c>
      <c r="C301" s="10" t="s">
        <v>1353</v>
      </c>
      <c r="D301" s="12" t="s">
        <v>1354</v>
      </c>
      <c r="E301" s="10" t="s">
        <v>1355</v>
      </c>
      <c r="F301" s="12" t="s">
        <v>79</v>
      </c>
      <c r="G301" s="12" t="n">
        <v>20</v>
      </c>
      <c r="H301" s="26" t="n">
        <v>1.91</v>
      </c>
      <c r="I301" s="12" t="s">
        <v>102</v>
      </c>
      <c r="J301" s="12" t="s">
        <v>144</v>
      </c>
      <c r="K301" s="10" t="s">
        <v>1049</v>
      </c>
      <c r="L301" s="30" t="s">
        <v>1050</v>
      </c>
      <c r="M301" s="10" t="s">
        <v>3787</v>
      </c>
    </row>
    <row r="302" customFormat="false" ht="46.25" hidden="false" customHeight="false" outlineLevel="0" collapsed="false">
      <c r="A302" s="12" t="s">
        <v>29</v>
      </c>
      <c r="B302" s="12" t="s">
        <v>182</v>
      </c>
      <c r="C302" s="10" t="s">
        <v>182</v>
      </c>
      <c r="D302" s="12" t="s">
        <v>1359</v>
      </c>
      <c r="E302" s="10" t="s">
        <v>1360</v>
      </c>
      <c r="F302" s="12" t="s">
        <v>79</v>
      </c>
      <c r="G302" s="12" t="n">
        <v>50</v>
      </c>
      <c r="H302" s="26" t="n">
        <v>9.12</v>
      </c>
      <c r="I302" s="12" t="s">
        <v>102</v>
      </c>
      <c r="J302" s="12" t="s">
        <v>144</v>
      </c>
      <c r="K302" s="10" t="s">
        <v>658</v>
      </c>
      <c r="L302" s="30" t="s">
        <v>1361</v>
      </c>
      <c r="M302" s="10" t="s">
        <v>3788</v>
      </c>
    </row>
    <row r="303" customFormat="false" ht="35.05" hidden="false" customHeight="false" outlineLevel="0" collapsed="false">
      <c r="A303" s="12" t="s">
        <v>29</v>
      </c>
      <c r="B303" s="12" t="s">
        <v>128</v>
      </c>
      <c r="C303" s="10" t="s">
        <v>128</v>
      </c>
      <c r="D303" s="12" t="s">
        <v>1245</v>
      </c>
      <c r="E303" s="10" t="s">
        <v>1246</v>
      </c>
      <c r="F303" s="12" t="s">
        <v>79</v>
      </c>
      <c r="G303" s="12" t="n">
        <v>10</v>
      </c>
      <c r="H303" s="26" t="n">
        <v>35.22</v>
      </c>
      <c r="I303" s="12" t="s">
        <v>102</v>
      </c>
      <c r="J303" s="12" t="s">
        <v>194</v>
      </c>
      <c r="K303" s="10" t="s">
        <v>658</v>
      </c>
      <c r="L303" s="30" t="s">
        <v>1378</v>
      </c>
      <c r="M303" s="10" t="s">
        <v>3789</v>
      </c>
    </row>
    <row r="304" customFormat="false" ht="79.85" hidden="false" customHeight="false" outlineLevel="0" collapsed="false">
      <c r="A304" s="12" t="s">
        <v>29</v>
      </c>
      <c r="B304" s="12" t="s">
        <v>128</v>
      </c>
      <c r="C304" s="10" t="s">
        <v>1386</v>
      </c>
      <c r="D304" s="12" t="s">
        <v>893</v>
      </c>
      <c r="E304" s="10" t="s">
        <v>1387</v>
      </c>
      <c r="F304" s="12" t="s">
        <v>79</v>
      </c>
      <c r="G304" s="12" t="n">
        <v>10</v>
      </c>
      <c r="H304" s="26" t="n">
        <v>147.804</v>
      </c>
      <c r="I304" s="12" t="s">
        <v>77</v>
      </c>
      <c r="J304" s="12" t="s">
        <v>3730</v>
      </c>
      <c r="K304" s="10" t="s">
        <v>658</v>
      </c>
      <c r="L304" s="30" t="s">
        <v>1388</v>
      </c>
      <c r="M304" s="10" t="s">
        <v>3790</v>
      </c>
    </row>
    <row r="305" customFormat="false" ht="68.65" hidden="false" customHeight="false" outlineLevel="0" collapsed="false">
      <c r="A305" s="12" t="s">
        <v>29</v>
      </c>
      <c r="B305" s="12" t="s">
        <v>128</v>
      </c>
      <c r="C305" s="10" t="s">
        <v>1389</v>
      </c>
      <c r="D305" s="12" t="s">
        <v>893</v>
      </c>
      <c r="E305" s="10" t="s">
        <v>1246</v>
      </c>
      <c r="F305" s="12" t="s">
        <v>79</v>
      </c>
      <c r="G305" s="12" t="n">
        <v>10</v>
      </c>
      <c r="H305" s="26" t="n">
        <v>95.2025</v>
      </c>
      <c r="I305" s="12" t="s">
        <v>153</v>
      </c>
      <c r="J305" s="12" t="s">
        <v>3558</v>
      </c>
      <c r="K305" s="10" t="s">
        <v>658</v>
      </c>
      <c r="L305" s="30" t="s">
        <v>852</v>
      </c>
      <c r="M305" s="10" t="s">
        <v>3607</v>
      </c>
    </row>
    <row r="306" customFormat="false" ht="46.25" hidden="false" customHeight="false" outlineLevel="0" collapsed="false">
      <c r="A306" s="12" t="s">
        <v>29</v>
      </c>
      <c r="B306" s="12" t="s">
        <v>289</v>
      </c>
      <c r="C306" s="10" t="s">
        <v>667</v>
      </c>
      <c r="D306" s="12" t="s">
        <v>672</v>
      </c>
      <c r="E306" s="10"/>
      <c r="F306" s="12" t="s">
        <v>97</v>
      </c>
      <c r="G306" s="12" t="n">
        <v>2</v>
      </c>
      <c r="H306" s="26" t="n">
        <v>7.15</v>
      </c>
      <c r="I306" s="12" t="s">
        <v>102</v>
      </c>
      <c r="J306" s="12" t="s">
        <v>144</v>
      </c>
      <c r="K306" s="10" t="s">
        <v>658</v>
      </c>
      <c r="L306" s="30" t="s">
        <v>670</v>
      </c>
      <c r="M306" s="10" t="s">
        <v>3791</v>
      </c>
    </row>
    <row r="307" customFormat="false" ht="46.25" hidden="false" customHeight="false" outlineLevel="0" collapsed="false">
      <c r="A307" s="12" t="s">
        <v>29</v>
      </c>
      <c r="B307" s="12" t="s">
        <v>400</v>
      </c>
      <c r="C307" s="10" t="s">
        <v>1409</v>
      </c>
      <c r="D307" s="12" t="s">
        <v>1410</v>
      </c>
      <c r="E307" s="10" t="s">
        <v>878</v>
      </c>
      <c r="F307" s="12" t="s">
        <v>79</v>
      </c>
      <c r="G307" s="12" t="n">
        <v>5</v>
      </c>
      <c r="H307" s="26" t="n">
        <v>13.99</v>
      </c>
      <c r="I307" s="12" t="s">
        <v>77</v>
      </c>
      <c r="J307" s="12" t="s">
        <v>995</v>
      </c>
      <c r="K307" s="10" t="s">
        <v>658</v>
      </c>
      <c r="L307" s="30" t="s">
        <v>991</v>
      </c>
      <c r="M307" s="10" t="s">
        <v>3792</v>
      </c>
    </row>
    <row r="308" customFormat="false" ht="35.05" hidden="false" customHeight="false" outlineLevel="0" collapsed="false">
      <c r="A308" s="12" t="s">
        <v>29</v>
      </c>
      <c r="B308" s="12" t="s">
        <v>180</v>
      </c>
      <c r="C308" s="10" t="s">
        <v>180</v>
      </c>
      <c r="D308" s="12" t="s">
        <v>842</v>
      </c>
      <c r="E308" s="10" t="s">
        <v>843</v>
      </c>
      <c r="F308" s="12" t="s">
        <v>79</v>
      </c>
      <c r="G308" s="12"/>
      <c r="H308" s="26" t="n">
        <v>6.61</v>
      </c>
      <c r="I308" s="12" t="s">
        <v>102</v>
      </c>
      <c r="J308" s="12" t="s">
        <v>194</v>
      </c>
      <c r="K308" s="10" t="s">
        <v>658</v>
      </c>
      <c r="L308" s="30" t="s">
        <v>844</v>
      </c>
      <c r="M308" s="10" t="s">
        <v>3628</v>
      </c>
    </row>
    <row r="309" customFormat="false" ht="46.25" hidden="false" customHeight="false" outlineLevel="0" collapsed="false">
      <c r="A309" s="12" t="s">
        <v>29</v>
      </c>
      <c r="B309" s="12" t="s">
        <v>180</v>
      </c>
      <c r="C309" s="10" t="s">
        <v>1390</v>
      </c>
      <c r="D309" s="12" t="s">
        <v>1273</v>
      </c>
      <c r="E309" s="10" t="s">
        <v>1239</v>
      </c>
      <c r="F309" s="12" t="s">
        <v>79</v>
      </c>
      <c r="G309" s="12"/>
      <c r="H309" s="26" t="n">
        <v>5.5596</v>
      </c>
      <c r="I309" s="12" t="s">
        <v>153</v>
      </c>
      <c r="J309" s="12" t="s">
        <v>3558</v>
      </c>
      <c r="K309" s="10" t="s">
        <v>658</v>
      </c>
      <c r="L309" s="30" t="s">
        <v>852</v>
      </c>
      <c r="M309" s="10" t="s">
        <v>3793</v>
      </c>
    </row>
    <row r="310" customFormat="false" ht="46.25" hidden="false" customHeight="false" outlineLevel="0" collapsed="false">
      <c r="A310" s="12" t="s">
        <v>29</v>
      </c>
      <c r="B310" s="12" t="s">
        <v>112</v>
      </c>
      <c r="C310" s="10" t="s">
        <v>112</v>
      </c>
      <c r="D310" s="12" t="s">
        <v>823</v>
      </c>
      <c r="E310" s="10" t="s">
        <v>1367</v>
      </c>
      <c r="F310" s="12" t="s">
        <v>79</v>
      </c>
      <c r="G310" s="12" t="n">
        <v>1.2</v>
      </c>
      <c r="H310" s="26" t="n">
        <v>343.8</v>
      </c>
      <c r="I310" s="12" t="s">
        <v>102</v>
      </c>
      <c r="J310" s="12" t="s">
        <v>144</v>
      </c>
      <c r="K310" s="10" t="s">
        <v>658</v>
      </c>
      <c r="L310" s="30" t="s">
        <v>825</v>
      </c>
      <c r="M310" s="10" t="s">
        <v>3630</v>
      </c>
    </row>
    <row r="311" customFormat="false" ht="46.25" hidden="false" customHeight="false" outlineLevel="0" collapsed="false">
      <c r="A311" s="12" t="s">
        <v>29</v>
      </c>
      <c r="B311" s="12" t="s">
        <v>112</v>
      </c>
      <c r="C311" s="10" t="s">
        <v>112</v>
      </c>
      <c r="D311" s="12" t="s">
        <v>835</v>
      </c>
      <c r="E311" s="10" t="s">
        <v>836</v>
      </c>
      <c r="F311" s="12" t="s">
        <v>79</v>
      </c>
      <c r="G311" s="12" t="n">
        <v>1.2</v>
      </c>
      <c r="H311" s="26" t="n">
        <v>6345.6</v>
      </c>
      <c r="I311" s="12" t="s">
        <v>102</v>
      </c>
      <c r="J311" s="12" t="s">
        <v>194</v>
      </c>
      <c r="K311" s="10" t="s">
        <v>658</v>
      </c>
      <c r="L311" s="30" t="s">
        <v>837</v>
      </c>
      <c r="M311" s="10" t="s">
        <v>3631</v>
      </c>
    </row>
    <row r="312" customFormat="false" ht="57.45" hidden="false" customHeight="false" outlineLevel="0" collapsed="false">
      <c r="A312" s="12" t="s">
        <v>29</v>
      </c>
      <c r="B312" s="12" t="s">
        <v>112</v>
      </c>
      <c r="C312" s="10" t="s">
        <v>1391</v>
      </c>
      <c r="D312" s="12" t="s">
        <v>910</v>
      </c>
      <c r="E312" s="10" t="s">
        <v>836</v>
      </c>
      <c r="F312" s="12" t="s">
        <v>79</v>
      </c>
      <c r="G312" s="12" t="n">
        <v>1.2</v>
      </c>
      <c r="H312" s="26" t="n">
        <v>7322.4226</v>
      </c>
      <c r="I312" s="12" t="s">
        <v>153</v>
      </c>
      <c r="J312" s="12" t="s">
        <v>3558</v>
      </c>
      <c r="K312" s="10" t="s">
        <v>658</v>
      </c>
      <c r="L312" s="30" t="s">
        <v>852</v>
      </c>
      <c r="M312" s="10" t="s">
        <v>3794</v>
      </c>
    </row>
    <row r="313" customFormat="false" ht="23.85" hidden="false" customHeight="false" outlineLevel="0" collapsed="false">
      <c r="A313" s="12" t="s">
        <v>29</v>
      </c>
      <c r="B313" s="12" t="s">
        <v>112</v>
      </c>
      <c r="C313" s="10" t="s">
        <v>1415</v>
      </c>
      <c r="D313" s="12" t="s">
        <v>1416</v>
      </c>
      <c r="E313" s="10" t="s">
        <v>836</v>
      </c>
      <c r="F313" s="12" t="s">
        <v>79</v>
      </c>
      <c r="G313" s="12" t="n">
        <v>1.2</v>
      </c>
      <c r="H313" s="26" t="n">
        <v>3147.91</v>
      </c>
      <c r="I313" s="12" t="s">
        <v>77</v>
      </c>
      <c r="J313" s="12" t="s">
        <v>995</v>
      </c>
      <c r="K313" s="10" t="s">
        <v>1069</v>
      </c>
      <c r="L313" s="30" t="s">
        <v>1417</v>
      </c>
      <c r="M313" s="10" t="s">
        <v>3795</v>
      </c>
    </row>
    <row r="314" customFormat="false" ht="35.05" hidden="false" customHeight="false" outlineLevel="0" collapsed="false">
      <c r="A314" s="12" t="s">
        <v>29</v>
      </c>
      <c r="B314" s="12" t="s">
        <v>466</v>
      </c>
      <c r="C314" s="10" t="s">
        <v>466</v>
      </c>
      <c r="D314" s="12" t="s">
        <v>1005</v>
      </c>
      <c r="E314" s="10"/>
      <c r="F314" s="12" t="s">
        <v>97</v>
      </c>
      <c r="G314" s="12"/>
      <c r="H314" s="26" t="n">
        <v>1.86</v>
      </c>
      <c r="I314" s="12" t="s">
        <v>102</v>
      </c>
      <c r="J314" s="12" t="s">
        <v>144</v>
      </c>
      <c r="K314" s="10" t="s">
        <v>665</v>
      </c>
      <c r="L314" s="30" t="s">
        <v>666</v>
      </c>
      <c r="M314" s="10" t="s">
        <v>3796</v>
      </c>
    </row>
    <row r="315" customFormat="false" ht="57.45" hidden="false" customHeight="false" outlineLevel="0" collapsed="false">
      <c r="A315" s="12" t="s">
        <v>29</v>
      </c>
      <c r="B315" s="12" t="s">
        <v>240</v>
      </c>
      <c r="C315" s="10" t="s">
        <v>1392</v>
      </c>
      <c r="D315" s="12" t="s">
        <v>1393</v>
      </c>
      <c r="E315" s="10" t="s">
        <v>1370</v>
      </c>
      <c r="F315" s="12" t="s">
        <v>79</v>
      </c>
      <c r="G315" s="12" t="n">
        <v>5</v>
      </c>
      <c r="H315" s="26" t="n">
        <v>6.1698</v>
      </c>
      <c r="I315" s="12" t="s">
        <v>153</v>
      </c>
      <c r="J315" s="12" t="s">
        <v>3558</v>
      </c>
      <c r="K315" s="10" t="s">
        <v>658</v>
      </c>
      <c r="L315" s="30" t="s">
        <v>852</v>
      </c>
      <c r="M315" s="10" t="s">
        <v>3797</v>
      </c>
    </row>
    <row r="316" customFormat="false" ht="46.25" hidden="false" customHeight="false" outlineLevel="0" collapsed="false">
      <c r="A316" s="12" t="s">
        <v>29</v>
      </c>
      <c r="B316" s="12" t="s">
        <v>489</v>
      </c>
      <c r="C316" s="10" t="s">
        <v>489</v>
      </c>
      <c r="D316" s="12" t="s">
        <v>1362</v>
      </c>
      <c r="E316" s="10" t="s">
        <v>1363</v>
      </c>
      <c r="F316" s="12" t="s">
        <v>79</v>
      </c>
      <c r="G316" s="12" t="n">
        <v>10</v>
      </c>
      <c r="H316" s="26" t="n">
        <v>6.53</v>
      </c>
      <c r="I316" s="12" t="s">
        <v>102</v>
      </c>
      <c r="J316" s="12" t="s">
        <v>144</v>
      </c>
      <c r="K316" s="10" t="s">
        <v>658</v>
      </c>
      <c r="L316" s="30" t="s">
        <v>1364</v>
      </c>
      <c r="M316" s="10" t="s">
        <v>3798</v>
      </c>
    </row>
    <row r="317" customFormat="false" ht="35.05" hidden="false" customHeight="false" outlineLevel="0" collapsed="false">
      <c r="A317" s="12" t="s">
        <v>29</v>
      </c>
      <c r="B317" s="12" t="s">
        <v>265</v>
      </c>
      <c r="C317" s="10" t="s">
        <v>1114</v>
      </c>
      <c r="D317" s="12" t="s">
        <v>1115</v>
      </c>
      <c r="E317" s="10" t="s">
        <v>1356</v>
      </c>
      <c r="F317" s="12" t="s">
        <v>79</v>
      </c>
      <c r="G317" s="12" t="n">
        <v>10</v>
      </c>
      <c r="H317" s="26" t="n">
        <v>5.56</v>
      </c>
      <c r="I317" s="12" t="s">
        <v>102</v>
      </c>
      <c r="J317" s="12" t="s">
        <v>144</v>
      </c>
      <c r="K317" s="10" t="s">
        <v>1049</v>
      </c>
      <c r="L317" s="30" t="s">
        <v>1050</v>
      </c>
      <c r="M317" s="10" t="s">
        <v>3799</v>
      </c>
    </row>
    <row r="318" customFormat="false" ht="46.25" hidden="false" customHeight="false" outlineLevel="0" collapsed="false">
      <c r="A318" s="12" t="s">
        <v>29</v>
      </c>
      <c r="B318" s="12" t="s">
        <v>117</v>
      </c>
      <c r="C318" s="10" t="s">
        <v>1149</v>
      </c>
      <c r="D318" s="12" t="s">
        <v>1150</v>
      </c>
      <c r="E318" s="10" t="s">
        <v>1365</v>
      </c>
      <c r="F318" s="12" t="s">
        <v>79</v>
      </c>
      <c r="G318" s="12" t="n">
        <v>2</v>
      </c>
      <c r="H318" s="26" t="n">
        <v>21.78</v>
      </c>
      <c r="I318" s="12" t="s">
        <v>102</v>
      </c>
      <c r="J318" s="12" t="s">
        <v>144</v>
      </c>
      <c r="K318" s="10" t="s">
        <v>658</v>
      </c>
      <c r="L318" s="30" t="s">
        <v>1152</v>
      </c>
      <c r="M318" s="10" t="s">
        <v>3800</v>
      </c>
    </row>
    <row r="319" customFormat="false" ht="46.25" hidden="false" customHeight="false" outlineLevel="0" collapsed="false">
      <c r="A319" s="12" t="s">
        <v>29</v>
      </c>
      <c r="B319" s="12" t="s">
        <v>117</v>
      </c>
      <c r="C319" s="10" t="s">
        <v>1149</v>
      </c>
      <c r="D319" s="12" t="s">
        <v>1154</v>
      </c>
      <c r="E319" s="10" t="s">
        <v>1155</v>
      </c>
      <c r="F319" s="12" t="s">
        <v>79</v>
      </c>
      <c r="G319" s="12" t="n">
        <v>5</v>
      </c>
      <c r="H319" s="26" t="n">
        <v>48.28</v>
      </c>
      <c r="I319" s="12" t="s">
        <v>102</v>
      </c>
      <c r="J319" s="12" t="s">
        <v>144</v>
      </c>
      <c r="K319" s="10" t="s">
        <v>658</v>
      </c>
      <c r="L319" s="30" t="s">
        <v>1152</v>
      </c>
      <c r="M319" s="10" t="s">
        <v>3723</v>
      </c>
    </row>
    <row r="320" customFormat="false" ht="35.05" hidden="false" customHeight="false" outlineLevel="0" collapsed="false">
      <c r="A320" s="12" t="s">
        <v>29</v>
      </c>
      <c r="B320" s="12" t="s">
        <v>117</v>
      </c>
      <c r="C320" s="10" t="s">
        <v>117</v>
      </c>
      <c r="D320" s="12" t="s">
        <v>934</v>
      </c>
      <c r="E320" s="10" t="s">
        <v>1080</v>
      </c>
      <c r="F320" s="12" t="s">
        <v>79</v>
      </c>
      <c r="G320" s="12" t="n">
        <v>2</v>
      </c>
      <c r="H320" s="26" t="n">
        <v>67.02</v>
      </c>
      <c r="I320" s="12" t="s">
        <v>102</v>
      </c>
      <c r="J320" s="12" t="s">
        <v>194</v>
      </c>
      <c r="K320" s="10" t="s">
        <v>658</v>
      </c>
      <c r="L320" s="30" t="s">
        <v>1329</v>
      </c>
      <c r="M320" s="10" t="s">
        <v>3772</v>
      </c>
    </row>
    <row r="321" customFormat="false" ht="57.45" hidden="false" customHeight="false" outlineLevel="0" collapsed="false">
      <c r="A321" s="12" t="s">
        <v>29</v>
      </c>
      <c r="B321" s="12" t="s">
        <v>117</v>
      </c>
      <c r="C321" s="10" t="s">
        <v>1394</v>
      </c>
      <c r="D321" s="12" t="s">
        <v>1183</v>
      </c>
      <c r="E321" s="10" t="s">
        <v>1395</v>
      </c>
      <c r="F321" s="12" t="s">
        <v>97</v>
      </c>
      <c r="G321" s="12" t="n">
        <v>2</v>
      </c>
      <c r="H321" s="26" t="n">
        <v>65.0089</v>
      </c>
      <c r="I321" s="12" t="s">
        <v>77</v>
      </c>
      <c r="J321" s="12" t="s">
        <v>3565</v>
      </c>
      <c r="K321" s="10" t="s">
        <v>658</v>
      </c>
      <c r="L321" s="30" t="s">
        <v>1029</v>
      </c>
      <c r="M321" s="10" t="s">
        <v>3801</v>
      </c>
    </row>
    <row r="322" customFormat="false" ht="23.85" hidden="false" customHeight="false" outlineLevel="0" collapsed="false">
      <c r="A322" s="12" t="s">
        <v>29</v>
      </c>
      <c r="B322" s="12" t="s">
        <v>117</v>
      </c>
      <c r="C322" s="10" t="s">
        <v>1411</v>
      </c>
      <c r="D322" s="12" t="s">
        <v>1412</v>
      </c>
      <c r="E322" s="10" t="s">
        <v>1413</v>
      </c>
      <c r="F322" s="12" t="s">
        <v>79</v>
      </c>
      <c r="G322" s="12" t="n">
        <v>2</v>
      </c>
      <c r="H322" s="26" t="n">
        <v>8.68</v>
      </c>
      <c r="I322" s="12" t="s">
        <v>77</v>
      </c>
      <c r="J322" s="12" t="s">
        <v>995</v>
      </c>
      <c r="K322" s="10" t="s">
        <v>1069</v>
      </c>
      <c r="L322" s="30" t="s">
        <v>1414</v>
      </c>
      <c r="M322" s="10" t="s">
        <v>3802</v>
      </c>
    </row>
    <row r="323" customFormat="false" ht="46.25" hidden="false" customHeight="false" outlineLevel="0" collapsed="false">
      <c r="A323" s="12" t="s">
        <v>29</v>
      </c>
      <c r="B323" s="12" t="s">
        <v>178</v>
      </c>
      <c r="C323" s="10" t="s">
        <v>178</v>
      </c>
      <c r="D323" s="12" t="s">
        <v>1376</v>
      </c>
      <c r="E323" s="10" t="s">
        <v>1377</v>
      </c>
      <c r="F323" s="12" t="s">
        <v>79</v>
      </c>
      <c r="G323" s="12"/>
      <c r="H323" s="26" t="n">
        <v>10.85</v>
      </c>
      <c r="I323" s="12" t="s">
        <v>102</v>
      </c>
      <c r="J323" s="12" t="s">
        <v>194</v>
      </c>
      <c r="K323" s="10" t="s">
        <v>658</v>
      </c>
      <c r="L323" s="30" t="s">
        <v>833</v>
      </c>
      <c r="M323" s="10" t="s">
        <v>3803</v>
      </c>
    </row>
    <row r="324" customFormat="false" ht="57.45" hidden="false" customHeight="false" outlineLevel="0" collapsed="false">
      <c r="A324" s="12" t="s">
        <v>29</v>
      </c>
      <c r="B324" s="12" t="s">
        <v>178</v>
      </c>
      <c r="C324" s="10" t="s">
        <v>1396</v>
      </c>
      <c r="D324" s="12" t="s">
        <v>1397</v>
      </c>
      <c r="E324" s="10" t="s">
        <v>1398</v>
      </c>
      <c r="F324" s="12" t="s">
        <v>79</v>
      </c>
      <c r="G324" s="12" t="n">
        <v>3</v>
      </c>
      <c r="H324" s="26" t="n">
        <v>62.2065</v>
      </c>
      <c r="I324" s="12" t="s">
        <v>153</v>
      </c>
      <c r="J324" s="12" t="s">
        <v>3558</v>
      </c>
      <c r="K324" s="10" t="s">
        <v>658</v>
      </c>
      <c r="L324" s="30" t="s">
        <v>852</v>
      </c>
      <c r="M324" s="10" t="s">
        <v>3804</v>
      </c>
    </row>
    <row r="325" customFormat="false" ht="35.05" hidden="false" customHeight="false" outlineLevel="0" collapsed="false">
      <c r="A325" s="12" t="s">
        <v>29</v>
      </c>
      <c r="B325" s="12" t="s">
        <v>261</v>
      </c>
      <c r="C325" s="10" t="s">
        <v>757</v>
      </c>
      <c r="D325" s="12" t="s">
        <v>758</v>
      </c>
      <c r="E325" s="10" t="s">
        <v>678</v>
      </c>
      <c r="F325" s="12" t="s">
        <v>97</v>
      </c>
      <c r="G325" s="12"/>
      <c r="H325" s="26" t="n">
        <v>2.67</v>
      </c>
      <c r="I325" s="12" t="s">
        <v>102</v>
      </c>
      <c r="J325" s="12" t="s">
        <v>144</v>
      </c>
      <c r="K325" s="10" t="s">
        <v>1049</v>
      </c>
      <c r="L325" s="30" t="s">
        <v>1050</v>
      </c>
      <c r="M325" s="10" t="s">
        <v>3805</v>
      </c>
    </row>
    <row r="326" customFormat="false" ht="23.85" hidden="false" customHeight="false" outlineLevel="0" collapsed="false">
      <c r="A326" s="12" t="s">
        <v>19</v>
      </c>
      <c r="B326" s="12" t="s">
        <v>535</v>
      </c>
      <c r="C326" s="10" t="s">
        <v>1547</v>
      </c>
      <c r="D326" s="12" t="s">
        <v>1548</v>
      </c>
      <c r="E326" s="10" t="s">
        <v>1544</v>
      </c>
      <c r="F326" s="12" t="s">
        <v>85</v>
      </c>
      <c r="G326" s="12" t="n">
        <v>10</v>
      </c>
      <c r="H326" s="26"/>
      <c r="I326" s="12" t="s">
        <v>323</v>
      </c>
      <c r="J326" s="12" t="s">
        <v>323</v>
      </c>
      <c r="K326" s="10" t="s">
        <v>3589</v>
      </c>
      <c r="L326" s="12"/>
      <c r="M326" s="10" t="s">
        <v>3590</v>
      </c>
    </row>
    <row r="327" customFormat="false" ht="46.25" hidden="false" customHeight="false" outlineLevel="0" collapsed="false">
      <c r="A327" s="12" t="s">
        <v>19</v>
      </c>
      <c r="B327" s="12" t="s">
        <v>535</v>
      </c>
      <c r="C327" s="10" t="s">
        <v>1724</v>
      </c>
      <c r="D327" s="12" t="s">
        <v>1725</v>
      </c>
      <c r="E327" s="10" t="s">
        <v>1544</v>
      </c>
      <c r="F327" s="12" t="s">
        <v>85</v>
      </c>
      <c r="G327" s="12" t="n">
        <v>10</v>
      </c>
      <c r="H327" s="26" t="n">
        <v>14.69</v>
      </c>
      <c r="I327" s="12" t="s">
        <v>77</v>
      </c>
      <c r="J327" s="12" t="s">
        <v>995</v>
      </c>
      <c r="K327" s="10" t="s">
        <v>658</v>
      </c>
      <c r="L327" s="30" t="s">
        <v>991</v>
      </c>
      <c r="M327" s="10" t="s">
        <v>3806</v>
      </c>
    </row>
    <row r="328" customFormat="false" ht="23.85" hidden="false" customHeight="false" outlineLevel="0" collapsed="false">
      <c r="A328" s="12" t="s">
        <v>19</v>
      </c>
      <c r="B328" s="12" t="s">
        <v>93</v>
      </c>
      <c r="C328" s="10" t="s">
        <v>1550</v>
      </c>
      <c r="D328" s="12" t="s">
        <v>897</v>
      </c>
      <c r="E328" s="10"/>
      <c r="F328" s="12" t="s">
        <v>97</v>
      </c>
      <c r="G328" s="12"/>
      <c r="H328" s="26"/>
      <c r="I328" s="12" t="s">
        <v>323</v>
      </c>
      <c r="J328" s="12" t="s">
        <v>323</v>
      </c>
      <c r="K328" s="10" t="s">
        <v>3594</v>
      </c>
      <c r="L328" s="12"/>
      <c r="M328" s="10" t="s">
        <v>3807</v>
      </c>
    </row>
    <row r="329" customFormat="false" ht="46.25" hidden="false" customHeight="false" outlineLevel="0" collapsed="false">
      <c r="A329" s="12" t="s">
        <v>19</v>
      </c>
      <c r="B329" s="12" t="s">
        <v>357</v>
      </c>
      <c r="C329" s="10" t="s">
        <v>793</v>
      </c>
      <c r="D329" s="12" t="s">
        <v>794</v>
      </c>
      <c r="E329" s="10" t="s">
        <v>1433</v>
      </c>
      <c r="F329" s="12" t="s">
        <v>79</v>
      </c>
      <c r="G329" s="12" t="n">
        <v>50</v>
      </c>
      <c r="H329" s="26" t="n">
        <v>90.4</v>
      </c>
      <c r="I329" s="12" t="s">
        <v>102</v>
      </c>
      <c r="J329" s="12" t="s">
        <v>144</v>
      </c>
      <c r="K329" s="10" t="s">
        <v>658</v>
      </c>
      <c r="L329" s="30" t="s">
        <v>796</v>
      </c>
      <c r="M329" s="10" t="s">
        <v>3556</v>
      </c>
    </row>
    <row r="330" customFormat="false" ht="46.25" hidden="false" customHeight="false" outlineLevel="0" collapsed="false">
      <c r="A330" s="12" t="s">
        <v>19</v>
      </c>
      <c r="B330" s="12" t="s">
        <v>553</v>
      </c>
      <c r="C330" s="10" t="s">
        <v>1552</v>
      </c>
      <c r="D330" s="12" t="s">
        <v>885</v>
      </c>
      <c r="E330" s="10"/>
      <c r="F330" s="12" t="s">
        <v>97</v>
      </c>
      <c r="G330" s="12"/>
      <c r="H330" s="26" t="n">
        <v>5.4805</v>
      </c>
      <c r="I330" s="12" t="s">
        <v>153</v>
      </c>
      <c r="J330" s="12" t="s">
        <v>3565</v>
      </c>
      <c r="K330" s="10" t="s">
        <v>658</v>
      </c>
      <c r="L330" s="30" t="s">
        <v>1553</v>
      </c>
      <c r="M330" s="10" t="s">
        <v>3808</v>
      </c>
    </row>
    <row r="331" customFormat="false" ht="46.25" hidden="false" customHeight="false" outlineLevel="0" collapsed="false">
      <c r="A331" s="12" t="s">
        <v>19</v>
      </c>
      <c r="B331" s="12" t="s">
        <v>526</v>
      </c>
      <c r="C331" s="10" t="s">
        <v>1435</v>
      </c>
      <c r="D331" s="12" t="s">
        <v>1436</v>
      </c>
      <c r="E331" s="10" t="s">
        <v>1437</v>
      </c>
      <c r="F331" s="12" t="s">
        <v>85</v>
      </c>
      <c r="G331" s="12" t="n">
        <v>5</v>
      </c>
      <c r="H331" s="26" t="n">
        <v>31.1</v>
      </c>
      <c r="I331" s="12" t="s">
        <v>102</v>
      </c>
      <c r="J331" s="12" t="s">
        <v>144</v>
      </c>
      <c r="K331" s="10" t="s">
        <v>658</v>
      </c>
      <c r="L331" s="30" t="s">
        <v>1438</v>
      </c>
      <c r="M331" s="10" t="s">
        <v>3809</v>
      </c>
    </row>
    <row r="332" customFormat="false" ht="35.05" hidden="false" customHeight="false" outlineLevel="0" collapsed="false">
      <c r="A332" s="12" t="s">
        <v>19</v>
      </c>
      <c r="B332" s="12" t="s">
        <v>526</v>
      </c>
      <c r="C332" s="10" t="s">
        <v>1435</v>
      </c>
      <c r="D332" s="12" t="s">
        <v>1440</v>
      </c>
      <c r="E332" s="10" t="s">
        <v>1441</v>
      </c>
      <c r="F332" s="12" t="s">
        <v>79</v>
      </c>
      <c r="G332" s="12" t="n">
        <v>1</v>
      </c>
      <c r="H332" s="26" t="n">
        <v>9.25</v>
      </c>
      <c r="I332" s="12" t="s">
        <v>102</v>
      </c>
      <c r="J332" s="12" t="s">
        <v>144</v>
      </c>
      <c r="K332" s="10" t="s">
        <v>658</v>
      </c>
      <c r="L332" s="30" t="s">
        <v>1438</v>
      </c>
      <c r="M332" s="10" t="s">
        <v>3810</v>
      </c>
    </row>
    <row r="333" customFormat="false" ht="35.05" hidden="false" customHeight="false" outlineLevel="0" collapsed="false">
      <c r="A333" s="12" t="s">
        <v>19</v>
      </c>
      <c r="B333" s="12" t="s">
        <v>526</v>
      </c>
      <c r="C333" s="10" t="s">
        <v>1435</v>
      </c>
      <c r="D333" s="12" t="s">
        <v>1442</v>
      </c>
      <c r="E333" s="10" t="s">
        <v>1443</v>
      </c>
      <c r="F333" s="12" t="s">
        <v>85</v>
      </c>
      <c r="G333" s="12" t="n">
        <v>5</v>
      </c>
      <c r="H333" s="26" t="n">
        <v>8.8</v>
      </c>
      <c r="I333" s="12" t="s">
        <v>102</v>
      </c>
      <c r="J333" s="12" t="s">
        <v>144</v>
      </c>
      <c r="K333" s="10" t="s">
        <v>658</v>
      </c>
      <c r="L333" s="30" t="s">
        <v>1438</v>
      </c>
      <c r="M333" s="10" t="s">
        <v>3811</v>
      </c>
    </row>
    <row r="334" customFormat="false" ht="46.25" hidden="false" customHeight="false" outlineLevel="0" collapsed="false">
      <c r="A334" s="12" t="s">
        <v>19</v>
      </c>
      <c r="B334" s="12" t="s">
        <v>526</v>
      </c>
      <c r="C334" s="10" t="s">
        <v>1435</v>
      </c>
      <c r="D334" s="12" t="s">
        <v>1444</v>
      </c>
      <c r="E334" s="10" t="s">
        <v>1445</v>
      </c>
      <c r="F334" s="12" t="s">
        <v>85</v>
      </c>
      <c r="G334" s="12" t="n">
        <v>10</v>
      </c>
      <c r="H334" s="26" t="n">
        <v>9.18</v>
      </c>
      <c r="I334" s="12" t="s">
        <v>102</v>
      </c>
      <c r="J334" s="12" t="s">
        <v>144</v>
      </c>
      <c r="K334" s="10" t="s">
        <v>658</v>
      </c>
      <c r="L334" s="30" t="s">
        <v>1438</v>
      </c>
      <c r="M334" s="10" t="s">
        <v>3812</v>
      </c>
    </row>
    <row r="335" customFormat="false" ht="35.05" hidden="false" customHeight="false" outlineLevel="0" collapsed="false">
      <c r="A335" s="12" t="s">
        <v>19</v>
      </c>
      <c r="B335" s="12" t="s">
        <v>526</v>
      </c>
      <c r="C335" s="10" t="s">
        <v>1435</v>
      </c>
      <c r="D335" s="12" t="s">
        <v>1446</v>
      </c>
      <c r="E335" s="10" t="s">
        <v>1447</v>
      </c>
      <c r="F335" s="12" t="s">
        <v>79</v>
      </c>
      <c r="G335" s="12" t="n">
        <v>1</v>
      </c>
      <c r="H335" s="26" t="n">
        <v>12.74</v>
      </c>
      <c r="I335" s="12" t="s">
        <v>102</v>
      </c>
      <c r="J335" s="12" t="s">
        <v>144</v>
      </c>
      <c r="K335" s="10" t="s">
        <v>658</v>
      </c>
      <c r="L335" s="30" t="s">
        <v>1438</v>
      </c>
      <c r="M335" s="10" t="s">
        <v>3813</v>
      </c>
    </row>
    <row r="336" customFormat="false" ht="35.05" hidden="false" customHeight="false" outlineLevel="0" collapsed="false">
      <c r="A336" s="12" t="s">
        <v>19</v>
      </c>
      <c r="B336" s="12" t="s">
        <v>526</v>
      </c>
      <c r="C336" s="10" t="s">
        <v>1435</v>
      </c>
      <c r="D336" s="12" t="s">
        <v>1535</v>
      </c>
      <c r="E336" s="10" t="s">
        <v>1536</v>
      </c>
      <c r="F336" s="12" t="s">
        <v>85</v>
      </c>
      <c r="G336" s="12"/>
      <c r="H336" s="26" t="n">
        <v>16.33</v>
      </c>
      <c r="I336" s="12" t="s">
        <v>77</v>
      </c>
      <c r="J336" s="12" t="s">
        <v>194</v>
      </c>
      <c r="K336" s="10" t="s">
        <v>658</v>
      </c>
      <c r="L336" s="30" t="s">
        <v>1538</v>
      </c>
      <c r="M336" s="10" t="s">
        <v>3814</v>
      </c>
    </row>
    <row r="337" customFormat="false" ht="23.85" hidden="false" customHeight="false" outlineLevel="0" collapsed="false">
      <c r="A337" s="12" t="s">
        <v>19</v>
      </c>
      <c r="B337" s="12" t="s">
        <v>526</v>
      </c>
      <c r="C337" s="10" t="s">
        <v>1554</v>
      </c>
      <c r="D337" s="12" t="s">
        <v>1555</v>
      </c>
      <c r="E337" s="10" t="s">
        <v>1556</v>
      </c>
      <c r="F337" s="12" t="s">
        <v>85</v>
      </c>
      <c r="G337" s="12" t="n">
        <v>5</v>
      </c>
      <c r="H337" s="26" t="n">
        <v>22.2384</v>
      </c>
      <c r="I337" s="12" t="s">
        <v>77</v>
      </c>
      <c r="J337" s="12" t="s">
        <v>3565</v>
      </c>
      <c r="K337" s="10" t="s">
        <v>658</v>
      </c>
      <c r="L337" s="30" t="s">
        <v>1557</v>
      </c>
      <c r="M337" s="10" t="s">
        <v>3815</v>
      </c>
    </row>
    <row r="338" customFormat="false" ht="35.05" hidden="false" customHeight="false" outlineLevel="0" collapsed="false">
      <c r="A338" s="12" t="s">
        <v>19</v>
      </c>
      <c r="B338" s="12" t="s">
        <v>526</v>
      </c>
      <c r="C338" s="10" t="s">
        <v>1558</v>
      </c>
      <c r="D338" s="12" t="s">
        <v>1559</v>
      </c>
      <c r="E338" s="10" t="s">
        <v>1556</v>
      </c>
      <c r="F338" s="12" t="s">
        <v>85</v>
      </c>
      <c r="G338" s="12" t="n">
        <v>5</v>
      </c>
      <c r="H338" s="26" t="n">
        <v>22.2384</v>
      </c>
      <c r="I338" s="12" t="s">
        <v>77</v>
      </c>
      <c r="J338" s="12" t="s">
        <v>3565</v>
      </c>
      <c r="K338" s="10" t="s">
        <v>658</v>
      </c>
      <c r="L338" s="30" t="s">
        <v>1557</v>
      </c>
      <c r="M338" s="10" t="s">
        <v>3816</v>
      </c>
    </row>
    <row r="339" customFormat="false" ht="35.05" hidden="false" customHeight="false" outlineLevel="0" collapsed="false">
      <c r="A339" s="12" t="s">
        <v>19</v>
      </c>
      <c r="B339" s="12" t="s">
        <v>75</v>
      </c>
      <c r="C339" s="10" t="s">
        <v>1483</v>
      </c>
      <c r="D339" s="12" t="s">
        <v>838</v>
      </c>
      <c r="E339" s="10" t="s">
        <v>1484</v>
      </c>
      <c r="F339" s="12" t="s">
        <v>79</v>
      </c>
      <c r="G339" s="12"/>
      <c r="H339" s="26" t="n">
        <v>360.71</v>
      </c>
      <c r="I339" s="12" t="s">
        <v>102</v>
      </c>
      <c r="J339" s="12" t="s">
        <v>194</v>
      </c>
      <c r="K339" s="10" t="s">
        <v>658</v>
      </c>
      <c r="L339" s="30" t="s">
        <v>840</v>
      </c>
      <c r="M339" s="10" t="s">
        <v>3557</v>
      </c>
    </row>
    <row r="340" customFormat="false" ht="23.85" hidden="false" customHeight="false" outlineLevel="0" collapsed="false">
      <c r="A340" s="12" t="s">
        <v>19</v>
      </c>
      <c r="B340" s="12" t="s">
        <v>75</v>
      </c>
      <c r="C340" s="10" t="s">
        <v>1483</v>
      </c>
      <c r="D340" s="12" t="s">
        <v>851</v>
      </c>
      <c r="E340" s="10" t="s">
        <v>839</v>
      </c>
      <c r="F340" s="12" t="s">
        <v>79</v>
      </c>
      <c r="G340" s="12"/>
      <c r="H340" s="26" t="n">
        <v>397.421</v>
      </c>
      <c r="I340" s="12" t="s">
        <v>77</v>
      </c>
      <c r="J340" s="12" t="s">
        <v>3558</v>
      </c>
      <c r="K340" s="10" t="s">
        <v>658</v>
      </c>
      <c r="L340" s="30" t="s">
        <v>852</v>
      </c>
      <c r="M340" s="10" t="s">
        <v>3817</v>
      </c>
    </row>
    <row r="341" customFormat="false" ht="46.25" hidden="false" customHeight="false" outlineLevel="0" collapsed="false">
      <c r="A341" s="12" t="s">
        <v>19</v>
      </c>
      <c r="B341" s="12" t="s">
        <v>75</v>
      </c>
      <c r="C341" s="10" t="s">
        <v>1701</v>
      </c>
      <c r="D341" s="12" t="s">
        <v>978</v>
      </c>
      <c r="E341" s="10" t="s">
        <v>979</v>
      </c>
      <c r="F341" s="12" t="s">
        <v>79</v>
      </c>
      <c r="G341" s="12"/>
      <c r="H341" s="26" t="n">
        <v>10.241</v>
      </c>
      <c r="I341" s="12" t="s">
        <v>77</v>
      </c>
      <c r="J341" s="12" t="s">
        <v>1044</v>
      </c>
      <c r="K341" s="10" t="s">
        <v>658</v>
      </c>
      <c r="L341" s="30" t="s">
        <v>976</v>
      </c>
      <c r="M341" s="10" t="s">
        <v>3687</v>
      </c>
    </row>
    <row r="342" customFormat="false" ht="57.45" hidden="false" customHeight="false" outlineLevel="0" collapsed="false">
      <c r="A342" s="12" t="s">
        <v>19</v>
      </c>
      <c r="B342" s="12" t="s">
        <v>455</v>
      </c>
      <c r="C342" s="10" t="s">
        <v>455</v>
      </c>
      <c r="D342" s="12" t="s">
        <v>1426</v>
      </c>
      <c r="E342" s="10" t="s">
        <v>1427</v>
      </c>
      <c r="F342" s="12" t="s">
        <v>79</v>
      </c>
      <c r="G342" s="12"/>
      <c r="H342" s="26" t="n">
        <v>31.16</v>
      </c>
      <c r="I342" s="12" t="s">
        <v>102</v>
      </c>
      <c r="J342" s="12" t="s">
        <v>144</v>
      </c>
      <c r="K342" s="10" t="s">
        <v>658</v>
      </c>
      <c r="L342" s="30" t="s">
        <v>1122</v>
      </c>
      <c r="M342" s="10" t="s">
        <v>3689</v>
      </c>
    </row>
    <row r="343" customFormat="false" ht="35.05" hidden="false" customHeight="false" outlineLevel="0" collapsed="false">
      <c r="A343" s="12" t="s">
        <v>19</v>
      </c>
      <c r="B343" s="12" t="s">
        <v>455</v>
      </c>
      <c r="C343" s="10" t="s">
        <v>455</v>
      </c>
      <c r="D343" s="12" t="s">
        <v>831</v>
      </c>
      <c r="E343" s="10" t="s">
        <v>1457</v>
      </c>
      <c r="F343" s="12" t="s">
        <v>79</v>
      </c>
      <c r="G343" s="12"/>
      <c r="H343" s="26" t="n">
        <v>231.35</v>
      </c>
      <c r="I343" s="12" t="s">
        <v>77</v>
      </c>
      <c r="J343" s="12" t="s">
        <v>194</v>
      </c>
      <c r="K343" s="10" t="s">
        <v>658</v>
      </c>
      <c r="L343" s="30" t="s">
        <v>1458</v>
      </c>
      <c r="M343" s="10" t="s">
        <v>3818</v>
      </c>
    </row>
    <row r="344" customFormat="false" ht="35.05" hidden="false" customHeight="false" outlineLevel="0" collapsed="false">
      <c r="A344" s="12" t="s">
        <v>19</v>
      </c>
      <c r="B344" s="12" t="s">
        <v>455</v>
      </c>
      <c r="C344" s="10" t="s">
        <v>1560</v>
      </c>
      <c r="D344" s="12" t="s">
        <v>1339</v>
      </c>
      <c r="E344" s="10" t="s">
        <v>1561</v>
      </c>
      <c r="F344" s="12" t="s">
        <v>79</v>
      </c>
      <c r="G344" s="12"/>
      <c r="H344" s="26" t="n">
        <v>503.5393</v>
      </c>
      <c r="I344" s="12" t="s">
        <v>77</v>
      </c>
      <c r="J344" s="12" t="s">
        <v>3558</v>
      </c>
      <c r="K344" s="10" t="s">
        <v>658</v>
      </c>
      <c r="L344" s="30" t="s">
        <v>852</v>
      </c>
      <c r="M344" s="10" t="s">
        <v>3819</v>
      </c>
    </row>
    <row r="345" customFormat="false" ht="35.05" hidden="false" customHeight="false" outlineLevel="0" collapsed="false">
      <c r="A345" s="12" t="s">
        <v>19</v>
      </c>
      <c r="B345" s="12" t="s">
        <v>173</v>
      </c>
      <c r="C345" s="10" t="s">
        <v>173</v>
      </c>
      <c r="D345" s="12" t="s">
        <v>1531</v>
      </c>
      <c r="E345" s="10" t="s">
        <v>1532</v>
      </c>
      <c r="F345" s="12" t="s">
        <v>79</v>
      </c>
      <c r="G345" s="12"/>
      <c r="H345" s="26" t="n">
        <v>25.2</v>
      </c>
      <c r="I345" s="12" t="s">
        <v>77</v>
      </c>
      <c r="J345" s="12" t="s">
        <v>194</v>
      </c>
      <c r="K345" s="10" t="s">
        <v>658</v>
      </c>
      <c r="L345" s="30" t="s">
        <v>1533</v>
      </c>
      <c r="M345" s="10" t="s">
        <v>3820</v>
      </c>
    </row>
    <row r="346" customFormat="false" ht="35.05" hidden="false" customHeight="false" outlineLevel="0" collapsed="false">
      <c r="A346" s="12" t="s">
        <v>19</v>
      </c>
      <c r="B346" s="12" t="s">
        <v>173</v>
      </c>
      <c r="C346" s="10" t="s">
        <v>1562</v>
      </c>
      <c r="D346" s="12" t="s">
        <v>1531</v>
      </c>
      <c r="E346" s="10" t="s">
        <v>1563</v>
      </c>
      <c r="F346" s="12" t="s">
        <v>79</v>
      </c>
      <c r="G346" s="12"/>
      <c r="H346" s="26" t="n">
        <v>95.0217</v>
      </c>
      <c r="I346" s="12" t="s">
        <v>77</v>
      </c>
      <c r="J346" s="12" t="s">
        <v>3565</v>
      </c>
      <c r="K346" s="10" t="s">
        <v>658</v>
      </c>
      <c r="L346" s="30" t="s">
        <v>1564</v>
      </c>
      <c r="M346" s="10" t="s">
        <v>3821</v>
      </c>
    </row>
    <row r="347" customFormat="false" ht="46.25" hidden="false" customHeight="false" outlineLevel="0" collapsed="false">
      <c r="A347" s="12" t="s">
        <v>19</v>
      </c>
      <c r="B347" s="12" t="s">
        <v>173</v>
      </c>
      <c r="C347" s="10" t="s">
        <v>1658</v>
      </c>
      <c r="D347" s="12" t="s">
        <v>1659</v>
      </c>
      <c r="E347" s="10" t="s">
        <v>1660</v>
      </c>
      <c r="F347" s="12" t="s">
        <v>79</v>
      </c>
      <c r="G347" s="12"/>
      <c r="H347" s="26" t="n">
        <v>30.583</v>
      </c>
      <c r="I347" s="12" t="s">
        <v>102</v>
      </c>
      <c r="J347" s="12" t="s">
        <v>1044</v>
      </c>
      <c r="K347" s="10" t="s">
        <v>658</v>
      </c>
      <c r="L347" s="30" t="s">
        <v>983</v>
      </c>
      <c r="M347" s="10" t="s">
        <v>3822</v>
      </c>
    </row>
    <row r="348" customFormat="false" ht="23.85" hidden="false" customHeight="false" outlineLevel="0" collapsed="false">
      <c r="A348" s="12" t="s">
        <v>19</v>
      </c>
      <c r="B348" s="12" t="s">
        <v>89</v>
      </c>
      <c r="C348" s="10" t="s">
        <v>89</v>
      </c>
      <c r="D348" s="12" t="s">
        <v>1459</v>
      </c>
      <c r="E348" s="10" t="s">
        <v>1460</v>
      </c>
      <c r="F348" s="12" t="s">
        <v>85</v>
      </c>
      <c r="G348" s="12"/>
      <c r="H348" s="26"/>
      <c r="I348" s="12" t="s">
        <v>323</v>
      </c>
      <c r="J348" s="12" t="s">
        <v>323</v>
      </c>
      <c r="K348" s="10" t="s">
        <v>3589</v>
      </c>
      <c r="L348" s="12"/>
      <c r="M348" s="10" t="s">
        <v>3590</v>
      </c>
    </row>
    <row r="349" customFormat="false" ht="23.85" hidden="false" customHeight="false" outlineLevel="0" collapsed="false">
      <c r="A349" s="12" t="s">
        <v>19</v>
      </c>
      <c r="B349" s="12" t="s">
        <v>89</v>
      </c>
      <c r="C349" s="10" t="s">
        <v>1565</v>
      </c>
      <c r="D349" s="12" t="s">
        <v>1381</v>
      </c>
      <c r="E349" s="10" t="s">
        <v>1382</v>
      </c>
      <c r="F349" s="12" t="s">
        <v>79</v>
      </c>
      <c r="G349" s="12" t="n">
        <v>1.4</v>
      </c>
      <c r="H349" s="26" t="n">
        <v>1444.1174</v>
      </c>
      <c r="I349" s="12" t="s">
        <v>77</v>
      </c>
      <c r="J349" s="12" t="s">
        <v>3558</v>
      </c>
      <c r="K349" s="10" t="s">
        <v>658</v>
      </c>
      <c r="L349" s="30" t="s">
        <v>852</v>
      </c>
      <c r="M349" s="10" t="s">
        <v>3823</v>
      </c>
    </row>
    <row r="350" customFormat="false" ht="23.85" hidden="false" customHeight="false" outlineLevel="0" collapsed="false">
      <c r="A350" s="12" t="s">
        <v>19</v>
      </c>
      <c r="B350" s="12" t="s">
        <v>89</v>
      </c>
      <c r="C350" s="10" t="s">
        <v>1565</v>
      </c>
      <c r="D350" s="12" t="s">
        <v>1347</v>
      </c>
      <c r="E350" s="10" t="s">
        <v>1056</v>
      </c>
      <c r="F350" s="12" t="s">
        <v>79</v>
      </c>
      <c r="G350" s="12" t="n">
        <v>1</v>
      </c>
      <c r="H350" s="26"/>
      <c r="I350" s="12" t="s">
        <v>323</v>
      </c>
      <c r="J350" s="12" t="s">
        <v>323</v>
      </c>
      <c r="K350" s="10" t="s">
        <v>3589</v>
      </c>
      <c r="L350" s="12"/>
      <c r="M350" s="10" t="s">
        <v>3590</v>
      </c>
    </row>
    <row r="351" customFormat="false" ht="23.85" hidden="false" customHeight="false" outlineLevel="0" collapsed="false">
      <c r="A351" s="12" t="s">
        <v>19</v>
      </c>
      <c r="B351" s="12" t="s">
        <v>89</v>
      </c>
      <c r="C351" s="10" t="s">
        <v>1661</v>
      </c>
      <c r="D351" s="12" t="s">
        <v>1348</v>
      </c>
      <c r="E351" s="10" t="s">
        <v>1349</v>
      </c>
      <c r="F351" s="12" t="s">
        <v>79</v>
      </c>
      <c r="G351" s="12" t="n">
        <v>1.4</v>
      </c>
      <c r="H351" s="26"/>
      <c r="I351" s="12" t="s">
        <v>323</v>
      </c>
      <c r="J351" s="12" t="s">
        <v>323</v>
      </c>
      <c r="K351" s="10" t="s">
        <v>3589</v>
      </c>
      <c r="L351" s="12"/>
      <c r="M351" s="10" t="s">
        <v>3590</v>
      </c>
    </row>
    <row r="352" customFormat="false" ht="23.85" hidden="false" customHeight="false" outlineLevel="0" collapsed="false">
      <c r="A352" s="12" t="s">
        <v>19</v>
      </c>
      <c r="B352" s="12" t="s">
        <v>89</v>
      </c>
      <c r="C352" s="10" t="s">
        <v>1661</v>
      </c>
      <c r="D352" s="12" t="s">
        <v>1668</v>
      </c>
      <c r="E352" s="10" t="s">
        <v>1669</v>
      </c>
      <c r="F352" s="12" t="s">
        <v>79</v>
      </c>
      <c r="G352" s="12"/>
      <c r="H352" s="26"/>
      <c r="I352" s="12" t="s">
        <v>323</v>
      </c>
      <c r="J352" s="12" t="s">
        <v>323</v>
      </c>
      <c r="K352" s="10" t="s">
        <v>3589</v>
      </c>
      <c r="L352" s="12"/>
      <c r="M352" s="10" t="s">
        <v>3590</v>
      </c>
    </row>
    <row r="353" customFormat="false" ht="23.85" hidden="false" customHeight="false" outlineLevel="0" collapsed="false">
      <c r="A353" s="12" t="s">
        <v>19</v>
      </c>
      <c r="B353" s="12" t="s">
        <v>89</v>
      </c>
      <c r="C353" s="10" t="s">
        <v>1734</v>
      </c>
      <c r="D353" s="12" t="s">
        <v>1735</v>
      </c>
      <c r="E353" s="10" t="s">
        <v>1736</v>
      </c>
      <c r="F353" s="12" t="s">
        <v>79</v>
      </c>
      <c r="G353" s="12"/>
      <c r="H353" s="26" t="n">
        <v>97.6</v>
      </c>
      <c r="I353" s="12" t="s">
        <v>77</v>
      </c>
      <c r="J353" s="12" t="s">
        <v>995</v>
      </c>
      <c r="K353" s="10" t="s">
        <v>1069</v>
      </c>
      <c r="L353" s="30" t="s">
        <v>1737</v>
      </c>
      <c r="M353" s="10" t="s">
        <v>3824</v>
      </c>
    </row>
    <row r="354" customFormat="false" ht="68.65" hidden="false" customHeight="false" outlineLevel="0" collapsed="false">
      <c r="A354" s="12" t="s">
        <v>19</v>
      </c>
      <c r="B354" s="12" t="s">
        <v>89</v>
      </c>
      <c r="C354" s="10" t="s">
        <v>1734</v>
      </c>
      <c r="D354" s="12" t="s">
        <v>1418</v>
      </c>
      <c r="E354" s="10" t="s">
        <v>1101</v>
      </c>
      <c r="F354" s="12" t="s">
        <v>79</v>
      </c>
      <c r="G354" s="12" t="n">
        <v>10</v>
      </c>
      <c r="H354" s="26" t="n">
        <v>166.1</v>
      </c>
      <c r="I354" s="12" t="s">
        <v>77</v>
      </c>
      <c r="J354" s="12" t="s">
        <v>995</v>
      </c>
      <c r="K354" s="10" t="s">
        <v>658</v>
      </c>
      <c r="L354" s="30" t="s">
        <v>991</v>
      </c>
      <c r="M354" s="10" t="s">
        <v>3825</v>
      </c>
    </row>
    <row r="355" customFormat="false" ht="68.65" hidden="false" customHeight="false" outlineLevel="0" collapsed="false">
      <c r="A355" s="12" t="s">
        <v>19</v>
      </c>
      <c r="B355" s="12" t="s">
        <v>269</v>
      </c>
      <c r="C355" s="10" t="s">
        <v>1569</v>
      </c>
      <c r="D355" s="12" t="s">
        <v>861</v>
      </c>
      <c r="E355" s="10" t="s">
        <v>1570</v>
      </c>
      <c r="F355" s="12" t="s">
        <v>79</v>
      </c>
      <c r="G355" s="12"/>
      <c r="H355" s="26" t="n">
        <v>9.6502</v>
      </c>
      <c r="I355" s="12" t="s">
        <v>153</v>
      </c>
      <c r="J355" s="12" t="s">
        <v>3558</v>
      </c>
      <c r="K355" s="10" t="s">
        <v>658</v>
      </c>
      <c r="L355" s="30" t="s">
        <v>852</v>
      </c>
      <c r="M355" s="10" t="s">
        <v>3826</v>
      </c>
    </row>
    <row r="356" customFormat="false" ht="68.65" hidden="false" customHeight="false" outlineLevel="0" collapsed="false">
      <c r="A356" s="12" t="s">
        <v>19</v>
      </c>
      <c r="B356" s="12" t="s">
        <v>269</v>
      </c>
      <c r="C356" s="10" t="s">
        <v>1572</v>
      </c>
      <c r="D356" s="12" t="s">
        <v>861</v>
      </c>
      <c r="E356" s="10" t="s">
        <v>1570</v>
      </c>
      <c r="F356" s="12" t="s">
        <v>79</v>
      </c>
      <c r="G356" s="12"/>
      <c r="H356" s="26" t="n">
        <v>9.6502</v>
      </c>
      <c r="I356" s="12" t="s">
        <v>153</v>
      </c>
      <c r="J356" s="12" t="s">
        <v>3558</v>
      </c>
      <c r="K356" s="10" t="s">
        <v>658</v>
      </c>
      <c r="L356" s="30" t="s">
        <v>852</v>
      </c>
      <c r="M356" s="10" t="s">
        <v>3826</v>
      </c>
    </row>
    <row r="357" customFormat="false" ht="35.05" hidden="false" customHeight="false" outlineLevel="0" collapsed="false">
      <c r="A357" s="12" t="s">
        <v>19</v>
      </c>
      <c r="B357" s="12" t="s">
        <v>201</v>
      </c>
      <c r="C357" s="10" t="s">
        <v>1573</v>
      </c>
      <c r="D357" s="12" t="s">
        <v>1574</v>
      </c>
      <c r="E357" s="10"/>
      <c r="F357" s="12" t="s">
        <v>97</v>
      </c>
      <c r="G357" s="12"/>
      <c r="H357" s="26" t="n">
        <v>1.56</v>
      </c>
      <c r="I357" s="12" t="s">
        <v>153</v>
      </c>
      <c r="J357" s="12" t="s">
        <v>144</v>
      </c>
      <c r="K357" s="10" t="s">
        <v>665</v>
      </c>
      <c r="L357" s="30" t="s">
        <v>666</v>
      </c>
      <c r="M357" s="10" t="s">
        <v>3827</v>
      </c>
    </row>
    <row r="358" customFormat="false" ht="35.05" hidden="false" customHeight="false" outlineLevel="0" collapsed="false">
      <c r="A358" s="12" t="s">
        <v>19</v>
      </c>
      <c r="B358" s="12" t="s">
        <v>245</v>
      </c>
      <c r="C358" s="10" t="s">
        <v>245</v>
      </c>
      <c r="D358" s="12" t="s">
        <v>1527</v>
      </c>
      <c r="E358" s="10" t="s">
        <v>1528</v>
      </c>
      <c r="F358" s="12" t="s">
        <v>79</v>
      </c>
      <c r="G358" s="12" t="n">
        <v>30</v>
      </c>
      <c r="H358" s="26" t="n">
        <v>39.05</v>
      </c>
      <c r="I358" s="12" t="s">
        <v>77</v>
      </c>
      <c r="J358" s="12" t="s">
        <v>194</v>
      </c>
      <c r="K358" s="10" t="s">
        <v>658</v>
      </c>
      <c r="L358" s="30" t="s">
        <v>1529</v>
      </c>
      <c r="M358" s="10" t="s">
        <v>3828</v>
      </c>
    </row>
    <row r="359" customFormat="false" ht="23.85" hidden="false" customHeight="false" outlineLevel="0" collapsed="false">
      <c r="A359" s="12" t="s">
        <v>19</v>
      </c>
      <c r="B359" s="12" t="s">
        <v>245</v>
      </c>
      <c r="C359" s="10" t="s">
        <v>1706</v>
      </c>
      <c r="D359" s="12" t="s">
        <v>1707</v>
      </c>
      <c r="E359" s="10" t="s">
        <v>1035</v>
      </c>
      <c r="F359" s="12" t="s">
        <v>79</v>
      </c>
      <c r="G359" s="12" t="n">
        <v>5</v>
      </c>
      <c r="H359" s="26"/>
      <c r="I359" s="12" t="s">
        <v>323</v>
      </c>
      <c r="J359" s="12" t="s">
        <v>323</v>
      </c>
      <c r="K359" s="10" t="s">
        <v>3589</v>
      </c>
      <c r="L359" s="12"/>
      <c r="M359" s="10" t="s">
        <v>3590</v>
      </c>
    </row>
    <row r="360" customFormat="false" ht="23.85" hidden="false" customHeight="false" outlineLevel="0" collapsed="false">
      <c r="A360" s="12" t="s">
        <v>19</v>
      </c>
      <c r="B360" s="12" t="s">
        <v>245</v>
      </c>
      <c r="C360" s="10" t="s">
        <v>1706</v>
      </c>
      <c r="D360" s="12" t="s">
        <v>1708</v>
      </c>
      <c r="E360" s="10" t="s">
        <v>1709</v>
      </c>
      <c r="F360" s="12" t="s">
        <v>79</v>
      </c>
      <c r="G360" s="12" t="n">
        <v>25</v>
      </c>
      <c r="H360" s="26"/>
      <c r="I360" s="12" t="s">
        <v>323</v>
      </c>
      <c r="J360" s="12" t="s">
        <v>323</v>
      </c>
      <c r="K360" s="10" t="s">
        <v>3589</v>
      </c>
      <c r="L360" s="12"/>
      <c r="M360" s="10" t="s">
        <v>3590</v>
      </c>
    </row>
    <row r="361" customFormat="false" ht="23.85" hidden="false" customHeight="false" outlineLevel="0" collapsed="false">
      <c r="A361" s="12" t="s">
        <v>19</v>
      </c>
      <c r="B361" s="12" t="s">
        <v>245</v>
      </c>
      <c r="C361" s="10" t="s">
        <v>1706</v>
      </c>
      <c r="D361" s="12" t="s">
        <v>1710</v>
      </c>
      <c r="E361" s="10" t="s">
        <v>1109</v>
      </c>
      <c r="F361" s="12" t="s">
        <v>79</v>
      </c>
      <c r="G361" s="12" t="n">
        <v>10</v>
      </c>
      <c r="H361" s="26"/>
      <c r="I361" s="12" t="s">
        <v>323</v>
      </c>
      <c r="J361" s="12" t="s">
        <v>323</v>
      </c>
      <c r="K361" s="10" t="s">
        <v>3589</v>
      </c>
      <c r="L361" s="12"/>
      <c r="M361" s="10" t="s">
        <v>3590</v>
      </c>
    </row>
    <row r="362" customFormat="false" ht="23.85" hidden="false" customHeight="false" outlineLevel="0" collapsed="false">
      <c r="A362" s="12" t="s">
        <v>19</v>
      </c>
      <c r="B362" s="12" t="s">
        <v>245</v>
      </c>
      <c r="C362" s="10" t="s">
        <v>1706</v>
      </c>
      <c r="D362" s="12" t="s">
        <v>1711</v>
      </c>
      <c r="E362" s="10" t="s">
        <v>1712</v>
      </c>
      <c r="F362" s="12" t="s">
        <v>79</v>
      </c>
      <c r="G362" s="12" t="n">
        <v>2.5</v>
      </c>
      <c r="H362" s="26"/>
      <c r="I362" s="12" t="s">
        <v>323</v>
      </c>
      <c r="J362" s="12" t="s">
        <v>323</v>
      </c>
      <c r="K362" s="10" t="s">
        <v>3589</v>
      </c>
      <c r="L362" s="12"/>
      <c r="M362" s="10" t="s">
        <v>3590</v>
      </c>
    </row>
    <row r="363" customFormat="false" ht="23.85" hidden="false" customHeight="false" outlineLevel="0" collapsed="false">
      <c r="A363" s="12" t="s">
        <v>19</v>
      </c>
      <c r="B363" s="12" t="s">
        <v>245</v>
      </c>
      <c r="C363" s="10" t="s">
        <v>1706</v>
      </c>
      <c r="D363" s="12" t="s">
        <v>1713</v>
      </c>
      <c r="E363" s="10" t="s">
        <v>1714</v>
      </c>
      <c r="F363" s="12" t="s">
        <v>79</v>
      </c>
      <c r="G363" s="12" t="n">
        <v>30</v>
      </c>
      <c r="H363" s="26"/>
      <c r="I363" s="12" t="s">
        <v>323</v>
      </c>
      <c r="J363" s="12" t="s">
        <v>323</v>
      </c>
      <c r="K363" s="10" t="s">
        <v>3589</v>
      </c>
      <c r="L363" s="12"/>
      <c r="M363" s="10" t="s">
        <v>3590</v>
      </c>
    </row>
    <row r="364" customFormat="false" ht="46.25" hidden="false" customHeight="false" outlineLevel="0" collapsed="false">
      <c r="A364" s="12" t="s">
        <v>19</v>
      </c>
      <c r="B364" s="12" t="s">
        <v>477</v>
      </c>
      <c r="C364" s="10" t="s">
        <v>477</v>
      </c>
      <c r="D364" s="12" t="s">
        <v>1524</v>
      </c>
      <c r="E364" s="10" t="s">
        <v>1525</v>
      </c>
      <c r="F364" s="12" t="s">
        <v>79</v>
      </c>
      <c r="G364" s="12"/>
      <c r="H364" s="26" t="n">
        <v>7.27</v>
      </c>
      <c r="I364" s="12" t="s">
        <v>102</v>
      </c>
      <c r="J364" s="12" t="s">
        <v>194</v>
      </c>
      <c r="K364" s="10" t="s">
        <v>658</v>
      </c>
      <c r="L364" s="30" t="s">
        <v>833</v>
      </c>
      <c r="M364" s="10" t="s">
        <v>3829</v>
      </c>
    </row>
    <row r="365" customFormat="false" ht="57.45" hidden="false" customHeight="false" outlineLevel="0" collapsed="false">
      <c r="A365" s="12" t="s">
        <v>19</v>
      </c>
      <c r="B365" s="12" t="s">
        <v>477</v>
      </c>
      <c r="C365" s="10" t="s">
        <v>1575</v>
      </c>
      <c r="D365" s="12" t="s">
        <v>1576</v>
      </c>
      <c r="E365" s="10" t="s">
        <v>1577</v>
      </c>
      <c r="F365" s="12" t="s">
        <v>79</v>
      </c>
      <c r="G365" s="12"/>
      <c r="H365" s="26" t="n">
        <v>12.2266</v>
      </c>
      <c r="I365" s="12" t="s">
        <v>77</v>
      </c>
      <c r="J365" s="12" t="s">
        <v>3547</v>
      </c>
      <c r="K365" s="10" t="s">
        <v>658</v>
      </c>
      <c r="L365" s="30" t="s">
        <v>1578</v>
      </c>
      <c r="M365" s="10" t="s">
        <v>3830</v>
      </c>
    </row>
    <row r="366" customFormat="false" ht="68.65" hidden="false" customHeight="false" outlineLevel="0" collapsed="false">
      <c r="A366" s="12" t="s">
        <v>19</v>
      </c>
      <c r="B366" s="12" t="s">
        <v>124</v>
      </c>
      <c r="C366" s="10" t="s">
        <v>1519</v>
      </c>
      <c r="D366" s="12" t="s">
        <v>1520</v>
      </c>
      <c r="E366" s="10" t="s">
        <v>1521</v>
      </c>
      <c r="F366" s="12" t="s">
        <v>79</v>
      </c>
      <c r="G366" s="12"/>
      <c r="H366" s="26" t="n">
        <v>56.21</v>
      </c>
      <c r="I366" s="12" t="s">
        <v>102</v>
      </c>
      <c r="J366" s="12" t="s">
        <v>194</v>
      </c>
      <c r="K366" s="10" t="s">
        <v>658</v>
      </c>
      <c r="L366" s="30" t="s">
        <v>1522</v>
      </c>
      <c r="M366" s="10" t="s">
        <v>3831</v>
      </c>
    </row>
    <row r="367" customFormat="false" ht="23.85" hidden="false" customHeight="false" outlineLevel="0" collapsed="false">
      <c r="A367" s="12" t="s">
        <v>19</v>
      </c>
      <c r="B367" s="12" t="s">
        <v>124</v>
      </c>
      <c r="C367" s="10" t="s">
        <v>1662</v>
      </c>
      <c r="D367" s="12" t="s">
        <v>963</v>
      </c>
      <c r="E367" s="10" t="s">
        <v>964</v>
      </c>
      <c r="F367" s="12" t="s">
        <v>79</v>
      </c>
      <c r="G367" s="12"/>
      <c r="H367" s="26"/>
      <c r="I367" s="12" t="s">
        <v>323</v>
      </c>
      <c r="J367" s="12" t="s">
        <v>323</v>
      </c>
      <c r="K367" s="10" t="s">
        <v>3589</v>
      </c>
      <c r="L367" s="12"/>
      <c r="M367" s="10" t="s">
        <v>3590</v>
      </c>
    </row>
    <row r="368" customFormat="false" ht="23.85" hidden="false" customHeight="false" outlineLevel="0" collapsed="false">
      <c r="A368" s="12" t="s">
        <v>19</v>
      </c>
      <c r="B368" s="12" t="s">
        <v>124</v>
      </c>
      <c r="C368" s="10" t="s">
        <v>1662</v>
      </c>
      <c r="D368" s="12" t="s">
        <v>968</v>
      </c>
      <c r="E368" s="10" t="s">
        <v>969</v>
      </c>
      <c r="F368" s="12" t="s">
        <v>79</v>
      </c>
      <c r="G368" s="12"/>
      <c r="H368" s="26"/>
      <c r="I368" s="12" t="s">
        <v>323</v>
      </c>
      <c r="J368" s="12" t="s">
        <v>323</v>
      </c>
      <c r="K368" s="10" t="s">
        <v>3589</v>
      </c>
      <c r="L368" s="12"/>
      <c r="M368" s="10" t="s">
        <v>3590</v>
      </c>
    </row>
    <row r="369" customFormat="false" ht="23.85" hidden="false" customHeight="false" outlineLevel="0" collapsed="false">
      <c r="A369" s="12" t="s">
        <v>19</v>
      </c>
      <c r="B369" s="12" t="s">
        <v>124</v>
      </c>
      <c r="C369" s="10" t="s">
        <v>1519</v>
      </c>
      <c r="D369" s="12" t="s">
        <v>971</v>
      </c>
      <c r="E369" s="10" t="s">
        <v>972</v>
      </c>
      <c r="F369" s="12" t="s">
        <v>79</v>
      </c>
      <c r="G369" s="12"/>
      <c r="H369" s="26"/>
      <c r="I369" s="12" t="s">
        <v>323</v>
      </c>
      <c r="J369" s="12" t="s">
        <v>323</v>
      </c>
      <c r="K369" s="10" t="s">
        <v>3589</v>
      </c>
      <c r="L369" s="12"/>
      <c r="M369" s="10" t="s">
        <v>3590</v>
      </c>
    </row>
    <row r="370" customFormat="false" ht="35.05" hidden="false" customHeight="false" outlineLevel="0" collapsed="false">
      <c r="A370" s="12" t="s">
        <v>19</v>
      </c>
      <c r="B370" s="12" t="s">
        <v>546</v>
      </c>
      <c r="C370" s="10" t="s">
        <v>546</v>
      </c>
      <c r="D370" s="12" t="s">
        <v>835</v>
      </c>
      <c r="E370" s="10" t="s">
        <v>1516</v>
      </c>
      <c r="F370" s="12" t="s">
        <v>79</v>
      </c>
      <c r="G370" s="12" t="n">
        <v>5</v>
      </c>
      <c r="H370" s="26" t="n">
        <v>5.41</v>
      </c>
      <c r="I370" s="12" t="s">
        <v>77</v>
      </c>
      <c r="J370" s="12" t="s">
        <v>194</v>
      </c>
      <c r="K370" s="10" t="s">
        <v>658</v>
      </c>
      <c r="L370" s="30" t="s">
        <v>1517</v>
      </c>
      <c r="M370" s="10" t="s">
        <v>3832</v>
      </c>
    </row>
    <row r="371" customFormat="false" ht="23.85" hidden="false" customHeight="false" outlineLevel="0" collapsed="false">
      <c r="A371" s="12" t="s">
        <v>19</v>
      </c>
      <c r="B371" s="12" t="s">
        <v>546</v>
      </c>
      <c r="C371" s="10" t="s">
        <v>1693</v>
      </c>
      <c r="D371" s="12" t="s">
        <v>1694</v>
      </c>
      <c r="E371" s="10" t="s">
        <v>1695</v>
      </c>
      <c r="F371" s="12" t="s">
        <v>79</v>
      </c>
      <c r="G371" s="12" t="n">
        <v>40</v>
      </c>
      <c r="H371" s="26"/>
      <c r="I371" s="12" t="s">
        <v>323</v>
      </c>
      <c r="J371" s="12" t="s">
        <v>323</v>
      </c>
      <c r="K371" s="10" t="s">
        <v>3589</v>
      </c>
      <c r="L371" s="12"/>
      <c r="M371" s="10" t="s">
        <v>3590</v>
      </c>
    </row>
    <row r="372" customFormat="false" ht="46.25" hidden="false" customHeight="false" outlineLevel="0" collapsed="false">
      <c r="A372" s="12" t="s">
        <v>19</v>
      </c>
      <c r="B372" s="12" t="s">
        <v>546</v>
      </c>
      <c r="C372" s="10" t="s">
        <v>1696</v>
      </c>
      <c r="D372" s="12" t="s">
        <v>1684</v>
      </c>
      <c r="E372" s="10" t="s">
        <v>1035</v>
      </c>
      <c r="F372" s="12" t="s">
        <v>79</v>
      </c>
      <c r="G372" s="12" t="n">
        <v>5</v>
      </c>
      <c r="H372" s="26" t="n">
        <v>7.98</v>
      </c>
      <c r="I372" s="12" t="s">
        <v>102</v>
      </c>
      <c r="J372" s="12" t="s">
        <v>1044</v>
      </c>
      <c r="K372" s="10" t="s">
        <v>658</v>
      </c>
      <c r="L372" s="30" t="s">
        <v>983</v>
      </c>
      <c r="M372" s="10" t="s">
        <v>3833</v>
      </c>
    </row>
    <row r="373" customFormat="false" ht="23.85" hidden="false" customHeight="false" outlineLevel="0" collapsed="false">
      <c r="A373" s="12" t="s">
        <v>19</v>
      </c>
      <c r="B373" s="12" t="s">
        <v>546</v>
      </c>
      <c r="C373" s="10" t="s">
        <v>1693</v>
      </c>
      <c r="D373" s="12" t="s">
        <v>1697</v>
      </c>
      <c r="E373" s="10" t="s">
        <v>1196</v>
      </c>
      <c r="F373" s="12" t="s">
        <v>79</v>
      </c>
      <c r="G373" s="12" t="n">
        <v>20</v>
      </c>
      <c r="H373" s="26"/>
      <c r="I373" s="12" t="s">
        <v>323</v>
      </c>
      <c r="J373" s="12" t="s">
        <v>323</v>
      </c>
      <c r="K373" s="10" t="s">
        <v>3589</v>
      </c>
      <c r="L373" s="12"/>
      <c r="M373" s="10" t="s">
        <v>3590</v>
      </c>
    </row>
    <row r="374" customFormat="false" ht="23.85" hidden="false" customHeight="false" outlineLevel="0" collapsed="false">
      <c r="A374" s="12" t="s">
        <v>19</v>
      </c>
      <c r="B374" s="12" t="s">
        <v>546</v>
      </c>
      <c r="C374" s="10" t="s">
        <v>1693</v>
      </c>
      <c r="D374" s="12" t="s">
        <v>1034</v>
      </c>
      <c r="E374" s="10" t="s">
        <v>1035</v>
      </c>
      <c r="F374" s="12" t="s">
        <v>79</v>
      </c>
      <c r="G374" s="12" t="n">
        <v>5</v>
      </c>
      <c r="H374" s="26"/>
      <c r="I374" s="12" t="s">
        <v>323</v>
      </c>
      <c r="J374" s="12" t="s">
        <v>323</v>
      </c>
      <c r="K374" s="10" t="s">
        <v>3589</v>
      </c>
      <c r="L374" s="12"/>
      <c r="M374" s="10" t="s">
        <v>3590</v>
      </c>
    </row>
    <row r="375" customFormat="false" ht="23.85" hidden="false" customHeight="false" outlineLevel="0" collapsed="false">
      <c r="A375" s="12" t="s">
        <v>19</v>
      </c>
      <c r="B375" s="12" t="s">
        <v>546</v>
      </c>
      <c r="C375" s="10" t="s">
        <v>1696</v>
      </c>
      <c r="D375" s="12" t="s">
        <v>1690</v>
      </c>
      <c r="E375" s="10" t="s">
        <v>1033</v>
      </c>
      <c r="F375" s="12" t="s">
        <v>79</v>
      </c>
      <c r="G375" s="12" t="n">
        <v>2</v>
      </c>
      <c r="H375" s="26"/>
      <c r="I375" s="12" t="s">
        <v>323</v>
      </c>
      <c r="J375" s="12" t="s">
        <v>323</v>
      </c>
      <c r="K375" s="10" t="s">
        <v>3589</v>
      </c>
      <c r="L375" s="12"/>
      <c r="M375" s="10" t="s">
        <v>3590</v>
      </c>
    </row>
    <row r="376" customFormat="false" ht="23.85" hidden="false" customHeight="false" outlineLevel="0" collapsed="false">
      <c r="A376" s="12" t="s">
        <v>19</v>
      </c>
      <c r="B376" s="12" t="s">
        <v>546</v>
      </c>
      <c r="C376" s="10" t="s">
        <v>1693</v>
      </c>
      <c r="D376" s="12" t="s">
        <v>1698</v>
      </c>
      <c r="E376" s="10" t="s">
        <v>1109</v>
      </c>
      <c r="F376" s="12" t="s">
        <v>79</v>
      </c>
      <c r="G376" s="12" t="n">
        <v>10</v>
      </c>
      <c r="H376" s="26"/>
      <c r="I376" s="12" t="s">
        <v>323</v>
      </c>
      <c r="J376" s="12" t="s">
        <v>323</v>
      </c>
      <c r="K376" s="10" t="s">
        <v>3589</v>
      </c>
      <c r="L376" s="12"/>
      <c r="M376" s="10" t="s">
        <v>3590</v>
      </c>
    </row>
    <row r="377" customFormat="false" ht="23.85" hidden="false" customHeight="false" outlineLevel="0" collapsed="false">
      <c r="A377" s="12" t="s">
        <v>19</v>
      </c>
      <c r="B377" s="12" t="s">
        <v>546</v>
      </c>
      <c r="C377" s="10" t="s">
        <v>1693</v>
      </c>
      <c r="D377" s="12" t="s">
        <v>1699</v>
      </c>
      <c r="E377" s="10" t="s">
        <v>1700</v>
      </c>
      <c r="F377" s="12" t="s">
        <v>79</v>
      </c>
      <c r="G377" s="12" t="n">
        <v>50</v>
      </c>
      <c r="H377" s="26"/>
      <c r="I377" s="12" t="s">
        <v>323</v>
      </c>
      <c r="J377" s="12" t="s">
        <v>323</v>
      </c>
      <c r="K377" s="10" t="s">
        <v>3589</v>
      </c>
      <c r="L377" s="12"/>
      <c r="M377" s="10" t="s">
        <v>3590</v>
      </c>
    </row>
    <row r="378" customFormat="false" ht="35.05" hidden="false" customHeight="false" outlineLevel="0" collapsed="false">
      <c r="A378" s="12" t="s">
        <v>19</v>
      </c>
      <c r="B378" s="12" t="s">
        <v>107</v>
      </c>
      <c r="C378" s="10" t="s">
        <v>107</v>
      </c>
      <c r="D378" s="12" t="s">
        <v>1019</v>
      </c>
      <c r="E378" s="10" t="s">
        <v>874</v>
      </c>
      <c r="F378" s="12" t="s">
        <v>79</v>
      </c>
      <c r="G378" s="12"/>
      <c r="H378" s="26" t="n">
        <v>79.32</v>
      </c>
      <c r="I378" s="12" t="s">
        <v>77</v>
      </c>
      <c r="J378" s="12" t="s">
        <v>194</v>
      </c>
      <c r="K378" s="10" t="s">
        <v>658</v>
      </c>
      <c r="L378" s="30" t="s">
        <v>1455</v>
      </c>
      <c r="M378" s="10" t="s">
        <v>3834</v>
      </c>
    </row>
    <row r="379" customFormat="false" ht="46.25" hidden="false" customHeight="false" outlineLevel="0" collapsed="false">
      <c r="A379" s="12" t="s">
        <v>19</v>
      </c>
      <c r="B379" s="12" t="s">
        <v>107</v>
      </c>
      <c r="C379" s="10" t="s">
        <v>1579</v>
      </c>
      <c r="D379" s="12" t="s">
        <v>873</v>
      </c>
      <c r="E379" s="10" t="s">
        <v>874</v>
      </c>
      <c r="F379" s="12" t="s">
        <v>79</v>
      </c>
      <c r="G379" s="12"/>
      <c r="H379" s="26" t="n">
        <v>93.7335</v>
      </c>
      <c r="I379" s="12" t="s">
        <v>77</v>
      </c>
      <c r="J379" s="12" t="s">
        <v>3558</v>
      </c>
      <c r="K379" s="10" t="s">
        <v>658</v>
      </c>
      <c r="L379" s="30" t="s">
        <v>852</v>
      </c>
      <c r="M379" s="10" t="s">
        <v>3835</v>
      </c>
    </row>
    <row r="380" customFormat="false" ht="23.85" hidden="false" customHeight="false" outlineLevel="0" collapsed="false">
      <c r="A380" s="12" t="s">
        <v>19</v>
      </c>
      <c r="B380" s="12" t="s">
        <v>107</v>
      </c>
      <c r="C380" s="10" t="s">
        <v>1682</v>
      </c>
      <c r="D380" s="12" t="s">
        <v>1037</v>
      </c>
      <c r="E380" s="10" t="s">
        <v>1038</v>
      </c>
      <c r="F380" s="12" t="s">
        <v>79</v>
      </c>
      <c r="G380" s="12"/>
      <c r="H380" s="26"/>
      <c r="I380" s="12" t="s">
        <v>323</v>
      </c>
      <c r="J380" s="12" t="s">
        <v>323</v>
      </c>
      <c r="K380" s="10" t="s">
        <v>3589</v>
      </c>
      <c r="L380" s="12"/>
      <c r="M380" s="10" t="s">
        <v>3590</v>
      </c>
    </row>
    <row r="381" customFormat="false" ht="23.85" hidden="false" customHeight="false" outlineLevel="0" collapsed="false">
      <c r="A381" s="12" t="s">
        <v>19</v>
      </c>
      <c r="B381" s="12" t="s">
        <v>107</v>
      </c>
      <c r="C381" s="10" t="s">
        <v>1682</v>
      </c>
      <c r="D381" s="12" t="s">
        <v>963</v>
      </c>
      <c r="E381" s="10" t="s">
        <v>964</v>
      </c>
      <c r="F381" s="12" t="s">
        <v>79</v>
      </c>
      <c r="G381" s="12"/>
      <c r="H381" s="26"/>
      <c r="I381" s="12" t="s">
        <v>323</v>
      </c>
      <c r="J381" s="12" t="s">
        <v>323</v>
      </c>
      <c r="K381" s="10" t="s">
        <v>3589</v>
      </c>
      <c r="L381" s="12"/>
      <c r="M381" s="10" t="s">
        <v>3590</v>
      </c>
    </row>
    <row r="382" customFormat="false" ht="23.85" hidden="false" customHeight="false" outlineLevel="0" collapsed="false">
      <c r="A382" s="12" t="s">
        <v>19</v>
      </c>
      <c r="B382" s="12" t="s">
        <v>107</v>
      </c>
      <c r="C382" s="10" t="s">
        <v>1728</v>
      </c>
      <c r="D382" s="12" t="s">
        <v>1729</v>
      </c>
      <c r="E382" s="10" t="s">
        <v>1730</v>
      </c>
      <c r="F382" s="12" t="s">
        <v>79</v>
      </c>
      <c r="G382" s="12" t="n">
        <v>20</v>
      </c>
      <c r="H382" s="26" t="n">
        <v>27.22</v>
      </c>
      <c r="I382" s="12" t="s">
        <v>77</v>
      </c>
      <c r="J382" s="12" t="s">
        <v>995</v>
      </c>
      <c r="K382" s="10" t="s">
        <v>1069</v>
      </c>
      <c r="L382" s="30" t="s">
        <v>1731</v>
      </c>
      <c r="M382" s="10" t="s">
        <v>3836</v>
      </c>
    </row>
    <row r="383" customFormat="false" ht="35.05" hidden="false" customHeight="false" outlineLevel="0" collapsed="false">
      <c r="A383" s="12" t="s">
        <v>19</v>
      </c>
      <c r="B383" s="12" t="s">
        <v>540</v>
      </c>
      <c r="C383" s="10" t="s">
        <v>540</v>
      </c>
      <c r="D383" s="12" t="s">
        <v>1486</v>
      </c>
      <c r="E383" s="10" t="s">
        <v>1487</v>
      </c>
      <c r="F383" s="12" t="s">
        <v>79</v>
      </c>
      <c r="G383" s="12"/>
      <c r="H383" s="26" t="n">
        <v>132.2</v>
      </c>
      <c r="I383" s="12" t="s">
        <v>77</v>
      </c>
      <c r="J383" s="12" t="s">
        <v>194</v>
      </c>
      <c r="K383" s="10" t="s">
        <v>658</v>
      </c>
      <c r="L383" s="30" t="s">
        <v>1488</v>
      </c>
      <c r="M383" s="10" t="s">
        <v>3837</v>
      </c>
    </row>
    <row r="384" customFormat="false" ht="46.25" hidden="false" customHeight="false" outlineLevel="0" collapsed="false">
      <c r="A384" s="12" t="s">
        <v>19</v>
      </c>
      <c r="B384" s="12" t="s">
        <v>540</v>
      </c>
      <c r="C384" s="10" t="s">
        <v>1580</v>
      </c>
      <c r="D384" s="12" t="s">
        <v>1581</v>
      </c>
      <c r="E384" s="10" t="s">
        <v>1582</v>
      </c>
      <c r="F384" s="12" t="s">
        <v>79</v>
      </c>
      <c r="G384" s="12" t="n">
        <v>4.2</v>
      </c>
      <c r="H384" s="26" t="n">
        <v>53.0422</v>
      </c>
      <c r="I384" s="12" t="s">
        <v>77</v>
      </c>
      <c r="J384" s="12" t="s">
        <v>3569</v>
      </c>
      <c r="K384" s="10" t="s">
        <v>658</v>
      </c>
      <c r="L384" s="30" t="s">
        <v>1583</v>
      </c>
      <c r="M384" s="10" t="s">
        <v>3838</v>
      </c>
    </row>
    <row r="385" customFormat="false" ht="15" hidden="false" customHeight="false" outlineLevel="0" collapsed="false">
      <c r="A385" s="12" t="s">
        <v>19</v>
      </c>
      <c r="B385" s="12" t="s">
        <v>505</v>
      </c>
      <c r="C385" s="10" t="s">
        <v>1463</v>
      </c>
      <c r="D385" s="12" t="s">
        <v>1464</v>
      </c>
      <c r="E385" s="10" t="s">
        <v>1465</v>
      </c>
      <c r="F385" s="12" t="s">
        <v>79</v>
      </c>
      <c r="G385" s="12" t="n">
        <v>1.7</v>
      </c>
      <c r="H385" s="26" t="n">
        <v>145.71</v>
      </c>
      <c r="I385" s="12" t="s">
        <v>77</v>
      </c>
      <c r="J385" s="12" t="s">
        <v>2199</v>
      </c>
      <c r="K385" s="10" t="s">
        <v>1466</v>
      </c>
      <c r="L385" s="12"/>
      <c r="M385" s="10" t="s">
        <v>3839</v>
      </c>
    </row>
    <row r="386" customFormat="false" ht="57.45" hidden="false" customHeight="false" outlineLevel="0" collapsed="false">
      <c r="A386" s="12" t="s">
        <v>19</v>
      </c>
      <c r="B386" s="12" t="s">
        <v>505</v>
      </c>
      <c r="C386" s="10" t="s">
        <v>1655</v>
      </c>
      <c r="D386" s="12" t="s">
        <v>1656</v>
      </c>
      <c r="E386" s="10" t="s">
        <v>1657</v>
      </c>
      <c r="F386" s="12" t="s">
        <v>79</v>
      </c>
      <c r="G386" s="12" t="n">
        <v>1.7</v>
      </c>
      <c r="H386" s="26" t="n">
        <v>179.823</v>
      </c>
      <c r="I386" s="12" t="s">
        <v>102</v>
      </c>
      <c r="J386" s="12" t="s">
        <v>1044</v>
      </c>
      <c r="K386" s="10" t="s">
        <v>658</v>
      </c>
      <c r="L386" s="30" t="s">
        <v>987</v>
      </c>
      <c r="M386" s="10" t="s">
        <v>3840</v>
      </c>
    </row>
    <row r="387" customFormat="false" ht="46.25" hidden="false" customHeight="false" outlineLevel="0" collapsed="false">
      <c r="A387" s="12" t="s">
        <v>19</v>
      </c>
      <c r="B387" s="12" t="s">
        <v>120</v>
      </c>
      <c r="C387" s="10" t="s">
        <v>1584</v>
      </c>
      <c r="D387" s="12" t="s">
        <v>877</v>
      </c>
      <c r="E387" s="10" t="s">
        <v>878</v>
      </c>
      <c r="F387" s="12" t="s">
        <v>79</v>
      </c>
      <c r="G387" s="12" t="n">
        <v>5</v>
      </c>
      <c r="H387" s="26" t="n">
        <v>16.837</v>
      </c>
      <c r="I387" s="12" t="s">
        <v>77</v>
      </c>
      <c r="J387" s="12" t="s">
        <v>3558</v>
      </c>
      <c r="K387" s="10" t="s">
        <v>658</v>
      </c>
      <c r="L387" s="30" t="s">
        <v>852</v>
      </c>
      <c r="M387" s="10" t="s">
        <v>3841</v>
      </c>
    </row>
    <row r="388" customFormat="false" ht="15" hidden="false" customHeight="false" outlineLevel="0" collapsed="false">
      <c r="A388" s="12" t="s">
        <v>19</v>
      </c>
      <c r="B388" s="12" t="s">
        <v>120</v>
      </c>
      <c r="C388" s="10" t="s">
        <v>120</v>
      </c>
      <c r="D388" s="12" t="s">
        <v>846</v>
      </c>
      <c r="E388" s="10" t="s">
        <v>1635</v>
      </c>
      <c r="F388" s="12" t="s">
        <v>79</v>
      </c>
      <c r="G388" s="12" t="n">
        <v>5</v>
      </c>
      <c r="H388" s="26" t="n">
        <v>35</v>
      </c>
      <c r="I388" s="12" t="s">
        <v>102</v>
      </c>
      <c r="J388" s="12" t="s">
        <v>948</v>
      </c>
      <c r="K388" s="10" t="s">
        <v>658</v>
      </c>
      <c r="L388" s="30" t="s">
        <v>1636</v>
      </c>
      <c r="M388" s="10" t="s">
        <v>3842</v>
      </c>
    </row>
    <row r="389" customFormat="false" ht="35.05" hidden="false" customHeight="false" outlineLevel="0" collapsed="false">
      <c r="A389" s="12" t="s">
        <v>19</v>
      </c>
      <c r="B389" s="12" t="s">
        <v>120</v>
      </c>
      <c r="C389" s="10" t="s">
        <v>1584</v>
      </c>
      <c r="D389" s="12" t="s">
        <v>1719</v>
      </c>
      <c r="E389" s="10" t="s">
        <v>1723</v>
      </c>
      <c r="F389" s="12" t="s">
        <v>79</v>
      </c>
      <c r="G389" s="12" t="n">
        <v>100</v>
      </c>
      <c r="H389" s="26" t="n">
        <v>54.572</v>
      </c>
      <c r="I389" s="12" t="s">
        <v>77</v>
      </c>
      <c r="J389" s="12" t="s">
        <v>1044</v>
      </c>
      <c r="K389" s="10" t="s">
        <v>658</v>
      </c>
      <c r="L389" s="30" t="s">
        <v>983</v>
      </c>
      <c r="M389" s="10" t="s">
        <v>3843</v>
      </c>
    </row>
    <row r="390" customFormat="false" ht="23.85" hidden="false" customHeight="false" outlineLevel="0" collapsed="false">
      <c r="A390" s="12" t="s">
        <v>19</v>
      </c>
      <c r="B390" s="12" t="s">
        <v>120</v>
      </c>
      <c r="C390" s="10" t="s">
        <v>1744</v>
      </c>
      <c r="D390" s="12" t="s">
        <v>1745</v>
      </c>
      <c r="E390" s="10" t="s">
        <v>1742</v>
      </c>
      <c r="F390" s="12" t="s">
        <v>79</v>
      </c>
      <c r="G390" s="12" t="n">
        <v>25</v>
      </c>
      <c r="H390" s="26" t="n">
        <v>17.14</v>
      </c>
      <c r="I390" s="12" t="s">
        <v>77</v>
      </c>
      <c r="J390" s="12" t="s">
        <v>995</v>
      </c>
      <c r="K390" s="10" t="s">
        <v>1069</v>
      </c>
      <c r="L390" s="30" t="s">
        <v>1746</v>
      </c>
      <c r="M390" s="10" t="s">
        <v>3844</v>
      </c>
    </row>
    <row r="391" customFormat="false" ht="23.85" hidden="false" customHeight="false" outlineLevel="0" collapsed="false">
      <c r="A391" s="12" t="s">
        <v>19</v>
      </c>
      <c r="B391" s="12" t="s">
        <v>120</v>
      </c>
      <c r="C391" s="10" t="s">
        <v>1744</v>
      </c>
      <c r="D391" s="12" t="s">
        <v>1747</v>
      </c>
      <c r="E391" s="10" t="s">
        <v>886</v>
      </c>
      <c r="F391" s="12" t="s">
        <v>79</v>
      </c>
      <c r="G391" s="12" t="n">
        <v>100</v>
      </c>
      <c r="H391" s="26" t="n">
        <v>105.46</v>
      </c>
      <c r="I391" s="12" t="s">
        <v>77</v>
      </c>
      <c r="J391" s="12" t="s">
        <v>995</v>
      </c>
      <c r="K391" s="10" t="s">
        <v>1069</v>
      </c>
      <c r="L391" s="30" t="s">
        <v>1746</v>
      </c>
      <c r="M391" s="10" t="s">
        <v>3844</v>
      </c>
    </row>
    <row r="392" customFormat="false" ht="57.45" hidden="false" customHeight="false" outlineLevel="0" collapsed="false">
      <c r="A392" s="12" t="s">
        <v>19</v>
      </c>
      <c r="B392" s="12" t="s">
        <v>120</v>
      </c>
      <c r="C392" s="10" t="s">
        <v>1584</v>
      </c>
      <c r="D392" s="12" t="s">
        <v>1745</v>
      </c>
      <c r="E392" s="10" t="s">
        <v>1742</v>
      </c>
      <c r="F392" s="12" t="s">
        <v>79</v>
      </c>
      <c r="G392" s="12" t="n">
        <v>25</v>
      </c>
      <c r="H392" s="26" t="n">
        <v>18.89</v>
      </c>
      <c r="I392" s="12" t="s">
        <v>77</v>
      </c>
      <c r="J392" s="12" t="s">
        <v>995</v>
      </c>
      <c r="K392" s="10" t="s">
        <v>658</v>
      </c>
      <c r="L392" s="30" t="s">
        <v>991</v>
      </c>
      <c r="M392" s="10" t="s">
        <v>3845</v>
      </c>
    </row>
    <row r="393" customFormat="false" ht="35.05" hidden="false" customHeight="false" outlineLevel="0" collapsed="false">
      <c r="A393" s="12" t="s">
        <v>19</v>
      </c>
      <c r="B393" s="12" t="s">
        <v>523</v>
      </c>
      <c r="C393" s="10" t="s">
        <v>1542</v>
      </c>
      <c r="D393" s="12" t="s">
        <v>1543</v>
      </c>
      <c r="E393" s="10" t="s">
        <v>1544</v>
      </c>
      <c r="F393" s="12" t="s">
        <v>85</v>
      </c>
      <c r="G393" s="12" t="n">
        <v>10</v>
      </c>
      <c r="H393" s="26" t="n">
        <v>28.6681</v>
      </c>
      <c r="I393" s="12" t="s">
        <v>153</v>
      </c>
      <c r="J393" s="12" t="s">
        <v>3565</v>
      </c>
      <c r="K393" s="10" t="s">
        <v>658</v>
      </c>
      <c r="L393" s="30" t="s">
        <v>1545</v>
      </c>
      <c r="M393" s="10" t="s">
        <v>3846</v>
      </c>
    </row>
    <row r="394" customFormat="false" ht="35.05" hidden="false" customHeight="false" outlineLevel="0" collapsed="false">
      <c r="A394" s="12" t="s">
        <v>19</v>
      </c>
      <c r="B394" s="12" t="s">
        <v>342</v>
      </c>
      <c r="C394" s="10" t="s">
        <v>1513</v>
      </c>
      <c r="D394" s="12" t="s">
        <v>846</v>
      </c>
      <c r="E394" s="10" t="s">
        <v>878</v>
      </c>
      <c r="F394" s="12" t="s">
        <v>79</v>
      </c>
      <c r="G394" s="12" t="n">
        <v>5</v>
      </c>
      <c r="H394" s="26" t="n">
        <v>26.68</v>
      </c>
      <c r="I394" s="12" t="s">
        <v>77</v>
      </c>
      <c r="J394" s="12" t="s">
        <v>194</v>
      </c>
      <c r="K394" s="10" t="s">
        <v>658</v>
      </c>
      <c r="L394" s="30" t="s">
        <v>1514</v>
      </c>
      <c r="M394" s="10" t="s">
        <v>3847</v>
      </c>
    </row>
    <row r="395" customFormat="false" ht="46.25" hidden="false" customHeight="false" outlineLevel="0" collapsed="false">
      <c r="A395" s="12" t="s">
        <v>19</v>
      </c>
      <c r="B395" s="12" t="s">
        <v>342</v>
      </c>
      <c r="C395" s="10" t="s">
        <v>1586</v>
      </c>
      <c r="D395" s="12" t="s">
        <v>877</v>
      </c>
      <c r="E395" s="10" t="s">
        <v>878</v>
      </c>
      <c r="F395" s="12" t="s">
        <v>79</v>
      </c>
      <c r="G395" s="12" t="n">
        <v>5</v>
      </c>
      <c r="H395" s="26" t="n">
        <v>22.2158</v>
      </c>
      <c r="I395" s="12" t="s">
        <v>102</v>
      </c>
      <c r="J395" s="12" t="s">
        <v>3558</v>
      </c>
      <c r="K395" s="10" t="s">
        <v>658</v>
      </c>
      <c r="L395" s="30" t="s">
        <v>852</v>
      </c>
      <c r="M395" s="10" t="s">
        <v>3848</v>
      </c>
    </row>
    <row r="396" customFormat="false" ht="46.25" hidden="false" customHeight="false" outlineLevel="0" collapsed="false">
      <c r="A396" s="12" t="s">
        <v>19</v>
      </c>
      <c r="B396" s="12" t="s">
        <v>342</v>
      </c>
      <c r="C396" s="10" t="s">
        <v>1717</v>
      </c>
      <c r="D396" s="12" t="s">
        <v>1710</v>
      </c>
      <c r="E396" s="10" t="s">
        <v>1716</v>
      </c>
      <c r="F396" s="12" t="s">
        <v>79</v>
      </c>
      <c r="G396" s="12" t="n">
        <v>10</v>
      </c>
      <c r="H396" s="26" t="n">
        <v>6.23</v>
      </c>
      <c r="I396" s="12" t="s">
        <v>102</v>
      </c>
      <c r="J396" s="12" t="s">
        <v>1044</v>
      </c>
      <c r="K396" s="10" t="s">
        <v>658</v>
      </c>
      <c r="L396" s="30" t="s">
        <v>983</v>
      </c>
      <c r="M396" s="10" t="s">
        <v>3849</v>
      </c>
    </row>
    <row r="397" customFormat="false" ht="46.25" hidden="false" customHeight="false" outlineLevel="0" collapsed="false">
      <c r="A397" s="12" t="s">
        <v>19</v>
      </c>
      <c r="B397" s="12" t="s">
        <v>342</v>
      </c>
      <c r="C397" s="10" t="s">
        <v>1717</v>
      </c>
      <c r="D397" s="12" t="s">
        <v>1708</v>
      </c>
      <c r="E397" s="10" t="s">
        <v>1718</v>
      </c>
      <c r="F397" s="12" t="s">
        <v>79</v>
      </c>
      <c r="G397" s="12" t="n">
        <v>25</v>
      </c>
      <c r="H397" s="26" t="n">
        <v>15.568</v>
      </c>
      <c r="I397" s="12" t="s">
        <v>102</v>
      </c>
      <c r="J397" s="12" t="s">
        <v>1044</v>
      </c>
      <c r="K397" s="10" t="s">
        <v>658</v>
      </c>
      <c r="L397" s="30" t="s">
        <v>983</v>
      </c>
      <c r="M397" s="10" t="s">
        <v>3850</v>
      </c>
    </row>
    <row r="398" customFormat="false" ht="35.05" hidden="false" customHeight="false" outlineLevel="0" collapsed="false">
      <c r="A398" s="12" t="s">
        <v>19</v>
      </c>
      <c r="B398" s="12" t="s">
        <v>342</v>
      </c>
      <c r="C398" s="10" t="s">
        <v>1717</v>
      </c>
      <c r="D398" s="12" t="s">
        <v>1719</v>
      </c>
      <c r="E398" s="10" t="s">
        <v>1720</v>
      </c>
      <c r="F398" s="12" t="s">
        <v>79</v>
      </c>
      <c r="G398" s="12" t="n">
        <v>100</v>
      </c>
      <c r="H398" s="26" t="n">
        <v>62.265</v>
      </c>
      <c r="I398" s="12" t="s">
        <v>77</v>
      </c>
      <c r="J398" s="12" t="s">
        <v>1044</v>
      </c>
      <c r="K398" s="10" t="s">
        <v>658</v>
      </c>
      <c r="L398" s="30" t="s">
        <v>983</v>
      </c>
      <c r="M398" s="10" t="s">
        <v>3851</v>
      </c>
    </row>
    <row r="399" customFormat="false" ht="46.25" hidden="false" customHeight="false" outlineLevel="0" collapsed="false">
      <c r="A399" s="12" t="s">
        <v>19</v>
      </c>
      <c r="B399" s="12" t="s">
        <v>342</v>
      </c>
      <c r="C399" s="10" t="s">
        <v>1740</v>
      </c>
      <c r="D399" s="12" t="s">
        <v>1741</v>
      </c>
      <c r="E399" s="10" t="s">
        <v>878</v>
      </c>
      <c r="F399" s="12" t="s">
        <v>79</v>
      </c>
      <c r="G399" s="12" t="n">
        <v>5</v>
      </c>
      <c r="H399" s="26" t="n">
        <v>7.79</v>
      </c>
      <c r="I399" s="12" t="s">
        <v>77</v>
      </c>
      <c r="J399" s="12" t="s">
        <v>995</v>
      </c>
      <c r="K399" s="10" t="s">
        <v>658</v>
      </c>
      <c r="L399" s="30" t="s">
        <v>991</v>
      </c>
      <c r="M399" s="10" t="s">
        <v>3852</v>
      </c>
    </row>
    <row r="400" customFormat="false" ht="46.25" hidden="false" customHeight="false" outlineLevel="0" collapsed="false">
      <c r="A400" s="12" t="s">
        <v>19</v>
      </c>
      <c r="B400" s="12" t="s">
        <v>342</v>
      </c>
      <c r="C400" s="10" t="s">
        <v>1740</v>
      </c>
      <c r="D400" s="12" t="s">
        <v>1741</v>
      </c>
      <c r="E400" s="10" t="s">
        <v>1742</v>
      </c>
      <c r="F400" s="12" t="s">
        <v>79</v>
      </c>
      <c r="G400" s="12" t="n">
        <v>25</v>
      </c>
      <c r="H400" s="26" t="n">
        <v>38.94</v>
      </c>
      <c r="I400" s="12" t="s">
        <v>77</v>
      </c>
      <c r="J400" s="12" t="s">
        <v>995</v>
      </c>
      <c r="K400" s="10" t="s">
        <v>658</v>
      </c>
      <c r="L400" s="30" t="s">
        <v>991</v>
      </c>
      <c r="M400" s="10" t="s">
        <v>3853</v>
      </c>
    </row>
    <row r="401" customFormat="false" ht="46.25" hidden="false" customHeight="false" outlineLevel="0" collapsed="false">
      <c r="A401" s="12" t="s">
        <v>19</v>
      </c>
      <c r="B401" s="12" t="s">
        <v>342</v>
      </c>
      <c r="C401" s="10" t="s">
        <v>1743</v>
      </c>
      <c r="D401" s="12" t="s">
        <v>1741</v>
      </c>
      <c r="E401" s="10" t="s">
        <v>878</v>
      </c>
      <c r="F401" s="12" t="s">
        <v>79</v>
      </c>
      <c r="G401" s="12" t="n">
        <v>5</v>
      </c>
      <c r="H401" s="26" t="n">
        <v>7.79</v>
      </c>
      <c r="I401" s="12" t="s">
        <v>77</v>
      </c>
      <c r="J401" s="12" t="s">
        <v>995</v>
      </c>
      <c r="K401" s="10" t="s">
        <v>658</v>
      </c>
      <c r="L401" s="30" t="s">
        <v>991</v>
      </c>
      <c r="M401" s="10" t="s">
        <v>3852</v>
      </c>
    </row>
    <row r="402" customFormat="false" ht="46.25" hidden="false" customHeight="false" outlineLevel="0" collapsed="false">
      <c r="A402" s="12" t="s">
        <v>19</v>
      </c>
      <c r="B402" s="12" t="s">
        <v>342</v>
      </c>
      <c r="C402" s="10" t="s">
        <v>1743</v>
      </c>
      <c r="D402" s="12" t="s">
        <v>1741</v>
      </c>
      <c r="E402" s="10" t="s">
        <v>1742</v>
      </c>
      <c r="F402" s="12" t="s">
        <v>79</v>
      </c>
      <c r="G402" s="12" t="n">
        <v>25</v>
      </c>
      <c r="H402" s="26" t="n">
        <v>38.94</v>
      </c>
      <c r="I402" s="12" t="s">
        <v>77</v>
      </c>
      <c r="J402" s="12" t="s">
        <v>995</v>
      </c>
      <c r="K402" s="10" t="s">
        <v>658</v>
      </c>
      <c r="L402" s="30" t="s">
        <v>991</v>
      </c>
      <c r="M402" s="10" t="s">
        <v>3853</v>
      </c>
    </row>
    <row r="403" customFormat="false" ht="57.45" hidden="false" customHeight="false" outlineLevel="0" collapsed="false">
      <c r="A403" s="12" t="s">
        <v>19</v>
      </c>
      <c r="B403" s="12" t="s">
        <v>142</v>
      </c>
      <c r="C403" s="10" t="s">
        <v>1587</v>
      </c>
      <c r="D403" s="12" t="s">
        <v>1588</v>
      </c>
      <c r="E403" s="10" t="s">
        <v>1506</v>
      </c>
      <c r="F403" s="12" t="s">
        <v>79</v>
      </c>
      <c r="G403" s="12" t="n">
        <v>10</v>
      </c>
      <c r="H403" s="26" t="n">
        <v>62.0257</v>
      </c>
      <c r="I403" s="12" t="s">
        <v>77</v>
      </c>
      <c r="J403" s="12" t="s">
        <v>3547</v>
      </c>
      <c r="K403" s="10" t="s">
        <v>658</v>
      </c>
      <c r="L403" s="30" t="s">
        <v>1589</v>
      </c>
      <c r="M403" s="10" t="s">
        <v>3854</v>
      </c>
    </row>
    <row r="404" customFormat="false" ht="46.25" hidden="false" customHeight="false" outlineLevel="0" collapsed="false">
      <c r="A404" s="12" t="s">
        <v>19</v>
      </c>
      <c r="B404" s="12" t="s">
        <v>131</v>
      </c>
      <c r="C404" s="10" t="s">
        <v>1591</v>
      </c>
      <c r="D404" s="12" t="s">
        <v>1174</v>
      </c>
      <c r="E404" s="10" t="s">
        <v>1592</v>
      </c>
      <c r="F404" s="12" t="s">
        <v>79</v>
      </c>
      <c r="G404" s="12" t="n">
        <v>2</v>
      </c>
      <c r="H404" s="26" t="n">
        <v>471.2665</v>
      </c>
      <c r="I404" s="12" t="s">
        <v>153</v>
      </c>
      <c r="J404" s="12" t="s">
        <v>3558</v>
      </c>
      <c r="K404" s="10" t="s">
        <v>658</v>
      </c>
      <c r="L404" s="30" t="s">
        <v>852</v>
      </c>
      <c r="M404" s="10" t="s">
        <v>3702</v>
      </c>
    </row>
    <row r="405" customFormat="false" ht="35.05" hidden="false" customHeight="false" outlineLevel="0" collapsed="false">
      <c r="A405" s="12" t="s">
        <v>19</v>
      </c>
      <c r="B405" s="12" t="s">
        <v>473</v>
      </c>
      <c r="C405" s="10" t="s">
        <v>473</v>
      </c>
      <c r="D405" s="12" t="s">
        <v>842</v>
      </c>
      <c r="E405" s="10" t="s">
        <v>843</v>
      </c>
      <c r="F405" s="12" t="s">
        <v>79</v>
      </c>
      <c r="G405" s="12"/>
      <c r="H405" s="26" t="n">
        <v>5.62</v>
      </c>
      <c r="I405" s="12" t="s">
        <v>102</v>
      </c>
      <c r="J405" s="12" t="s">
        <v>194</v>
      </c>
      <c r="K405" s="10" t="s">
        <v>658</v>
      </c>
      <c r="L405" s="30" t="s">
        <v>1511</v>
      </c>
      <c r="M405" s="10" t="s">
        <v>3855</v>
      </c>
    </row>
    <row r="406" customFormat="false" ht="46.25" hidden="false" customHeight="false" outlineLevel="0" collapsed="false">
      <c r="A406" s="12" t="s">
        <v>19</v>
      </c>
      <c r="B406" s="12" t="s">
        <v>473</v>
      </c>
      <c r="C406" s="10" t="s">
        <v>1594</v>
      </c>
      <c r="D406" s="12" t="s">
        <v>1273</v>
      </c>
      <c r="E406" s="10" t="s">
        <v>1239</v>
      </c>
      <c r="F406" s="12" t="s">
        <v>79</v>
      </c>
      <c r="G406" s="12"/>
      <c r="H406" s="26" t="n">
        <v>7.2659</v>
      </c>
      <c r="I406" s="12" t="s">
        <v>102</v>
      </c>
      <c r="J406" s="12" t="s">
        <v>3558</v>
      </c>
      <c r="K406" s="10" t="s">
        <v>658</v>
      </c>
      <c r="L406" s="30" t="s">
        <v>852</v>
      </c>
      <c r="M406" s="10" t="s">
        <v>3856</v>
      </c>
    </row>
    <row r="407" customFormat="false" ht="57.45" hidden="false" customHeight="false" outlineLevel="0" collapsed="false">
      <c r="A407" s="12" t="s">
        <v>19</v>
      </c>
      <c r="B407" s="12" t="s">
        <v>423</v>
      </c>
      <c r="C407" s="10" t="s">
        <v>1595</v>
      </c>
      <c r="D407" s="12" t="s">
        <v>897</v>
      </c>
      <c r="E407" s="10" t="s">
        <v>1596</v>
      </c>
      <c r="F407" s="12" t="s">
        <v>79</v>
      </c>
      <c r="G407" s="12"/>
      <c r="H407" s="26" t="n">
        <v>6.0681</v>
      </c>
      <c r="I407" s="12" t="s">
        <v>153</v>
      </c>
      <c r="J407" s="12" t="s">
        <v>3565</v>
      </c>
      <c r="K407" s="10" t="s">
        <v>658</v>
      </c>
      <c r="L407" s="30" t="s">
        <v>1597</v>
      </c>
      <c r="M407" s="10" t="s">
        <v>3857</v>
      </c>
    </row>
    <row r="408" customFormat="false" ht="35.05" hidden="false" customHeight="false" outlineLevel="0" collapsed="false">
      <c r="A408" s="12" t="s">
        <v>19</v>
      </c>
      <c r="B408" s="12" t="s">
        <v>499</v>
      </c>
      <c r="C408" s="10" t="s">
        <v>499</v>
      </c>
      <c r="D408" s="12" t="s">
        <v>838</v>
      </c>
      <c r="E408" s="10" t="s">
        <v>1210</v>
      </c>
      <c r="F408" s="12" t="s">
        <v>79</v>
      </c>
      <c r="G408" s="12" t="n">
        <v>2</v>
      </c>
      <c r="H408" s="26" t="n">
        <v>204.91</v>
      </c>
      <c r="I408" s="12" t="s">
        <v>77</v>
      </c>
      <c r="J408" s="12" t="s">
        <v>194</v>
      </c>
      <c r="K408" s="10" t="s">
        <v>658</v>
      </c>
      <c r="L408" s="30" t="s">
        <v>1509</v>
      </c>
      <c r="M408" s="10" t="s">
        <v>3858</v>
      </c>
    </row>
    <row r="409" customFormat="false" ht="46.25" hidden="false" customHeight="false" outlineLevel="0" collapsed="false">
      <c r="A409" s="12" t="s">
        <v>19</v>
      </c>
      <c r="B409" s="12" t="s">
        <v>499</v>
      </c>
      <c r="C409" s="10" t="s">
        <v>1598</v>
      </c>
      <c r="D409" s="12" t="s">
        <v>1599</v>
      </c>
      <c r="E409" s="10" t="s">
        <v>1210</v>
      </c>
      <c r="F409" s="12" t="s">
        <v>79</v>
      </c>
      <c r="G409" s="12" t="n">
        <v>2</v>
      </c>
      <c r="H409" s="26" t="n">
        <v>129.159</v>
      </c>
      <c r="I409" s="12" t="s">
        <v>77</v>
      </c>
      <c r="J409" s="12" t="s">
        <v>3558</v>
      </c>
      <c r="K409" s="10" t="s">
        <v>658</v>
      </c>
      <c r="L409" s="30" t="s">
        <v>852</v>
      </c>
      <c r="M409" s="10" t="s">
        <v>3859</v>
      </c>
    </row>
    <row r="410" customFormat="false" ht="35.05" hidden="false" customHeight="false" outlineLevel="0" collapsed="false">
      <c r="A410" s="12" t="s">
        <v>19</v>
      </c>
      <c r="B410" s="12" t="s">
        <v>394</v>
      </c>
      <c r="C410" s="10" t="s">
        <v>394</v>
      </c>
      <c r="D410" s="12" t="s">
        <v>1505</v>
      </c>
      <c r="E410" s="10" t="s">
        <v>1506</v>
      </c>
      <c r="F410" s="12" t="s">
        <v>79</v>
      </c>
      <c r="G410" s="12" t="n">
        <v>10</v>
      </c>
      <c r="H410" s="26" t="n">
        <v>8.46</v>
      </c>
      <c r="I410" s="12" t="s">
        <v>77</v>
      </c>
      <c r="J410" s="12" t="s">
        <v>194</v>
      </c>
      <c r="K410" s="10" t="s">
        <v>658</v>
      </c>
      <c r="L410" s="30" t="s">
        <v>1507</v>
      </c>
      <c r="M410" s="10" t="s">
        <v>3860</v>
      </c>
    </row>
    <row r="411" customFormat="false" ht="15" hidden="false" customHeight="false" outlineLevel="0" collapsed="false">
      <c r="A411" s="12" t="s">
        <v>19</v>
      </c>
      <c r="B411" s="12" t="s">
        <v>394</v>
      </c>
      <c r="C411" s="10" t="s">
        <v>394</v>
      </c>
      <c r="D411" s="12" t="s">
        <v>1505</v>
      </c>
      <c r="E411" s="10" t="s">
        <v>1640</v>
      </c>
      <c r="F411" s="12" t="s">
        <v>79</v>
      </c>
      <c r="G411" s="12" t="n">
        <v>100</v>
      </c>
      <c r="H411" s="26" t="n">
        <v>112.63</v>
      </c>
      <c r="I411" s="12" t="s">
        <v>102</v>
      </c>
      <c r="J411" s="12" t="s">
        <v>948</v>
      </c>
      <c r="K411" s="10" t="s">
        <v>658</v>
      </c>
      <c r="L411" s="30" t="s">
        <v>1641</v>
      </c>
      <c r="M411" s="10" t="s">
        <v>3861</v>
      </c>
    </row>
    <row r="412" customFormat="false" ht="46.25" hidden="false" customHeight="false" outlineLevel="0" collapsed="false">
      <c r="A412" s="12" t="s">
        <v>19</v>
      </c>
      <c r="B412" s="12" t="s">
        <v>114</v>
      </c>
      <c r="C412" s="10" t="s">
        <v>114</v>
      </c>
      <c r="D412" s="12" t="s">
        <v>679</v>
      </c>
      <c r="E412" s="10" t="s">
        <v>1431</v>
      </c>
      <c r="F412" s="12" t="s">
        <v>85</v>
      </c>
      <c r="G412" s="12" t="n">
        <v>5</v>
      </c>
      <c r="H412" s="26" t="n">
        <v>29.97</v>
      </c>
      <c r="I412" s="12" t="s">
        <v>102</v>
      </c>
      <c r="J412" s="12" t="s">
        <v>144</v>
      </c>
      <c r="K412" s="10" t="s">
        <v>658</v>
      </c>
      <c r="L412" s="30" t="s">
        <v>682</v>
      </c>
      <c r="M412" s="10" t="s">
        <v>3550</v>
      </c>
    </row>
    <row r="413" customFormat="false" ht="46.25" hidden="false" customHeight="false" outlineLevel="0" collapsed="false">
      <c r="A413" s="12" t="s">
        <v>19</v>
      </c>
      <c r="B413" s="12" t="s">
        <v>114</v>
      </c>
      <c r="C413" s="10" t="s">
        <v>114</v>
      </c>
      <c r="D413" s="12" t="s">
        <v>831</v>
      </c>
      <c r="E413" s="10" t="s">
        <v>832</v>
      </c>
      <c r="F413" s="12" t="s">
        <v>85</v>
      </c>
      <c r="G413" s="12" t="n">
        <v>5</v>
      </c>
      <c r="H413" s="26" t="n">
        <v>345.31</v>
      </c>
      <c r="I413" s="12" t="s">
        <v>102</v>
      </c>
      <c r="J413" s="12" t="s">
        <v>194</v>
      </c>
      <c r="K413" s="10" t="s">
        <v>658</v>
      </c>
      <c r="L413" s="30" t="s">
        <v>833</v>
      </c>
      <c r="M413" s="10" t="s">
        <v>3599</v>
      </c>
    </row>
    <row r="414" customFormat="false" ht="46.25" hidden="false" customHeight="false" outlineLevel="0" collapsed="false">
      <c r="A414" s="12" t="s">
        <v>19</v>
      </c>
      <c r="B414" s="12" t="s">
        <v>114</v>
      </c>
      <c r="C414" s="10" t="s">
        <v>1600</v>
      </c>
      <c r="D414" s="12" t="s">
        <v>890</v>
      </c>
      <c r="E414" s="10" t="s">
        <v>891</v>
      </c>
      <c r="F414" s="12" t="s">
        <v>85</v>
      </c>
      <c r="G414" s="12" t="n">
        <v>5</v>
      </c>
      <c r="H414" s="26" t="n">
        <v>531.8684</v>
      </c>
      <c r="I414" s="12" t="s">
        <v>77</v>
      </c>
      <c r="J414" s="12" t="s">
        <v>3558</v>
      </c>
      <c r="K414" s="10" t="s">
        <v>658</v>
      </c>
      <c r="L414" s="30" t="s">
        <v>852</v>
      </c>
      <c r="M414" s="10" t="s">
        <v>3862</v>
      </c>
    </row>
    <row r="415" customFormat="false" ht="23.85" hidden="false" customHeight="false" outlineLevel="0" collapsed="false">
      <c r="A415" s="12" t="s">
        <v>19</v>
      </c>
      <c r="B415" s="12" t="s">
        <v>114</v>
      </c>
      <c r="C415" s="10" t="s">
        <v>1670</v>
      </c>
      <c r="D415" s="12" t="s">
        <v>974</v>
      </c>
      <c r="E415" s="10" t="s">
        <v>975</v>
      </c>
      <c r="F415" s="12" t="s">
        <v>85</v>
      </c>
      <c r="G415" s="12" t="n">
        <v>5</v>
      </c>
      <c r="H415" s="26"/>
      <c r="I415" s="12" t="s">
        <v>323</v>
      </c>
      <c r="J415" s="12" t="s">
        <v>323</v>
      </c>
      <c r="K415" s="10" t="s">
        <v>3589</v>
      </c>
      <c r="L415" s="12"/>
      <c r="M415" s="10" t="s">
        <v>3590</v>
      </c>
    </row>
    <row r="416" customFormat="false" ht="46.25" hidden="false" customHeight="false" outlineLevel="0" collapsed="false">
      <c r="A416" s="12" t="s">
        <v>19</v>
      </c>
      <c r="B416" s="12" t="s">
        <v>114</v>
      </c>
      <c r="C416" s="10" t="s">
        <v>1732</v>
      </c>
      <c r="D416" s="12" t="s">
        <v>1214</v>
      </c>
      <c r="E416" s="10" t="s">
        <v>891</v>
      </c>
      <c r="F416" s="12" t="s">
        <v>85</v>
      </c>
      <c r="G416" s="12" t="n">
        <v>5</v>
      </c>
      <c r="H416" s="26" t="n">
        <v>78.71</v>
      </c>
      <c r="I416" s="12" t="s">
        <v>77</v>
      </c>
      <c r="J416" s="12" t="s">
        <v>995</v>
      </c>
      <c r="K416" s="10" t="s">
        <v>658</v>
      </c>
      <c r="L416" s="30" t="s">
        <v>991</v>
      </c>
      <c r="M416" s="10" t="s">
        <v>3863</v>
      </c>
    </row>
    <row r="417" customFormat="false" ht="46.25" hidden="false" customHeight="false" outlineLevel="0" collapsed="false">
      <c r="A417" s="12" t="s">
        <v>19</v>
      </c>
      <c r="B417" s="12" t="s">
        <v>485</v>
      </c>
      <c r="C417" s="10" t="s">
        <v>1702</v>
      </c>
      <c r="D417" s="12" t="s">
        <v>1703</v>
      </c>
      <c r="E417" s="10" t="s">
        <v>1704</v>
      </c>
      <c r="F417" s="12" t="s">
        <v>172</v>
      </c>
      <c r="G417" s="12" t="n">
        <v>3</v>
      </c>
      <c r="H417" s="26" t="n">
        <v>3</v>
      </c>
      <c r="I417" s="12" t="s">
        <v>102</v>
      </c>
      <c r="J417" s="12" t="s">
        <v>194</v>
      </c>
      <c r="K417" s="10" t="s">
        <v>1685</v>
      </c>
      <c r="L417" s="30" t="s">
        <v>1686</v>
      </c>
      <c r="M417" s="10" t="s">
        <v>3864</v>
      </c>
    </row>
    <row r="418" customFormat="false" ht="57.45" hidden="false" customHeight="false" outlineLevel="0" collapsed="false">
      <c r="A418" s="12" t="s">
        <v>19</v>
      </c>
      <c r="B418" s="12" t="s">
        <v>558</v>
      </c>
      <c r="C418" s="10" t="s">
        <v>1601</v>
      </c>
      <c r="D418" s="12" t="s">
        <v>1602</v>
      </c>
      <c r="E418" s="10" t="s">
        <v>1603</v>
      </c>
      <c r="F418" s="12" t="s">
        <v>97</v>
      </c>
      <c r="G418" s="12" t="n">
        <v>1</v>
      </c>
      <c r="H418" s="26" t="n">
        <v>9.831</v>
      </c>
      <c r="I418" s="12" t="s">
        <v>153</v>
      </c>
      <c r="J418" s="12" t="s">
        <v>3547</v>
      </c>
      <c r="K418" s="10" t="s">
        <v>658</v>
      </c>
      <c r="L418" s="30" t="s">
        <v>1604</v>
      </c>
      <c r="M418" s="10" t="s">
        <v>3865</v>
      </c>
    </row>
    <row r="419" customFormat="false" ht="57.45" hidden="false" customHeight="false" outlineLevel="0" collapsed="false">
      <c r="A419" s="12" t="s">
        <v>19</v>
      </c>
      <c r="B419" s="12" t="s">
        <v>368</v>
      </c>
      <c r="C419" s="10" t="s">
        <v>765</v>
      </c>
      <c r="D419" s="12" t="s">
        <v>766</v>
      </c>
      <c r="E419" s="10" t="s">
        <v>1429</v>
      </c>
      <c r="F419" s="12" t="s">
        <v>85</v>
      </c>
      <c r="G419" s="12" t="n">
        <v>3</v>
      </c>
      <c r="H419" s="26" t="n">
        <v>125</v>
      </c>
      <c r="I419" s="12" t="s">
        <v>102</v>
      </c>
      <c r="J419" s="12" t="s">
        <v>144</v>
      </c>
      <c r="K419" s="10" t="s">
        <v>658</v>
      </c>
      <c r="L419" s="30" t="s">
        <v>768</v>
      </c>
      <c r="M419" s="10" t="s">
        <v>3604</v>
      </c>
    </row>
    <row r="420" customFormat="false" ht="35.05" hidden="false" customHeight="false" outlineLevel="0" collapsed="false">
      <c r="A420" s="12" t="s">
        <v>19</v>
      </c>
      <c r="B420" s="12" t="s">
        <v>368</v>
      </c>
      <c r="C420" s="10" t="s">
        <v>1470</v>
      </c>
      <c r="D420" s="12" t="s">
        <v>1471</v>
      </c>
      <c r="E420" s="10" t="s">
        <v>1472</v>
      </c>
      <c r="F420" s="12" t="s">
        <v>85</v>
      </c>
      <c r="G420" s="12" t="n">
        <v>3</v>
      </c>
      <c r="H420" s="26" t="n">
        <v>86.46</v>
      </c>
      <c r="I420" s="12" t="s">
        <v>77</v>
      </c>
      <c r="J420" s="12" t="s">
        <v>194</v>
      </c>
      <c r="K420" s="10" t="s">
        <v>658</v>
      </c>
      <c r="L420" s="30" t="s">
        <v>1473</v>
      </c>
      <c r="M420" s="10" t="s">
        <v>3866</v>
      </c>
    </row>
    <row r="421" customFormat="false" ht="46.25" hidden="false" customHeight="false" outlineLevel="0" collapsed="false">
      <c r="A421" s="12" t="s">
        <v>19</v>
      </c>
      <c r="B421" s="12" t="s">
        <v>368</v>
      </c>
      <c r="C421" s="10" t="s">
        <v>1470</v>
      </c>
      <c r="D421" s="12" t="s">
        <v>1605</v>
      </c>
      <c r="E421" s="10" t="s">
        <v>1606</v>
      </c>
      <c r="F421" s="12" t="s">
        <v>85</v>
      </c>
      <c r="G421" s="12" t="n">
        <v>3</v>
      </c>
      <c r="H421" s="26" t="n">
        <v>93.8126</v>
      </c>
      <c r="I421" s="12" t="s">
        <v>77</v>
      </c>
      <c r="J421" s="12" t="s">
        <v>3558</v>
      </c>
      <c r="K421" s="10" t="s">
        <v>658</v>
      </c>
      <c r="L421" s="30" t="s">
        <v>852</v>
      </c>
      <c r="M421" s="10" t="s">
        <v>3867</v>
      </c>
    </row>
    <row r="422" customFormat="false" ht="79.85" hidden="false" customHeight="false" outlineLevel="0" collapsed="false">
      <c r="A422" s="12" t="s">
        <v>19</v>
      </c>
      <c r="B422" s="12" t="s">
        <v>515</v>
      </c>
      <c r="C422" s="10" t="s">
        <v>1607</v>
      </c>
      <c r="D422" s="12" t="s">
        <v>1608</v>
      </c>
      <c r="E422" s="10" t="s">
        <v>878</v>
      </c>
      <c r="F422" s="12" t="s">
        <v>79</v>
      </c>
      <c r="G422" s="12" t="n">
        <v>5</v>
      </c>
      <c r="H422" s="26" t="n">
        <v>149.0357</v>
      </c>
      <c r="I422" s="12" t="s">
        <v>153</v>
      </c>
      <c r="J422" s="12" t="s">
        <v>3558</v>
      </c>
      <c r="K422" s="10" t="s">
        <v>658</v>
      </c>
      <c r="L422" s="30" t="s">
        <v>852</v>
      </c>
      <c r="M422" s="10" t="s">
        <v>3868</v>
      </c>
    </row>
    <row r="423" customFormat="false" ht="23.85" hidden="false" customHeight="false" outlineLevel="0" collapsed="false">
      <c r="A423" s="12" t="s">
        <v>19</v>
      </c>
      <c r="B423" s="12" t="s">
        <v>508</v>
      </c>
      <c r="C423" s="10" t="s">
        <v>1539</v>
      </c>
      <c r="D423" s="12" t="s">
        <v>1540</v>
      </c>
      <c r="E423" s="10" t="s">
        <v>1541</v>
      </c>
      <c r="F423" s="12" t="s">
        <v>85</v>
      </c>
      <c r="G423" s="12"/>
      <c r="H423" s="26"/>
      <c r="I423" s="12" t="s">
        <v>323</v>
      </c>
      <c r="J423" s="12" t="s">
        <v>323</v>
      </c>
      <c r="K423" s="10" t="s">
        <v>3589</v>
      </c>
      <c r="L423" s="12"/>
      <c r="M423" s="10" t="s">
        <v>3590</v>
      </c>
    </row>
    <row r="424" customFormat="false" ht="35.05" hidden="false" customHeight="false" outlineLevel="0" collapsed="false">
      <c r="A424" s="12" t="s">
        <v>19</v>
      </c>
      <c r="B424" s="12" t="s">
        <v>508</v>
      </c>
      <c r="C424" s="10" t="s">
        <v>1539</v>
      </c>
      <c r="D424" s="12" t="s">
        <v>1566</v>
      </c>
      <c r="E424" s="10" t="s">
        <v>1567</v>
      </c>
      <c r="F424" s="12" t="s">
        <v>85</v>
      </c>
      <c r="G424" s="12" t="n">
        <v>0.25</v>
      </c>
      <c r="H424" s="26" t="n">
        <v>433.9426</v>
      </c>
      <c r="I424" s="12" t="s">
        <v>77</v>
      </c>
      <c r="J424" s="12" t="s">
        <v>3565</v>
      </c>
      <c r="K424" s="10" t="s">
        <v>658</v>
      </c>
      <c r="L424" s="30" t="s">
        <v>1568</v>
      </c>
      <c r="M424" s="10" t="s">
        <v>3869</v>
      </c>
    </row>
    <row r="425" customFormat="false" ht="46.25" hidden="false" customHeight="false" outlineLevel="0" collapsed="false">
      <c r="A425" s="12" t="s">
        <v>19</v>
      </c>
      <c r="B425" s="12" t="s">
        <v>492</v>
      </c>
      <c r="C425" s="10" t="s">
        <v>1683</v>
      </c>
      <c r="D425" s="12" t="s">
        <v>1684</v>
      </c>
      <c r="E425" s="10" t="s">
        <v>1053</v>
      </c>
      <c r="F425" s="12" t="s">
        <v>172</v>
      </c>
      <c r="G425" s="12" t="n">
        <v>5</v>
      </c>
      <c r="H425" s="26" t="n">
        <v>1.08</v>
      </c>
      <c r="I425" s="12" t="s">
        <v>102</v>
      </c>
      <c r="J425" s="12" t="s">
        <v>194</v>
      </c>
      <c r="K425" s="10" t="s">
        <v>1685</v>
      </c>
      <c r="L425" s="30" t="s">
        <v>1686</v>
      </c>
      <c r="M425" s="10" t="s">
        <v>3870</v>
      </c>
    </row>
    <row r="426" customFormat="false" ht="46.25" hidden="false" customHeight="false" outlineLevel="0" collapsed="false">
      <c r="A426" s="12" t="s">
        <v>19</v>
      </c>
      <c r="B426" s="12" t="s">
        <v>492</v>
      </c>
      <c r="C426" s="10" t="s">
        <v>1683</v>
      </c>
      <c r="D426" s="12" t="s">
        <v>1688</v>
      </c>
      <c r="E426" s="10" t="s">
        <v>1196</v>
      </c>
      <c r="F426" s="12" t="s">
        <v>79</v>
      </c>
      <c r="G426" s="12" t="n">
        <v>20</v>
      </c>
      <c r="H426" s="26" t="n">
        <v>1.98</v>
      </c>
      <c r="I426" s="12" t="s">
        <v>102</v>
      </c>
      <c r="J426" s="12" t="s">
        <v>194</v>
      </c>
      <c r="K426" s="10" t="s">
        <v>1685</v>
      </c>
      <c r="L426" s="30" t="s">
        <v>1686</v>
      </c>
      <c r="M426" s="10" t="s">
        <v>3871</v>
      </c>
    </row>
    <row r="427" customFormat="false" ht="46.25" hidden="false" customHeight="false" outlineLevel="0" collapsed="false">
      <c r="A427" s="12" t="s">
        <v>19</v>
      </c>
      <c r="B427" s="12" t="s">
        <v>492</v>
      </c>
      <c r="C427" s="10" t="s">
        <v>1689</v>
      </c>
      <c r="D427" s="12" t="s">
        <v>1690</v>
      </c>
      <c r="E427" s="10" t="s">
        <v>1691</v>
      </c>
      <c r="F427" s="12" t="s">
        <v>172</v>
      </c>
      <c r="G427" s="12" t="n">
        <v>2</v>
      </c>
      <c r="H427" s="26" t="n">
        <v>0.75</v>
      </c>
      <c r="I427" s="12" t="s">
        <v>102</v>
      </c>
      <c r="J427" s="12" t="s">
        <v>194</v>
      </c>
      <c r="K427" s="10" t="s">
        <v>1685</v>
      </c>
      <c r="L427" s="30" t="s">
        <v>1686</v>
      </c>
      <c r="M427" s="10" t="s">
        <v>3872</v>
      </c>
    </row>
    <row r="428" customFormat="false" ht="46.25" hidden="false" customHeight="false" outlineLevel="0" collapsed="false">
      <c r="A428" s="12" t="s">
        <v>19</v>
      </c>
      <c r="B428" s="12" t="s">
        <v>492</v>
      </c>
      <c r="C428" s="10" t="s">
        <v>1689</v>
      </c>
      <c r="D428" s="12" t="s">
        <v>1692</v>
      </c>
      <c r="E428" s="10" t="s">
        <v>1196</v>
      </c>
      <c r="F428" s="12" t="s">
        <v>79</v>
      </c>
      <c r="G428" s="12" t="n">
        <v>20</v>
      </c>
      <c r="H428" s="26" t="n">
        <v>1.85</v>
      </c>
      <c r="I428" s="12" t="s">
        <v>102</v>
      </c>
      <c r="J428" s="12" t="s">
        <v>194</v>
      </c>
      <c r="K428" s="10" t="s">
        <v>1685</v>
      </c>
      <c r="L428" s="30" t="s">
        <v>1686</v>
      </c>
      <c r="M428" s="10" t="s">
        <v>3873</v>
      </c>
    </row>
    <row r="429" customFormat="false" ht="23.85" hidden="false" customHeight="false" outlineLevel="0" collapsed="false">
      <c r="A429" s="12" t="s">
        <v>19</v>
      </c>
      <c r="B429" s="12" t="s">
        <v>128</v>
      </c>
      <c r="C429" s="10" t="s">
        <v>128</v>
      </c>
      <c r="D429" s="12" t="s">
        <v>1245</v>
      </c>
      <c r="E429" s="10" t="s">
        <v>1504</v>
      </c>
      <c r="F429" s="12" t="s">
        <v>79</v>
      </c>
      <c r="G429" s="12" t="n">
        <v>1</v>
      </c>
      <c r="H429" s="26"/>
      <c r="I429" s="12" t="s">
        <v>323</v>
      </c>
      <c r="J429" s="12" t="s">
        <v>323</v>
      </c>
      <c r="K429" s="10" t="s">
        <v>3589</v>
      </c>
      <c r="L429" s="12"/>
      <c r="M429" s="10" t="s">
        <v>3590</v>
      </c>
    </row>
    <row r="430" customFormat="false" ht="79.85" hidden="false" customHeight="false" outlineLevel="0" collapsed="false">
      <c r="A430" s="12" t="s">
        <v>19</v>
      </c>
      <c r="B430" s="12" t="s">
        <v>128</v>
      </c>
      <c r="C430" s="10" t="s">
        <v>1610</v>
      </c>
      <c r="D430" s="12" t="s">
        <v>893</v>
      </c>
      <c r="E430" s="10" t="s">
        <v>1246</v>
      </c>
      <c r="F430" s="12" t="s">
        <v>79</v>
      </c>
      <c r="G430" s="12" t="n">
        <v>10</v>
      </c>
      <c r="H430" s="26" t="n">
        <v>147.804</v>
      </c>
      <c r="I430" s="12" t="s">
        <v>153</v>
      </c>
      <c r="J430" s="12" t="s">
        <v>3730</v>
      </c>
      <c r="K430" s="10" t="s">
        <v>658</v>
      </c>
      <c r="L430" s="30" t="s">
        <v>1388</v>
      </c>
      <c r="M430" s="10" t="s">
        <v>3874</v>
      </c>
    </row>
    <row r="431" customFormat="false" ht="35.05" hidden="false" customHeight="false" outlineLevel="0" collapsed="false">
      <c r="A431" s="12" t="s">
        <v>19</v>
      </c>
      <c r="B431" s="12" t="s">
        <v>289</v>
      </c>
      <c r="C431" s="10" t="s">
        <v>289</v>
      </c>
      <c r="D431" s="12" t="s">
        <v>838</v>
      </c>
      <c r="E431" s="10" t="s">
        <v>1210</v>
      </c>
      <c r="F431" s="12" t="s">
        <v>79</v>
      </c>
      <c r="G431" s="12" t="n">
        <v>2</v>
      </c>
      <c r="H431" s="26" t="n">
        <v>96.02</v>
      </c>
      <c r="I431" s="12" t="s">
        <v>77</v>
      </c>
      <c r="J431" s="12" t="s">
        <v>194</v>
      </c>
      <c r="K431" s="10" t="s">
        <v>658</v>
      </c>
      <c r="L431" s="30" t="s">
        <v>1502</v>
      </c>
      <c r="M431" s="10" t="s">
        <v>3875</v>
      </c>
    </row>
    <row r="432" customFormat="false" ht="15" hidden="false" customHeight="false" outlineLevel="0" collapsed="false">
      <c r="A432" s="12" t="s">
        <v>19</v>
      </c>
      <c r="B432" s="12" t="s">
        <v>289</v>
      </c>
      <c r="C432" s="10" t="s">
        <v>289</v>
      </c>
      <c r="D432" s="12" t="s">
        <v>838</v>
      </c>
      <c r="E432" s="10" t="s">
        <v>1634</v>
      </c>
      <c r="F432" s="12" t="s">
        <v>79</v>
      </c>
      <c r="G432" s="12" t="n">
        <v>2</v>
      </c>
      <c r="H432" s="26" t="n">
        <v>11.2</v>
      </c>
      <c r="I432" s="12" t="s">
        <v>77</v>
      </c>
      <c r="J432" s="12" t="s">
        <v>948</v>
      </c>
      <c r="K432" s="10" t="s">
        <v>658</v>
      </c>
      <c r="L432" s="30" t="s">
        <v>927</v>
      </c>
      <c r="M432" s="10" t="s">
        <v>3876</v>
      </c>
    </row>
    <row r="433" customFormat="false" ht="23.85" hidden="false" customHeight="false" outlineLevel="0" collapsed="false">
      <c r="A433" s="12" t="s">
        <v>19</v>
      </c>
      <c r="B433" s="12" t="s">
        <v>289</v>
      </c>
      <c r="C433" s="10" t="s">
        <v>289</v>
      </c>
      <c r="D433" s="12" t="s">
        <v>838</v>
      </c>
      <c r="E433" s="10" t="s">
        <v>1642</v>
      </c>
      <c r="F433" s="12" t="s">
        <v>79</v>
      </c>
      <c r="G433" s="12" t="n">
        <v>2</v>
      </c>
      <c r="H433" s="26" t="n">
        <v>6.244</v>
      </c>
      <c r="I433" s="12" t="s">
        <v>77</v>
      </c>
      <c r="J433" s="12" t="s">
        <v>948</v>
      </c>
      <c r="K433" s="10" t="s">
        <v>658</v>
      </c>
      <c r="L433" s="30" t="s">
        <v>1643</v>
      </c>
      <c r="M433" s="10" t="s">
        <v>3877</v>
      </c>
    </row>
    <row r="434" customFormat="false" ht="23.85" hidden="false" customHeight="false" outlineLevel="0" collapsed="false">
      <c r="A434" s="12" t="s">
        <v>19</v>
      </c>
      <c r="B434" s="12" t="s">
        <v>289</v>
      </c>
      <c r="C434" s="10" t="s">
        <v>289</v>
      </c>
      <c r="D434" s="12" t="s">
        <v>838</v>
      </c>
      <c r="E434" s="10" t="s">
        <v>1646</v>
      </c>
      <c r="F434" s="12" t="s">
        <v>79</v>
      </c>
      <c r="G434" s="12" t="n">
        <v>20</v>
      </c>
      <c r="H434" s="26" t="n">
        <v>87.5</v>
      </c>
      <c r="I434" s="12" t="s">
        <v>77</v>
      </c>
      <c r="J434" s="12" t="s">
        <v>948</v>
      </c>
      <c r="K434" s="10" t="s">
        <v>658</v>
      </c>
      <c r="L434" s="30" t="s">
        <v>944</v>
      </c>
      <c r="M434" s="10" t="s">
        <v>3878</v>
      </c>
    </row>
    <row r="435" customFormat="false" ht="23.85" hidden="false" customHeight="false" outlineLevel="0" collapsed="false">
      <c r="A435" s="12" t="s">
        <v>19</v>
      </c>
      <c r="B435" s="12" t="s">
        <v>289</v>
      </c>
      <c r="C435" s="10" t="s">
        <v>289</v>
      </c>
      <c r="D435" s="12" t="s">
        <v>838</v>
      </c>
      <c r="E435" s="10" t="s">
        <v>1647</v>
      </c>
      <c r="F435" s="12" t="s">
        <v>79</v>
      </c>
      <c r="G435" s="12" t="n">
        <v>40</v>
      </c>
      <c r="H435" s="26" t="n">
        <v>157.5</v>
      </c>
      <c r="I435" s="12" t="s">
        <v>77</v>
      </c>
      <c r="J435" s="12" t="s">
        <v>948</v>
      </c>
      <c r="K435" s="10" t="s">
        <v>658</v>
      </c>
      <c r="L435" s="30" t="s">
        <v>944</v>
      </c>
      <c r="M435" s="10" t="s">
        <v>3879</v>
      </c>
    </row>
    <row r="436" customFormat="false" ht="15" hidden="false" customHeight="false" outlineLevel="0" collapsed="false">
      <c r="A436" s="12" t="s">
        <v>19</v>
      </c>
      <c r="B436" s="12" t="s">
        <v>289</v>
      </c>
      <c r="C436" s="10" t="s">
        <v>1648</v>
      </c>
      <c r="D436" s="12" t="s">
        <v>1649</v>
      </c>
      <c r="E436" s="10" t="s">
        <v>1650</v>
      </c>
      <c r="F436" s="12" t="s">
        <v>85</v>
      </c>
      <c r="G436" s="12" t="n">
        <v>0.2</v>
      </c>
      <c r="H436" s="26" t="n">
        <v>10.374</v>
      </c>
      <c r="I436" s="12" t="s">
        <v>77</v>
      </c>
      <c r="J436" s="12" t="s">
        <v>948</v>
      </c>
      <c r="K436" s="10" t="s">
        <v>658</v>
      </c>
      <c r="L436" s="30" t="s">
        <v>1651</v>
      </c>
      <c r="M436" s="10" t="s">
        <v>3880</v>
      </c>
    </row>
    <row r="437" customFormat="false" ht="15" hidden="false" customHeight="false" outlineLevel="0" collapsed="false">
      <c r="A437" s="12" t="s">
        <v>19</v>
      </c>
      <c r="B437" s="12" t="s">
        <v>289</v>
      </c>
      <c r="C437" s="10" t="s">
        <v>1648</v>
      </c>
      <c r="D437" s="12" t="s">
        <v>1652</v>
      </c>
      <c r="E437" s="10" t="s">
        <v>1653</v>
      </c>
      <c r="F437" s="12" t="s">
        <v>85</v>
      </c>
      <c r="G437" s="12" t="n">
        <v>0.25</v>
      </c>
      <c r="H437" s="26" t="n">
        <v>10.92</v>
      </c>
      <c r="I437" s="12" t="s">
        <v>77</v>
      </c>
      <c r="J437" s="12" t="s">
        <v>948</v>
      </c>
      <c r="K437" s="10" t="s">
        <v>658</v>
      </c>
      <c r="L437" s="30" t="s">
        <v>1654</v>
      </c>
      <c r="M437" s="10" t="s">
        <v>3881</v>
      </c>
    </row>
    <row r="438" customFormat="false" ht="46.25" hidden="false" customHeight="false" outlineLevel="0" collapsed="false">
      <c r="A438" s="12" t="s">
        <v>19</v>
      </c>
      <c r="B438" s="12" t="s">
        <v>289</v>
      </c>
      <c r="C438" s="10" t="s">
        <v>1715</v>
      </c>
      <c r="D438" s="12" t="s">
        <v>1698</v>
      </c>
      <c r="E438" s="10" t="s">
        <v>1716</v>
      </c>
      <c r="F438" s="12" t="s">
        <v>79</v>
      </c>
      <c r="G438" s="12" t="n">
        <v>10</v>
      </c>
      <c r="H438" s="26" t="n">
        <v>26.369</v>
      </c>
      <c r="I438" s="12" t="s">
        <v>102</v>
      </c>
      <c r="J438" s="12" t="s">
        <v>1044</v>
      </c>
      <c r="K438" s="10" t="s">
        <v>658</v>
      </c>
      <c r="L438" s="30" t="s">
        <v>983</v>
      </c>
      <c r="M438" s="10" t="s">
        <v>3882</v>
      </c>
    </row>
    <row r="439" customFormat="false" ht="15" hidden="false" customHeight="false" outlineLevel="0" collapsed="false">
      <c r="A439" s="12" t="s">
        <v>19</v>
      </c>
      <c r="B439" s="12" t="s">
        <v>542</v>
      </c>
      <c r="C439" s="10" t="s">
        <v>1675</v>
      </c>
      <c r="D439" s="12" t="s">
        <v>1676</v>
      </c>
      <c r="E439" s="10" t="s">
        <v>1677</v>
      </c>
      <c r="F439" s="12" t="s">
        <v>85</v>
      </c>
      <c r="G439" s="12" t="n">
        <v>10</v>
      </c>
      <c r="H439" s="26" t="n">
        <v>17.5</v>
      </c>
      <c r="I439" s="12" t="s">
        <v>102</v>
      </c>
      <c r="J439" s="12" t="s">
        <v>1044</v>
      </c>
      <c r="K439" s="10" t="s">
        <v>658</v>
      </c>
      <c r="L439" s="30" t="s">
        <v>1678</v>
      </c>
      <c r="M439" s="10" t="s">
        <v>3672</v>
      </c>
    </row>
    <row r="440" customFormat="false" ht="23.85" hidden="false" customHeight="false" outlineLevel="0" collapsed="false">
      <c r="A440" s="12" t="s">
        <v>19</v>
      </c>
      <c r="B440" s="12" t="s">
        <v>542</v>
      </c>
      <c r="C440" s="10" t="s">
        <v>1675</v>
      </c>
      <c r="D440" s="12" t="s">
        <v>1680</v>
      </c>
      <c r="E440" s="10" t="s">
        <v>1681</v>
      </c>
      <c r="F440" s="12" t="s">
        <v>85</v>
      </c>
      <c r="G440" s="12" t="n">
        <v>5</v>
      </c>
      <c r="H440" s="26"/>
      <c r="I440" s="12" t="s">
        <v>323</v>
      </c>
      <c r="J440" s="12" t="s">
        <v>323</v>
      </c>
      <c r="K440" s="10" t="s">
        <v>3589</v>
      </c>
      <c r="L440" s="12"/>
      <c r="M440" s="10" t="s">
        <v>3590</v>
      </c>
    </row>
    <row r="441" customFormat="false" ht="57.45" hidden="false" customHeight="false" outlineLevel="0" collapsed="false">
      <c r="A441" s="12" t="s">
        <v>19</v>
      </c>
      <c r="B441" s="12" t="s">
        <v>542</v>
      </c>
      <c r="C441" s="10" t="s">
        <v>1721</v>
      </c>
      <c r="D441" s="12" t="s">
        <v>1722</v>
      </c>
      <c r="E441" s="10" t="s">
        <v>1704</v>
      </c>
      <c r="F441" s="12" t="s">
        <v>172</v>
      </c>
      <c r="G441" s="12" t="n">
        <v>3</v>
      </c>
      <c r="H441" s="26" t="n">
        <v>5.152</v>
      </c>
      <c r="I441" s="12" t="s">
        <v>102</v>
      </c>
      <c r="J441" s="12" t="s">
        <v>1044</v>
      </c>
      <c r="K441" s="10" t="s">
        <v>658</v>
      </c>
      <c r="L441" s="30" t="s">
        <v>976</v>
      </c>
      <c r="M441" s="10" t="s">
        <v>3883</v>
      </c>
    </row>
    <row r="442" customFormat="false" ht="35.05" hidden="false" customHeight="false" outlineLevel="0" collapsed="false">
      <c r="A442" s="12" t="s">
        <v>19</v>
      </c>
      <c r="B442" s="12" t="s">
        <v>151</v>
      </c>
      <c r="C442" s="10" t="s">
        <v>151</v>
      </c>
      <c r="D442" s="12" t="s">
        <v>842</v>
      </c>
      <c r="E442" s="10" t="s">
        <v>1239</v>
      </c>
      <c r="F442" s="12" t="s">
        <v>79</v>
      </c>
      <c r="G442" s="12"/>
      <c r="H442" s="26" t="n">
        <v>100.33</v>
      </c>
      <c r="I442" s="12" t="s">
        <v>77</v>
      </c>
      <c r="J442" s="12" t="s">
        <v>194</v>
      </c>
      <c r="K442" s="10" t="s">
        <v>658</v>
      </c>
      <c r="L442" s="30" t="s">
        <v>1500</v>
      </c>
      <c r="M442" s="10" t="s">
        <v>3884</v>
      </c>
    </row>
    <row r="443" customFormat="false" ht="35.05" hidden="false" customHeight="false" outlineLevel="0" collapsed="false">
      <c r="A443" s="12" t="s">
        <v>19</v>
      </c>
      <c r="B443" s="12" t="s">
        <v>151</v>
      </c>
      <c r="C443" s="10" t="s">
        <v>1611</v>
      </c>
      <c r="D443" s="12" t="s">
        <v>1612</v>
      </c>
      <c r="E443" s="10" t="s">
        <v>1613</v>
      </c>
      <c r="F443" s="12" t="s">
        <v>79</v>
      </c>
      <c r="G443" s="12"/>
      <c r="H443" s="26" t="n">
        <v>27.9449</v>
      </c>
      <c r="I443" s="12" t="s">
        <v>102</v>
      </c>
      <c r="J443" s="12" t="s">
        <v>3558</v>
      </c>
      <c r="K443" s="10" t="s">
        <v>658</v>
      </c>
      <c r="L443" s="30" t="s">
        <v>852</v>
      </c>
      <c r="M443" s="10" t="s">
        <v>3885</v>
      </c>
    </row>
    <row r="444" customFormat="false" ht="15" hidden="false" customHeight="false" outlineLevel="0" collapsed="false">
      <c r="A444" s="12" t="s">
        <v>19</v>
      </c>
      <c r="B444" s="12" t="s">
        <v>151</v>
      </c>
      <c r="C444" s="10" t="s">
        <v>151</v>
      </c>
      <c r="D444" s="12" t="s">
        <v>1644</v>
      </c>
      <c r="E444" s="10" t="s">
        <v>1645</v>
      </c>
      <c r="F444" s="12" t="s">
        <v>79</v>
      </c>
      <c r="G444" s="12"/>
      <c r="H444" s="26" t="n">
        <v>264.04</v>
      </c>
      <c r="I444" s="12" t="s">
        <v>102</v>
      </c>
      <c r="J444" s="12" t="s">
        <v>948</v>
      </c>
      <c r="K444" s="10" t="s">
        <v>658</v>
      </c>
      <c r="L444" s="30" t="s">
        <v>936</v>
      </c>
      <c r="M444" s="10" t="s">
        <v>3886</v>
      </c>
    </row>
    <row r="445" customFormat="false" ht="46.25" hidden="false" customHeight="false" outlineLevel="0" collapsed="false">
      <c r="A445" s="12" t="s">
        <v>19</v>
      </c>
      <c r="B445" s="12" t="s">
        <v>530</v>
      </c>
      <c r="C445" s="10" t="s">
        <v>1614</v>
      </c>
      <c r="D445" s="12" t="s">
        <v>877</v>
      </c>
      <c r="E445" s="10" t="s">
        <v>878</v>
      </c>
      <c r="F445" s="12" t="s">
        <v>79</v>
      </c>
      <c r="G445" s="12" t="n">
        <v>5</v>
      </c>
      <c r="H445" s="26" t="n">
        <v>122.2095</v>
      </c>
      <c r="I445" s="12" t="s">
        <v>153</v>
      </c>
      <c r="J445" s="12" t="s">
        <v>3558</v>
      </c>
      <c r="K445" s="10" t="s">
        <v>658</v>
      </c>
      <c r="L445" s="30" t="s">
        <v>852</v>
      </c>
      <c r="M445" s="10" t="s">
        <v>3887</v>
      </c>
    </row>
    <row r="446" customFormat="false" ht="23.85" hidden="false" customHeight="false" outlineLevel="0" collapsed="false">
      <c r="A446" s="12" t="s">
        <v>19</v>
      </c>
      <c r="B446" s="12" t="s">
        <v>374</v>
      </c>
      <c r="C446" s="10" t="s">
        <v>731</v>
      </c>
      <c r="D446" s="12" t="s">
        <v>735</v>
      </c>
      <c r="E446" s="10"/>
      <c r="F446" s="12" t="s">
        <v>97</v>
      </c>
      <c r="G446" s="12"/>
      <c r="H446" s="26"/>
      <c r="I446" s="12" t="s">
        <v>323</v>
      </c>
      <c r="J446" s="12" t="s">
        <v>323</v>
      </c>
      <c r="K446" s="10" t="s">
        <v>3589</v>
      </c>
      <c r="L446" s="12"/>
      <c r="M446" s="10" t="s">
        <v>3590</v>
      </c>
    </row>
    <row r="447" customFormat="false" ht="23.85" hidden="false" customHeight="false" outlineLevel="0" collapsed="false">
      <c r="A447" s="12" t="s">
        <v>19</v>
      </c>
      <c r="B447" s="12" t="s">
        <v>374</v>
      </c>
      <c r="C447" s="10" t="s">
        <v>731</v>
      </c>
      <c r="D447" s="12" t="s">
        <v>732</v>
      </c>
      <c r="E447" s="10"/>
      <c r="F447" s="12" t="s">
        <v>97</v>
      </c>
      <c r="G447" s="12"/>
      <c r="H447" s="26"/>
      <c r="I447" s="12" t="s">
        <v>323</v>
      </c>
      <c r="J447" s="12" t="s">
        <v>323</v>
      </c>
      <c r="K447" s="10" t="s">
        <v>3589</v>
      </c>
      <c r="L447" s="12"/>
      <c r="M447" s="10" t="s">
        <v>3590</v>
      </c>
    </row>
    <row r="448" customFormat="false" ht="46.25" hidden="false" customHeight="false" outlineLevel="0" collapsed="false">
      <c r="A448" s="12" t="s">
        <v>19</v>
      </c>
      <c r="B448" s="12" t="s">
        <v>374</v>
      </c>
      <c r="C448" s="10" t="s">
        <v>374</v>
      </c>
      <c r="D448" s="12" t="s">
        <v>1497</v>
      </c>
      <c r="E448" s="10" t="s">
        <v>1498</v>
      </c>
      <c r="F448" s="12" t="s">
        <v>85</v>
      </c>
      <c r="G448" s="12"/>
      <c r="H448" s="26" t="n">
        <v>5.42</v>
      </c>
      <c r="I448" s="12" t="s">
        <v>102</v>
      </c>
      <c r="J448" s="12" t="s">
        <v>194</v>
      </c>
      <c r="K448" s="10" t="s">
        <v>658</v>
      </c>
      <c r="L448" s="30" t="s">
        <v>1499</v>
      </c>
      <c r="M448" s="10" t="s">
        <v>3888</v>
      </c>
    </row>
    <row r="449" customFormat="false" ht="46.25" hidden="false" customHeight="false" outlineLevel="0" collapsed="false">
      <c r="A449" s="12" t="s">
        <v>19</v>
      </c>
      <c r="B449" s="12" t="s">
        <v>210</v>
      </c>
      <c r="C449" s="10" t="s">
        <v>1421</v>
      </c>
      <c r="D449" s="12" t="s">
        <v>1422</v>
      </c>
      <c r="E449" s="10" t="s">
        <v>1423</v>
      </c>
      <c r="F449" s="12" t="s">
        <v>79</v>
      </c>
      <c r="G449" s="12" t="n">
        <v>20</v>
      </c>
      <c r="H449" s="26" t="n">
        <v>6.32</v>
      </c>
      <c r="I449" s="12" t="s">
        <v>102</v>
      </c>
      <c r="J449" s="12" t="s">
        <v>144</v>
      </c>
      <c r="K449" s="10" t="s">
        <v>658</v>
      </c>
      <c r="L449" s="30" t="s">
        <v>1424</v>
      </c>
      <c r="M449" s="10" t="s">
        <v>3889</v>
      </c>
    </row>
    <row r="450" customFormat="false" ht="35.05" hidden="false" customHeight="false" outlineLevel="0" collapsed="false">
      <c r="A450" s="12" t="s">
        <v>19</v>
      </c>
      <c r="B450" s="12" t="s">
        <v>210</v>
      </c>
      <c r="C450" s="10" t="s">
        <v>210</v>
      </c>
      <c r="D450" s="12" t="s">
        <v>1494</v>
      </c>
      <c r="E450" s="10" t="s">
        <v>1495</v>
      </c>
      <c r="F450" s="12" t="s">
        <v>85</v>
      </c>
      <c r="G450" s="12" t="n">
        <v>4</v>
      </c>
      <c r="H450" s="26" t="n">
        <v>79.25</v>
      </c>
      <c r="I450" s="12" t="s">
        <v>77</v>
      </c>
      <c r="J450" s="12" t="s">
        <v>194</v>
      </c>
      <c r="K450" s="10" t="s">
        <v>658</v>
      </c>
      <c r="L450" s="30" t="s">
        <v>1496</v>
      </c>
      <c r="M450" s="10" t="s">
        <v>3890</v>
      </c>
    </row>
    <row r="451" customFormat="false" ht="46.25" hidden="false" customHeight="false" outlineLevel="0" collapsed="false">
      <c r="A451" s="12" t="s">
        <v>19</v>
      </c>
      <c r="B451" s="12" t="s">
        <v>210</v>
      </c>
      <c r="C451" s="10" t="s">
        <v>1616</v>
      </c>
      <c r="D451" s="12" t="s">
        <v>907</v>
      </c>
      <c r="E451" s="10" t="s">
        <v>908</v>
      </c>
      <c r="F451" s="12" t="s">
        <v>172</v>
      </c>
      <c r="G451" s="12" t="n">
        <v>2</v>
      </c>
      <c r="H451" s="26" t="n">
        <v>5.3223</v>
      </c>
      <c r="I451" s="12" t="s">
        <v>77</v>
      </c>
      <c r="J451" s="12" t="s">
        <v>3558</v>
      </c>
      <c r="K451" s="10" t="s">
        <v>658</v>
      </c>
      <c r="L451" s="30" t="s">
        <v>852</v>
      </c>
      <c r="M451" s="10" t="s">
        <v>3891</v>
      </c>
    </row>
    <row r="452" customFormat="false" ht="46.25" hidden="false" customHeight="false" outlineLevel="0" collapsed="false">
      <c r="A452" s="12" t="s">
        <v>19</v>
      </c>
      <c r="B452" s="12" t="s">
        <v>210</v>
      </c>
      <c r="C452" s="10" t="s">
        <v>1616</v>
      </c>
      <c r="D452" s="12" t="s">
        <v>907</v>
      </c>
      <c r="E452" s="10" t="s">
        <v>908</v>
      </c>
      <c r="F452" s="12" t="s">
        <v>172</v>
      </c>
      <c r="G452" s="12" t="n">
        <v>2</v>
      </c>
      <c r="H452" s="26" t="n">
        <v>5.3223</v>
      </c>
      <c r="I452" s="12" t="s">
        <v>77</v>
      </c>
      <c r="J452" s="12" t="s">
        <v>3558</v>
      </c>
      <c r="K452" s="10" t="s">
        <v>658</v>
      </c>
      <c r="L452" s="30" t="s">
        <v>852</v>
      </c>
      <c r="M452" s="10" t="s">
        <v>3891</v>
      </c>
    </row>
    <row r="453" customFormat="false" ht="23.85" hidden="false" customHeight="false" outlineLevel="0" collapsed="false">
      <c r="A453" s="12" t="s">
        <v>19</v>
      </c>
      <c r="B453" s="12" t="s">
        <v>210</v>
      </c>
      <c r="C453" s="10" t="s">
        <v>1616</v>
      </c>
      <c r="D453" s="12" t="s">
        <v>1672</v>
      </c>
      <c r="E453" s="10" t="s">
        <v>1664</v>
      </c>
      <c r="F453" s="12" t="s">
        <v>85</v>
      </c>
      <c r="G453" s="12" t="n">
        <v>2</v>
      </c>
      <c r="H453" s="26"/>
      <c r="I453" s="12" t="s">
        <v>323</v>
      </c>
      <c r="J453" s="12" t="s">
        <v>323</v>
      </c>
      <c r="K453" s="10" t="s">
        <v>3589</v>
      </c>
      <c r="L453" s="12"/>
      <c r="M453" s="10" t="s">
        <v>3590</v>
      </c>
    </row>
    <row r="454" customFormat="false" ht="23.85" hidden="false" customHeight="false" outlineLevel="0" collapsed="false">
      <c r="A454" s="12" t="s">
        <v>19</v>
      </c>
      <c r="B454" s="12" t="s">
        <v>210</v>
      </c>
      <c r="C454" s="10" t="s">
        <v>1616</v>
      </c>
      <c r="D454" s="12" t="s">
        <v>1673</v>
      </c>
      <c r="E454" s="10" t="s">
        <v>1674</v>
      </c>
      <c r="F454" s="12" t="s">
        <v>85</v>
      </c>
      <c r="G454" s="12" t="n">
        <v>4</v>
      </c>
      <c r="H454" s="26"/>
      <c r="I454" s="12" t="s">
        <v>323</v>
      </c>
      <c r="J454" s="12" t="s">
        <v>323</v>
      </c>
      <c r="K454" s="10" t="s">
        <v>3589</v>
      </c>
      <c r="L454" s="12"/>
      <c r="M454" s="10" t="s">
        <v>3590</v>
      </c>
    </row>
    <row r="455" customFormat="false" ht="23.85" hidden="false" customHeight="false" outlineLevel="0" collapsed="false">
      <c r="A455" s="12" t="s">
        <v>19</v>
      </c>
      <c r="B455" s="12" t="s">
        <v>100</v>
      </c>
      <c r="C455" s="10" t="s">
        <v>100</v>
      </c>
      <c r="D455" s="12" t="s">
        <v>1637</v>
      </c>
      <c r="E455" s="10" t="s">
        <v>1638</v>
      </c>
      <c r="F455" s="12" t="s">
        <v>79</v>
      </c>
      <c r="G455" s="12" t="n">
        <v>5</v>
      </c>
      <c r="H455" s="26" t="n">
        <v>261.8</v>
      </c>
      <c r="I455" s="12" t="s">
        <v>102</v>
      </c>
      <c r="J455" s="12" t="s">
        <v>948</v>
      </c>
      <c r="K455" s="10" t="s">
        <v>658</v>
      </c>
      <c r="L455" s="30" t="s">
        <v>936</v>
      </c>
      <c r="M455" s="10" t="s">
        <v>3892</v>
      </c>
    </row>
    <row r="456" customFormat="false" ht="35.05" hidden="false" customHeight="false" outlineLevel="0" collapsed="false">
      <c r="A456" s="12" t="s">
        <v>19</v>
      </c>
      <c r="B456" s="12" t="s">
        <v>400</v>
      </c>
      <c r="C456" s="10" t="s">
        <v>1474</v>
      </c>
      <c r="D456" s="12" t="s">
        <v>1475</v>
      </c>
      <c r="E456" s="10" t="s">
        <v>1476</v>
      </c>
      <c r="F456" s="12" t="s">
        <v>79</v>
      </c>
      <c r="G456" s="12" t="n">
        <v>6</v>
      </c>
      <c r="H456" s="26" t="n">
        <v>70.2</v>
      </c>
      <c r="I456" s="12" t="s">
        <v>77</v>
      </c>
      <c r="J456" s="12" t="s">
        <v>194</v>
      </c>
      <c r="K456" s="10" t="s">
        <v>658</v>
      </c>
      <c r="L456" s="30" t="s">
        <v>1477</v>
      </c>
      <c r="M456" s="10" t="s">
        <v>3893</v>
      </c>
    </row>
    <row r="457" customFormat="false" ht="46.25" hidden="false" customHeight="false" outlineLevel="0" collapsed="false">
      <c r="A457" s="12" t="s">
        <v>19</v>
      </c>
      <c r="B457" s="12" t="s">
        <v>400</v>
      </c>
      <c r="C457" s="10" t="s">
        <v>1474</v>
      </c>
      <c r="D457" s="12" t="s">
        <v>1182</v>
      </c>
      <c r="E457" s="10" t="s">
        <v>878</v>
      </c>
      <c r="F457" s="12" t="s">
        <v>79</v>
      </c>
      <c r="G457" s="12" t="n">
        <v>5</v>
      </c>
      <c r="H457" s="26" t="n">
        <v>96.9427</v>
      </c>
      <c r="I457" s="12" t="s">
        <v>77</v>
      </c>
      <c r="J457" s="12" t="s">
        <v>3558</v>
      </c>
      <c r="K457" s="10" t="s">
        <v>658</v>
      </c>
      <c r="L457" s="30" t="s">
        <v>852</v>
      </c>
      <c r="M457" s="10" t="s">
        <v>3894</v>
      </c>
    </row>
    <row r="458" customFormat="false" ht="46.25" hidden="false" customHeight="false" outlineLevel="0" collapsed="false">
      <c r="A458" s="12" t="s">
        <v>19</v>
      </c>
      <c r="B458" s="12" t="s">
        <v>400</v>
      </c>
      <c r="C458" s="10" t="s">
        <v>1733</v>
      </c>
      <c r="D458" s="12" t="s">
        <v>1410</v>
      </c>
      <c r="E458" s="10" t="s">
        <v>878</v>
      </c>
      <c r="F458" s="12" t="s">
        <v>79</v>
      </c>
      <c r="G458" s="12" t="n">
        <v>5</v>
      </c>
      <c r="H458" s="26" t="n">
        <v>15.39</v>
      </c>
      <c r="I458" s="12" t="s">
        <v>77</v>
      </c>
      <c r="J458" s="12" t="s">
        <v>995</v>
      </c>
      <c r="K458" s="10" t="s">
        <v>658</v>
      </c>
      <c r="L458" s="30" t="s">
        <v>991</v>
      </c>
      <c r="M458" s="10" t="s">
        <v>3895</v>
      </c>
    </row>
    <row r="459" customFormat="false" ht="35.05" hidden="false" customHeight="false" outlineLevel="0" collapsed="false">
      <c r="A459" s="12" t="s">
        <v>19</v>
      </c>
      <c r="B459" s="12" t="s">
        <v>180</v>
      </c>
      <c r="C459" s="10" t="s">
        <v>180</v>
      </c>
      <c r="D459" s="12" t="s">
        <v>842</v>
      </c>
      <c r="E459" s="10" t="s">
        <v>843</v>
      </c>
      <c r="F459" s="12" t="s">
        <v>79</v>
      </c>
      <c r="G459" s="12"/>
      <c r="H459" s="26" t="n">
        <v>6.61</v>
      </c>
      <c r="I459" s="12" t="s">
        <v>102</v>
      </c>
      <c r="J459" s="12" t="s">
        <v>194</v>
      </c>
      <c r="K459" s="10" t="s">
        <v>658</v>
      </c>
      <c r="L459" s="30" t="s">
        <v>844</v>
      </c>
      <c r="M459" s="10" t="s">
        <v>3628</v>
      </c>
    </row>
    <row r="460" customFormat="false" ht="46.25" hidden="false" customHeight="false" outlineLevel="0" collapsed="false">
      <c r="A460" s="12" t="s">
        <v>19</v>
      </c>
      <c r="B460" s="12" t="s">
        <v>180</v>
      </c>
      <c r="C460" s="10" t="s">
        <v>1617</v>
      </c>
      <c r="D460" s="12" t="s">
        <v>1273</v>
      </c>
      <c r="E460" s="10" t="s">
        <v>1239</v>
      </c>
      <c r="F460" s="12" t="s">
        <v>79</v>
      </c>
      <c r="G460" s="12"/>
      <c r="H460" s="26" t="n">
        <v>5.5596</v>
      </c>
      <c r="I460" s="12" t="s">
        <v>153</v>
      </c>
      <c r="J460" s="12" t="s">
        <v>3558</v>
      </c>
      <c r="K460" s="10" t="s">
        <v>658</v>
      </c>
      <c r="L460" s="30" t="s">
        <v>852</v>
      </c>
      <c r="M460" s="10" t="s">
        <v>3793</v>
      </c>
    </row>
    <row r="461" customFormat="false" ht="46.25" hidden="false" customHeight="false" outlineLevel="0" collapsed="false">
      <c r="A461" s="12" t="s">
        <v>19</v>
      </c>
      <c r="B461" s="12" t="s">
        <v>549</v>
      </c>
      <c r="C461" s="10" t="s">
        <v>549</v>
      </c>
      <c r="D461" s="12" t="s">
        <v>1448</v>
      </c>
      <c r="E461" s="10" t="s">
        <v>1449</v>
      </c>
      <c r="F461" s="12" t="s">
        <v>79</v>
      </c>
      <c r="G461" s="12" t="n">
        <v>1</v>
      </c>
      <c r="H461" s="26" t="n">
        <v>9.13</v>
      </c>
      <c r="I461" s="12" t="s">
        <v>102</v>
      </c>
      <c r="J461" s="12" t="s">
        <v>144</v>
      </c>
      <c r="K461" s="10" t="s">
        <v>658</v>
      </c>
      <c r="L461" s="30" t="s">
        <v>1450</v>
      </c>
      <c r="M461" s="10" t="s">
        <v>3896</v>
      </c>
    </row>
    <row r="462" customFormat="false" ht="46.25" hidden="false" customHeight="false" outlineLevel="0" collapsed="false">
      <c r="A462" s="12" t="s">
        <v>19</v>
      </c>
      <c r="B462" s="12" t="s">
        <v>549</v>
      </c>
      <c r="C462" s="10" t="s">
        <v>549</v>
      </c>
      <c r="D462" s="12" t="s">
        <v>1452</v>
      </c>
      <c r="E462" s="10" t="s">
        <v>1453</v>
      </c>
      <c r="F462" s="12" t="s">
        <v>79</v>
      </c>
      <c r="G462" s="12" t="n">
        <v>2</v>
      </c>
      <c r="H462" s="26" t="n">
        <v>17.95</v>
      </c>
      <c r="I462" s="12" t="s">
        <v>102</v>
      </c>
      <c r="J462" s="12" t="s">
        <v>144</v>
      </c>
      <c r="K462" s="10" t="s">
        <v>658</v>
      </c>
      <c r="L462" s="30" t="s">
        <v>1450</v>
      </c>
      <c r="M462" s="10" t="s">
        <v>3897</v>
      </c>
    </row>
    <row r="463" customFormat="false" ht="23.85" hidden="false" customHeight="false" outlineLevel="0" collapsed="false">
      <c r="A463" s="12" t="s">
        <v>19</v>
      </c>
      <c r="B463" s="12" t="s">
        <v>83</v>
      </c>
      <c r="C463" s="10" t="s">
        <v>1479</v>
      </c>
      <c r="D463" s="12" t="s">
        <v>1480</v>
      </c>
      <c r="E463" s="10" t="s">
        <v>1481</v>
      </c>
      <c r="F463" s="12" t="s">
        <v>85</v>
      </c>
      <c r="G463" s="12" t="n">
        <v>0.6</v>
      </c>
      <c r="H463" s="26" t="n">
        <v>907.38</v>
      </c>
      <c r="I463" s="12" t="s">
        <v>77</v>
      </c>
      <c r="J463" s="12" t="s">
        <v>2199</v>
      </c>
      <c r="K463" s="10" t="s">
        <v>1466</v>
      </c>
      <c r="L463" s="12"/>
      <c r="M463" s="10" t="s">
        <v>3898</v>
      </c>
    </row>
    <row r="464" customFormat="false" ht="23.85" hidden="false" customHeight="false" outlineLevel="0" collapsed="false">
      <c r="A464" s="12" t="s">
        <v>19</v>
      </c>
      <c r="B464" s="12" t="s">
        <v>440</v>
      </c>
      <c r="C464" s="10" t="s">
        <v>1671</v>
      </c>
      <c r="D464" s="12" t="s">
        <v>917</v>
      </c>
      <c r="E464" s="10" t="s">
        <v>1056</v>
      </c>
      <c r="F464" s="12" t="s">
        <v>79</v>
      </c>
      <c r="G464" s="12" t="n">
        <v>1</v>
      </c>
      <c r="H464" s="26"/>
      <c r="I464" s="12" t="s">
        <v>323</v>
      </c>
      <c r="J464" s="12" t="s">
        <v>323</v>
      </c>
      <c r="K464" s="10" t="s">
        <v>3589</v>
      </c>
      <c r="L464" s="12"/>
      <c r="M464" s="10" t="s">
        <v>3590</v>
      </c>
    </row>
    <row r="465" customFormat="false" ht="23.85" hidden="false" customHeight="false" outlineLevel="0" collapsed="false">
      <c r="A465" s="12" t="s">
        <v>19</v>
      </c>
      <c r="B465" s="12" t="s">
        <v>440</v>
      </c>
      <c r="C465" s="10" t="s">
        <v>1726</v>
      </c>
      <c r="D465" s="12" t="s">
        <v>1086</v>
      </c>
      <c r="E465" s="10" t="s">
        <v>1506</v>
      </c>
      <c r="F465" s="12" t="s">
        <v>79</v>
      </c>
      <c r="G465" s="12" t="n">
        <v>10</v>
      </c>
      <c r="H465" s="26" t="n">
        <v>32.6</v>
      </c>
      <c r="I465" s="12" t="s">
        <v>77</v>
      </c>
      <c r="J465" s="12" t="s">
        <v>995</v>
      </c>
      <c r="K465" s="10" t="s">
        <v>1069</v>
      </c>
      <c r="L465" s="30" t="s">
        <v>1727</v>
      </c>
      <c r="M465" s="10" t="s">
        <v>3899</v>
      </c>
    </row>
    <row r="466" customFormat="false" ht="57.45" hidden="false" customHeight="false" outlineLevel="0" collapsed="false">
      <c r="A466" s="12" t="s">
        <v>19</v>
      </c>
      <c r="B466" s="12" t="s">
        <v>561</v>
      </c>
      <c r="C466" s="10" t="s">
        <v>1618</v>
      </c>
      <c r="D466" s="12" t="s">
        <v>1619</v>
      </c>
      <c r="E466" s="10"/>
      <c r="F466" s="12" t="s">
        <v>97</v>
      </c>
      <c r="G466" s="12" t="n">
        <v>2</v>
      </c>
      <c r="H466" s="26" t="n">
        <v>4.49</v>
      </c>
      <c r="I466" s="12" t="s">
        <v>102</v>
      </c>
      <c r="J466" s="12" t="s">
        <v>194</v>
      </c>
      <c r="K466" s="10" t="s">
        <v>1620</v>
      </c>
      <c r="L466" s="30" t="s">
        <v>1621</v>
      </c>
      <c r="M466" s="10" t="s">
        <v>3900</v>
      </c>
    </row>
    <row r="467" customFormat="false" ht="35.05" hidden="false" customHeight="false" outlineLevel="0" collapsed="false">
      <c r="A467" s="12" t="s">
        <v>19</v>
      </c>
      <c r="B467" s="12" t="s">
        <v>112</v>
      </c>
      <c r="C467" s="10" t="s">
        <v>112</v>
      </c>
      <c r="D467" s="12" t="s">
        <v>835</v>
      </c>
      <c r="E467" s="10" t="s">
        <v>836</v>
      </c>
      <c r="F467" s="12" t="s">
        <v>79</v>
      </c>
      <c r="G467" s="12" t="n">
        <v>1.2</v>
      </c>
      <c r="H467" s="26" t="n">
        <v>6455.02</v>
      </c>
      <c r="I467" s="12" t="s">
        <v>77</v>
      </c>
      <c r="J467" s="12" t="s">
        <v>194</v>
      </c>
      <c r="K467" s="10" t="s">
        <v>658</v>
      </c>
      <c r="L467" s="30" t="s">
        <v>1485</v>
      </c>
      <c r="M467" s="10" t="s">
        <v>3901</v>
      </c>
    </row>
    <row r="468" customFormat="false" ht="46.25" hidden="false" customHeight="false" outlineLevel="0" collapsed="false">
      <c r="A468" s="12" t="s">
        <v>19</v>
      </c>
      <c r="B468" s="12" t="s">
        <v>112</v>
      </c>
      <c r="C468" s="10" t="s">
        <v>1622</v>
      </c>
      <c r="D468" s="12" t="s">
        <v>910</v>
      </c>
      <c r="E468" s="10" t="s">
        <v>836</v>
      </c>
      <c r="F468" s="12" t="s">
        <v>79</v>
      </c>
      <c r="G468" s="12" t="n">
        <v>1.2</v>
      </c>
      <c r="H468" s="26" t="n">
        <v>7322.4226</v>
      </c>
      <c r="I468" s="12" t="s">
        <v>77</v>
      </c>
      <c r="J468" s="12" t="s">
        <v>3558</v>
      </c>
      <c r="K468" s="10" t="s">
        <v>658</v>
      </c>
      <c r="L468" s="30" t="s">
        <v>852</v>
      </c>
      <c r="M468" s="10" t="s">
        <v>3902</v>
      </c>
    </row>
    <row r="469" customFormat="false" ht="57.45" hidden="false" customHeight="false" outlineLevel="0" collapsed="false">
      <c r="A469" s="12" t="s">
        <v>19</v>
      </c>
      <c r="B469" s="12" t="s">
        <v>112</v>
      </c>
      <c r="C469" s="10" t="s">
        <v>1622</v>
      </c>
      <c r="D469" s="12" t="s">
        <v>985</v>
      </c>
      <c r="E469" s="10" t="s">
        <v>986</v>
      </c>
      <c r="F469" s="12" t="s">
        <v>79</v>
      </c>
      <c r="G469" s="12" t="n">
        <v>1.2</v>
      </c>
      <c r="H469" s="26" t="n">
        <v>559.566</v>
      </c>
      <c r="I469" s="12" t="s">
        <v>102</v>
      </c>
      <c r="J469" s="12" t="s">
        <v>1044</v>
      </c>
      <c r="K469" s="10" t="s">
        <v>658</v>
      </c>
      <c r="L469" s="30" t="s">
        <v>987</v>
      </c>
      <c r="M469" s="10" t="s">
        <v>3903</v>
      </c>
    </row>
    <row r="470" customFormat="false" ht="35.05" hidden="false" customHeight="false" outlineLevel="0" collapsed="false">
      <c r="A470" s="12" t="s">
        <v>19</v>
      </c>
      <c r="B470" s="12" t="s">
        <v>388</v>
      </c>
      <c r="C470" s="10" t="s">
        <v>388</v>
      </c>
      <c r="D470" s="12" t="s">
        <v>741</v>
      </c>
      <c r="E470" s="10"/>
      <c r="F470" s="12" t="s">
        <v>97</v>
      </c>
      <c r="G470" s="12"/>
      <c r="H470" s="26" t="n">
        <v>6.23</v>
      </c>
      <c r="I470" s="12" t="s">
        <v>102</v>
      </c>
      <c r="J470" s="12" t="s">
        <v>144</v>
      </c>
      <c r="K470" s="10" t="s">
        <v>665</v>
      </c>
      <c r="L470" s="30" t="s">
        <v>666</v>
      </c>
      <c r="M470" s="10" t="s">
        <v>3904</v>
      </c>
    </row>
    <row r="471" customFormat="false" ht="23.85" hidden="false" customHeight="false" outlineLevel="0" collapsed="false">
      <c r="A471" s="12" t="s">
        <v>19</v>
      </c>
      <c r="B471" s="12" t="s">
        <v>512</v>
      </c>
      <c r="C471" s="10" t="s">
        <v>1468</v>
      </c>
      <c r="D471" s="12" t="s">
        <v>1305</v>
      </c>
      <c r="E471" s="10" t="s">
        <v>1469</v>
      </c>
      <c r="F471" s="12" t="s">
        <v>79</v>
      </c>
      <c r="G471" s="12" t="n">
        <v>0.23</v>
      </c>
      <c r="H471" s="26" t="n">
        <v>655.58</v>
      </c>
      <c r="I471" s="12" t="s">
        <v>471</v>
      </c>
      <c r="J471" s="12" t="s">
        <v>323</v>
      </c>
      <c r="K471" s="10" t="s">
        <v>658</v>
      </c>
      <c r="L471" s="12"/>
      <c r="M471" s="10" t="s">
        <v>3697</v>
      </c>
    </row>
    <row r="472" customFormat="false" ht="35.05" hidden="false" customHeight="false" outlineLevel="0" collapsed="false">
      <c r="A472" s="12" t="s">
        <v>19</v>
      </c>
      <c r="B472" s="12" t="s">
        <v>415</v>
      </c>
      <c r="C472" s="10" t="s">
        <v>415</v>
      </c>
      <c r="D472" s="12" t="s">
        <v>809</v>
      </c>
      <c r="E472" s="10" t="s">
        <v>1454</v>
      </c>
      <c r="F472" s="12" t="s">
        <v>85</v>
      </c>
      <c r="G472" s="12" t="n">
        <v>5</v>
      </c>
      <c r="H472" s="26" t="n">
        <v>10.03</v>
      </c>
      <c r="I472" s="12" t="s">
        <v>102</v>
      </c>
      <c r="J472" s="12" t="s">
        <v>144</v>
      </c>
      <c r="K472" s="10" t="s">
        <v>665</v>
      </c>
      <c r="L472" s="30" t="s">
        <v>666</v>
      </c>
      <c r="M472" s="10" t="s">
        <v>3636</v>
      </c>
    </row>
    <row r="473" customFormat="false" ht="46.25" hidden="false" customHeight="false" outlineLevel="0" collapsed="false">
      <c r="A473" s="12" t="s">
        <v>19</v>
      </c>
      <c r="B473" s="12" t="s">
        <v>240</v>
      </c>
      <c r="C473" s="10" t="s">
        <v>1623</v>
      </c>
      <c r="D473" s="12" t="s">
        <v>1393</v>
      </c>
      <c r="E473" s="10" t="s">
        <v>1624</v>
      </c>
      <c r="F473" s="12" t="s">
        <v>172</v>
      </c>
      <c r="G473" s="12" t="n">
        <v>5</v>
      </c>
      <c r="H473" s="26" t="n">
        <v>5.0963</v>
      </c>
      <c r="I473" s="12" t="s">
        <v>102</v>
      </c>
      <c r="J473" s="12" t="s">
        <v>3558</v>
      </c>
      <c r="K473" s="10" t="s">
        <v>658</v>
      </c>
      <c r="L473" s="30" t="s">
        <v>852</v>
      </c>
      <c r="M473" s="10" t="s">
        <v>3905</v>
      </c>
    </row>
    <row r="474" customFormat="false" ht="35.05" hidden="false" customHeight="false" outlineLevel="0" collapsed="false">
      <c r="A474" s="12" t="s">
        <v>19</v>
      </c>
      <c r="B474" s="12" t="s">
        <v>265</v>
      </c>
      <c r="C474" s="10" t="s">
        <v>1663</v>
      </c>
      <c r="D474" s="12" t="s">
        <v>1197</v>
      </c>
      <c r="E474" s="10" t="s">
        <v>1664</v>
      </c>
      <c r="F474" s="12" t="s">
        <v>85</v>
      </c>
      <c r="G474" s="12" t="n">
        <v>2</v>
      </c>
      <c r="H474" s="26" t="n">
        <v>5.12</v>
      </c>
      <c r="I474" s="12" t="s">
        <v>153</v>
      </c>
      <c r="J474" s="12" t="s">
        <v>144</v>
      </c>
      <c r="K474" s="10" t="s">
        <v>1049</v>
      </c>
      <c r="L474" s="30" t="s">
        <v>1050</v>
      </c>
      <c r="M474" s="10" t="s">
        <v>3906</v>
      </c>
    </row>
    <row r="475" customFormat="false" ht="35.05" hidden="false" customHeight="false" outlineLevel="0" collapsed="false">
      <c r="A475" s="12" t="s">
        <v>19</v>
      </c>
      <c r="B475" s="12" t="s">
        <v>117</v>
      </c>
      <c r="C475" s="10" t="s">
        <v>117</v>
      </c>
      <c r="D475" s="12" t="s">
        <v>934</v>
      </c>
      <c r="E475" s="10" t="s">
        <v>1328</v>
      </c>
      <c r="F475" s="12" t="s">
        <v>79</v>
      </c>
      <c r="G475" s="12"/>
      <c r="H475" s="26" t="n">
        <v>67.02</v>
      </c>
      <c r="I475" s="12" t="s">
        <v>102</v>
      </c>
      <c r="J475" s="12" t="s">
        <v>194</v>
      </c>
      <c r="K475" s="10" t="s">
        <v>658</v>
      </c>
      <c r="L475" s="30" t="s">
        <v>1329</v>
      </c>
      <c r="M475" s="10" t="s">
        <v>3772</v>
      </c>
    </row>
    <row r="476" customFormat="false" ht="46.25" hidden="false" customHeight="false" outlineLevel="0" collapsed="false">
      <c r="A476" s="12" t="s">
        <v>19</v>
      </c>
      <c r="B476" s="12" t="s">
        <v>117</v>
      </c>
      <c r="C476" s="10" t="s">
        <v>1626</v>
      </c>
      <c r="D476" s="12" t="s">
        <v>1183</v>
      </c>
      <c r="E476" s="10" t="s">
        <v>1080</v>
      </c>
      <c r="F476" s="12" t="s">
        <v>79</v>
      </c>
      <c r="G476" s="12" t="n">
        <v>2</v>
      </c>
      <c r="H476" s="26" t="n">
        <v>92.0498</v>
      </c>
      <c r="I476" s="12" t="s">
        <v>77</v>
      </c>
      <c r="J476" s="12" t="s">
        <v>3558</v>
      </c>
      <c r="K476" s="10" t="s">
        <v>658</v>
      </c>
      <c r="L476" s="30" t="s">
        <v>852</v>
      </c>
      <c r="M476" s="10" t="s">
        <v>3907</v>
      </c>
    </row>
    <row r="477" customFormat="false" ht="23.85" hidden="false" customHeight="false" outlineLevel="0" collapsed="false">
      <c r="A477" s="12" t="s">
        <v>19</v>
      </c>
      <c r="B477" s="12" t="s">
        <v>117</v>
      </c>
      <c r="C477" s="10" t="s">
        <v>1626</v>
      </c>
      <c r="D477" s="12" t="s">
        <v>1032</v>
      </c>
      <c r="E477" s="10" t="s">
        <v>1033</v>
      </c>
      <c r="F477" s="12" t="s">
        <v>79</v>
      </c>
      <c r="G477" s="12" t="n">
        <v>2</v>
      </c>
      <c r="H477" s="26"/>
      <c r="I477" s="12" t="s">
        <v>323</v>
      </c>
      <c r="J477" s="12" t="s">
        <v>323</v>
      </c>
      <c r="K477" s="10" t="s">
        <v>3589</v>
      </c>
      <c r="L477" s="12"/>
      <c r="M477" s="10" t="s">
        <v>3590</v>
      </c>
    </row>
    <row r="478" customFormat="false" ht="23.85" hidden="false" customHeight="false" outlineLevel="0" collapsed="false">
      <c r="A478" s="12" t="s">
        <v>19</v>
      </c>
      <c r="B478" s="12" t="s">
        <v>117</v>
      </c>
      <c r="C478" s="10" t="s">
        <v>1626</v>
      </c>
      <c r="D478" s="12" t="s">
        <v>1034</v>
      </c>
      <c r="E478" s="10" t="s">
        <v>1035</v>
      </c>
      <c r="F478" s="12" t="s">
        <v>79</v>
      </c>
      <c r="G478" s="12" t="n">
        <v>5</v>
      </c>
      <c r="H478" s="26"/>
      <c r="I478" s="12" t="s">
        <v>323</v>
      </c>
      <c r="J478" s="12" t="s">
        <v>323</v>
      </c>
      <c r="K478" s="10" t="s">
        <v>3589</v>
      </c>
      <c r="L478" s="12"/>
      <c r="M478" s="10" t="s">
        <v>3590</v>
      </c>
    </row>
    <row r="479" customFormat="false" ht="35.05" hidden="false" customHeight="false" outlineLevel="0" collapsed="false">
      <c r="A479" s="12" t="s">
        <v>19</v>
      </c>
      <c r="B479" s="12" t="s">
        <v>178</v>
      </c>
      <c r="C479" s="10" t="s">
        <v>1627</v>
      </c>
      <c r="D479" s="12" t="s">
        <v>1628</v>
      </c>
      <c r="E479" s="10" t="s">
        <v>1629</v>
      </c>
      <c r="F479" s="12" t="s">
        <v>79</v>
      </c>
      <c r="G479" s="12"/>
      <c r="H479" s="26" t="n">
        <v>35.2673</v>
      </c>
      <c r="I479" s="12" t="s">
        <v>153</v>
      </c>
      <c r="J479" s="12" t="s">
        <v>3558</v>
      </c>
      <c r="K479" s="10" t="s">
        <v>658</v>
      </c>
      <c r="L479" s="30" t="s">
        <v>871</v>
      </c>
      <c r="M479" s="10" t="s">
        <v>3908</v>
      </c>
    </row>
    <row r="480" customFormat="false" ht="35.05" hidden="false" customHeight="false" outlineLevel="0" collapsed="false">
      <c r="A480" s="12" t="s">
        <v>19</v>
      </c>
      <c r="B480" s="12" t="s">
        <v>519</v>
      </c>
      <c r="C480" s="10" t="s">
        <v>1665</v>
      </c>
      <c r="D480" s="12" t="s">
        <v>1320</v>
      </c>
      <c r="E480" s="10" t="s">
        <v>1666</v>
      </c>
      <c r="F480" s="12" t="s">
        <v>79</v>
      </c>
      <c r="G480" s="12"/>
      <c r="H480" s="26" t="n">
        <v>23.95</v>
      </c>
      <c r="I480" s="12" t="s">
        <v>153</v>
      </c>
      <c r="J480" s="12" t="s">
        <v>144</v>
      </c>
      <c r="K480" s="10" t="s">
        <v>665</v>
      </c>
      <c r="L480" s="30" t="s">
        <v>666</v>
      </c>
      <c r="M480" s="10" t="s">
        <v>3909</v>
      </c>
    </row>
    <row r="481" customFormat="false" ht="23.85" hidden="false" customHeight="false" outlineLevel="0" collapsed="false">
      <c r="A481" s="12" t="s">
        <v>19</v>
      </c>
      <c r="B481" s="12" t="s">
        <v>502</v>
      </c>
      <c r="C481" s="10" t="s">
        <v>1489</v>
      </c>
      <c r="D481" s="12" t="s">
        <v>1490</v>
      </c>
      <c r="E481" s="10" t="s">
        <v>1491</v>
      </c>
      <c r="F481" s="12" t="s">
        <v>85</v>
      </c>
      <c r="G481" s="12" t="n">
        <v>0.5</v>
      </c>
      <c r="H481" s="26" t="n">
        <v>2838.33</v>
      </c>
      <c r="I481" s="12" t="s">
        <v>77</v>
      </c>
      <c r="J481" s="12" t="s">
        <v>2199</v>
      </c>
      <c r="K481" s="10" t="s">
        <v>1466</v>
      </c>
      <c r="L481" s="12"/>
      <c r="M481" s="10" t="s">
        <v>3910</v>
      </c>
    </row>
    <row r="482" customFormat="false" ht="57.45" hidden="false" customHeight="false" outlineLevel="0" collapsed="false">
      <c r="A482" s="12" t="s">
        <v>19</v>
      </c>
      <c r="B482" s="12" t="s">
        <v>555</v>
      </c>
      <c r="C482" s="10" t="s">
        <v>1738</v>
      </c>
      <c r="D482" s="12" t="s">
        <v>1739</v>
      </c>
      <c r="E482" s="10" t="s">
        <v>1210</v>
      </c>
      <c r="F482" s="12" t="s">
        <v>79</v>
      </c>
      <c r="G482" s="12" t="n">
        <v>2</v>
      </c>
      <c r="H482" s="26" t="n">
        <v>9.93</v>
      </c>
      <c r="I482" s="12" t="s">
        <v>77</v>
      </c>
      <c r="J482" s="12" t="s">
        <v>995</v>
      </c>
      <c r="K482" s="10" t="s">
        <v>658</v>
      </c>
      <c r="L482" s="30" t="s">
        <v>991</v>
      </c>
      <c r="M482" s="10" t="s">
        <v>3911</v>
      </c>
    </row>
    <row r="483" customFormat="false" ht="35.05" hidden="false" customHeight="false" outlineLevel="0" collapsed="false">
      <c r="A483" s="12" t="s">
        <v>19</v>
      </c>
      <c r="B483" s="12" t="s">
        <v>403</v>
      </c>
      <c r="C483" s="10" t="s">
        <v>1631</v>
      </c>
      <c r="D483" s="12" t="s">
        <v>1393</v>
      </c>
      <c r="E483" s="10" t="s">
        <v>878</v>
      </c>
      <c r="F483" s="12" t="s">
        <v>79</v>
      </c>
      <c r="G483" s="12" t="n">
        <v>5</v>
      </c>
      <c r="H483" s="26" t="n">
        <v>113.7345</v>
      </c>
      <c r="I483" s="12" t="s">
        <v>77</v>
      </c>
      <c r="J483" s="12" t="s">
        <v>3558</v>
      </c>
      <c r="K483" s="10" t="s">
        <v>658</v>
      </c>
      <c r="L483" s="30" t="s">
        <v>852</v>
      </c>
      <c r="M483" s="10" t="s">
        <v>3912</v>
      </c>
    </row>
    <row r="484" customFormat="false" ht="35.05" hidden="false" customHeight="false" outlineLevel="0" collapsed="false">
      <c r="A484" s="12" t="s">
        <v>19</v>
      </c>
      <c r="B484" s="12" t="s">
        <v>403</v>
      </c>
      <c r="C484" s="10" t="s">
        <v>1633</v>
      </c>
      <c r="D484" s="12" t="s">
        <v>1393</v>
      </c>
      <c r="E484" s="10" t="s">
        <v>878</v>
      </c>
      <c r="F484" s="12" t="s">
        <v>79</v>
      </c>
      <c r="G484" s="12" t="n">
        <v>5</v>
      </c>
      <c r="H484" s="26" t="n">
        <v>113.7345</v>
      </c>
      <c r="I484" s="12" t="s">
        <v>77</v>
      </c>
      <c r="J484" s="12" t="s">
        <v>3558</v>
      </c>
      <c r="K484" s="10" t="s">
        <v>658</v>
      </c>
      <c r="L484" s="30" t="s">
        <v>852</v>
      </c>
      <c r="M484" s="10" t="s">
        <v>3912</v>
      </c>
    </row>
    <row r="485" customFormat="false" ht="68.65" hidden="false" customHeight="false" outlineLevel="0" collapsed="false">
      <c r="A485" s="12" t="s">
        <v>43</v>
      </c>
      <c r="B485" s="12" t="s">
        <v>273</v>
      </c>
      <c r="C485" s="10" t="s">
        <v>1786</v>
      </c>
      <c r="D485" s="12" t="s">
        <v>1787</v>
      </c>
      <c r="E485" s="10" t="s">
        <v>1778</v>
      </c>
      <c r="F485" s="12" t="s">
        <v>172</v>
      </c>
      <c r="G485" s="12" t="n">
        <v>10</v>
      </c>
      <c r="H485" s="26" t="n">
        <v>24.71</v>
      </c>
      <c r="I485" s="12" t="s">
        <v>102</v>
      </c>
      <c r="J485" s="12" t="s">
        <v>1044</v>
      </c>
      <c r="K485" s="10" t="s">
        <v>658</v>
      </c>
      <c r="L485" s="30" t="s">
        <v>1788</v>
      </c>
      <c r="M485" s="10" t="s">
        <v>3913</v>
      </c>
    </row>
    <row r="486" customFormat="false" ht="23.85" hidden="false" customHeight="false" outlineLevel="0" collapsed="false">
      <c r="A486" s="12" t="s">
        <v>43</v>
      </c>
      <c r="B486" s="12" t="s">
        <v>572</v>
      </c>
      <c r="C486" s="10" t="s">
        <v>1757</v>
      </c>
      <c r="D486" s="12" t="s">
        <v>968</v>
      </c>
      <c r="E486" s="10" t="s">
        <v>969</v>
      </c>
      <c r="F486" s="12" t="s">
        <v>79</v>
      </c>
      <c r="G486" s="12"/>
      <c r="H486" s="26" t="n">
        <v>0.57</v>
      </c>
      <c r="I486" s="12" t="s">
        <v>102</v>
      </c>
      <c r="J486" s="12" t="s">
        <v>1044</v>
      </c>
      <c r="K486" s="10" t="s">
        <v>1042</v>
      </c>
      <c r="L486" s="30" t="s">
        <v>1758</v>
      </c>
      <c r="M486" s="10" t="s">
        <v>3914</v>
      </c>
    </row>
    <row r="487" customFormat="false" ht="35.05" hidden="false" customHeight="false" outlineLevel="0" collapsed="false">
      <c r="A487" s="12" t="s">
        <v>43</v>
      </c>
      <c r="B487" s="12" t="s">
        <v>245</v>
      </c>
      <c r="C487" s="10" t="s">
        <v>1789</v>
      </c>
      <c r="D487" s="12" t="s">
        <v>1707</v>
      </c>
      <c r="E487" s="10" t="s">
        <v>1035</v>
      </c>
      <c r="F487" s="12" t="s">
        <v>79</v>
      </c>
      <c r="G487" s="12" t="n">
        <v>5</v>
      </c>
      <c r="H487" s="26" t="n">
        <v>7.47</v>
      </c>
      <c r="I487" s="12" t="s">
        <v>153</v>
      </c>
      <c r="J487" s="12" t="s">
        <v>144</v>
      </c>
      <c r="K487" s="10" t="s">
        <v>1049</v>
      </c>
      <c r="L487" s="30" t="s">
        <v>1050</v>
      </c>
      <c r="M487" s="10" t="s">
        <v>3915</v>
      </c>
    </row>
    <row r="488" customFormat="false" ht="35.05" hidden="false" customHeight="false" outlineLevel="0" collapsed="false">
      <c r="A488" s="12" t="s">
        <v>43</v>
      </c>
      <c r="B488" s="12" t="s">
        <v>245</v>
      </c>
      <c r="C488" s="10" t="s">
        <v>1789</v>
      </c>
      <c r="D488" s="12" t="s">
        <v>1713</v>
      </c>
      <c r="E488" s="10" t="s">
        <v>1714</v>
      </c>
      <c r="F488" s="12" t="s">
        <v>79</v>
      </c>
      <c r="G488" s="12" t="n">
        <v>30</v>
      </c>
      <c r="H488" s="26" t="n">
        <v>58.29</v>
      </c>
      <c r="I488" s="12" t="s">
        <v>153</v>
      </c>
      <c r="J488" s="12" t="s">
        <v>995</v>
      </c>
      <c r="K488" s="10" t="s">
        <v>753</v>
      </c>
      <c r="L488" s="30" t="s">
        <v>1790</v>
      </c>
      <c r="M488" s="10" t="s">
        <v>3916</v>
      </c>
    </row>
    <row r="489" customFormat="false" ht="35.05" hidden="false" customHeight="false" outlineLevel="0" collapsed="false">
      <c r="A489" s="12" t="s">
        <v>43</v>
      </c>
      <c r="B489" s="12" t="s">
        <v>107</v>
      </c>
      <c r="C489" s="10" t="s">
        <v>1756</v>
      </c>
      <c r="D489" s="12" t="s">
        <v>1037</v>
      </c>
      <c r="E489" s="10" t="s">
        <v>1038</v>
      </c>
      <c r="F489" s="12" t="s">
        <v>79</v>
      </c>
      <c r="G489" s="12"/>
      <c r="H489" s="26" t="n">
        <v>9.45</v>
      </c>
      <c r="I489" s="12" t="s">
        <v>153</v>
      </c>
      <c r="J489" s="12" t="s">
        <v>144</v>
      </c>
      <c r="K489" s="10" t="s">
        <v>665</v>
      </c>
      <c r="L489" s="30" t="s">
        <v>666</v>
      </c>
      <c r="M489" s="10" t="s">
        <v>3917</v>
      </c>
    </row>
    <row r="490" customFormat="false" ht="35.05" hidden="false" customHeight="false" outlineLevel="0" collapsed="false">
      <c r="A490" s="12" t="s">
        <v>43</v>
      </c>
      <c r="B490" s="12" t="s">
        <v>107</v>
      </c>
      <c r="C490" s="10" t="s">
        <v>1756</v>
      </c>
      <c r="D490" s="12" t="s">
        <v>963</v>
      </c>
      <c r="E490" s="10" t="s">
        <v>964</v>
      </c>
      <c r="F490" s="12" t="s">
        <v>79</v>
      </c>
      <c r="G490" s="12"/>
      <c r="H490" s="26" t="n">
        <v>13.5</v>
      </c>
      <c r="I490" s="12" t="s">
        <v>153</v>
      </c>
      <c r="J490" s="12" t="s">
        <v>144</v>
      </c>
      <c r="K490" s="10" t="s">
        <v>665</v>
      </c>
      <c r="L490" s="30" t="s">
        <v>666</v>
      </c>
      <c r="M490" s="10" t="s">
        <v>3918</v>
      </c>
    </row>
    <row r="491" customFormat="false" ht="35.05" hidden="false" customHeight="false" outlineLevel="0" collapsed="false">
      <c r="A491" s="12" t="s">
        <v>43</v>
      </c>
      <c r="B491" s="12" t="s">
        <v>291</v>
      </c>
      <c r="C491" s="10" t="s">
        <v>291</v>
      </c>
      <c r="D491" s="12" t="s">
        <v>661</v>
      </c>
      <c r="E491" s="10"/>
      <c r="F491" s="12" t="s">
        <v>97</v>
      </c>
      <c r="G491" s="12" t="n">
        <v>2</v>
      </c>
      <c r="H491" s="26" t="n">
        <v>10.14</v>
      </c>
      <c r="I491" s="12" t="s">
        <v>102</v>
      </c>
      <c r="J491" s="12" t="s">
        <v>144</v>
      </c>
      <c r="K491" s="10" t="s">
        <v>665</v>
      </c>
      <c r="L491" s="30" t="s">
        <v>666</v>
      </c>
      <c r="M491" s="10" t="s">
        <v>3549</v>
      </c>
    </row>
    <row r="492" customFormat="false" ht="35.05" hidden="false" customHeight="false" outlineLevel="0" collapsed="false">
      <c r="A492" s="12" t="s">
        <v>43</v>
      </c>
      <c r="B492" s="12" t="s">
        <v>569</v>
      </c>
      <c r="C492" s="10" t="s">
        <v>1763</v>
      </c>
      <c r="D492" s="12" t="s">
        <v>1347</v>
      </c>
      <c r="E492" s="10" t="s">
        <v>1764</v>
      </c>
      <c r="F492" s="12" t="s">
        <v>172</v>
      </c>
      <c r="G492" s="12" t="n">
        <v>1</v>
      </c>
      <c r="H492" s="26" t="n">
        <v>5.35</v>
      </c>
      <c r="I492" s="12" t="s">
        <v>153</v>
      </c>
      <c r="J492" s="12" t="s">
        <v>144</v>
      </c>
      <c r="K492" s="10" t="s">
        <v>665</v>
      </c>
      <c r="L492" s="30" t="s">
        <v>666</v>
      </c>
      <c r="M492" s="10" t="s">
        <v>3919</v>
      </c>
    </row>
    <row r="493" customFormat="false" ht="35.05" hidden="false" customHeight="false" outlineLevel="0" collapsed="false">
      <c r="A493" s="12" t="s">
        <v>43</v>
      </c>
      <c r="B493" s="12" t="s">
        <v>569</v>
      </c>
      <c r="C493" s="10" t="s">
        <v>1765</v>
      </c>
      <c r="D493" s="12" t="s">
        <v>1766</v>
      </c>
      <c r="E493" s="10" t="s">
        <v>1767</v>
      </c>
      <c r="F493" s="12" t="s">
        <v>172</v>
      </c>
      <c r="G493" s="12" t="n">
        <v>2</v>
      </c>
      <c r="H493" s="26" t="n">
        <v>5.35</v>
      </c>
      <c r="I493" s="12" t="s">
        <v>153</v>
      </c>
      <c r="J493" s="12" t="s">
        <v>144</v>
      </c>
      <c r="K493" s="10" t="s">
        <v>665</v>
      </c>
      <c r="L493" s="30" t="s">
        <v>666</v>
      </c>
      <c r="M493" s="10" t="s">
        <v>3919</v>
      </c>
    </row>
    <row r="494" customFormat="false" ht="46.25" hidden="false" customHeight="false" outlineLevel="0" collapsed="false">
      <c r="A494" s="12" t="s">
        <v>43</v>
      </c>
      <c r="B494" s="12" t="s">
        <v>251</v>
      </c>
      <c r="C494" s="10" t="s">
        <v>1806</v>
      </c>
      <c r="D494" s="12" t="s">
        <v>1416</v>
      </c>
      <c r="E494" s="10" t="s">
        <v>1807</v>
      </c>
      <c r="F494" s="12" t="s">
        <v>79</v>
      </c>
      <c r="G494" s="12" t="n">
        <v>5</v>
      </c>
      <c r="H494" s="26" t="n">
        <v>7.55</v>
      </c>
      <c r="I494" s="12" t="s">
        <v>77</v>
      </c>
      <c r="J494" s="12" t="s">
        <v>995</v>
      </c>
      <c r="K494" s="10" t="s">
        <v>658</v>
      </c>
      <c r="L494" s="30" t="s">
        <v>991</v>
      </c>
      <c r="M494" s="10" t="s">
        <v>3920</v>
      </c>
    </row>
    <row r="495" customFormat="false" ht="35.05" hidden="false" customHeight="false" outlineLevel="0" collapsed="false">
      <c r="A495" s="12" t="s">
        <v>43</v>
      </c>
      <c r="B495" s="12" t="s">
        <v>411</v>
      </c>
      <c r="C495" s="10" t="s">
        <v>1768</v>
      </c>
      <c r="D495" s="12" t="s">
        <v>1769</v>
      </c>
      <c r="E495" s="10" t="s">
        <v>1770</v>
      </c>
      <c r="F495" s="12" t="s">
        <v>172</v>
      </c>
      <c r="G495" s="12"/>
      <c r="H495" s="26" t="n">
        <v>3.53</v>
      </c>
      <c r="I495" s="12" t="s">
        <v>153</v>
      </c>
      <c r="J495" s="12" t="s">
        <v>144</v>
      </c>
      <c r="K495" s="10" t="s">
        <v>1049</v>
      </c>
      <c r="L495" s="30" t="s">
        <v>1050</v>
      </c>
      <c r="M495" s="10" t="s">
        <v>3921</v>
      </c>
    </row>
    <row r="496" customFormat="false" ht="46.25" hidden="false" customHeight="false" outlineLevel="0" collapsed="false">
      <c r="A496" s="12" t="s">
        <v>43</v>
      </c>
      <c r="B496" s="12" t="s">
        <v>145</v>
      </c>
      <c r="C496" s="10" t="s">
        <v>1792</v>
      </c>
      <c r="D496" s="12" t="s">
        <v>989</v>
      </c>
      <c r="E496" s="10" t="s">
        <v>992</v>
      </c>
      <c r="F496" s="12" t="s">
        <v>79</v>
      </c>
      <c r="G496" s="12" t="n">
        <v>20</v>
      </c>
      <c r="H496" s="26" t="n">
        <v>21.3</v>
      </c>
      <c r="I496" s="12" t="s">
        <v>77</v>
      </c>
      <c r="J496" s="12" t="s">
        <v>995</v>
      </c>
      <c r="K496" s="10" t="s">
        <v>658</v>
      </c>
      <c r="L496" s="30" t="s">
        <v>991</v>
      </c>
      <c r="M496" s="10" t="s">
        <v>3922</v>
      </c>
    </row>
    <row r="497" customFormat="false" ht="35.05" hidden="false" customHeight="false" outlineLevel="0" collapsed="false">
      <c r="A497" s="12" t="s">
        <v>43</v>
      </c>
      <c r="B497" s="12" t="s">
        <v>575</v>
      </c>
      <c r="C497" s="10" t="s">
        <v>575</v>
      </c>
      <c r="D497" s="12" t="s">
        <v>1005</v>
      </c>
      <c r="E497" s="10"/>
      <c r="F497" s="12" t="s">
        <v>97</v>
      </c>
      <c r="G497" s="12"/>
      <c r="H497" s="26" t="n">
        <v>0.72</v>
      </c>
      <c r="I497" s="12" t="s">
        <v>102</v>
      </c>
      <c r="J497" s="12" t="s">
        <v>144</v>
      </c>
      <c r="K497" s="10" t="s">
        <v>665</v>
      </c>
      <c r="L497" s="30" t="s">
        <v>666</v>
      </c>
      <c r="M497" s="10" t="s">
        <v>3923</v>
      </c>
    </row>
    <row r="498" customFormat="false" ht="35.05" hidden="false" customHeight="false" outlineLevel="0" collapsed="false">
      <c r="A498" s="12" t="s">
        <v>43</v>
      </c>
      <c r="B498" s="12" t="s">
        <v>277</v>
      </c>
      <c r="C498" s="10" t="s">
        <v>1776</v>
      </c>
      <c r="D498" s="12" t="s">
        <v>1777</v>
      </c>
      <c r="E498" s="10" t="s">
        <v>1778</v>
      </c>
      <c r="F498" s="12" t="s">
        <v>172</v>
      </c>
      <c r="G498" s="12" t="n">
        <v>10</v>
      </c>
      <c r="H498" s="26" t="n">
        <v>6.81</v>
      </c>
      <c r="I498" s="12" t="s">
        <v>153</v>
      </c>
      <c r="J498" s="12" t="s">
        <v>144</v>
      </c>
      <c r="K498" s="10" t="s">
        <v>665</v>
      </c>
      <c r="L498" s="30" t="s">
        <v>666</v>
      </c>
      <c r="M498" s="10" t="s">
        <v>3924</v>
      </c>
    </row>
    <row r="499" customFormat="false" ht="35.05" hidden="false" customHeight="false" outlineLevel="0" collapsed="false">
      <c r="A499" s="12" t="s">
        <v>43</v>
      </c>
      <c r="B499" s="12" t="s">
        <v>277</v>
      </c>
      <c r="C499" s="10" t="s">
        <v>1776</v>
      </c>
      <c r="D499" s="12" t="s">
        <v>1779</v>
      </c>
      <c r="E499" s="10" t="s">
        <v>1767</v>
      </c>
      <c r="F499" s="12" t="s">
        <v>172</v>
      </c>
      <c r="G499" s="12" t="n">
        <v>2</v>
      </c>
      <c r="H499" s="26" t="n">
        <v>1.36</v>
      </c>
      <c r="I499" s="12" t="s">
        <v>153</v>
      </c>
      <c r="J499" s="12" t="s">
        <v>144</v>
      </c>
      <c r="K499" s="10" t="s">
        <v>665</v>
      </c>
      <c r="L499" s="30" t="s">
        <v>666</v>
      </c>
      <c r="M499" s="10" t="s">
        <v>3925</v>
      </c>
    </row>
    <row r="500" customFormat="false" ht="35.05" hidden="false" customHeight="false" outlineLevel="0" collapsed="false">
      <c r="A500" s="12" t="s">
        <v>43</v>
      </c>
      <c r="B500" s="12" t="s">
        <v>148</v>
      </c>
      <c r="C500" s="10" t="s">
        <v>1771</v>
      </c>
      <c r="D500" s="12" t="s">
        <v>963</v>
      </c>
      <c r="E500" s="10" t="s">
        <v>964</v>
      </c>
      <c r="F500" s="12" t="s">
        <v>79</v>
      </c>
      <c r="G500" s="12"/>
      <c r="H500" s="26" t="n">
        <v>9.107</v>
      </c>
      <c r="I500" s="12" t="s">
        <v>102</v>
      </c>
      <c r="J500" s="12" t="s">
        <v>1044</v>
      </c>
      <c r="K500" s="10" t="s">
        <v>658</v>
      </c>
      <c r="L500" s="30" t="s">
        <v>1772</v>
      </c>
      <c r="M500" s="10" t="s">
        <v>3926</v>
      </c>
    </row>
    <row r="501" customFormat="false" ht="35.05" hidden="false" customHeight="false" outlineLevel="0" collapsed="false">
      <c r="A501" s="12" t="s">
        <v>43</v>
      </c>
      <c r="B501" s="12" t="s">
        <v>148</v>
      </c>
      <c r="C501" s="10" t="s">
        <v>1771</v>
      </c>
      <c r="D501" s="12" t="s">
        <v>1773</v>
      </c>
      <c r="E501" s="10" t="s">
        <v>1774</v>
      </c>
      <c r="F501" s="12" t="s">
        <v>79</v>
      </c>
      <c r="G501" s="12"/>
      <c r="H501" s="26" t="n">
        <v>23.422</v>
      </c>
      <c r="I501" s="12" t="s">
        <v>102</v>
      </c>
      <c r="J501" s="12" t="s">
        <v>1044</v>
      </c>
      <c r="K501" s="10" t="s">
        <v>658</v>
      </c>
      <c r="L501" s="30" t="s">
        <v>1775</v>
      </c>
      <c r="M501" s="10" t="s">
        <v>3927</v>
      </c>
    </row>
    <row r="502" customFormat="false" ht="23.85" hidden="false" customHeight="false" outlineLevel="0" collapsed="false">
      <c r="A502" s="12" t="s">
        <v>43</v>
      </c>
      <c r="B502" s="12" t="s">
        <v>148</v>
      </c>
      <c r="C502" s="10" t="s">
        <v>1798</v>
      </c>
      <c r="D502" s="12" t="s">
        <v>1799</v>
      </c>
      <c r="E502" s="10" t="s">
        <v>1800</v>
      </c>
      <c r="F502" s="12" t="s">
        <v>79</v>
      </c>
      <c r="G502" s="12" t="n">
        <v>30</v>
      </c>
      <c r="H502" s="26" t="n">
        <v>5.94</v>
      </c>
      <c r="I502" s="12" t="s">
        <v>77</v>
      </c>
      <c r="J502" s="12" t="s">
        <v>995</v>
      </c>
      <c r="K502" s="10" t="s">
        <v>1069</v>
      </c>
      <c r="L502" s="30" t="s">
        <v>1801</v>
      </c>
      <c r="M502" s="10" t="s">
        <v>3928</v>
      </c>
    </row>
    <row r="503" customFormat="false" ht="23.85" hidden="false" customHeight="false" outlineLevel="0" collapsed="false">
      <c r="A503" s="12" t="s">
        <v>43</v>
      </c>
      <c r="B503" s="12" t="s">
        <v>148</v>
      </c>
      <c r="C503" s="10" t="s">
        <v>1798</v>
      </c>
      <c r="D503" s="12" t="s">
        <v>1799</v>
      </c>
      <c r="E503" s="10" t="s">
        <v>1221</v>
      </c>
      <c r="F503" s="12" t="s">
        <v>79</v>
      </c>
      <c r="G503" s="12" t="n">
        <v>30</v>
      </c>
      <c r="H503" s="26" t="n">
        <v>5.94</v>
      </c>
      <c r="I503" s="12" t="s">
        <v>77</v>
      </c>
      <c r="J503" s="12" t="s">
        <v>995</v>
      </c>
      <c r="K503" s="10" t="s">
        <v>1069</v>
      </c>
      <c r="L503" s="30" t="s">
        <v>1801</v>
      </c>
      <c r="M503" s="10" t="s">
        <v>3928</v>
      </c>
    </row>
    <row r="504" customFormat="false" ht="35.05" hidden="false" customHeight="false" outlineLevel="0" collapsed="false">
      <c r="A504" s="12" t="s">
        <v>43</v>
      </c>
      <c r="B504" s="12" t="s">
        <v>208</v>
      </c>
      <c r="C504" s="10" t="s">
        <v>1783</v>
      </c>
      <c r="D504" s="12" t="s">
        <v>1784</v>
      </c>
      <c r="E504" s="10" t="s">
        <v>1785</v>
      </c>
      <c r="F504" s="12" t="s">
        <v>172</v>
      </c>
      <c r="G504" s="12" t="n">
        <v>10</v>
      </c>
      <c r="H504" s="26" t="n">
        <v>2.29</v>
      </c>
      <c r="I504" s="12" t="s">
        <v>153</v>
      </c>
      <c r="J504" s="12" t="s">
        <v>144</v>
      </c>
      <c r="K504" s="10" t="s">
        <v>665</v>
      </c>
      <c r="L504" s="30" t="s">
        <v>666</v>
      </c>
      <c r="M504" s="10" t="s">
        <v>3929</v>
      </c>
    </row>
    <row r="505" customFormat="false" ht="35.05" hidden="false" customHeight="false" outlineLevel="0" collapsed="false">
      <c r="A505" s="12" t="s">
        <v>43</v>
      </c>
      <c r="B505" s="12" t="s">
        <v>253</v>
      </c>
      <c r="C505" s="10" t="s">
        <v>1750</v>
      </c>
      <c r="D505" s="12" t="s">
        <v>1751</v>
      </c>
      <c r="E505" s="10" t="s">
        <v>1752</v>
      </c>
      <c r="F505" s="12" t="s">
        <v>79</v>
      </c>
      <c r="G505" s="12"/>
      <c r="H505" s="26" t="n">
        <v>18.277</v>
      </c>
      <c r="I505" s="12" t="s">
        <v>102</v>
      </c>
      <c r="J505" s="12" t="s">
        <v>1044</v>
      </c>
      <c r="K505" s="10" t="s">
        <v>658</v>
      </c>
      <c r="L505" s="30" t="s">
        <v>1753</v>
      </c>
      <c r="M505" s="10" t="s">
        <v>3930</v>
      </c>
    </row>
    <row r="506" customFormat="false" ht="46.25" hidden="false" customHeight="false" outlineLevel="0" collapsed="false">
      <c r="A506" s="12" t="s">
        <v>43</v>
      </c>
      <c r="B506" s="12" t="s">
        <v>249</v>
      </c>
      <c r="C506" s="10" t="s">
        <v>1780</v>
      </c>
      <c r="D506" s="12" t="s">
        <v>1781</v>
      </c>
      <c r="E506" s="10" t="s">
        <v>1764</v>
      </c>
      <c r="F506" s="12" t="s">
        <v>172</v>
      </c>
      <c r="G506" s="12" t="n">
        <v>1</v>
      </c>
      <c r="H506" s="26" t="n">
        <v>8.113</v>
      </c>
      <c r="I506" s="12" t="s">
        <v>102</v>
      </c>
      <c r="J506" s="12" t="s">
        <v>1044</v>
      </c>
      <c r="K506" s="10" t="s">
        <v>658</v>
      </c>
      <c r="L506" s="30" t="s">
        <v>1782</v>
      </c>
      <c r="M506" s="10" t="s">
        <v>3931</v>
      </c>
    </row>
    <row r="507" customFormat="false" ht="23.85" hidden="false" customHeight="false" outlineLevel="0" collapsed="false">
      <c r="A507" s="12" t="s">
        <v>43</v>
      </c>
      <c r="B507" s="12" t="s">
        <v>275</v>
      </c>
      <c r="C507" s="10" t="s">
        <v>1793</v>
      </c>
      <c r="D507" s="12" t="s">
        <v>1741</v>
      </c>
      <c r="E507" s="10" t="s">
        <v>1794</v>
      </c>
      <c r="F507" s="12" t="s">
        <v>79</v>
      </c>
      <c r="G507" s="12" t="n">
        <v>5</v>
      </c>
      <c r="H507" s="26" t="n">
        <v>7.18</v>
      </c>
      <c r="I507" s="12" t="s">
        <v>77</v>
      </c>
      <c r="J507" s="12" t="s">
        <v>995</v>
      </c>
      <c r="K507" s="10" t="s">
        <v>1069</v>
      </c>
      <c r="L507" s="30" t="s">
        <v>1795</v>
      </c>
      <c r="M507" s="10" t="s">
        <v>3932</v>
      </c>
    </row>
    <row r="508" customFormat="false" ht="23.85" hidden="false" customHeight="false" outlineLevel="0" collapsed="false">
      <c r="A508" s="12" t="s">
        <v>43</v>
      </c>
      <c r="B508" s="12" t="s">
        <v>275</v>
      </c>
      <c r="C508" s="10" t="s">
        <v>1793</v>
      </c>
      <c r="D508" s="12" t="s">
        <v>1796</v>
      </c>
      <c r="E508" s="10" t="s">
        <v>1797</v>
      </c>
      <c r="F508" s="12" t="s">
        <v>79</v>
      </c>
      <c r="G508" s="12" t="n">
        <v>10</v>
      </c>
      <c r="H508" s="26" t="n">
        <v>20.69</v>
      </c>
      <c r="I508" s="12" t="s">
        <v>77</v>
      </c>
      <c r="J508" s="12" t="s">
        <v>995</v>
      </c>
      <c r="K508" s="10" t="s">
        <v>1069</v>
      </c>
      <c r="L508" s="30" t="s">
        <v>1795</v>
      </c>
      <c r="M508" s="10" t="s">
        <v>3932</v>
      </c>
    </row>
    <row r="509" customFormat="false" ht="46.25" hidden="false" customHeight="false" outlineLevel="0" collapsed="false">
      <c r="A509" s="12" t="s">
        <v>43</v>
      </c>
      <c r="B509" s="12" t="s">
        <v>117</v>
      </c>
      <c r="C509" s="10" t="s">
        <v>1149</v>
      </c>
      <c r="D509" s="12" t="s">
        <v>1150</v>
      </c>
      <c r="E509" s="10" t="s">
        <v>1748</v>
      </c>
      <c r="F509" s="12" t="s">
        <v>79</v>
      </c>
      <c r="G509" s="12" t="n">
        <v>2</v>
      </c>
      <c r="H509" s="26" t="n">
        <v>21.78</v>
      </c>
      <c r="I509" s="12" t="s">
        <v>102</v>
      </c>
      <c r="J509" s="12" t="s">
        <v>144</v>
      </c>
      <c r="K509" s="10" t="s">
        <v>658</v>
      </c>
      <c r="L509" s="30" t="s">
        <v>1152</v>
      </c>
      <c r="M509" s="10" t="s">
        <v>3722</v>
      </c>
    </row>
    <row r="510" customFormat="false" ht="46.25" hidden="false" customHeight="false" outlineLevel="0" collapsed="false">
      <c r="A510" s="12" t="s">
        <v>43</v>
      </c>
      <c r="B510" s="12" t="s">
        <v>117</v>
      </c>
      <c r="C510" s="10" t="s">
        <v>1149</v>
      </c>
      <c r="D510" s="12" t="s">
        <v>1154</v>
      </c>
      <c r="E510" s="10" t="s">
        <v>1749</v>
      </c>
      <c r="F510" s="12" t="s">
        <v>79</v>
      </c>
      <c r="G510" s="12" t="n">
        <v>5</v>
      </c>
      <c r="H510" s="26" t="n">
        <v>48.28</v>
      </c>
      <c r="I510" s="12" t="s">
        <v>102</v>
      </c>
      <c r="J510" s="12" t="s">
        <v>144</v>
      </c>
      <c r="K510" s="10" t="s">
        <v>658</v>
      </c>
      <c r="L510" s="30" t="s">
        <v>1152</v>
      </c>
      <c r="M510" s="10" t="s">
        <v>3933</v>
      </c>
    </row>
    <row r="511" customFormat="false" ht="23.85" hidden="false" customHeight="false" outlineLevel="0" collapsed="false">
      <c r="A511" s="12" t="s">
        <v>43</v>
      </c>
      <c r="B511" s="12" t="s">
        <v>117</v>
      </c>
      <c r="C511" s="10" t="s">
        <v>1754</v>
      </c>
      <c r="D511" s="12" t="s">
        <v>1032</v>
      </c>
      <c r="E511" s="10" t="s">
        <v>1033</v>
      </c>
      <c r="F511" s="12" t="s">
        <v>79</v>
      </c>
      <c r="G511" s="12" t="n">
        <v>2</v>
      </c>
      <c r="H511" s="26"/>
      <c r="I511" s="12" t="s">
        <v>323</v>
      </c>
      <c r="J511" s="12" t="s">
        <v>323</v>
      </c>
      <c r="K511" s="10" t="s">
        <v>3589</v>
      </c>
      <c r="L511" s="12"/>
      <c r="M511" s="10" t="s">
        <v>3590</v>
      </c>
    </row>
    <row r="512" customFormat="false" ht="23.85" hidden="false" customHeight="false" outlineLevel="0" collapsed="false">
      <c r="A512" s="12" t="s">
        <v>43</v>
      </c>
      <c r="B512" s="12" t="s">
        <v>117</v>
      </c>
      <c r="C512" s="10" t="s">
        <v>1755</v>
      </c>
      <c r="D512" s="12" t="s">
        <v>1034</v>
      </c>
      <c r="E512" s="10" t="s">
        <v>1035</v>
      </c>
      <c r="F512" s="12" t="s">
        <v>79</v>
      </c>
      <c r="G512" s="12" t="n">
        <v>5</v>
      </c>
      <c r="H512" s="26"/>
      <c r="I512" s="12" t="s">
        <v>323</v>
      </c>
      <c r="J512" s="12" t="s">
        <v>323</v>
      </c>
      <c r="K512" s="10" t="s">
        <v>3589</v>
      </c>
      <c r="L512" s="12"/>
      <c r="M512" s="10" t="s">
        <v>3590</v>
      </c>
    </row>
    <row r="513" customFormat="false" ht="35.05" hidden="false" customHeight="false" outlineLevel="0" collapsed="false">
      <c r="A513" s="12" t="s">
        <v>43</v>
      </c>
      <c r="B513" s="12" t="s">
        <v>178</v>
      </c>
      <c r="C513" s="10" t="s">
        <v>1759</v>
      </c>
      <c r="D513" s="12" t="s">
        <v>1760</v>
      </c>
      <c r="E513" s="10" t="s">
        <v>1761</v>
      </c>
      <c r="F513" s="12" t="s">
        <v>79</v>
      </c>
      <c r="G513" s="12"/>
      <c r="H513" s="26" t="n">
        <v>75.992</v>
      </c>
      <c r="I513" s="12" t="s">
        <v>102</v>
      </c>
      <c r="J513" s="12" t="s">
        <v>1044</v>
      </c>
      <c r="K513" s="10" t="s">
        <v>658</v>
      </c>
      <c r="L513" s="30" t="s">
        <v>1762</v>
      </c>
      <c r="M513" s="10" t="s">
        <v>3934</v>
      </c>
    </row>
    <row r="514" customFormat="false" ht="46.25" hidden="false" customHeight="false" outlineLevel="0" collapsed="false">
      <c r="A514" s="12" t="s">
        <v>43</v>
      </c>
      <c r="B514" s="12" t="s">
        <v>178</v>
      </c>
      <c r="C514" s="10" t="s">
        <v>1802</v>
      </c>
      <c r="D514" s="12" t="s">
        <v>1803</v>
      </c>
      <c r="E514" s="10" t="s">
        <v>1804</v>
      </c>
      <c r="F514" s="12" t="s">
        <v>79</v>
      </c>
      <c r="G514" s="12" t="n">
        <v>3.2</v>
      </c>
      <c r="H514" s="26" t="n">
        <v>8.52</v>
      </c>
      <c r="I514" s="12" t="s">
        <v>77</v>
      </c>
      <c r="J514" s="12" t="s">
        <v>995</v>
      </c>
      <c r="K514" s="10" t="s">
        <v>658</v>
      </c>
      <c r="L514" s="30" t="s">
        <v>991</v>
      </c>
      <c r="M514" s="10" t="s">
        <v>3935</v>
      </c>
    </row>
    <row r="515" customFormat="false" ht="46.25" hidden="false" customHeight="false" outlineLevel="0" collapsed="false">
      <c r="A515" s="12" t="s">
        <v>43</v>
      </c>
      <c r="B515" s="12" t="s">
        <v>178</v>
      </c>
      <c r="C515" s="10" t="s">
        <v>1805</v>
      </c>
      <c r="D515" s="12" t="s">
        <v>1097</v>
      </c>
      <c r="E515" s="10" t="s">
        <v>1804</v>
      </c>
      <c r="F515" s="12" t="s">
        <v>79</v>
      </c>
      <c r="G515" s="12" t="n">
        <v>3.2</v>
      </c>
      <c r="H515" s="26" t="n">
        <v>12.78</v>
      </c>
      <c r="I515" s="12" t="s">
        <v>77</v>
      </c>
      <c r="J515" s="12" t="s">
        <v>995</v>
      </c>
      <c r="K515" s="10" t="s">
        <v>658</v>
      </c>
      <c r="L515" s="30" t="s">
        <v>991</v>
      </c>
      <c r="M515" s="10" t="s">
        <v>3936</v>
      </c>
    </row>
    <row r="516" customFormat="false" ht="46.25" hidden="false" customHeight="false" outlineLevel="0" collapsed="false">
      <c r="A516" s="12" t="s">
        <v>43</v>
      </c>
      <c r="B516" s="12" t="s">
        <v>247</v>
      </c>
      <c r="C516" s="10" t="s">
        <v>1791</v>
      </c>
      <c r="D516" s="12" t="s">
        <v>1076</v>
      </c>
      <c r="E516" s="10" t="s">
        <v>1077</v>
      </c>
      <c r="F516" s="12" t="s">
        <v>79</v>
      </c>
      <c r="G516" s="12" t="n">
        <v>4</v>
      </c>
      <c r="H516" s="26" t="n">
        <v>125.38</v>
      </c>
      <c r="I516" s="12" t="s">
        <v>77</v>
      </c>
      <c r="J516" s="12" t="s">
        <v>995</v>
      </c>
      <c r="K516" s="10" t="s">
        <v>658</v>
      </c>
      <c r="L516" s="30" t="s">
        <v>991</v>
      </c>
      <c r="M516" s="10" t="s">
        <v>3937</v>
      </c>
    </row>
    <row r="517" customFormat="false" ht="35.05" hidden="false" customHeight="false" outlineLevel="0" collapsed="false">
      <c r="A517" s="12" t="s">
        <v>37</v>
      </c>
      <c r="B517" s="12" t="s">
        <v>89</v>
      </c>
      <c r="C517" s="10" t="s">
        <v>89</v>
      </c>
      <c r="D517" s="12" t="s">
        <v>775</v>
      </c>
      <c r="E517" s="10" t="s">
        <v>1840</v>
      </c>
      <c r="F517" s="12" t="s">
        <v>79</v>
      </c>
      <c r="G517" s="12"/>
      <c r="H517" s="26" t="n">
        <v>22.25</v>
      </c>
      <c r="I517" s="12" t="s">
        <v>102</v>
      </c>
      <c r="J517" s="12" t="s">
        <v>144</v>
      </c>
      <c r="K517" s="10" t="s">
        <v>658</v>
      </c>
      <c r="L517" s="30" t="s">
        <v>777</v>
      </c>
      <c r="M517" s="10" t="s">
        <v>3774</v>
      </c>
    </row>
    <row r="518" customFormat="false" ht="35.05" hidden="false" customHeight="false" outlineLevel="0" collapsed="false">
      <c r="A518" s="12" t="s">
        <v>37</v>
      </c>
      <c r="B518" s="12" t="s">
        <v>89</v>
      </c>
      <c r="C518" s="10" t="s">
        <v>89</v>
      </c>
      <c r="D518" s="12" t="s">
        <v>828</v>
      </c>
      <c r="E518" s="10" t="s">
        <v>829</v>
      </c>
      <c r="F518" s="12" t="s">
        <v>79</v>
      </c>
      <c r="G518" s="12"/>
      <c r="H518" s="26" t="n">
        <v>698.02</v>
      </c>
      <c r="I518" s="12" t="s">
        <v>77</v>
      </c>
      <c r="J518" s="12" t="s">
        <v>194</v>
      </c>
      <c r="K518" s="10" t="s">
        <v>658</v>
      </c>
      <c r="L518" s="30" t="s">
        <v>1847</v>
      </c>
      <c r="M518" s="10" t="s">
        <v>3938</v>
      </c>
    </row>
    <row r="519" customFormat="false" ht="35.05" hidden="false" customHeight="false" outlineLevel="0" collapsed="false">
      <c r="A519" s="12" t="s">
        <v>37</v>
      </c>
      <c r="B519" s="12" t="s">
        <v>89</v>
      </c>
      <c r="C519" s="10" t="s">
        <v>1851</v>
      </c>
      <c r="D519" s="12" t="s">
        <v>854</v>
      </c>
      <c r="E519" s="10" t="s">
        <v>829</v>
      </c>
      <c r="F519" s="12" t="s">
        <v>79</v>
      </c>
      <c r="G519" s="12"/>
      <c r="H519" s="26" t="n">
        <v>705.4703</v>
      </c>
      <c r="I519" s="12" t="s">
        <v>77</v>
      </c>
      <c r="J519" s="12" t="s">
        <v>3730</v>
      </c>
      <c r="K519" s="10" t="s">
        <v>658</v>
      </c>
      <c r="L519" s="30" t="s">
        <v>1852</v>
      </c>
      <c r="M519" s="10" t="s">
        <v>3939</v>
      </c>
    </row>
    <row r="520" customFormat="false" ht="35.05" hidden="false" customHeight="false" outlineLevel="0" collapsed="false">
      <c r="A520" s="12" t="s">
        <v>37</v>
      </c>
      <c r="B520" s="12" t="s">
        <v>89</v>
      </c>
      <c r="C520" s="10" t="s">
        <v>1856</v>
      </c>
      <c r="D520" s="12" t="s">
        <v>981</v>
      </c>
      <c r="E520" s="10" t="s">
        <v>982</v>
      </c>
      <c r="F520" s="12" t="s">
        <v>79</v>
      </c>
      <c r="G520" s="12"/>
      <c r="H520" s="26" t="n">
        <v>14.329</v>
      </c>
      <c r="I520" s="12" t="s">
        <v>102</v>
      </c>
      <c r="J520" s="12" t="s">
        <v>1044</v>
      </c>
      <c r="K520" s="10" t="s">
        <v>658</v>
      </c>
      <c r="L520" s="30" t="s">
        <v>983</v>
      </c>
      <c r="M520" s="10" t="s">
        <v>3940</v>
      </c>
    </row>
    <row r="521" customFormat="false" ht="46.25" hidden="false" customHeight="false" outlineLevel="0" collapsed="false">
      <c r="A521" s="12" t="s">
        <v>37</v>
      </c>
      <c r="B521" s="12" t="s">
        <v>221</v>
      </c>
      <c r="C521" s="10" t="s">
        <v>221</v>
      </c>
      <c r="D521" s="12" t="s">
        <v>1817</v>
      </c>
      <c r="E521" s="10" t="s">
        <v>1842</v>
      </c>
      <c r="F521" s="12" t="s">
        <v>79</v>
      </c>
      <c r="G521" s="12" t="n">
        <v>5</v>
      </c>
      <c r="H521" s="26" t="n">
        <v>51.79</v>
      </c>
      <c r="I521" s="12" t="s">
        <v>102</v>
      </c>
      <c r="J521" s="12" t="s">
        <v>144</v>
      </c>
      <c r="K521" s="10" t="s">
        <v>658</v>
      </c>
      <c r="L521" s="30" t="s">
        <v>1820</v>
      </c>
      <c r="M521" s="10" t="s">
        <v>3941</v>
      </c>
    </row>
    <row r="522" customFormat="false" ht="46.25" hidden="false" customHeight="false" outlineLevel="0" collapsed="false">
      <c r="A522" s="12" t="s">
        <v>37</v>
      </c>
      <c r="B522" s="12" t="s">
        <v>223</v>
      </c>
      <c r="C522" s="10" t="s">
        <v>689</v>
      </c>
      <c r="D522" s="12" t="s">
        <v>690</v>
      </c>
      <c r="E522" s="10" t="s">
        <v>1838</v>
      </c>
      <c r="F522" s="12" t="s">
        <v>79</v>
      </c>
      <c r="G522" s="12" t="n">
        <v>1</v>
      </c>
      <c r="H522" s="26" t="n">
        <v>14.96</v>
      </c>
      <c r="I522" s="12" t="s">
        <v>102</v>
      </c>
      <c r="J522" s="12" t="s">
        <v>144</v>
      </c>
      <c r="K522" s="10" t="s">
        <v>658</v>
      </c>
      <c r="L522" s="30" t="s">
        <v>692</v>
      </c>
      <c r="M522" s="10" t="s">
        <v>3781</v>
      </c>
    </row>
    <row r="523" customFormat="false" ht="46.25" hidden="false" customHeight="false" outlineLevel="0" collapsed="false">
      <c r="A523" s="12" t="s">
        <v>37</v>
      </c>
      <c r="B523" s="12" t="s">
        <v>217</v>
      </c>
      <c r="C523" s="10" t="s">
        <v>217</v>
      </c>
      <c r="D523" s="12" t="s">
        <v>690</v>
      </c>
      <c r="E523" s="10" t="s">
        <v>1839</v>
      </c>
      <c r="F523" s="12" t="s">
        <v>79</v>
      </c>
      <c r="G523" s="12" t="n">
        <v>5</v>
      </c>
      <c r="H523" s="26" t="n">
        <v>54.55</v>
      </c>
      <c r="I523" s="12" t="s">
        <v>102</v>
      </c>
      <c r="J523" s="12" t="s">
        <v>144</v>
      </c>
      <c r="K523" s="10" t="s">
        <v>658</v>
      </c>
      <c r="L523" s="30" t="s">
        <v>710</v>
      </c>
      <c r="M523" s="10" t="s">
        <v>3942</v>
      </c>
    </row>
    <row r="524" customFormat="false" ht="35.05" hidden="false" customHeight="false" outlineLevel="0" collapsed="false">
      <c r="A524" s="12" t="s">
        <v>37</v>
      </c>
      <c r="B524" s="12" t="s">
        <v>219</v>
      </c>
      <c r="C524" s="10" t="s">
        <v>219</v>
      </c>
      <c r="D524" s="12" t="s">
        <v>1848</v>
      </c>
      <c r="E524" s="10" t="s">
        <v>1849</v>
      </c>
      <c r="F524" s="12" t="s">
        <v>79</v>
      </c>
      <c r="G524" s="12" t="n">
        <v>2</v>
      </c>
      <c r="H524" s="26" t="n">
        <v>66.93</v>
      </c>
      <c r="I524" s="12" t="s">
        <v>102</v>
      </c>
      <c r="J524" s="12" t="s">
        <v>194</v>
      </c>
      <c r="K524" s="10" t="s">
        <v>658</v>
      </c>
      <c r="L524" s="30" t="s">
        <v>1850</v>
      </c>
      <c r="M524" s="10" t="s">
        <v>3943</v>
      </c>
    </row>
    <row r="525" customFormat="false" ht="23.85" hidden="false" customHeight="false" outlineLevel="0" collapsed="false">
      <c r="A525" s="12" t="s">
        <v>37</v>
      </c>
      <c r="B525" s="12" t="s">
        <v>219</v>
      </c>
      <c r="C525" s="10" t="s">
        <v>1853</v>
      </c>
      <c r="D525" s="12" t="s">
        <v>1854</v>
      </c>
      <c r="E525" s="10"/>
      <c r="F525" s="12" t="s">
        <v>97</v>
      </c>
      <c r="G525" s="12"/>
      <c r="H525" s="26"/>
      <c r="I525" s="12" t="s">
        <v>323</v>
      </c>
      <c r="J525" s="12" t="s">
        <v>323</v>
      </c>
      <c r="K525" s="10" t="s">
        <v>3589</v>
      </c>
      <c r="L525" s="12"/>
      <c r="M525" s="10" t="s">
        <v>3590</v>
      </c>
    </row>
    <row r="526" customFormat="false" ht="46.25" hidden="false" customHeight="false" outlineLevel="0" collapsed="false">
      <c r="A526" s="12" t="s">
        <v>37</v>
      </c>
      <c r="B526" s="12" t="s">
        <v>112</v>
      </c>
      <c r="C526" s="10" t="s">
        <v>112</v>
      </c>
      <c r="D526" s="12" t="s">
        <v>823</v>
      </c>
      <c r="E526" s="10" t="s">
        <v>824</v>
      </c>
      <c r="F526" s="12" t="s">
        <v>79</v>
      </c>
      <c r="G526" s="12" t="n">
        <v>1.2</v>
      </c>
      <c r="H526" s="26" t="n">
        <v>343.8</v>
      </c>
      <c r="I526" s="12" t="s">
        <v>102</v>
      </c>
      <c r="J526" s="12" t="s">
        <v>144</v>
      </c>
      <c r="K526" s="10" t="s">
        <v>658</v>
      </c>
      <c r="L526" s="30" t="s">
        <v>825</v>
      </c>
      <c r="M526" s="10" t="s">
        <v>3630</v>
      </c>
    </row>
    <row r="527" customFormat="false" ht="46.25" hidden="false" customHeight="false" outlineLevel="0" collapsed="false">
      <c r="A527" s="12" t="s">
        <v>37</v>
      </c>
      <c r="B527" s="12" t="s">
        <v>117</v>
      </c>
      <c r="C527" s="10" t="s">
        <v>1149</v>
      </c>
      <c r="D527" s="12" t="s">
        <v>1150</v>
      </c>
      <c r="E527" s="10" t="s">
        <v>1843</v>
      </c>
      <c r="F527" s="12" t="s">
        <v>79</v>
      </c>
      <c r="G527" s="12" t="n">
        <v>2</v>
      </c>
      <c r="H527" s="26" t="n">
        <v>21.78</v>
      </c>
      <c r="I527" s="12" t="s">
        <v>102</v>
      </c>
      <c r="J527" s="12" t="s">
        <v>144</v>
      </c>
      <c r="K527" s="10" t="s">
        <v>658</v>
      </c>
      <c r="L527" s="30" t="s">
        <v>1152</v>
      </c>
      <c r="M527" s="10" t="s">
        <v>3722</v>
      </c>
    </row>
    <row r="528" customFormat="false" ht="46.25" hidden="false" customHeight="false" outlineLevel="0" collapsed="false">
      <c r="A528" s="12" t="s">
        <v>37</v>
      </c>
      <c r="B528" s="12" t="s">
        <v>117</v>
      </c>
      <c r="C528" s="10" t="s">
        <v>1149</v>
      </c>
      <c r="D528" s="12" t="s">
        <v>1154</v>
      </c>
      <c r="E528" s="10" t="s">
        <v>1749</v>
      </c>
      <c r="F528" s="12" t="s">
        <v>79</v>
      </c>
      <c r="G528" s="12" t="n">
        <v>5</v>
      </c>
      <c r="H528" s="26" t="n">
        <v>48.28</v>
      </c>
      <c r="I528" s="12" t="s">
        <v>102</v>
      </c>
      <c r="J528" s="12" t="s">
        <v>144</v>
      </c>
      <c r="K528" s="10" t="s">
        <v>658</v>
      </c>
      <c r="L528" s="30" t="s">
        <v>1152</v>
      </c>
      <c r="M528" s="10" t="s">
        <v>3933</v>
      </c>
    </row>
    <row r="529" customFormat="false" ht="35.05" hidden="false" customHeight="false" outlineLevel="0" collapsed="false">
      <c r="A529" s="12" t="s">
        <v>37</v>
      </c>
      <c r="B529" s="12" t="s">
        <v>117</v>
      </c>
      <c r="C529" s="10" t="s">
        <v>117</v>
      </c>
      <c r="D529" s="12" t="s">
        <v>934</v>
      </c>
      <c r="E529" s="10" t="s">
        <v>1080</v>
      </c>
      <c r="F529" s="12" t="s">
        <v>79</v>
      </c>
      <c r="G529" s="12" t="n">
        <v>2</v>
      </c>
      <c r="H529" s="26" t="n">
        <v>55.26</v>
      </c>
      <c r="I529" s="12" t="s">
        <v>77</v>
      </c>
      <c r="J529" s="12" t="s">
        <v>194</v>
      </c>
      <c r="K529" s="10" t="s">
        <v>658</v>
      </c>
      <c r="L529" s="30" t="s">
        <v>1846</v>
      </c>
      <c r="M529" s="10" t="s">
        <v>3944</v>
      </c>
    </row>
    <row r="530" customFormat="false" ht="23.85" hidden="false" customHeight="false" outlineLevel="0" collapsed="false">
      <c r="A530" s="12" t="s">
        <v>37</v>
      </c>
      <c r="B530" s="12" t="s">
        <v>117</v>
      </c>
      <c r="C530" s="10" t="s">
        <v>1855</v>
      </c>
      <c r="D530" s="12" t="s">
        <v>1032</v>
      </c>
      <c r="E530" s="10" t="s">
        <v>1033</v>
      </c>
      <c r="F530" s="12" t="s">
        <v>79</v>
      </c>
      <c r="G530" s="12" t="n">
        <v>2</v>
      </c>
      <c r="H530" s="26"/>
      <c r="I530" s="12" t="s">
        <v>323</v>
      </c>
      <c r="J530" s="12" t="s">
        <v>323</v>
      </c>
      <c r="K530" s="10" t="s">
        <v>3589</v>
      </c>
      <c r="L530" s="12"/>
      <c r="M530" s="10" t="s">
        <v>3590</v>
      </c>
    </row>
    <row r="531" customFormat="false" ht="23.85" hidden="false" customHeight="false" outlineLevel="0" collapsed="false">
      <c r="A531" s="12" t="s">
        <v>37</v>
      </c>
      <c r="B531" s="12" t="s">
        <v>117</v>
      </c>
      <c r="C531" s="10" t="s">
        <v>1855</v>
      </c>
      <c r="D531" s="12" t="s">
        <v>1034</v>
      </c>
      <c r="E531" s="10" t="s">
        <v>1035</v>
      </c>
      <c r="F531" s="12" t="s">
        <v>79</v>
      </c>
      <c r="G531" s="12" t="n">
        <v>5</v>
      </c>
      <c r="H531" s="26"/>
      <c r="I531" s="12" t="s">
        <v>323</v>
      </c>
      <c r="J531" s="12" t="s">
        <v>323</v>
      </c>
      <c r="K531" s="10" t="s">
        <v>3589</v>
      </c>
      <c r="L531" s="12"/>
      <c r="M531" s="10" t="s">
        <v>3590</v>
      </c>
    </row>
    <row r="532" customFormat="false" ht="46.25" hidden="false" customHeight="false" outlineLevel="0" collapsed="false">
      <c r="A532" s="12" t="s">
        <v>45</v>
      </c>
      <c r="B532" s="12" t="s">
        <v>221</v>
      </c>
      <c r="C532" s="10" t="s">
        <v>221</v>
      </c>
      <c r="D532" s="12" t="s">
        <v>1817</v>
      </c>
      <c r="E532" s="10" t="s">
        <v>1818</v>
      </c>
      <c r="F532" s="12" t="s">
        <v>79</v>
      </c>
      <c r="G532" s="12" t="n">
        <v>5</v>
      </c>
      <c r="H532" s="26" t="n">
        <v>51.79</v>
      </c>
      <c r="I532" s="12" t="s">
        <v>102</v>
      </c>
      <c r="J532" s="12" t="s">
        <v>144</v>
      </c>
      <c r="K532" s="10" t="s">
        <v>658</v>
      </c>
      <c r="L532" s="30" t="s">
        <v>1820</v>
      </c>
      <c r="M532" s="10" t="s">
        <v>3941</v>
      </c>
    </row>
    <row r="533" customFormat="false" ht="79.85" hidden="false" customHeight="false" outlineLevel="0" collapsed="false">
      <c r="A533" s="12" t="s">
        <v>45</v>
      </c>
      <c r="B533" s="12" t="s">
        <v>255</v>
      </c>
      <c r="C533" s="10" t="s">
        <v>1824</v>
      </c>
      <c r="D533" s="12" t="s">
        <v>1825</v>
      </c>
      <c r="E533" s="10" t="s">
        <v>1826</v>
      </c>
      <c r="F533" s="12" t="s">
        <v>79</v>
      </c>
      <c r="G533" s="12" t="n">
        <v>3</v>
      </c>
      <c r="H533" s="26" t="n">
        <v>69.3707</v>
      </c>
      <c r="I533" s="12" t="s">
        <v>153</v>
      </c>
      <c r="J533" s="12" t="s">
        <v>3547</v>
      </c>
      <c r="K533" s="10" t="s">
        <v>658</v>
      </c>
      <c r="L533" s="30" t="s">
        <v>1827</v>
      </c>
      <c r="M533" s="10" t="s">
        <v>3945</v>
      </c>
    </row>
    <row r="534" customFormat="false" ht="79.85" hidden="false" customHeight="false" outlineLevel="0" collapsed="false">
      <c r="A534" s="12" t="s">
        <v>45</v>
      </c>
      <c r="B534" s="12" t="s">
        <v>255</v>
      </c>
      <c r="C534" s="10" t="s">
        <v>1824</v>
      </c>
      <c r="D534" s="12" t="s">
        <v>1825</v>
      </c>
      <c r="E534" s="10" t="s">
        <v>1828</v>
      </c>
      <c r="F534" s="12" t="s">
        <v>79</v>
      </c>
      <c r="G534" s="12" t="n">
        <v>3</v>
      </c>
      <c r="H534" s="26" t="n">
        <v>69.3707</v>
      </c>
      <c r="I534" s="12" t="s">
        <v>153</v>
      </c>
      <c r="J534" s="12" t="s">
        <v>3547</v>
      </c>
      <c r="K534" s="10" t="s">
        <v>658</v>
      </c>
      <c r="L534" s="30" t="s">
        <v>1827</v>
      </c>
      <c r="M534" s="10" t="s">
        <v>3945</v>
      </c>
    </row>
    <row r="535" customFormat="false" ht="46.25" hidden="false" customHeight="false" outlineLevel="0" collapsed="false">
      <c r="A535" s="12" t="s">
        <v>45</v>
      </c>
      <c r="B535" s="12" t="s">
        <v>162</v>
      </c>
      <c r="C535" s="10" t="s">
        <v>652</v>
      </c>
      <c r="D535" s="12" t="s">
        <v>654</v>
      </c>
      <c r="E535" s="10" t="s">
        <v>655</v>
      </c>
      <c r="F535" s="12" t="s">
        <v>79</v>
      </c>
      <c r="G535" s="12" t="n">
        <v>1</v>
      </c>
      <c r="H535" s="26" t="n">
        <v>30.01</v>
      </c>
      <c r="I535" s="12" t="s">
        <v>102</v>
      </c>
      <c r="J535" s="12" t="s">
        <v>144</v>
      </c>
      <c r="K535" s="10" t="s">
        <v>658</v>
      </c>
      <c r="L535" s="30" t="s">
        <v>659</v>
      </c>
      <c r="M535" s="10" t="s">
        <v>3546</v>
      </c>
    </row>
    <row r="536" customFormat="false" ht="35.05" hidden="false" customHeight="false" outlineLevel="0" collapsed="false">
      <c r="A536" s="12" t="s">
        <v>45</v>
      </c>
      <c r="B536" s="12" t="s">
        <v>257</v>
      </c>
      <c r="C536" s="10" t="s">
        <v>1829</v>
      </c>
      <c r="D536" s="12" t="s">
        <v>1830</v>
      </c>
      <c r="E536" s="10" t="s">
        <v>1048</v>
      </c>
      <c r="F536" s="12" t="s">
        <v>172</v>
      </c>
      <c r="G536" s="12" t="n">
        <v>1</v>
      </c>
      <c r="H536" s="26" t="n">
        <v>30.352</v>
      </c>
      <c r="I536" s="12" t="s">
        <v>102</v>
      </c>
      <c r="J536" s="12" t="s">
        <v>1044</v>
      </c>
      <c r="K536" s="10" t="s">
        <v>658</v>
      </c>
      <c r="L536" s="30" t="s">
        <v>1831</v>
      </c>
      <c r="M536" s="10" t="s">
        <v>3946</v>
      </c>
    </row>
    <row r="537" customFormat="false" ht="35.05" hidden="false" customHeight="false" outlineLevel="0" collapsed="false">
      <c r="A537" s="12" t="s">
        <v>45</v>
      </c>
      <c r="B537" s="12" t="s">
        <v>263</v>
      </c>
      <c r="C537" s="10" t="s">
        <v>1808</v>
      </c>
      <c r="D537" s="12" t="s">
        <v>741</v>
      </c>
      <c r="E537" s="10" t="s">
        <v>1109</v>
      </c>
      <c r="F537" s="12" t="s">
        <v>79</v>
      </c>
      <c r="G537" s="12" t="n">
        <v>10</v>
      </c>
      <c r="H537" s="26" t="n">
        <v>18</v>
      </c>
      <c r="I537" s="12" t="s">
        <v>102</v>
      </c>
      <c r="J537" s="12" t="s">
        <v>144</v>
      </c>
      <c r="K537" s="10" t="s">
        <v>658</v>
      </c>
      <c r="L537" s="30" t="s">
        <v>1809</v>
      </c>
      <c r="M537" s="10" t="s">
        <v>3947</v>
      </c>
    </row>
    <row r="538" customFormat="false" ht="46.25" hidden="false" customHeight="false" outlineLevel="0" collapsed="false">
      <c r="A538" s="12" t="s">
        <v>45</v>
      </c>
      <c r="B538" s="12" t="s">
        <v>170</v>
      </c>
      <c r="C538" s="10" t="s">
        <v>1296</v>
      </c>
      <c r="D538" s="12" t="s">
        <v>1352</v>
      </c>
      <c r="E538" s="10" t="s">
        <v>1810</v>
      </c>
      <c r="F538" s="12" t="s">
        <v>172</v>
      </c>
      <c r="G538" s="12" t="n">
        <v>1</v>
      </c>
      <c r="H538" s="26" t="n">
        <v>51.18</v>
      </c>
      <c r="I538" s="12" t="s">
        <v>102</v>
      </c>
      <c r="J538" s="12" t="s">
        <v>144</v>
      </c>
      <c r="K538" s="10" t="s">
        <v>658</v>
      </c>
      <c r="L538" s="30" t="s">
        <v>1811</v>
      </c>
      <c r="M538" s="10" t="s">
        <v>3948</v>
      </c>
    </row>
    <row r="539" customFormat="false" ht="23.85" hidden="false" customHeight="false" outlineLevel="0" collapsed="false">
      <c r="A539" s="12" t="s">
        <v>45</v>
      </c>
      <c r="B539" s="12" t="s">
        <v>170</v>
      </c>
      <c r="C539" s="10" t="s">
        <v>1836</v>
      </c>
      <c r="D539" s="12" t="s">
        <v>1052</v>
      </c>
      <c r="E539" s="10" t="s">
        <v>1053</v>
      </c>
      <c r="F539" s="12" t="s">
        <v>172</v>
      </c>
      <c r="G539" s="12" t="n">
        <v>5</v>
      </c>
      <c r="H539" s="26"/>
      <c r="I539" s="12" t="s">
        <v>323</v>
      </c>
      <c r="J539" s="12" t="s">
        <v>323</v>
      </c>
      <c r="K539" s="10" t="s">
        <v>3589</v>
      </c>
      <c r="L539" s="12"/>
      <c r="M539" s="10" t="s">
        <v>3590</v>
      </c>
    </row>
    <row r="540" customFormat="false" ht="23.85" hidden="false" customHeight="false" outlineLevel="0" collapsed="false">
      <c r="A540" s="12" t="s">
        <v>45</v>
      </c>
      <c r="B540" s="12" t="s">
        <v>170</v>
      </c>
      <c r="C540" s="10" t="s">
        <v>1836</v>
      </c>
      <c r="D540" s="12" t="s">
        <v>1047</v>
      </c>
      <c r="E540" s="10" t="s">
        <v>1048</v>
      </c>
      <c r="F540" s="12" t="s">
        <v>172</v>
      </c>
      <c r="G540" s="12" t="n">
        <v>1</v>
      </c>
      <c r="H540" s="26"/>
      <c r="I540" s="12" t="s">
        <v>323</v>
      </c>
      <c r="J540" s="12" t="s">
        <v>323</v>
      </c>
      <c r="K540" s="10" t="s">
        <v>3589</v>
      </c>
      <c r="L540" s="12"/>
      <c r="M540" s="10" t="s">
        <v>3590</v>
      </c>
    </row>
    <row r="541" customFormat="false" ht="23.85" hidden="false" customHeight="false" outlineLevel="0" collapsed="false">
      <c r="A541" s="12" t="s">
        <v>45</v>
      </c>
      <c r="B541" s="12" t="s">
        <v>239</v>
      </c>
      <c r="C541" s="10" t="s">
        <v>1833</v>
      </c>
      <c r="D541" s="12" t="s">
        <v>1034</v>
      </c>
      <c r="E541" s="10" t="s">
        <v>1035</v>
      </c>
      <c r="F541" s="12" t="s">
        <v>79</v>
      </c>
      <c r="G541" s="12" t="n">
        <v>5</v>
      </c>
      <c r="H541" s="26" t="n">
        <v>90.209</v>
      </c>
      <c r="I541" s="12" t="s">
        <v>102</v>
      </c>
      <c r="J541" s="12" t="s">
        <v>1044</v>
      </c>
      <c r="K541" s="10" t="s">
        <v>658</v>
      </c>
      <c r="L541" s="30" t="s">
        <v>1834</v>
      </c>
      <c r="M541" s="10" t="s">
        <v>3949</v>
      </c>
    </row>
    <row r="542" customFormat="false" ht="35.05" hidden="false" customHeight="false" outlineLevel="0" collapsed="false">
      <c r="A542" s="12" t="s">
        <v>45</v>
      </c>
      <c r="B542" s="12" t="s">
        <v>259</v>
      </c>
      <c r="C542" s="10" t="s">
        <v>1812</v>
      </c>
      <c r="D542" s="12" t="s">
        <v>1813</v>
      </c>
      <c r="E542" s="10" t="s">
        <v>1814</v>
      </c>
      <c r="F542" s="12" t="s">
        <v>79</v>
      </c>
      <c r="G542" s="12" t="n">
        <v>2</v>
      </c>
      <c r="H542" s="26" t="n">
        <v>22.55</v>
      </c>
      <c r="I542" s="12" t="s">
        <v>102</v>
      </c>
      <c r="J542" s="12" t="s">
        <v>144</v>
      </c>
      <c r="K542" s="10" t="s">
        <v>658</v>
      </c>
      <c r="L542" s="30" t="s">
        <v>1815</v>
      </c>
      <c r="M542" s="10" t="s">
        <v>3950</v>
      </c>
    </row>
    <row r="543" customFormat="false" ht="35.05" hidden="false" customHeight="false" outlineLevel="0" collapsed="false">
      <c r="A543" s="12" t="s">
        <v>45</v>
      </c>
      <c r="B543" s="12" t="s">
        <v>265</v>
      </c>
      <c r="C543" s="10" t="s">
        <v>1114</v>
      </c>
      <c r="D543" s="12" t="s">
        <v>1115</v>
      </c>
      <c r="E543" s="10" t="s">
        <v>1816</v>
      </c>
      <c r="F543" s="12" t="s">
        <v>79</v>
      </c>
      <c r="G543" s="12" t="n">
        <v>10</v>
      </c>
      <c r="H543" s="26" t="n">
        <v>5.56</v>
      </c>
      <c r="I543" s="12" t="s">
        <v>102</v>
      </c>
      <c r="J543" s="12" t="s">
        <v>144</v>
      </c>
      <c r="K543" s="10" t="s">
        <v>1049</v>
      </c>
      <c r="L543" s="30" t="s">
        <v>1050</v>
      </c>
      <c r="M543" s="10" t="s">
        <v>3799</v>
      </c>
    </row>
    <row r="544" customFormat="false" ht="35.05" hidden="false" customHeight="false" outlineLevel="0" collapsed="false">
      <c r="A544" s="12" t="s">
        <v>45</v>
      </c>
      <c r="B544" s="12" t="s">
        <v>261</v>
      </c>
      <c r="C544" s="10" t="s">
        <v>757</v>
      </c>
      <c r="D544" s="12" t="s">
        <v>1821</v>
      </c>
      <c r="E544" s="10" t="s">
        <v>1033</v>
      </c>
      <c r="F544" s="12" t="s">
        <v>79</v>
      </c>
      <c r="G544" s="12" t="n">
        <v>2</v>
      </c>
      <c r="H544" s="26" t="n">
        <v>13.63</v>
      </c>
      <c r="I544" s="12" t="s">
        <v>102</v>
      </c>
      <c r="J544" s="12" t="s">
        <v>144</v>
      </c>
      <c r="K544" s="10" t="s">
        <v>658</v>
      </c>
      <c r="L544" s="30" t="s">
        <v>760</v>
      </c>
      <c r="M544" s="10" t="s">
        <v>3951</v>
      </c>
    </row>
    <row r="545" customFormat="false" ht="35.05" hidden="false" customHeight="false" outlineLevel="0" collapsed="false">
      <c r="A545" s="12" t="s">
        <v>45</v>
      </c>
      <c r="B545" s="12" t="s">
        <v>261</v>
      </c>
      <c r="C545" s="10" t="s">
        <v>757</v>
      </c>
      <c r="D545" s="12" t="s">
        <v>1822</v>
      </c>
      <c r="E545" s="10" t="s">
        <v>1823</v>
      </c>
      <c r="F545" s="12" t="s">
        <v>79</v>
      </c>
      <c r="G545" s="12" t="n">
        <v>4</v>
      </c>
      <c r="H545" s="26" t="n">
        <v>6.62</v>
      </c>
      <c r="I545" s="12" t="s">
        <v>102</v>
      </c>
      <c r="J545" s="12" t="s">
        <v>144</v>
      </c>
      <c r="K545" s="10" t="s">
        <v>658</v>
      </c>
      <c r="L545" s="30" t="s">
        <v>760</v>
      </c>
      <c r="M545" s="10" t="s">
        <v>3952</v>
      </c>
    </row>
    <row r="546" customFormat="false" ht="46.25" hidden="false" customHeight="false" outlineLevel="0" collapsed="false">
      <c r="A546" s="12" t="s">
        <v>53</v>
      </c>
      <c r="B546" s="12" t="s">
        <v>283</v>
      </c>
      <c r="C546" s="10" t="s">
        <v>1857</v>
      </c>
      <c r="D546" s="12" t="s">
        <v>1859</v>
      </c>
      <c r="E546" s="10" t="s">
        <v>1860</v>
      </c>
      <c r="F546" s="12" t="s">
        <v>79</v>
      </c>
      <c r="G546" s="12" t="n">
        <v>10</v>
      </c>
      <c r="H546" s="26" t="n">
        <v>6.47</v>
      </c>
      <c r="I546" s="12" t="s">
        <v>102</v>
      </c>
      <c r="J546" s="12" t="s">
        <v>144</v>
      </c>
      <c r="K546" s="10" t="s">
        <v>658</v>
      </c>
      <c r="L546" s="30" t="s">
        <v>1861</v>
      </c>
      <c r="M546" s="10" t="s">
        <v>3953</v>
      </c>
    </row>
    <row r="547" customFormat="false" ht="46.25" hidden="false" customHeight="false" outlineLevel="0" collapsed="false">
      <c r="A547" s="12" t="s">
        <v>53</v>
      </c>
      <c r="B547" s="12" t="s">
        <v>283</v>
      </c>
      <c r="C547" s="10" t="s">
        <v>1857</v>
      </c>
      <c r="D547" s="12" t="s">
        <v>1862</v>
      </c>
      <c r="E547" s="10" t="s">
        <v>1863</v>
      </c>
      <c r="F547" s="12" t="s">
        <v>79</v>
      </c>
      <c r="G547" s="12" t="n">
        <v>10</v>
      </c>
      <c r="H547" s="26" t="n">
        <v>6.28</v>
      </c>
      <c r="I547" s="12" t="s">
        <v>102</v>
      </c>
      <c r="J547" s="12" t="s">
        <v>144</v>
      </c>
      <c r="K547" s="10" t="s">
        <v>658</v>
      </c>
      <c r="L547" s="30" t="s">
        <v>1861</v>
      </c>
      <c r="M547" s="10" t="s">
        <v>3954</v>
      </c>
    </row>
    <row r="548" customFormat="false" ht="46.25" hidden="false" customHeight="false" outlineLevel="0" collapsed="false">
      <c r="A548" s="12" t="s">
        <v>53</v>
      </c>
      <c r="B548" s="12" t="s">
        <v>162</v>
      </c>
      <c r="C548" s="10" t="s">
        <v>652</v>
      </c>
      <c r="D548" s="12" t="s">
        <v>654</v>
      </c>
      <c r="E548" s="10" t="s">
        <v>655</v>
      </c>
      <c r="F548" s="12" t="s">
        <v>79</v>
      </c>
      <c r="G548" s="12" t="n">
        <v>1</v>
      </c>
      <c r="H548" s="26" t="n">
        <v>30.01</v>
      </c>
      <c r="I548" s="12" t="s">
        <v>102</v>
      </c>
      <c r="J548" s="12" t="s">
        <v>144</v>
      </c>
      <c r="K548" s="10" t="s">
        <v>658</v>
      </c>
      <c r="L548" s="30" t="s">
        <v>659</v>
      </c>
      <c r="M548" s="10" t="s">
        <v>3546</v>
      </c>
    </row>
    <row r="549" customFormat="false" ht="57.45" hidden="false" customHeight="false" outlineLevel="0" collapsed="false">
      <c r="A549" s="12" t="s">
        <v>53</v>
      </c>
      <c r="B549" s="12" t="s">
        <v>148</v>
      </c>
      <c r="C549" s="10" t="s">
        <v>1869</v>
      </c>
      <c r="D549" s="12" t="s">
        <v>897</v>
      </c>
      <c r="E549" s="10" t="s">
        <v>898</v>
      </c>
      <c r="F549" s="12" t="s">
        <v>79</v>
      </c>
      <c r="G549" s="12"/>
      <c r="H549" s="26" t="n">
        <v>12.0797</v>
      </c>
      <c r="I549" s="12" t="s">
        <v>102</v>
      </c>
      <c r="J549" s="12" t="s">
        <v>3565</v>
      </c>
      <c r="K549" s="10" t="s">
        <v>658</v>
      </c>
      <c r="L549" s="30" t="s">
        <v>1870</v>
      </c>
      <c r="M549" s="10" t="s">
        <v>3955</v>
      </c>
    </row>
    <row r="550" customFormat="false" ht="68.65" hidden="false" customHeight="false" outlineLevel="0" collapsed="false">
      <c r="A550" s="12" t="s">
        <v>53</v>
      </c>
      <c r="B550" s="12" t="s">
        <v>148</v>
      </c>
      <c r="C550" s="10" t="s">
        <v>1869</v>
      </c>
      <c r="D550" s="12" t="s">
        <v>1872</v>
      </c>
      <c r="E550" s="10" t="s">
        <v>1873</v>
      </c>
      <c r="F550" s="12" t="s">
        <v>79</v>
      </c>
      <c r="G550" s="12"/>
      <c r="H550" s="26" t="n">
        <v>44.7141</v>
      </c>
      <c r="I550" s="12" t="s">
        <v>102</v>
      </c>
      <c r="J550" s="12" t="s">
        <v>3558</v>
      </c>
      <c r="K550" s="10" t="s">
        <v>658</v>
      </c>
      <c r="L550" s="30" t="s">
        <v>852</v>
      </c>
      <c r="M550" s="10" t="s">
        <v>3956</v>
      </c>
    </row>
    <row r="551" customFormat="false" ht="57.45" hidden="false" customHeight="false" outlineLevel="0" collapsed="false">
      <c r="A551" s="12" t="s">
        <v>53</v>
      </c>
      <c r="B551" s="12" t="s">
        <v>148</v>
      </c>
      <c r="C551" s="10" t="s">
        <v>1869</v>
      </c>
      <c r="D551" s="12" t="s">
        <v>897</v>
      </c>
      <c r="E551" s="10" t="s">
        <v>898</v>
      </c>
      <c r="F551" s="12" t="s">
        <v>79</v>
      </c>
      <c r="G551" s="12"/>
      <c r="H551" s="26" t="n">
        <v>15.5149</v>
      </c>
      <c r="I551" s="12" t="s">
        <v>102</v>
      </c>
      <c r="J551" s="12" t="s">
        <v>3565</v>
      </c>
      <c r="K551" s="10" t="s">
        <v>658</v>
      </c>
      <c r="L551" s="30" t="s">
        <v>1870</v>
      </c>
      <c r="M551" s="10" t="s">
        <v>3955</v>
      </c>
    </row>
    <row r="552" customFormat="false" ht="35.05" hidden="false" customHeight="false" outlineLevel="0" collapsed="false">
      <c r="A552" s="12" t="s">
        <v>53</v>
      </c>
      <c r="B552" s="12" t="s">
        <v>285</v>
      </c>
      <c r="C552" s="10" t="s">
        <v>1864</v>
      </c>
      <c r="D552" s="12" t="s">
        <v>1865</v>
      </c>
      <c r="E552" s="10" t="s">
        <v>1866</v>
      </c>
      <c r="F552" s="12" t="s">
        <v>79</v>
      </c>
      <c r="G552" s="12"/>
      <c r="H552" s="26" t="n">
        <v>54.62</v>
      </c>
      <c r="I552" s="12" t="s">
        <v>102</v>
      </c>
      <c r="J552" s="12" t="s">
        <v>144</v>
      </c>
      <c r="K552" s="10" t="s">
        <v>1049</v>
      </c>
      <c r="L552" s="30" t="s">
        <v>1050</v>
      </c>
      <c r="M552" s="10" t="s">
        <v>3957</v>
      </c>
    </row>
    <row r="553" customFormat="false" ht="46.25" hidden="false" customHeight="false" outlineLevel="0" collapsed="false">
      <c r="A553" s="12" t="s">
        <v>53</v>
      </c>
      <c r="B553" s="12" t="s">
        <v>287</v>
      </c>
      <c r="C553" s="10" t="s">
        <v>725</v>
      </c>
      <c r="D553" s="12" t="s">
        <v>726</v>
      </c>
      <c r="E553" s="10" t="s">
        <v>1867</v>
      </c>
      <c r="F553" s="12" t="s">
        <v>79</v>
      </c>
      <c r="G553" s="12"/>
      <c r="H553" s="26" t="n">
        <v>8.76</v>
      </c>
      <c r="I553" s="12" t="s">
        <v>102</v>
      </c>
      <c r="J553" s="12" t="s">
        <v>144</v>
      </c>
      <c r="K553" s="10" t="s">
        <v>658</v>
      </c>
      <c r="L553" s="30" t="s">
        <v>728</v>
      </c>
      <c r="M553" s="10" t="s">
        <v>3617</v>
      </c>
    </row>
    <row r="554" customFormat="false" ht="46.25" hidden="false" customHeight="false" outlineLevel="0" collapsed="false">
      <c r="A554" s="12" t="s">
        <v>53</v>
      </c>
      <c r="B554" s="12" t="s">
        <v>287</v>
      </c>
      <c r="C554" s="10" t="s">
        <v>725</v>
      </c>
      <c r="D554" s="12" t="s">
        <v>729</v>
      </c>
      <c r="E554" s="10" t="s">
        <v>1868</v>
      </c>
      <c r="F554" s="12" t="s">
        <v>79</v>
      </c>
      <c r="G554" s="12"/>
      <c r="H554" s="26" t="n">
        <v>6.06</v>
      </c>
      <c r="I554" s="12" t="s">
        <v>102</v>
      </c>
      <c r="J554" s="12" t="s">
        <v>144</v>
      </c>
      <c r="K554" s="10" t="s">
        <v>658</v>
      </c>
      <c r="L554" s="30" t="s">
        <v>728</v>
      </c>
      <c r="M554" s="10" t="s">
        <v>3618</v>
      </c>
    </row>
    <row r="555" customFormat="false" ht="35.05" hidden="false" customHeight="false" outlineLevel="0" collapsed="false">
      <c r="A555" s="12" t="s">
        <v>51</v>
      </c>
      <c r="B555" s="12" t="s">
        <v>273</v>
      </c>
      <c r="C555" s="10" t="s">
        <v>1883</v>
      </c>
      <c r="D555" s="12"/>
      <c r="E555" s="10" t="s">
        <v>1884</v>
      </c>
      <c r="F555" s="12" t="s">
        <v>172</v>
      </c>
      <c r="G555" s="12" t="n">
        <v>2</v>
      </c>
      <c r="H555" s="26" t="n">
        <v>634</v>
      </c>
      <c r="I555" s="12" t="s">
        <v>77</v>
      </c>
      <c r="J555" s="12" t="s">
        <v>995</v>
      </c>
      <c r="K555" s="10" t="s">
        <v>1069</v>
      </c>
      <c r="L555" s="30" t="s">
        <v>1885</v>
      </c>
      <c r="M555" s="10" t="s">
        <v>3958</v>
      </c>
    </row>
    <row r="556" customFormat="false" ht="23.85" hidden="false" customHeight="false" outlineLevel="0" collapsed="false">
      <c r="A556" s="12" t="s">
        <v>51</v>
      </c>
      <c r="B556" s="12" t="s">
        <v>273</v>
      </c>
      <c r="C556" s="10" t="s">
        <v>1887</v>
      </c>
      <c r="D556" s="12" t="s">
        <v>1888</v>
      </c>
      <c r="E556" s="10" t="s">
        <v>1889</v>
      </c>
      <c r="F556" s="12" t="s">
        <v>172</v>
      </c>
      <c r="G556" s="12" t="n">
        <v>10</v>
      </c>
      <c r="H556" s="26" t="n">
        <v>7.2659</v>
      </c>
      <c r="I556" s="12" t="s">
        <v>77</v>
      </c>
      <c r="J556" s="12" t="s">
        <v>3558</v>
      </c>
      <c r="K556" s="10" t="s">
        <v>658</v>
      </c>
      <c r="L556" s="30" t="s">
        <v>1890</v>
      </c>
      <c r="M556" s="10" t="s">
        <v>3959</v>
      </c>
    </row>
    <row r="557" customFormat="false" ht="35.05" hidden="false" customHeight="false" outlineLevel="0" collapsed="false">
      <c r="A557" s="12" t="s">
        <v>51</v>
      </c>
      <c r="B557" s="12" t="s">
        <v>273</v>
      </c>
      <c r="C557" s="10" t="s">
        <v>1883</v>
      </c>
      <c r="D557" s="12" t="s">
        <v>1200</v>
      </c>
      <c r="E557" s="10" t="s">
        <v>1691</v>
      </c>
      <c r="F557" s="12" t="s">
        <v>172</v>
      </c>
      <c r="G557" s="12" t="n">
        <v>2</v>
      </c>
      <c r="H557" s="26" t="n">
        <v>5.579</v>
      </c>
      <c r="I557" s="12" t="s">
        <v>77</v>
      </c>
      <c r="J557" s="12" t="s">
        <v>1044</v>
      </c>
      <c r="K557" s="10" t="s">
        <v>658</v>
      </c>
      <c r="L557" s="30" t="s">
        <v>1788</v>
      </c>
      <c r="M557" s="10" t="s">
        <v>3960</v>
      </c>
    </row>
    <row r="558" customFormat="false" ht="23.85" hidden="false" customHeight="false" outlineLevel="0" collapsed="false">
      <c r="A558" s="12" t="s">
        <v>51</v>
      </c>
      <c r="B558" s="12" t="s">
        <v>273</v>
      </c>
      <c r="C558" s="10" t="s">
        <v>1883</v>
      </c>
      <c r="D558" s="12" t="s">
        <v>1897</v>
      </c>
      <c r="E558" s="10" t="s">
        <v>1282</v>
      </c>
      <c r="F558" s="12" t="s">
        <v>172</v>
      </c>
      <c r="G558" s="12" t="n">
        <v>2</v>
      </c>
      <c r="H558" s="26" t="n">
        <v>7.18</v>
      </c>
      <c r="I558" s="12" t="s">
        <v>77</v>
      </c>
      <c r="J558" s="12" t="s">
        <v>995</v>
      </c>
      <c r="K558" s="10" t="s">
        <v>1069</v>
      </c>
      <c r="L558" s="30" t="s">
        <v>1885</v>
      </c>
      <c r="M558" s="10" t="s">
        <v>3958</v>
      </c>
    </row>
    <row r="559" customFormat="false" ht="23.85" hidden="false" customHeight="false" outlineLevel="0" collapsed="false">
      <c r="A559" s="12" t="s">
        <v>51</v>
      </c>
      <c r="B559" s="12" t="s">
        <v>271</v>
      </c>
      <c r="C559" s="10" t="s">
        <v>1879</v>
      </c>
      <c r="D559" s="12" t="s">
        <v>1880</v>
      </c>
      <c r="E559" s="10" t="s">
        <v>1881</v>
      </c>
      <c r="F559" s="12" t="s">
        <v>85</v>
      </c>
      <c r="G559" s="12" t="n">
        <v>1</v>
      </c>
      <c r="H559" s="26" t="n">
        <v>59.3</v>
      </c>
      <c r="I559" s="12" t="s">
        <v>77</v>
      </c>
      <c r="J559" s="12" t="s">
        <v>144</v>
      </c>
      <c r="K559" s="10" t="s">
        <v>1049</v>
      </c>
      <c r="L559" s="30" t="s">
        <v>1050</v>
      </c>
      <c r="M559" s="10" t="s">
        <v>3961</v>
      </c>
    </row>
    <row r="560" customFormat="false" ht="15" hidden="false" customHeight="false" outlineLevel="0" collapsed="false">
      <c r="A560" s="12" t="s">
        <v>51</v>
      </c>
      <c r="B560" s="12" t="s">
        <v>271</v>
      </c>
      <c r="C560" s="10" t="s">
        <v>1879</v>
      </c>
      <c r="D560" s="12" t="s">
        <v>846</v>
      </c>
      <c r="E560" s="10" t="s">
        <v>1536</v>
      </c>
      <c r="F560" s="12" t="s">
        <v>85</v>
      </c>
      <c r="G560" s="12"/>
      <c r="H560" s="26"/>
      <c r="I560" s="12" t="s">
        <v>323</v>
      </c>
      <c r="J560" s="12" t="s">
        <v>323</v>
      </c>
      <c r="K560" s="10" t="s">
        <v>3594</v>
      </c>
      <c r="L560" s="12"/>
      <c r="M560" s="10" t="s">
        <v>3595</v>
      </c>
    </row>
    <row r="561" customFormat="false" ht="46.25" hidden="false" customHeight="false" outlineLevel="0" collapsed="false">
      <c r="A561" s="12" t="s">
        <v>51</v>
      </c>
      <c r="B561" s="12" t="s">
        <v>245</v>
      </c>
      <c r="C561" s="10" t="s">
        <v>1874</v>
      </c>
      <c r="D561" s="12" t="s">
        <v>1422</v>
      </c>
      <c r="E561" s="10" t="s">
        <v>1876</v>
      </c>
      <c r="F561" s="12" t="s">
        <v>79</v>
      </c>
      <c r="G561" s="12" t="n">
        <v>5</v>
      </c>
      <c r="H561" s="26" t="n">
        <v>6.66</v>
      </c>
      <c r="I561" s="12" t="s">
        <v>102</v>
      </c>
      <c r="J561" s="12" t="s">
        <v>144</v>
      </c>
      <c r="K561" s="10" t="s">
        <v>658</v>
      </c>
      <c r="L561" s="30" t="s">
        <v>1877</v>
      </c>
      <c r="M561" s="10" t="s">
        <v>3962</v>
      </c>
    </row>
    <row r="562" customFormat="false" ht="46.25" hidden="false" customHeight="false" outlineLevel="0" collapsed="false">
      <c r="A562" s="12" t="s">
        <v>51</v>
      </c>
      <c r="B562" s="12" t="s">
        <v>245</v>
      </c>
      <c r="C562" s="10" t="s">
        <v>1874</v>
      </c>
      <c r="D562" s="12" t="s">
        <v>1878</v>
      </c>
      <c r="E562" s="10" t="s">
        <v>707</v>
      </c>
      <c r="F562" s="12" t="s">
        <v>79</v>
      </c>
      <c r="G562" s="12" t="n">
        <v>20</v>
      </c>
      <c r="H562" s="26" t="n">
        <v>38.11</v>
      </c>
      <c r="I562" s="12" t="s">
        <v>102</v>
      </c>
      <c r="J562" s="12" t="s">
        <v>144</v>
      </c>
      <c r="K562" s="10" t="s">
        <v>658</v>
      </c>
      <c r="L562" s="30" t="s">
        <v>1877</v>
      </c>
      <c r="M562" s="10" t="s">
        <v>3963</v>
      </c>
    </row>
    <row r="563" customFormat="false" ht="57.45" hidden="false" customHeight="false" outlineLevel="0" collapsed="false">
      <c r="A563" s="12" t="s">
        <v>51</v>
      </c>
      <c r="B563" s="12" t="s">
        <v>280</v>
      </c>
      <c r="C563" s="10" t="s">
        <v>1891</v>
      </c>
      <c r="D563" s="12" t="s">
        <v>1892</v>
      </c>
      <c r="E563" s="10" t="s">
        <v>1889</v>
      </c>
      <c r="F563" s="12" t="s">
        <v>172</v>
      </c>
      <c r="G563" s="12" t="n">
        <v>10</v>
      </c>
      <c r="H563" s="26" t="n">
        <v>6.0342</v>
      </c>
      <c r="I563" s="12" t="s">
        <v>77</v>
      </c>
      <c r="J563" s="12" t="s">
        <v>3565</v>
      </c>
      <c r="K563" s="10" t="s">
        <v>658</v>
      </c>
      <c r="L563" s="30" t="s">
        <v>1893</v>
      </c>
      <c r="M563" s="10" t="s">
        <v>3964</v>
      </c>
    </row>
    <row r="564" customFormat="false" ht="46.25" hidden="false" customHeight="false" outlineLevel="0" collapsed="false">
      <c r="A564" s="12" t="s">
        <v>51</v>
      </c>
      <c r="B564" s="12" t="s">
        <v>280</v>
      </c>
      <c r="C564" s="10" t="s">
        <v>1891</v>
      </c>
      <c r="D564" s="12" t="s">
        <v>1741</v>
      </c>
      <c r="E564" s="10" t="s">
        <v>1889</v>
      </c>
      <c r="F564" s="12" t="s">
        <v>172</v>
      </c>
      <c r="G564" s="12" t="n">
        <v>10</v>
      </c>
      <c r="H564" s="26" t="n">
        <v>11.39</v>
      </c>
      <c r="I564" s="12" t="s">
        <v>77</v>
      </c>
      <c r="J564" s="12" t="s">
        <v>995</v>
      </c>
      <c r="K564" s="10" t="s">
        <v>658</v>
      </c>
      <c r="L564" s="30" t="s">
        <v>991</v>
      </c>
      <c r="M564" s="10" t="s">
        <v>3965</v>
      </c>
    </row>
    <row r="565" customFormat="false" ht="23.85" hidden="false" customHeight="false" outlineLevel="0" collapsed="false">
      <c r="A565" s="12" t="s">
        <v>51</v>
      </c>
      <c r="B565" s="12" t="s">
        <v>277</v>
      </c>
      <c r="C565" s="10" t="s">
        <v>1898</v>
      </c>
      <c r="D565" s="12" t="s">
        <v>1899</v>
      </c>
      <c r="E565" s="10" t="s">
        <v>1282</v>
      </c>
      <c r="F565" s="12" t="s">
        <v>172</v>
      </c>
      <c r="G565" s="12" t="n">
        <v>2</v>
      </c>
      <c r="H565" s="26" t="n">
        <v>5.27</v>
      </c>
      <c r="I565" s="12" t="s">
        <v>77</v>
      </c>
      <c r="J565" s="12" t="s">
        <v>995</v>
      </c>
      <c r="K565" s="10" t="s">
        <v>1069</v>
      </c>
      <c r="L565" s="30" t="s">
        <v>1900</v>
      </c>
      <c r="M565" s="10" t="s">
        <v>3966</v>
      </c>
    </row>
    <row r="566" customFormat="false" ht="23.85" hidden="false" customHeight="false" outlineLevel="0" collapsed="false">
      <c r="A566" s="12" t="s">
        <v>51</v>
      </c>
      <c r="B566" s="12" t="s">
        <v>277</v>
      </c>
      <c r="C566" s="10" t="s">
        <v>1898</v>
      </c>
      <c r="D566" s="12" t="s">
        <v>1899</v>
      </c>
      <c r="E566" s="10" t="s">
        <v>1889</v>
      </c>
      <c r="F566" s="12" t="s">
        <v>172</v>
      </c>
      <c r="G566" s="12" t="n">
        <v>10</v>
      </c>
      <c r="H566" s="26" t="n">
        <v>26.33</v>
      </c>
      <c r="I566" s="12" t="s">
        <v>77</v>
      </c>
      <c r="J566" s="12" t="s">
        <v>995</v>
      </c>
      <c r="K566" s="10" t="s">
        <v>1069</v>
      </c>
      <c r="L566" s="30" t="s">
        <v>1900</v>
      </c>
      <c r="M566" s="10" t="s">
        <v>3966</v>
      </c>
    </row>
    <row r="567" customFormat="false" ht="35.05" hidden="false" customHeight="false" outlineLevel="0" collapsed="false">
      <c r="A567" s="12" t="s">
        <v>51</v>
      </c>
      <c r="B567" s="12" t="s">
        <v>275</v>
      </c>
      <c r="C567" s="10" t="s">
        <v>1895</v>
      </c>
      <c r="D567" s="12" t="s">
        <v>912</v>
      </c>
      <c r="E567" s="10"/>
      <c r="F567" s="12" t="s">
        <v>97</v>
      </c>
      <c r="G567" s="12"/>
      <c r="H567" s="26" t="n">
        <v>42.21</v>
      </c>
      <c r="I567" s="12" t="s">
        <v>153</v>
      </c>
      <c r="J567" s="12" t="s">
        <v>144</v>
      </c>
      <c r="K567" s="10" t="s">
        <v>1049</v>
      </c>
      <c r="L567" s="30" t="s">
        <v>1050</v>
      </c>
      <c r="M567" s="10" t="s">
        <v>3967</v>
      </c>
    </row>
    <row r="568" customFormat="false" ht="35.05" hidden="false" customHeight="false" outlineLevel="0" collapsed="false">
      <c r="A568" s="12" t="s">
        <v>51</v>
      </c>
      <c r="B568" s="12" t="s">
        <v>117</v>
      </c>
      <c r="C568" s="10" t="s">
        <v>117</v>
      </c>
      <c r="D568" s="12" t="s">
        <v>934</v>
      </c>
      <c r="E568" s="10" t="s">
        <v>1080</v>
      </c>
      <c r="F568" s="12" t="s">
        <v>79</v>
      </c>
      <c r="G568" s="12" t="n">
        <v>2</v>
      </c>
      <c r="H568" s="26" t="n">
        <v>67.02</v>
      </c>
      <c r="I568" s="12" t="s">
        <v>102</v>
      </c>
      <c r="J568" s="12" t="s">
        <v>194</v>
      </c>
      <c r="K568" s="10" t="s">
        <v>658</v>
      </c>
      <c r="L568" s="30" t="s">
        <v>1329</v>
      </c>
      <c r="M568" s="10" t="s">
        <v>3772</v>
      </c>
    </row>
    <row r="569" customFormat="false" ht="35.05" hidden="false" customHeight="false" outlineLevel="0" collapsed="false">
      <c r="A569" s="12" t="s">
        <v>51</v>
      </c>
      <c r="B569" s="12" t="s">
        <v>117</v>
      </c>
      <c r="C569" s="10" t="s">
        <v>1896</v>
      </c>
      <c r="D569" s="12" t="s">
        <v>1183</v>
      </c>
      <c r="E569" s="10" t="s">
        <v>1080</v>
      </c>
      <c r="F569" s="12" t="s">
        <v>79</v>
      </c>
      <c r="G569" s="12" t="n">
        <v>2</v>
      </c>
      <c r="H569" s="26" t="n">
        <v>92.0498</v>
      </c>
      <c r="I569" s="12" t="s">
        <v>102</v>
      </c>
      <c r="J569" s="12" t="s">
        <v>3558</v>
      </c>
      <c r="K569" s="10" t="s">
        <v>658</v>
      </c>
      <c r="L569" s="30" t="s">
        <v>852</v>
      </c>
      <c r="M569" s="10" t="s">
        <v>3968</v>
      </c>
    </row>
    <row r="570" customFormat="false" ht="35.05" hidden="false" customHeight="false" outlineLevel="0" collapsed="false">
      <c r="A570" s="12" t="s">
        <v>49</v>
      </c>
      <c r="B570" s="12" t="s">
        <v>269</v>
      </c>
      <c r="C570" s="10" t="s">
        <v>1911</v>
      </c>
      <c r="D570" s="12" t="s">
        <v>1773</v>
      </c>
      <c r="E570" s="10" t="s">
        <v>1774</v>
      </c>
      <c r="F570" s="12" t="s">
        <v>79</v>
      </c>
      <c r="G570" s="12"/>
      <c r="H570" s="26" t="n">
        <v>8.323</v>
      </c>
      <c r="I570" s="12" t="s">
        <v>102</v>
      </c>
      <c r="J570" s="12" t="s">
        <v>1044</v>
      </c>
      <c r="K570" s="10" t="s">
        <v>658</v>
      </c>
      <c r="L570" s="30" t="s">
        <v>1912</v>
      </c>
      <c r="M570" s="10" t="s">
        <v>3969</v>
      </c>
    </row>
    <row r="571" customFormat="false" ht="35.05" hidden="false" customHeight="false" outlineLevel="0" collapsed="false">
      <c r="A571" s="12" t="s">
        <v>49</v>
      </c>
      <c r="B571" s="12" t="s">
        <v>269</v>
      </c>
      <c r="C571" s="10" t="s">
        <v>1911</v>
      </c>
      <c r="D571" s="12" t="s">
        <v>1908</v>
      </c>
      <c r="E571" s="10" t="s">
        <v>1909</v>
      </c>
      <c r="F571" s="12" t="s">
        <v>79</v>
      </c>
      <c r="G571" s="12"/>
      <c r="H571" s="26" t="n">
        <v>17.738</v>
      </c>
      <c r="I571" s="12" t="s">
        <v>102</v>
      </c>
      <c r="J571" s="12" t="s">
        <v>1044</v>
      </c>
      <c r="K571" s="10" t="s">
        <v>658</v>
      </c>
      <c r="L571" s="30" t="s">
        <v>1913</v>
      </c>
      <c r="M571" s="10" t="s">
        <v>3970</v>
      </c>
    </row>
    <row r="572" customFormat="false" ht="57.45" hidden="false" customHeight="false" outlineLevel="0" collapsed="false">
      <c r="A572" s="12" t="s">
        <v>49</v>
      </c>
      <c r="B572" s="12" t="s">
        <v>206</v>
      </c>
      <c r="C572" s="10" t="s">
        <v>1907</v>
      </c>
      <c r="D572" s="12" t="s">
        <v>1908</v>
      </c>
      <c r="E572" s="10" t="s">
        <v>1909</v>
      </c>
      <c r="F572" s="12" t="s">
        <v>79</v>
      </c>
      <c r="G572" s="12"/>
      <c r="H572" s="26" t="n">
        <v>30.73</v>
      </c>
      <c r="I572" s="12" t="s">
        <v>102</v>
      </c>
      <c r="J572" s="12" t="s">
        <v>1044</v>
      </c>
      <c r="K572" s="10" t="s">
        <v>658</v>
      </c>
      <c r="L572" s="30" t="s">
        <v>1910</v>
      </c>
      <c r="M572" s="10" t="s">
        <v>3971</v>
      </c>
    </row>
    <row r="573" customFormat="false" ht="46.25" hidden="false" customHeight="false" outlineLevel="0" collapsed="false">
      <c r="A573" s="12" t="s">
        <v>49</v>
      </c>
      <c r="B573" s="12" t="s">
        <v>206</v>
      </c>
      <c r="C573" s="10" t="s">
        <v>1907</v>
      </c>
      <c r="D573" s="12" t="s">
        <v>1773</v>
      </c>
      <c r="E573" s="10" t="s">
        <v>1774</v>
      </c>
      <c r="F573" s="12" t="s">
        <v>79</v>
      </c>
      <c r="G573" s="12"/>
      <c r="H573" s="26" t="n">
        <v>15.365</v>
      </c>
      <c r="I573" s="12" t="s">
        <v>102</v>
      </c>
      <c r="J573" s="12" t="s">
        <v>1044</v>
      </c>
      <c r="K573" s="10" t="s">
        <v>658</v>
      </c>
      <c r="L573" s="30" t="s">
        <v>1910</v>
      </c>
      <c r="M573" s="10" t="s">
        <v>3972</v>
      </c>
    </row>
    <row r="574" customFormat="false" ht="23.85" hidden="false" customHeight="false" outlineLevel="0" collapsed="false">
      <c r="A574" s="12" t="s">
        <v>49</v>
      </c>
      <c r="B574" s="12" t="s">
        <v>229</v>
      </c>
      <c r="C574" s="10" t="s">
        <v>1921</v>
      </c>
      <c r="D574" s="12" t="s">
        <v>1922</v>
      </c>
      <c r="E574" s="10" t="s">
        <v>1923</v>
      </c>
      <c r="F574" s="12" t="s">
        <v>79</v>
      </c>
      <c r="G574" s="12" t="n">
        <v>5</v>
      </c>
      <c r="H574" s="26" t="n">
        <v>6.9411728505</v>
      </c>
      <c r="I574" s="12" t="s">
        <v>77</v>
      </c>
      <c r="J574" s="12" t="s">
        <v>995</v>
      </c>
      <c r="K574" s="10" t="s">
        <v>1069</v>
      </c>
      <c r="L574" s="30" t="s">
        <v>1924</v>
      </c>
      <c r="M574" s="10" t="s">
        <v>3973</v>
      </c>
    </row>
    <row r="575" customFormat="false" ht="91" hidden="false" customHeight="false" outlineLevel="0" collapsed="false">
      <c r="A575" s="12" t="s">
        <v>49</v>
      </c>
      <c r="B575" s="12" t="s">
        <v>148</v>
      </c>
      <c r="C575" s="10" t="s">
        <v>148</v>
      </c>
      <c r="D575" s="12" t="s">
        <v>1254</v>
      </c>
      <c r="E575" s="10" t="s">
        <v>1903</v>
      </c>
      <c r="F575" s="12" t="s">
        <v>79</v>
      </c>
      <c r="G575" s="12"/>
      <c r="H575" s="26" t="n">
        <v>10.97</v>
      </c>
      <c r="I575" s="12" t="s">
        <v>102</v>
      </c>
      <c r="J575" s="12" t="s">
        <v>194</v>
      </c>
      <c r="K575" s="10" t="s">
        <v>658</v>
      </c>
      <c r="L575" s="30" t="s">
        <v>1904</v>
      </c>
      <c r="M575" s="10" t="s">
        <v>3974</v>
      </c>
    </row>
    <row r="576" customFormat="false" ht="57.45" hidden="false" customHeight="false" outlineLevel="0" collapsed="false">
      <c r="A576" s="12" t="s">
        <v>49</v>
      </c>
      <c r="B576" s="12" t="s">
        <v>148</v>
      </c>
      <c r="C576" s="10" t="s">
        <v>1905</v>
      </c>
      <c r="D576" s="12" t="s">
        <v>897</v>
      </c>
      <c r="E576" s="10" t="s">
        <v>1906</v>
      </c>
      <c r="F576" s="12" t="s">
        <v>79</v>
      </c>
      <c r="G576" s="12"/>
      <c r="H576" s="26" t="n">
        <v>12.0797</v>
      </c>
      <c r="I576" s="12" t="s">
        <v>153</v>
      </c>
      <c r="J576" s="12" t="s">
        <v>3558</v>
      </c>
      <c r="K576" s="10" t="s">
        <v>658</v>
      </c>
      <c r="L576" s="30" t="s">
        <v>852</v>
      </c>
      <c r="M576" s="10" t="s">
        <v>3975</v>
      </c>
    </row>
    <row r="577" customFormat="false" ht="57.45" hidden="false" customHeight="false" outlineLevel="0" collapsed="false">
      <c r="A577" s="12" t="s">
        <v>49</v>
      </c>
      <c r="B577" s="12" t="s">
        <v>148</v>
      </c>
      <c r="C577" s="10" t="s">
        <v>1905</v>
      </c>
      <c r="D577" s="12" t="s">
        <v>897</v>
      </c>
      <c r="E577" s="10" t="s">
        <v>1906</v>
      </c>
      <c r="F577" s="12" t="s">
        <v>79</v>
      </c>
      <c r="G577" s="12"/>
      <c r="H577" s="26" t="n">
        <v>12.0797</v>
      </c>
      <c r="I577" s="12" t="s">
        <v>153</v>
      </c>
      <c r="J577" s="12" t="s">
        <v>3558</v>
      </c>
      <c r="K577" s="10" t="s">
        <v>658</v>
      </c>
      <c r="L577" s="30" t="s">
        <v>852</v>
      </c>
      <c r="M577" s="10" t="s">
        <v>3975</v>
      </c>
    </row>
    <row r="578" customFormat="false" ht="46.25" hidden="false" customHeight="false" outlineLevel="0" collapsed="false">
      <c r="A578" s="12" t="s">
        <v>49</v>
      </c>
      <c r="B578" s="12" t="s">
        <v>267</v>
      </c>
      <c r="C578" s="10" t="s">
        <v>1914</v>
      </c>
      <c r="D578" s="12" t="s">
        <v>1915</v>
      </c>
      <c r="E578" s="10" t="s">
        <v>1916</v>
      </c>
      <c r="F578" s="12" t="s">
        <v>79</v>
      </c>
      <c r="G578" s="12"/>
      <c r="H578" s="26" t="n">
        <v>13.489</v>
      </c>
      <c r="I578" s="12" t="s">
        <v>102</v>
      </c>
      <c r="J578" s="12" t="s">
        <v>1044</v>
      </c>
      <c r="K578" s="10" t="s">
        <v>658</v>
      </c>
      <c r="L578" s="30" t="s">
        <v>1917</v>
      </c>
      <c r="M578" s="10" t="s">
        <v>3976</v>
      </c>
    </row>
    <row r="579" customFormat="false" ht="35.05" hidden="false" customHeight="false" outlineLevel="0" collapsed="false">
      <c r="A579" s="12" t="s">
        <v>49</v>
      </c>
      <c r="B579" s="12" t="s">
        <v>267</v>
      </c>
      <c r="C579" s="10" t="s">
        <v>1918</v>
      </c>
      <c r="D579" s="12" t="s">
        <v>1919</v>
      </c>
      <c r="E579" s="10" t="s">
        <v>1920</v>
      </c>
      <c r="F579" s="12" t="s">
        <v>79</v>
      </c>
      <c r="G579" s="12"/>
      <c r="H579" s="26" t="n">
        <v>26.971</v>
      </c>
      <c r="I579" s="12" t="s">
        <v>102</v>
      </c>
      <c r="J579" s="12" t="s">
        <v>1044</v>
      </c>
      <c r="K579" s="10" t="s">
        <v>658</v>
      </c>
      <c r="L579" s="30" t="s">
        <v>1917</v>
      </c>
      <c r="M579" s="10" t="s">
        <v>3977</v>
      </c>
    </row>
    <row r="580" customFormat="false" ht="23.85" hidden="false" customHeight="false" outlineLevel="0" collapsed="false">
      <c r="A580" s="12" t="s">
        <v>33</v>
      </c>
      <c r="B580" s="12" t="s">
        <v>192</v>
      </c>
      <c r="C580" s="10" t="s">
        <v>192</v>
      </c>
      <c r="D580" s="12" t="s">
        <v>1235</v>
      </c>
      <c r="E580" s="10" t="s">
        <v>1935</v>
      </c>
      <c r="F580" s="12" t="s">
        <v>79</v>
      </c>
      <c r="G580" s="12" t="n">
        <v>2</v>
      </c>
      <c r="H580" s="26"/>
      <c r="I580" s="12" t="s">
        <v>323</v>
      </c>
      <c r="J580" s="12" t="s">
        <v>323</v>
      </c>
      <c r="K580" s="10" t="s">
        <v>3589</v>
      </c>
      <c r="L580" s="12"/>
      <c r="M580" s="10" t="s">
        <v>3590</v>
      </c>
    </row>
    <row r="581" customFormat="false" ht="46.25" hidden="false" customHeight="false" outlineLevel="0" collapsed="false">
      <c r="A581" s="12" t="s">
        <v>33</v>
      </c>
      <c r="B581" s="12" t="s">
        <v>192</v>
      </c>
      <c r="C581" s="10" t="s">
        <v>1996</v>
      </c>
      <c r="D581" s="12" t="s">
        <v>1315</v>
      </c>
      <c r="E581" s="10" t="s">
        <v>1997</v>
      </c>
      <c r="F581" s="12" t="s">
        <v>79</v>
      </c>
      <c r="G581" s="12"/>
      <c r="H581" s="26" t="n">
        <v>176.652</v>
      </c>
      <c r="I581" s="12" t="s">
        <v>102</v>
      </c>
      <c r="J581" s="12" t="s">
        <v>1044</v>
      </c>
      <c r="K581" s="10" t="s">
        <v>658</v>
      </c>
      <c r="L581" s="30" t="s">
        <v>976</v>
      </c>
      <c r="M581" s="10" t="s">
        <v>3978</v>
      </c>
    </row>
    <row r="582" customFormat="false" ht="35.05" hidden="false" customHeight="false" outlineLevel="0" collapsed="false">
      <c r="A582" s="12" t="s">
        <v>33</v>
      </c>
      <c r="B582" s="12" t="s">
        <v>192</v>
      </c>
      <c r="C582" s="10" t="s">
        <v>1996</v>
      </c>
      <c r="D582" s="12" t="s">
        <v>1760</v>
      </c>
      <c r="E582" s="10" t="s">
        <v>1999</v>
      </c>
      <c r="F582" s="12" t="s">
        <v>79</v>
      </c>
      <c r="G582" s="12"/>
      <c r="H582" s="26" t="n">
        <v>220.822</v>
      </c>
      <c r="I582" s="12" t="s">
        <v>77</v>
      </c>
      <c r="J582" s="12" t="s">
        <v>1044</v>
      </c>
      <c r="K582" s="10" t="s">
        <v>658</v>
      </c>
      <c r="L582" s="30" t="s">
        <v>976</v>
      </c>
      <c r="M582" s="10" t="s">
        <v>3979</v>
      </c>
    </row>
    <row r="583" customFormat="false" ht="35.05" hidden="false" customHeight="false" outlineLevel="0" collapsed="false">
      <c r="A583" s="12" t="s">
        <v>33</v>
      </c>
      <c r="B583" s="12" t="s">
        <v>89</v>
      </c>
      <c r="C583" s="10" t="s">
        <v>1940</v>
      </c>
      <c r="D583" s="12" t="s">
        <v>828</v>
      </c>
      <c r="E583" s="10" t="s">
        <v>829</v>
      </c>
      <c r="F583" s="12" t="s">
        <v>79</v>
      </c>
      <c r="G583" s="12"/>
      <c r="H583" s="26" t="n">
        <v>1007.36</v>
      </c>
      <c r="I583" s="12" t="s">
        <v>77</v>
      </c>
      <c r="J583" s="12" t="s">
        <v>194</v>
      </c>
      <c r="K583" s="10" t="s">
        <v>658</v>
      </c>
      <c r="L583" s="30" t="s">
        <v>1941</v>
      </c>
      <c r="M583" s="10" t="s">
        <v>3980</v>
      </c>
    </row>
    <row r="584" customFormat="false" ht="23.85" hidden="false" customHeight="false" outlineLevel="0" collapsed="false">
      <c r="A584" s="12" t="s">
        <v>33</v>
      </c>
      <c r="B584" s="12" t="s">
        <v>89</v>
      </c>
      <c r="C584" s="10" t="s">
        <v>1940</v>
      </c>
      <c r="D584" s="12" t="s">
        <v>854</v>
      </c>
      <c r="E584" s="10" t="s">
        <v>829</v>
      </c>
      <c r="F584" s="12" t="s">
        <v>79</v>
      </c>
      <c r="G584" s="12"/>
      <c r="H584" s="26" t="n">
        <v>1444.1174</v>
      </c>
      <c r="I584" s="12" t="s">
        <v>77</v>
      </c>
      <c r="J584" s="12" t="s">
        <v>3558</v>
      </c>
      <c r="K584" s="10" t="s">
        <v>658</v>
      </c>
      <c r="L584" s="30" t="s">
        <v>852</v>
      </c>
      <c r="M584" s="10" t="s">
        <v>3981</v>
      </c>
    </row>
    <row r="585" customFormat="false" ht="23.85" hidden="false" customHeight="false" outlineLevel="0" collapsed="false">
      <c r="A585" s="12" t="s">
        <v>33</v>
      </c>
      <c r="B585" s="12" t="s">
        <v>89</v>
      </c>
      <c r="C585" s="10" t="s">
        <v>1994</v>
      </c>
      <c r="D585" s="12" t="s">
        <v>1184</v>
      </c>
      <c r="E585" s="10" t="s">
        <v>1995</v>
      </c>
      <c r="F585" s="12" t="s">
        <v>79</v>
      </c>
      <c r="G585" s="12" t="n">
        <v>10</v>
      </c>
      <c r="H585" s="26" t="n">
        <v>981.694</v>
      </c>
      <c r="I585" s="12" t="s">
        <v>77</v>
      </c>
      <c r="J585" s="12" t="s">
        <v>948</v>
      </c>
      <c r="K585" s="10" t="s">
        <v>658</v>
      </c>
      <c r="L585" s="30" t="s">
        <v>944</v>
      </c>
      <c r="M585" s="10" t="s">
        <v>3982</v>
      </c>
    </row>
    <row r="586" customFormat="false" ht="23.85" hidden="false" customHeight="false" outlineLevel="0" collapsed="false">
      <c r="A586" s="12" t="s">
        <v>33</v>
      </c>
      <c r="B586" s="12" t="s">
        <v>89</v>
      </c>
      <c r="C586" s="10" t="s">
        <v>2013</v>
      </c>
      <c r="D586" s="12" t="s">
        <v>1083</v>
      </c>
      <c r="E586" s="10" t="s">
        <v>1217</v>
      </c>
      <c r="F586" s="12" t="s">
        <v>79</v>
      </c>
      <c r="G586" s="12" t="n">
        <v>10</v>
      </c>
      <c r="H586" s="26" t="n">
        <v>116.14</v>
      </c>
      <c r="I586" s="12" t="s">
        <v>77</v>
      </c>
      <c r="J586" s="12" t="s">
        <v>995</v>
      </c>
      <c r="K586" s="10" t="s">
        <v>1069</v>
      </c>
      <c r="L586" s="30" t="s">
        <v>2014</v>
      </c>
      <c r="M586" s="10" t="s">
        <v>3983</v>
      </c>
    </row>
    <row r="587" customFormat="false" ht="46.25" hidden="false" customHeight="false" outlineLevel="0" collapsed="false">
      <c r="A587" s="12" t="s">
        <v>33</v>
      </c>
      <c r="B587" s="12" t="s">
        <v>590</v>
      </c>
      <c r="C587" s="10" t="s">
        <v>1925</v>
      </c>
      <c r="D587" s="12" t="s">
        <v>1926</v>
      </c>
      <c r="E587" s="10" t="s">
        <v>1927</v>
      </c>
      <c r="F587" s="12" t="s">
        <v>79</v>
      </c>
      <c r="G587" s="12" t="n">
        <v>18</v>
      </c>
      <c r="H587" s="26" t="n">
        <v>29.39</v>
      </c>
      <c r="I587" s="12" t="s">
        <v>102</v>
      </c>
      <c r="J587" s="12" t="s">
        <v>144</v>
      </c>
      <c r="K587" s="10" t="s">
        <v>658</v>
      </c>
      <c r="L587" s="30" t="s">
        <v>1928</v>
      </c>
      <c r="M587" s="10" t="s">
        <v>3984</v>
      </c>
    </row>
    <row r="588" customFormat="false" ht="35.05" hidden="false" customHeight="false" outlineLevel="0" collapsed="false">
      <c r="A588" s="12" t="s">
        <v>33</v>
      </c>
      <c r="B588" s="12" t="s">
        <v>120</v>
      </c>
      <c r="C588" s="10" t="s">
        <v>1929</v>
      </c>
      <c r="D588" s="12" t="s">
        <v>696</v>
      </c>
      <c r="E588" s="10" t="s">
        <v>1930</v>
      </c>
      <c r="F588" s="12" t="s">
        <v>79</v>
      </c>
      <c r="G588" s="12" t="n">
        <v>25</v>
      </c>
      <c r="H588" s="26" t="n">
        <v>15.95</v>
      </c>
      <c r="I588" s="12" t="s">
        <v>102</v>
      </c>
      <c r="J588" s="12" t="s">
        <v>144</v>
      </c>
      <c r="K588" s="10" t="s">
        <v>658</v>
      </c>
      <c r="L588" s="30" t="s">
        <v>1931</v>
      </c>
      <c r="M588" s="10" t="s">
        <v>3985</v>
      </c>
    </row>
    <row r="589" customFormat="false" ht="46.25" hidden="false" customHeight="false" outlineLevel="0" collapsed="false">
      <c r="A589" s="12" t="s">
        <v>33</v>
      </c>
      <c r="B589" s="12" t="s">
        <v>473</v>
      </c>
      <c r="C589" s="10" t="s">
        <v>1962</v>
      </c>
      <c r="D589" s="12" t="s">
        <v>1273</v>
      </c>
      <c r="E589" s="10" t="s">
        <v>1239</v>
      </c>
      <c r="F589" s="12" t="s">
        <v>79</v>
      </c>
      <c r="G589" s="12"/>
      <c r="H589" s="26" t="n">
        <v>7.2659</v>
      </c>
      <c r="I589" s="12" t="s">
        <v>77</v>
      </c>
      <c r="J589" s="12" t="s">
        <v>3558</v>
      </c>
      <c r="K589" s="10" t="s">
        <v>658</v>
      </c>
      <c r="L589" s="30" t="s">
        <v>852</v>
      </c>
      <c r="M589" s="10" t="s">
        <v>3986</v>
      </c>
    </row>
    <row r="590" customFormat="false" ht="23.85" hidden="false" customHeight="false" outlineLevel="0" collapsed="false">
      <c r="A590" s="12" t="s">
        <v>33</v>
      </c>
      <c r="B590" s="12" t="s">
        <v>473</v>
      </c>
      <c r="C590" s="10" t="s">
        <v>2007</v>
      </c>
      <c r="D590" s="12" t="s">
        <v>2008</v>
      </c>
      <c r="E590" s="10" t="s">
        <v>2009</v>
      </c>
      <c r="F590" s="12" t="s">
        <v>79</v>
      </c>
      <c r="G590" s="12"/>
      <c r="H590" s="26"/>
      <c r="I590" s="12" t="s">
        <v>323</v>
      </c>
      <c r="J590" s="12" t="s">
        <v>323</v>
      </c>
      <c r="K590" s="10" t="s">
        <v>3589</v>
      </c>
      <c r="L590" s="12"/>
      <c r="M590" s="10" t="s">
        <v>3590</v>
      </c>
    </row>
    <row r="591" customFormat="false" ht="46.25" hidden="false" customHeight="false" outlineLevel="0" collapsed="false">
      <c r="A591" s="12" t="s">
        <v>33</v>
      </c>
      <c r="B591" s="12" t="s">
        <v>114</v>
      </c>
      <c r="C591" s="10" t="s">
        <v>1937</v>
      </c>
      <c r="D591" s="12" t="s">
        <v>831</v>
      </c>
      <c r="E591" s="10" t="s">
        <v>832</v>
      </c>
      <c r="F591" s="12" t="s">
        <v>85</v>
      </c>
      <c r="G591" s="12" t="n">
        <v>5</v>
      </c>
      <c r="H591" s="26" t="n">
        <v>345.31</v>
      </c>
      <c r="I591" s="12" t="s">
        <v>102</v>
      </c>
      <c r="J591" s="12" t="s">
        <v>194</v>
      </c>
      <c r="K591" s="10" t="s">
        <v>658</v>
      </c>
      <c r="L591" s="30" t="s">
        <v>1938</v>
      </c>
      <c r="M591" s="10" t="s">
        <v>3599</v>
      </c>
    </row>
    <row r="592" customFormat="false" ht="57.45" hidden="false" customHeight="false" outlineLevel="0" collapsed="false">
      <c r="A592" s="12" t="s">
        <v>33</v>
      </c>
      <c r="B592" s="12" t="s">
        <v>114</v>
      </c>
      <c r="C592" s="10" t="s">
        <v>1937</v>
      </c>
      <c r="D592" s="12" t="s">
        <v>1339</v>
      </c>
      <c r="E592" s="10" t="s">
        <v>891</v>
      </c>
      <c r="F592" s="12" t="s">
        <v>85</v>
      </c>
      <c r="G592" s="12" t="n">
        <v>5</v>
      </c>
      <c r="H592" s="26" t="n">
        <v>531.8684</v>
      </c>
      <c r="I592" s="12" t="s">
        <v>153</v>
      </c>
      <c r="J592" s="12" t="s">
        <v>3558</v>
      </c>
      <c r="K592" s="10" t="s">
        <v>658</v>
      </c>
      <c r="L592" s="30" t="s">
        <v>852</v>
      </c>
      <c r="M592" s="10" t="s">
        <v>3987</v>
      </c>
    </row>
    <row r="593" customFormat="false" ht="46.25" hidden="false" customHeight="false" outlineLevel="0" collapsed="false">
      <c r="A593" s="12" t="s">
        <v>33</v>
      </c>
      <c r="B593" s="12" t="s">
        <v>128</v>
      </c>
      <c r="C593" s="10" t="s">
        <v>1964</v>
      </c>
      <c r="D593" s="12" t="s">
        <v>893</v>
      </c>
      <c r="E593" s="10" t="s">
        <v>1246</v>
      </c>
      <c r="F593" s="12" t="s">
        <v>79</v>
      </c>
      <c r="G593" s="12" t="n">
        <v>10</v>
      </c>
      <c r="H593" s="26" t="n">
        <v>95.2025</v>
      </c>
      <c r="I593" s="12" t="s">
        <v>77</v>
      </c>
      <c r="J593" s="12" t="s">
        <v>3558</v>
      </c>
      <c r="K593" s="10" t="s">
        <v>658</v>
      </c>
      <c r="L593" s="30" t="s">
        <v>852</v>
      </c>
      <c r="M593" s="10" t="s">
        <v>3988</v>
      </c>
    </row>
    <row r="594" customFormat="false" ht="23.85" hidden="false" customHeight="false" outlineLevel="0" collapsed="false">
      <c r="A594" s="12" t="s">
        <v>33</v>
      </c>
      <c r="B594" s="12" t="s">
        <v>128</v>
      </c>
      <c r="C594" s="10" t="s">
        <v>1989</v>
      </c>
      <c r="D594" s="12" t="s">
        <v>1289</v>
      </c>
      <c r="E594" s="10" t="s">
        <v>1990</v>
      </c>
      <c r="F594" s="12" t="s">
        <v>79</v>
      </c>
      <c r="G594" s="12" t="n">
        <v>10</v>
      </c>
      <c r="H594" s="26" t="n">
        <v>265.643</v>
      </c>
      <c r="I594" s="12" t="s">
        <v>77</v>
      </c>
      <c r="J594" s="12" t="s">
        <v>948</v>
      </c>
      <c r="K594" s="10" t="s">
        <v>658</v>
      </c>
      <c r="L594" s="30" t="s">
        <v>944</v>
      </c>
      <c r="M594" s="10" t="s">
        <v>3989</v>
      </c>
    </row>
    <row r="595" customFormat="false" ht="91" hidden="false" customHeight="false" outlineLevel="0" collapsed="false">
      <c r="A595" s="12" t="s">
        <v>33</v>
      </c>
      <c r="B595" s="12" t="s">
        <v>148</v>
      </c>
      <c r="C595" s="10" t="s">
        <v>148</v>
      </c>
      <c r="D595" s="12" t="s">
        <v>1254</v>
      </c>
      <c r="E595" s="10" t="s">
        <v>1903</v>
      </c>
      <c r="F595" s="12" t="s">
        <v>79</v>
      </c>
      <c r="G595" s="12"/>
      <c r="H595" s="26" t="n">
        <v>10.97</v>
      </c>
      <c r="I595" s="12" t="s">
        <v>102</v>
      </c>
      <c r="J595" s="12" t="s">
        <v>194</v>
      </c>
      <c r="K595" s="10" t="s">
        <v>658</v>
      </c>
      <c r="L595" s="30" t="s">
        <v>1904</v>
      </c>
      <c r="M595" s="10" t="s">
        <v>3974</v>
      </c>
    </row>
    <row r="596" customFormat="false" ht="57.45" hidden="false" customHeight="false" outlineLevel="0" collapsed="false">
      <c r="A596" s="12" t="s">
        <v>33</v>
      </c>
      <c r="B596" s="12" t="s">
        <v>148</v>
      </c>
      <c r="C596" s="10" t="s">
        <v>1966</v>
      </c>
      <c r="D596" s="12" t="s">
        <v>1967</v>
      </c>
      <c r="E596" s="10" t="s">
        <v>1968</v>
      </c>
      <c r="F596" s="12" t="s">
        <v>79</v>
      </c>
      <c r="G596" s="12" t="n">
        <v>30</v>
      </c>
      <c r="H596" s="26" t="n">
        <v>12.0797</v>
      </c>
      <c r="I596" s="12" t="s">
        <v>153</v>
      </c>
      <c r="J596" s="12" t="s">
        <v>3558</v>
      </c>
      <c r="K596" s="10" t="s">
        <v>658</v>
      </c>
      <c r="L596" s="30" t="s">
        <v>852</v>
      </c>
      <c r="M596" s="10" t="s">
        <v>3975</v>
      </c>
    </row>
    <row r="597" customFormat="false" ht="57.45" hidden="false" customHeight="false" outlineLevel="0" collapsed="false">
      <c r="A597" s="12" t="s">
        <v>33</v>
      </c>
      <c r="B597" s="12" t="s">
        <v>148</v>
      </c>
      <c r="C597" s="10" t="s">
        <v>1969</v>
      </c>
      <c r="D597" s="12" t="s">
        <v>1967</v>
      </c>
      <c r="E597" s="10" t="s">
        <v>1968</v>
      </c>
      <c r="F597" s="12" t="s">
        <v>79</v>
      </c>
      <c r="G597" s="12" t="n">
        <v>30</v>
      </c>
      <c r="H597" s="26" t="n">
        <v>12.0797</v>
      </c>
      <c r="I597" s="12" t="s">
        <v>153</v>
      </c>
      <c r="J597" s="12" t="s">
        <v>3558</v>
      </c>
      <c r="K597" s="10" t="s">
        <v>658</v>
      </c>
      <c r="L597" s="30" t="s">
        <v>852</v>
      </c>
      <c r="M597" s="10" t="s">
        <v>3975</v>
      </c>
    </row>
    <row r="598" customFormat="false" ht="15" hidden="false" customHeight="false" outlineLevel="0" collapsed="false">
      <c r="A598" s="12" t="s">
        <v>33</v>
      </c>
      <c r="B598" s="12" t="s">
        <v>148</v>
      </c>
      <c r="C598" s="10" t="s">
        <v>1985</v>
      </c>
      <c r="D598" s="12" t="s">
        <v>929</v>
      </c>
      <c r="E598" s="10" t="s">
        <v>1986</v>
      </c>
      <c r="F598" s="12" t="s">
        <v>79</v>
      </c>
      <c r="G598" s="12" t="n">
        <v>30</v>
      </c>
      <c r="H598" s="26" t="n">
        <v>6.45575</v>
      </c>
      <c r="I598" s="12" t="s">
        <v>77</v>
      </c>
      <c r="J598" s="12" t="s">
        <v>948</v>
      </c>
      <c r="K598" s="10" t="s">
        <v>658</v>
      </c>
      <c r="L598" s="30" t="s">
        <v>1987</v>
      </c>
      <c r="M598" s="10" t="s">
        <v>3990</v>
      </c>
    </row>
    <row r="599" customFormat="false" ht="15" hidden="false" customHeight="false" outlineLevel="0" collapsed="false">
      <c r="A599" s="12" t="s">
        <v>33</v>
      </c>
      <c r="B599" s="12" t="s">
        <v>148</v>
      </c>
      <c r="C599" s="10" t="s">
        <v>1985</v>
      </c>
      <c r="D599" s="12" t="s">
        <v>932</v>
      </c>
      <c r="E599" s="10" t="s">
        <v>1988</v>
      </c>
      <c r="F599" s="12" t="s">
        <v>79</v>
      </c>
      <c r="G599" s="12" t="n">
        <v>40</v>
      </c>
      <c r="H599" s="26" t="n">
        <v>12.9115</v>
      </c>
      <c r="I599" s="12" t="s">
        <v>77</v>
      </c>
      <c r="J599" s="12" t="s">
        <v>948</v>
      </c>
      <c r="K599" s="10" t="s">
        <v>658</v>
      </c>
      <c r="L599" s="30" t="s">
        <v>1987</v>
      </c>
      <c r="M599" s="10" t="s">
        <v>3990</v>
      </c>
    </row>
    <row r="600" customFormat="false" ht="35.05" hidden="false" customHeight="false" outlineLevel="0" collapsed="false">
      <c r="A600" s="12" t="s">
        <v>33</v>
      </c>
      <c r="B600" s="12" t="s">
        <v>148</v>
      </c>
      <c r="C600" s="10" t="s">
        <v>1969</v>
      </c>
      <c r="D600" s="12" t="s">
        <v>1773</v>
      </c>
      <c r="E600" s="10" t="s">
        <v>1774</v>
      </c>
      <c r="F600" s="12" t="s">
        <v>79</v>
      </c>
      <c r="G600" s="12"/>
      <c r="H600" s="26" t="n">
        <v>23.422</v>
      </c>
      <c r="I600" s="12" t="s">
        <v>77</v>
      </c>
      <c r="J600" s="12" t="s">
        <v>1044</v>
      </c>
      <c r="K600" s="10" t="s">
        <v>658</v>
      </c>
      <c r="L600" s="30" t="s">
        <v>1775</v>
      </c>
      <c r="M600" s="10" t="s">
        <v>3991</v>
      </c>
    </row>
    <row r="601" customFormat="false" ht="35.05" hidden="false" customHeight="false" outlineLevel="0" collapsed="false">
      <c r="A601" s="12" t="s">
        <v>33</v>
      </c>
      <c r="B601" s="12" t="s">
        <v>148</v>
      </c>
      <c r="C601" s="10" t="s">
        <v>1969</v>
      </c>
      <c r="D601" s="12" t="s">
        <v>963</v>
      </c>
      <c r="E601" s="10" t="s">
        <v>964</v>
      </c>
      <c r="F601" s="12" t="s">
        <v>79</v>
      </c>
      <c r="G601" s="12"/>
      <c r="H601" s="26" t="n">
        <v>9.107</v>
      </c>
      <c r="I601" s="12" t="s">
        <v>102</v>
      </c>
      <c r="J601" s="12" t="s">
        <v>1044</v>
      </c>
      <c r="K601" s="10" t="s">
        <v>658</v>
      </c>
      <c r="L601" s="30" t="s">
        <v>1772</v>
      </c>
      <c r="M601" s="10" t="s">
        <v>3992</v>
      </c>
    </row>
    <row r="602" customFormat="false" ht="23.85" hidden="false" customHeight="false" outlineLevel="0" collapsed="false">
      <c r="A602" s="12" t="s">
        <v>33</v>
      </c>
      <c r="B602" s="12" t="s">
        <v>148</v>
      </c>
      <c r="C602" s="10" t="s">
        <v>2019</v>
      </c>
      <c r="D602" s="12" t="s">
        <v>994</v>
      </c>
      <c r="E602" s="10" t="s">
        <v>2020</v>
      </c>
      <c r="F602" s="12" t="s">
        <v>79</v>
      </c>
      <c r="G602" s="12" t="n">
        <v>40</v>
      </c>
      <c r="H602" s="26" t="n">
        <v>8.23</v>
      </c>
      <c r="I602" s="12" t="s">
        <v>77</v>
      </c>
      <c r="J602" s="12" t="s">
        <v>995</v>
      </c>
      <c r="K602" s="10" t="s">
        <v>1069</v>
      </c>
      <c r="L602" s="30" t="s">
        <v>2021</v>
      </c>
      <c r="M602" s="10" t="s">
        <v>3993</v>
      </c>
    </row>
    <row r="603" customFormat="false" ht="35.05" hidden="false" customHeight="false" outlineLevel="0" collapsed="false">
      <c r="A603" s="12" t="s">
        <v>33</v>
      </c>
      <c r="B603" s="12" t="s">
        <v>197</v>
      </c>
      <c r="C603" s="10" t="s">
        <v>2003</v>
      </c>
      <c r="D603" s="12" t="s">
        <v>2004</v>
      </c>
      <c r="E603" s="10" t="s">
        <v>1048</v>
      </c>
      <c r="F603" s="12" t="s">
        <v>172</v>
      </c>
      <c r="G603" s="12" t="n">
        <v>1</v>
      </c>
      <c r="H603" s="26" t="n">
        <v>14.546</v>
      </c>
      <c r="I603" s="12" t="s">
        <v>77</v>
      </c>
      <c r="J603" s="12" t="s">
        <v>1044</v>
      </c>
      <c r="K603" s="10" t="s">
        <v>658</v>
      </c>
      <c r="L603" s="30" t="s">
        <v>976</v>
      </c>
      <c r="M603" s="10" t="s">
        <v>3994</v>
      </c>
    </row>
    <row r="604" customFormat="false" ht="35.05" hidden="false" customHeight="false" outlineLevel="0" collapsed="false">
      <c r="A604" s="12" t="s">
        <v>33</v>
      </c>
      <c r="B604" s="12" t="s">
        <v>180</v>
      </c>
      <c r="C604" s="10" t="s">
        <v>180</v>
      </c>
      <c r="D604" s="12" t="s">
        <v>842</v>
      </c>
      <c r="E604" s="10" t="s">
        <v>1239</v>
      </c>
      <c r="F604" s="12" t="s">
        <v>79</v>
      </c>
      <c r="G604" s="12"/>
      <c r="H604" s="26" t="n">
        <v>6.61</v>
      </c>
      <c r="I604" s="12" t="s">
        <v>77</v>
      </c>
      <c r="J604" s="12" t="s">
        <v>194</v>
      </c>
      <c r="K604" s="10" t="s">
        <v>658</v>
      </c>
      <c r="L604" s="30" t="s">
        <v>1959</v>
      </c>
      <c r="M604" s="10" t="s">
        <v>3754</v>
      </c>
    </row>
    <row r="605" customFormat="false" ht="46.25" hidden="false" customHeight="false" outlineLevel="0" collapsed="false">
      <c r="A605" s="12" t="s">
        <v>33</v>
      </c>
      <c r="B605" s="12" t="s">
        <v>180</v>
      </c>
      <c r="C605" s="10" t="s">
        <v>1970</v>
      </c>
      <c r="D605" s="12" t="s">
        <v>1273</v>
      </c>
      <c r="E605" s="10" t="s">
        <v>1239</v>
      </c>
      <c r="F605" s="12" t="s">
        <v>79</v>
      </c>
      <c r="G605" s="12"/>
      <c r="H605" s="26" t="n">
        <v>5.5596</v>
      </c>
      <c r="I605" s="12" t="s">
        <v>77</v>
      </c>
      <c r="J605" s="12" t="s">
        <v>3558</v>
      </c>
      <c r="K605" s="10" t="s">
        <v>658</v>
      </c>
      <c r="L605" s="30" t="s">
        <v>852</v>
      </c>
      <c r="M605" s="10" t="s">
        <v>3995</v>
      </c>
    </row>
    <row r="606" customFormat="false" ht="57.45" hidden="false" customHeight="false" outlineLevel="0" collapsed="false">
      <c r="A606" s="12" t="s">
        <v>33</v>
      </c>
      <c r="B606" s="12" t="s">
        <v>549</v>
      </c>
      <c r="C606" s="10" t="s">
        <v>1971</v>
      </c>
      <c r="D606" s="12" t="s">
        <v>1972</v>
      </c>
      <c r="E606" s="10" t="s">
        <v>1973</v>
      </c>
      <c r="F606" s="12" t="s">
        <v>79</v>
      </c>
      <c r="G606" s="12" t="n">
        <v>1</v>
      </c>
      <c r="H606" s="26" t="n">
        <v>17.628</v>
      </c>
      <c r="I606" s="12" t="s">
        <v>102</v>
      </c>
      <c r="J606" s="12" t="s">
        <v>3565</v>
      </c>
      <c r="K606" s="10" t="s">
        <v>658</v>
      </c>
      <c r="L606" s="30" t="s">
        <v>1974</v>
      </c>
      <c r="M606" s="10" t="s">
        <v>3996</v>
      </c>
    </row>
    <row r="607" customFormat="false" ht="46.25" hidden="false" customHeight="false" outlineLevel="0" collapsed="false">
      <c r="A607" s="12" t="s">
        <v>33</v>
      </c>
      <c r="B607" s="12" t="s">
        <v>117</v>
      </c>
      <c r="C607" s="10" t="s">
        <v>1149</v>
      </c>
      <c r="D607" s="12" t="s">
        <v>1150</v>
      </c>
      <c r="E607" s="10" t="s">
        <v>1843</v>
      </c>
      <c r="F607" s="12" t="s">
        <v>79</v>
      </c>
      <c r="G607" s="12" t="n">
        <v>2</v>
      </c>
      <c r="H607" s="26" t="n">
        <v>21.78</v>
      </c>
      <c r="I607" s="12" t="s">
        <v>102</v>
      </c>
      <c r="J607" s="12" t="s">
        <v>144</v>
      </c>
      <c r="K607" s="10" t="s">
        <v>658</v>
      </c>
      <c r="L607" s="30" t="s">
        <v>1152</v>
      </c>
      <c r="M607" s="10" t="s">
        <v>3722</v>
      </c>
    </row>
    <row r="608" customFormat="false" ht="46.25" hidden="false" customHeight="false" outlineLevel="0" collapsed="false">
      <c r="A608" s="12" t="s">
        <v>33</v>
      </c>
      <c r="B608" s="12" t="s">
        <v>117</v>
      </c>
      <c r="C608" s="10" t="s">
        <v>1149</v>
      </c>
      <c r="D608" s="12" t="s">
        <v>1154</v>
      </c>
      <c r="E608" s="10" t="s">
        <v>1749</v>
      </c>
      <c r="F608" s="12" t="s">
        <v>79</v>
      </c>
      <c r="G608" s="12" t="n">
        <v>5</v>
      </c>
      <c r="H608" s="26" t="n">
        <v>48.28</v>
      </c>
      <c r="I608" s="12" t="s">
        <v>102</v>
      </c>
      <c r="J608" s="12" t="s">
        <v>144</v>
      </c>
      <c r="K608" s="10" t="s">
        <v>658</v>
      </c>
      <c r="L608" s="30" t="s">
        <v>1152</v>
      </c>
      <c r="M608" s="10" t="s">
        <v>3933</v>
      </c>
    </row>
    <row r="609" customFormat="false" ht="35.05" hidden="false" customHeight="false" outlineLevel="0" collapsed="false">
      <c r="A609" s="12" t="s">
        <v>33</v>
      </c>
      <c r="B609" s="12" t="s">
        <v>117</v>
      </c>
      <c r="C609" s="10" t="s">
        <v>1933</v>
      </c>
      <c r="D609" s="12" t="s">
        <v>934</v>
      </c>
      <c r="E609" s="10" t="s">
        <v>1080</v>
      </c>
      <c r="F609" s="12" t="s">
        <v>79</v>
      </c>
      <c r="G609" s="12" t="n">
        <v>2</v>
      </c>
      <c r="H609" s="26" t="n">
        <v>78.79</v>
      </c>
      <c r="I609" s="12" t="s">
        <v>77</v>
      </c>
      <c r="J609" s="12" t="s">
        <v>194</v>
      </c>
      <c r="K609" s="10" t="s">
        <v>658</v>
      </c>
      <c r="L609" s="30" t="s">
        <v>1934</v>
      </c>
      <c r="M609" s="10" t="s">
        <v>3997</v>
      </c>
    </row>
    <row r="610" customFormat="false" ht="23.85" hidden="false" customHeight="false" outlineLevel="0" collapsed="false">
      <c r="A610" s="12" t="s">
        <v>33</v>
      </c>
      <c r="B610" s="12" t="s">
        <v>117</v>
      </c>
      <c r="C610" s="10" t="s">
        <v>2010</v>
      </c>
      <c r="D610" s="12" t="s">
        <v>2011</v>
      </c>
      <c r="E610" s="10" t="s">
        <v>1080</v>
      </c>
      <c r="F610" s="12" t="s">
        <v>79</v>
      </c>
      <c r="G610" s="12" t="n">
        <v>2</v>
      </c>
      <c r="H610" s="26" t="n">
        <v>11.71</v>
      </c>
      <c r="I610" s="12" t="s">
        <v>77</v>
      </c>
      <c r="J610" s="12" t="s">
        <v>995</v>
      </c>
      <c r="K610" s="10" t="s">
        <v>1069</v>
      </c>
      <c r="L610" s="30" t="s">
        <v>2012</v>
      </c>
      <c r="M610" s="10" t="s">
        <v>3998</v>
      </c>
    </row>
    <row r="611" customFormat="false" ht="35.05" hidden="false" customHeight="false" outlineLevel="0" collapsed="false">
      <c r="A611" s="12" t="s">
        <v>33</v>
      </c>
      <c r="B611" s="12" t="s">
        <v>178</v>
      </c>
      <c r="C611" s="10" t="s">
        <v>178</v>
      </c>
      <c r="D611" s="12" t="s">
        <v>1376</v>
      </c>
      <c r="E611" s="10" t="s">
        <v>1956</v>
      </c>
      <c r="F611" s="12" t="s">
        <v>79</v>
      </c>
      <c r="G611" s="12" t="n">
        <v>20</v>
      </c>
      <c r="H611" s="26" t="n">
        <v>10.85</v>
      </c>
      <c r="I611" s="12" t="s">
        <v>102</v>
      </c>
      <c r="J611" s="12" t="s">
        <v>194</v>
      </c>
      <c r="K611" s="10" t="s">
        <v>658</v>
      </c>
      <c r="L611" s="30" t="s">
        <v>1957</v>
      </c>
      <c r="M611" s="10" t="s">
        <v>3999</v>
      </c>
    </row>
    <row r="612" customFormat="false" ht="57.45" hidden="false" customHeight="false" outlineLevel="0" collapsed="false">
      <c r="A612" s="12" t="s">
        <v>33</v>
      </c>
      <c r="B612" s="12" t="s">
        <v>178</v>
      </c>
      <c r="C612" s="10" t="s">
        <v>1976</v>
      </c>
      <c r="D612" s="12" t="s">
        <v>1397</v>
      </c>
      <c r="E612" s="10" t="s">
        <v>1977</v>
      </c>
      <c r="F612" s="12" t="s">
        <v>79</v>
      </c>
      <c r="G612" s="12" t="n">
        <v>3</v>
      </c>
      <c r="H612" s="26" t="n">
        <v>62.2065</v>
      </c>
      <c r="I612" s="12" t="s">
        <v>102</v>
      </c>
      <c r="J612" s="12" t="s">
        <v>3558</v>
      </c>
      <c r="K612" s="10" t="s">
        <v>658</v>
      </c>
      <c r="L612" s="30" t="s">
        <v>852</v>
      </c>
      <c r="M612" s="10" t="s">
        <v>4000</v>
      </c>
    </row>
    <row r="613" customFormat="false" ht="68.65" hidden="false" customHeight="false" outlineLevel="0" collapsed="false">
      <c r="A613" s="12" t="s">
        <v>33</v>
      </c>
      <c r="B613" s="12" t="s">
        <v>594</v>
      </c>
      <c r="C613" s="10" t="s">
        <v>1951</v>
      </c>
      <c r="D613" s="12" t="s">
        <v>1952</v>
      </c>
      <c r="E613" s="10" t="s">
        <v>1953</v>
      </c>
      <c r="F613" s="12" t="s">
        <v>172</v>
      </c>
      <c r="G613" s="12" t="n">
        <v>8.5</v>
      </c>
      <c r="H613" s="26" t="n">
        <v>25.12</v>
      </c>
      <c r="I613" s="12" t="s">
        <v>102</v>
      </c>
      <c r="J613" s="12" t="s">
        <v>194</v>
      </c>
      <c r="K613" s="10" t="s">
        <v>658</v>
      </c>
      <c r="L613" s="30" t="s">
        <v>1954</v>
      </c>
      <c r="M613" s="10" t="s">
        <v>4001</v>
      </c>
    </row>
    <row r="614" customFormat="false" ht="46.25" hidden="false" customHeight="false" outlineLevel="0" collapsed="false">
      <c r="A614" s="12" t="s">
        <v>33</v>
      </c>
      <c r="B614" s="12" t="s">
        <v>594</v>
      </c>
      <c r="C614" s="10" t="s">
        <v>1978</v>
      </c>
      <c r="D614" s="12" t="s">
        <v>1979</v>
      </c>
      <c r="E614" s="10" t="s">
        <v>1953</v>
      </c>
      <c r="F614" s="12" t="s">
        <v>172</v>
      </c>
      <c r="G614" s="12" t="n">
        <v>8.5</v>
      </c>
      <c r="H614" s="26" t="n">
        <v>36.2052</v>
      </c>
      <c r="I614" s="12" t="s">
        <v>77</v>
      </c>
      <c r="J614" s="12" t="s">
        <v>3558</v>
      </c>
      <c r="K614" s="10" t="s">
        <v>658</v>
      </c>
      <c r="L614" s="30" t="s">
        <v>852</v>
      </c>
      <c r="M614" s="10" t="s">
        <v>4002</v>
      </c>
    </row>
    <row r="615" customFormat="false" ht="23.85" hidden="false" customHeight="false" outlineLevel="0" collapsed="false">
      <c r="A615" s="12" t="s">
        <v>33</v>
      </c>
      <c r="B615" s="12" t="s">
        <v>195</v>
      </c>
      <c r="C615" s="10" t="s">
        <v>1991</v>
      </c>
      <c r="D615" s="12" t="s">
        <v>934</v>
      </c>
      <c r="E615" s="10" t="s">
        <v>1992</v>
      </c>
      <c r="F615" s="12" t="s">
        <v>79</v>
      </c>
      <c r="G615" s="12" t="n">
        <v>10</v>
      </c>
      <c r="H615" s="26" t="n">
        <v>24.4146</v>
      </c>
      <c r="I615" s="12" t="s">
        <v>77</v>
      </c>
      <c r="J615" s="12" t="s">
        <v>948</v>
      </c>
      <c r="K615" s="10" t="s">
        <v>658</v>
      </c>
      <c r="L615" s="30" t="s">
        <v>1993</v>
      </c>
      <c r="M615" s="10" t="s">
        <v>4003</v>
      </c>
    </row>
    <row r="616" customFormat="false" ht="46.25" hidden="false" customHeight="false" outlineLevel="0" collapsed="false">
      <c r="A616" s="12" t="s">
        <v>33</v>
      </c>
      <c r="B616" s="12" t="s">
        <v>247</v>
      </c>
      <c r="C616" s="10" t="s">
        <v>1948</v>
      </c>
      <c r="D616" s="12" t="s">
        <v>1949</v>
      </c>
      <c r="E616" s="10" t="s">
        <v>1077</v>
      </c>
      <c r="F616" s="12" t="s">
        <v>79</v>
      </c>
      <c r="G616" s="12" t="n">
        <v>4</v>
      </c>
      <c r="H616" s="26" t="n">
        <v>114.18</v>
      </c>
      <c r="I616" s="12" t="s">
        <v>102</v>
      </c>
      <c r="J616" s="12" t="s">
        <v>194</v>
      </c>
      <c r="K616" s="10" t="s">
        <v>658</v>
      </c>
      <c r="L616" s="30" t="s">
        <v>833</v>
      </c>
      <c r="M616" s="10" t="s">
        <v>4004</v>
      </c>
    </row>
    <row r="617" customFormat="false" ht="46.25" hidden="false" customHeight="false" outlineLevel="0" collapsed="false">
      <c r="A617" s="12" t="s">
        <v>33</v>
      </c>
      <c r="B617" s="12" t="s">
        <v>247</v>
      </c>
      <c r="C617" s="10" t="s">
        <v>1980</v>
      </c>
      <c r="D617" s="12" t="s">
        <v>1981</v>
      </c>
      <c r="E617" s="10" t="s">
        <v>1077</v>
      </c>
      <c r="F617" s="12" t="s">
        <v>79</v>
      </c>
      <c r="G617" s="12" t="n">
        <v>4</v>
      </c>
      <c r="H617" s="26" t="n">
        <v>25.877</v>
      </c>
      <c r="I617" s="12" t="s">
        <v>102</v>
      </c>
      <c r="J617" s="12" t="s">
        <v>3569</v>
      </c>
      <c r="K617" s="10" t="s">
        <v>658</v>
      </c>
      <c r="L617" s="30" t="s">
        <v>1982</v>
      </c>
      <c r="M617" s="10" t="s">
        <v>4005</v>
      </c>
    </row>
    <row r="618" customFormat="false" ht="46.25" hidden="false" customHeight="false" outlineLevel="0" collapsed="false">
      <c r="A618" s="12" t="s">
        <v>33</v>
      </c>
      <c r="B618" s="12" t="s">
        <v>247</v>
      </c>
      <c r="C618" s="10" t="s">
        <v>2000</v>
      </c>
      <c r="D618" s="12" t="s">
        <v>2001</v>
      </c>
      <c r="E618" s="10" t="s">
        <v>2002</v>
      </c>
      <c r="F618" s="12" t="s">
        <v>79</v>
      </c>
      <c r="G618" s="12" t="n">
        <v>4</v>
      </c>
      <c r="H618" s="26" t="n">
        <v>52.717</v>
      </c>
      <c r="I618" s="12" t="s">
        <v>77</v>
      </c>
      <c r="J618" s="12" t="s">
        <v>1044</v>
      </c>
      <c r="K618" s="10" t="s">
        <v>658</v>
      </c>
      <c r="L618" s="30" t="s">
        <v>976</v>
      </c>
      <c r="M618" s="10" t="s">
        <v>4006</v>
      </c>
    </row>
    <row r="619" customFormat="false" ht="79.85" hidden="false" customHeight="false" outlineLevel="0" collapsed="false">
      <c r="A619" s="12" t="s">
        <v>33</v>
      </c>
      <c r="B619" s="12" t="s">
        <v>391</v>
      </c>
      <c r="C619" s="10" t="s">
        <v>1943</v>
      </c>
      <c r="D619" s="12" t="s">
        <v>1944</v>
      </c>
      <c r="E619" s="10" t="s">
        <v>1945</v>
      </c>
      <c r="F619" s="12" t="s">
        <v>79</v>
      </c>
      <c r="G619" s="12" t="n">
        <v>10</v>
      </c>
      <c r="H619" s="26" t="n">
        <v>9.92</v>
      </c>
      <c r="I619" s="12" t="s">
        <v>102</v>
      </c>
      <c r="J619" s="12" t="s">
        <v>194</v>
      </c>
      <c r="K619" s="10" t="s">
        <v>658</v>
      </c>
      <c r="L619" s="30" t="s">
        <v>1946</v>
      </c>
      <c r="M619" s="10" t="s">
        <v>4007</v>
      </c>
    </row>
    <row r="620" customFormat="false" ht="35.05" hidden="false" customHeight="false" outlineLevel="0" collapsed="false">
      <c r="A620" s="12" t="s">
        <v>33</v>
      </c>
      <c r="B620" s="12" t="s">
        <v>391</v>
      </c>
      <c r="C620" s="10" t="s">
        <v>1943</v>
      </c>
      <c r="D620" s="12" t="s">
        <v>1612</v>
      </c>
      <c r="E620" s="10" t="s">
        <v>1983</v>
      </c>
      <c r="F620" s="12" t="s">
        <v>79</v>
      </c>
      <c r="G620" s="12"/>
      <c r="H620" s="26" t="n">
        <v>18.7806</v>
      </c>
      <c r="I620" s="12" t="s">
        <v>153</v>
      </c>
      <c r="J620" s="12" t="s">
        <v>3565</v>
      </c>
      <c r="K620" s="10" t="s">
        <v>658</v>
      </c>
      <c r="L620" s="30" t="s">
        <v>1984</v>
      </c>
      <c r="M620" s="10" t="s">
        <v>4008</v>
      </c>
    </row>
    <row r="621" customFormat="false" ht="23.85" hidden="false" customHeight="false" outlineLevel="0" collapsed="false">
      <c r="A621" s="12" t="s">
        <v>33</v>
      </c>
      <c r="B621" s="12" t="s">
        <v>391</v>
      </c>
      <c r="C621" s="10" t="s">
        <v>1943</v>
      </c>
      <c r="D621" s="12" t="s">
        <v>1751</v>
      </c>
      <c r="E621" s="10" t="s">
        <v>2006</v>
      </c>
      <c r="F621" s="12" t="s">
        <v>79</v>
      </c>
      <c r="G621" s="12"/>
      <c r="H621" s="26"/>
      <c r="I621" s="12" t="s">
        <v>323</v>
      </c>
      <c r="J621" s="12" t="s">
        <v>323</v>
      </c>
      <c r="K621" s="10" t="s">
        <v>3589</v>
      </c>
      <c r="L621" s="12"/>
      <c r="M621" s="10" t="s">
        <v>3590</v>
      </c>
    </row>
    <row r="622" customFormat="false" ht="46.25" hidden="false" customHeight="false" outlineLevel="0" collapsed="false">
      <c r="A622" s="12" t="s">
        <v>33</v>
      </c>
      <c r="B622" s="12" t="s">
        <v>391</v>
      </c>
      <c r="C622" s="10" t="s">
        <v>2015</v>
      </c>
      <c r="D622" s="12" t="s">
        <v>2016</v>
      </c>
      <c r="E622" s="10" t="s">
        <v>2017</v>
      </c>
      <c r="F622" s="12" t="s">
        <v>79</v>
      </c>
      <c r="G622" s="12" t="n">
        <v>2</v>
      </c>
      <c r="H622" s="26" t="n">
        <v>5.15</v>
      </c>
      <c r="I622" s="12" t="s">
        <v>77</v>
      </c>
      <c r="J622" s="12" t="s">
        <v>995</v>
      </c>
      <c r="K622" s="10" t="s">
        <v>658</v>
      </c>
      <c r="L622" s="30" t="s">
        <v>991</v>
      </c>
      <c r="M622" s="10" t="s">
        <v>4009</v>
      </c>
    </row>
    <row r="623" customFormat="false" ht="46.25" hidden="false" customHeight="false" outlineLevel="0" collapsed="false">
      <c r="A623" s="12" t="s">
        <v>33</v>
      </c>
      <c r="B623" s="12" t="s">
        <v>391</v>
      </c>
      <c r="C623" s="10" t="s">
        <v>2015</v>
      </c>
      <c r="D623" s="12" t="s">
        <v>2016</v>
      </c>
      <c r="E623" s="10" t="s">
        <v>2018</v>
      </c>
      <c r="F623" s="12" t="s">
        <v>79</v>
      </c>
      <c r="G623" s="12" t="n">
        <v>2</v>
      </c>
      <c r="H623" s="26" t="n">
        <v>5.15</v>
      </c>
      <c r="I623" s="12" t="s">
        <v>77</v>
      </c>
      <c r="J623" s="12" t="s">
        <v>995</v>
      </c>
      <c r="K623" s="10" t="s">
        <v>658</v>
      </c>
      <c r="L623" s="30" t="s">
        <v>991</v>
      </c>
      <c r="M623" s="10" t="s">
        <v>4010</v>
      </c>
    </row>
    <row r="624" customFormat="false" ht="46.25" hidden="false" customHeight="false" outlineLevel="0" collapsed="false">
      <c r="A624" s="12" t="s">
        <v>41</v>
      </c>
      <c r="B624" s="12" t="s">
        <v>114</v>
      </c>
      <c r="C624" s="10" t="s">
        <v>2026</v>
      </c>
      <c r="D624" s="12" t="s">
        <v>890</v>
      </c>
      <c r="E624" s="10" t="s">
        <v>891</v>
      </c>
      <c r="F624" s="12" t="s">
        <v>85</v>
      </c>
      <c r="G624" s="12" t="n">
        <v>5</v>
      </c>
      <c r="H624" s="26" t="n">
        <v>531.8684</v>
      </c>
      <c r="I624" s="12" t="s">
        <v>153</v>
      </c>
      <c r="J624" s="12" t="s">
        <v>3558</v>
      </c>
      <c r="K624" s="10" t="s">
        <v>658</v>
      </c>
      <c r="L624" s="30" t="s">
        <v>852</v>
      </c>
      <c r="M624" s="10" t="s">
        <v>3663</v>
      </c>
    </row>
    <row r="625" customFormat="false" ht="79.85" hidden="false" customHeight="false" outlineLevel="0" collapsed="false">
      <c r="A625" s="12" t="s">
        <v>41</v>
      </c>
      <c r="B625" s="12" t="s">
        <v>244</v>
      </c>
      <c r="C625" s="10" t="s">
        <v>244</v>
      </c>
      <c r="D625" s="12" t="s">
        <v>2023</v>
      </c>
      <c r="E625" s="10" t="s">
        <v>2024</v>
      </c>
      <c r="F625" s="12" t="s">
        <v>172</v>
      </c>
      <c r="G625" s="12" t="n">
        <v>3</v>
      </c>
      <c r="H625" s="26" t="n">
        <v>9.52</v>
      </c>
      <c r="I625" s="12" t="s">
        <v>102</v>
      </c>
      <c r="J625" s="12" t="s">
        <v>194</v>
      </c>
      <c r="K625" s="10" t="s">
        <v>658</v>
      </c>
      <c r="L625" s="30" t="s">
        <v>2025</v>
      </c>
      <c r="M625" s="10" t="s">
        <v>4011</v>
      </c>
    </row>
    <row r="626" customFormat="false" ht="68.65" hidden="false" customHeight="false" outlineLevel="0" collapsed="false">
      <c r="A626" s="12" t="s">
        <v>41</v>
      </c>
      <c r="B626" s="12" t="s">
        <v>244</v>
      </c>
      <c r="C626" s="10" t="s">
        <v>2027</v>
      </c>
      <c r="D626" s="12" t="s">
        <v>1605</v>
      </c>
      <c r="E626" s="10" t="s">
        <v>2028</v>
      </c>
      <c r="F626" s="12" t="s">
        <v>172</v>
      </c>
      <c r="G626" s="12" t="n">
        <v>3</v>
      </c>
      <c r="H626" s="26" t="n">
        <v>14.8934</v>
      </c>
      <c r="I626" s="12" t="s">
        <v>153</v>
      </c>
      <c r="J626" s="12" t="s">
        <v>3558</v>
      </c>
      <c r="K626" s="10" t="s">
        <v>658</v>
      </c>
      <c r="L626" s="30" t="s">
        <v>852</v>
      </c>
      <c r="M626" s="10" t="s">
        <v>4012</v>
      </c>
    </row>
    <row r="627" customFormat="false" ht="46.25" hidden="false" customHeight="false" outlineLevel="0" collapsed="false">
      <c r="A627" s="12" t="s">
        <v>41</v>
      </c>
      <c r="B627" s="12" t="s">
        <v>239</v>
      </c>
      <c r="C627" s="10" t="s">
        <v>2029</v>
      </c>
      <c r="D627" s="12"/>
      <c r="E627" s="10"/>
      <c r="F627" s="12" t="s">
        <v>97</v>
      </c>
      <c r="G627" s="12"/>
      <c r="H627" s="26" t="n">
        <v>20.65</v>
      </c>
      <c r="I627" s="12" t="s">
        <v>102</v>
      </c>
      <c r="J627" s="12" t="s">
        <v>3565</v>
      </c>
      <c r="K627" s="10" t="s">
        <v>2030</v>
      </c>
      <c r="L627" s="30" t="s">
        <v>2031</v>
      </c>
      <c r="M627" s="10" t="s">
        <v>4013</v>
      </c>
    </row>
    <row r="628" customFormat="false" ht="79.85" hidden="false" customHeight="false" outlineLevel="0" collapsed="false">
      <c r="A628" s="12" t="s">
        <v>41</v>
      </c>
      <c r="B628" s="12" t="s">
        <v>148</v>
      </c>
      <c r="C628" s="10" t="s">
        <v>2032</v>
      </c>
      <c r="D628" s="12" t="s">
        <v>897</v>
      </c>
      <c r="E628" s="10" t="s">
        <v>898</v>
      </c>
      <c r="F628" s="12" t="s">
        <v>79</v>
      </c>
      <c r="G628" s="12"/>
      <c r="H628" s="26" t="n">
        <v>12.0797</v>
      </c>
      <c r="I628" s="12" t="s">
        <v>153</v>
      </c>
      <c r="J628" s="12" t="s">
        <v>3558</v>
      </c>
      <c r="K628" s="10" t="s">
        <v>658</v>
      </c>
      <c r="L628" s="30" t="s">
        <v>852</v>
      </c>
      <c r="M628" s="10" t="s">
        <v>4014</v>
      </c>
    </row>
    <row r="629" customFormat="false" ht="57.45" hidden="false" customHeight="false" outlineLevel="0" collapsed="false">
      <c r="A629" s="12" t="s">
        <v>41</v>
      </c>
      <c r="B629" s="12" t="s">
        <v>237</v>
      </c>
      <c r="C629" s="10" t="s">
        <v>2033</v>
      </c>
      <c r="D629" s="12" t="s">
        <v>893</v>
      </c>
      <c r="E629" s="10" t="s">
        <v>2034</v>
      </c>
      <c r="F629" s="12" t="s">
        <v>85</v>
      </c>
      <c r="G629" s="12" t="n">
        <v>0.5</v>
      </c>
      <c r="H629" s="26" t="n">
        <v>118.3449</v>
      </c>
      <c r="I629" s="12" t="s">
        <v>153</v>
      </c>
      <c r="J629" s="12" t="s">
        <v>3695</v>
      </c>
      <c r="K629" s="10" t="s">
        <v>658</v>
      </c>
      <c r="L629" s="30" t="s">
        <v>2035</v>
      </c>
      <c r="M629" s="10" t="s">
        <v>4015</v>
      </c>
    </row>
    <row r="630" customFormat="false" ht="68.65" hidden="false" customHeight="false" outlineLevel="0" collapsed="false">
      <c r="A630" s="12" t="s">
        <v>41</v>
      </c>
      <c r="B630" s="12" t="s">
        <v>240</v>
      </c>
      <c r="C630" s="10" t="s">
        <v>2038</v>
      </c>
      <c r="D630" s="12" t="s">
        <v>1094</v>
      </c>
      <c r="E630" s="10" t="s">
        <v>1370</v>
      </c>
      <c r="F630" s="12" t="s">
        <v>79</v>
      </c>
      <c r="G630" s="12" t="n">
        <v>5</v>
      </c>
      <c r="H630" s="26" t="n">
        <v>7.72</v>
      </c>
      <c r="I630" s="12" t="s">
        <v>77</v>
      </c>
      <c r="J630" s="12" t="s">
        <v>995</v>
      </c>
      <c r="K630" s="10" t="s">
        <v>658</v>
      </c>
      <c r="L630" s="30" t="s">
        <v>991</v>
      </c>
      <c r="M630" s="10" t="s">
        <v>4016</v>
      </c>
    </row>
    <row r="631" customFormat="false" ht="35.05" hidden="false" customHeight="false" outlineLevel="0" collapsed="false">
      <c r="A631" s="12" t="s">
        <v>41</v>
      </c>
      <c r="B631" s="12" t="s">
        <v>242</v>
      </c>
      <c r="C631" s="10" t="s">
        <v>2037</v>
      </c>
      <c r="D631" s="12"/>
      <c r="E631" s="10"/>
      <c r="F631" s="12" t="s">
        <v>97</v>
      </c>
      <c r="G631" s="12"/>
      <c r="H631" s="26" t="n">
        <v>10.96</v>
      </c>
      <c r="I631" s="12" t="s">
        <v>153</v>
      </c>
      <c r="J631" s="12" t="s">
        <v>144</v>
      </c>
      <c r="K631" s="10" t="s">
        <v>665</v>
      </c>
      <c r="L631" s="30" t="s">
        <v>666</v>
      </c>
      <c r="M631" s="10" t="s">
        <v>4017</v>
      </c>
    </row>
    <row r="632" customFormat="false" ht="35.05" hidden="false" customHeight="false" outlineLevel="0" collapsed="false">
      <c r="A632" s="12" t="s">
        <v>47</v>
      </c>
      <c r="B632" s="12" t="s">
        <v>173</v>
      </c>
      <c r="C632" s="10" t="s">
        <v>2046</v>
      </c>
      <c r="D632" s="12" t="s">
        <v>2047</v>
      </c>
      <c r="E632" s="10" t="s">
        <v>2048</v>
      </c>
      <c r="F632" s="12" t="s">
        <v>79</v>
      </c>
      <c r="G632" s="12"/>
      <c r="H632" s="26" t="n">
        <v>81.96</v>
      </c>
      <c r="I632" s="12" t="s">
        <v>102</v>
      </c>
      <c r="J632" s="12" t="s">
        <v>194</v>
      </c>
      <c r="K632" s="10" t="s">
        <v>658</v>
      </c>
      <c r="L632" s="30" t="s">
        <v>2049</v>
      </c>
      <c r="M632" s="10" t="s">
        <v>4018</v>
      </c>
    </row>
    <row r="633" customFormat="false" ht="35.05" hidden="false" customHeight="false" outlineLevel="0" collapsed="false">
      <c r="A633" s="12" t="s">
        <v>47</v>
      </c>
      <c r="B633" s="12" t="s">
        <v>206</v>
      </c>
      <c r="C633" s="10" t="s">
        <v>2044</v>
      </c>
      <c r="D633" s="12" t="s">
        <v>2041</v>
      </c>
      <c r="E633" s="10" t="s">
        <v>843</v>
      </c>
      <c r="F633" s="12" t="s">
        <v>79</v>
      </c>
      <c r="G633" s="12"/>
      <c r="H633" s="26" t="n">
        <v>34.58</v>
      </c>
      <c r="I633" s="12" t="s">
        <v>102</v>
      </c>
      <c r="J633" s="12" t="s">
        <v>194</v>
      </c>
      <c r="K633" s="10" t="s">
        <v>658</v>
      </c>
      <c r="L633" s="30" t="s">
        <v>2045</v>
      </c>
      <c r="M633" s="10" t="s">
        <v>4019</v>
      </c>
    </row>
    <row r="634" customFormat="false" ht="35.05" hidden="false" customHeight="false" outlineLevel="0" collapsed="false">
      <c r="A634" s="12" t="s">
        <v>47</v>
      </c>
      <c r="B634" s="12" t="s">
        <v>201</v>
      </c>
      <c r="C634" s="10" t="s">
        <v>201</v>
      </c>
      <c r="D634" s="12" t="s">
        <v>2041</v>
      </c>
      <c r="E634" s="10" t="s">
        <v>2042</v>
      </c>
      <c r="F634" s="12" t="s">
        <v>79</v>
      </c>
      <c r="G634" s="12"/>
      <c r="H634" s="26" t="n">
        <v>25.36</v>
      </c>
      <c r="I634" s="12" t="s">
        <v>102</v>
      </c>
      <c r="J634" s="12" t="s">
        <v>194</v>
      </c>
      <c r="K634" s="10" t="s">
        <v>658</v>
      </c>
      <c r="L634" s="30" t="s">
        <v>2043</v>
      </c>
      <c r="M634" s="10" t="s">
        <v>4020</v>
      </c>
    </row>
    <row r="635" customFormat="false" ht="35.05" hidden="false" customHeight="false" outlineLevel="0" collapsed="false">
      <c r="A635" s="12" t="s">
        <v>47</v>
      </c>
      <c r="B635" s="12" t="s">
        <v>148</v>
      </c>
      <c r="C635" s="10" t="s">
        <v>2039</v>
      </c>
      <c r="D635" s="12" t="s">
        <v>1254</v>
      </c>
      <c r="E635" s="10" t="s">
        <v>898</v>
      </c>
      <c r="F635" s="12" t="s">
        <v>79</v>
      </c>
      <c r="G635" s="12"/>
      <c r="H635" s="26" t="n">
        <v>10.97</v>
      </c>
      <c r="I635" s="12" t="s">
        <v>102</v>
      </c>
      <c r="J635" s="12" t="s">
        <v>194</v>
      </c>
      <c r="K635" s="10" t="s">
        <v>658</v>
      </c>
      <c r="L635" s="30" t="s">
        <v>1904</v>
      </c>
      <c r="M635" s="10" t="s">
        <v>4021</v>
      </c>
    </row>
    <row r="636" customFormat="false" ht="46.25" hidden="false" customHeight="false" outlineLevel="0" collapsed="false">
      <c r="A636" s="12" t="s">
        <v>47</v>
      </c>
      <c r="B636" s="12" t="s">
        <v>148</v>
      </c>
      <c r="C636" s="10" t="s">
        <v>2050</v>
      </c>
      <c r="D636" s="12" t="s">
        <v>897</v>
      </c>
      <c r="E636" s="10" t="s">
        <v>898</v>
      </c>
      <c r="F636" s="12" t="s">
        <v>79</v>
      </c>
      <c r="G636" s="12"/>
      <c r="H636" s="26" t="n">
        <v>12.0797</v>
      </c>
      <c r="I636" s="12" t="s">
        <v>77</v>
      </c>
      <c r="J636" s="12" t="s">
        <v>3558</v>
      </c>
      <c r="K636" s="10" t="s">
        <v>658</v>
      </c>
      <c r="L636" s="30" t="s">
        <v>852</v>
      </c>
      <c r="M636" s="10" t="s">
        <v>4022</v>
      </c>
    </row>
    <row r="637" customFormat="false" ht="46.25" hidden="false" customHeight="false" outlineLevel="0" collapsed="false">
      <c r="A637" s="12" t="s">
        <v>47</v>
      </c>
      <c r="B637" s="12" t="s">
        <v>148</v>
      </c>
      <c r="C637" s="10" t="s">
        <v>2050</v>
      </c>
      <c r="D637" s="12" t="s">
        <v>897</v>
      </c>
      <c r="E637" s="10" t="s">
        <v>898</v>
      </c>
      <c r="F637" s="12" t="s">
        <v>79</v>
      </c>
      <c r="G637" s="12"/>
      <c r="H637" s="26" t="n">
        <v>12.0797</v>
      </c>
      <c r="I637" s="12" t="s">
        <v>77</v>
      </c>
      <c r="J637" s="12" t="s">
        <v>3558</v>
      </c>
      <c r="K637" s="10" t="s">
        <v>658</v>
      </c>
      <c r="L637" s="30" t="s">
        <v>852</v>
      </c>
      <c r="M637" s="10" t="s">
        <v>4022</v>
      </c>
    </row>
    <row r="638" customFormat="false" ht="35.05" hidden="false" customHeight="false" outlineLevel="0" collapsed="false">
      <c r="A638" s="12" t="s">
        <v>35</v>
      </c>
      <c r="B638" s="12" t="s">
        <v>612</v>
      </c>
      <c r="C638" s="10" t="s">
        <v>612</v>
      </c>
      <c r="D638" s="12" t="s">
        <v>2081</v>
      </c>
      <c r="E638" s="10" t="s">
        <v>2082</v>
      </c>
      <c r="F638" s="12" t="s">
        <v>79</v>
      </c>
      <c r="G638" s="12" t="n">
        <v>2</v>
      </c>
      <c r="H638" s="26" t="n">
        <v>5.88</v>
      </c>
      <c r="I638" s="12" t="s">
        <v>77</v>
      </c>
      <c r="J638" s="12" t="s">
        <v>194</v>
      </c>
      <c r="K638" s="10" t="s">
        <v>658</v>
      </c>
      <c r="L638" s="30" t="s">
        <v>2083</v>
      </c>
      <c r="M638" s="10" t="s">
        <v>4023</v>
      </c>
    </row>
    <row r="639" customFormat="false" ht="35.05" hidden="false" customHeight="false" outlineLevel="0" collapsed="false">
      <c r="A639" s="12" t="s">
        <v>35</v>
      </c>
      <c r="B639" s="12" t="s">
        <v>612</v>
      </c>
      <c r="C639" s="10" t="s">
        <v>2084</v>
      </c>
      <c r="D639" s="12" t="s">
        <v>2085</v>
      </c>
      <c r="E639" s="10" t="s">
        <v>2082</v>
      </c>
      <c r="F639" s="12" t="s">
        <v>79</v>
      </c>
      <c r="G639" s="12" t="n">
        <v>2</v>
      </c>
      <c r="H639" s="26" t="n">
        <v>7.6953</v>
      </c>
      <c r="I639" s="12" t="s">
        <v>153</v>
      </c>
      <c r="J639" s="12" t="s">
        <v>3565</v>
      </c>
      <c r="K639" s="10" t="s">
        <v>658</v>
      </c>
      <c r="L639" s="30" t="s">
        <v>2086</v>
      </c>
      <c r="M639" s="10" t="s">
        <v>4024</v>
      </c>
    </row>
    <row r="640" customFormat="false" ht="35.05" hidden="false" customHeight="false" outlineLevel="0" collapsed="false">
      <c r="A640" s="12" t="s">
        <v>35</v>
      </c>
      <c r="B640" s="12" t="s">
        <v>134</v>
      </c>
      <c r="C640" s="10" t="s">
        <v>2108</v>
      </c>
      <c r="D640" s="12" t="s">
        <v>1318</v>
      </c>
      <c r="E640" s="10" t="s">
        <v>1033</v>
      </c>
      <c r="F640" s="12" t="s">
        <v>79</v>
      </c>
      <c r="G640" s="12" t="n">
        <v>2</v>
      </c>
      <c r="H640" s="26" t="n">
        <v>3.06</v>
      </c>
      <c r="I640" s="12" t="s">
        <v>153</v>
      </c>
      <c r="J640" s="12" t="s">
        <v>144</v>
      </c>
      <c r="K640" s="10" t="s">
        <v>665</v>
      </c>
      <c r="L640" s="30" t="s">
        <v>666</v>
      </c>
      <c r="M640" s="10" t="s">
        <v>4025</v>
      </c>
    </row>
    <row r="641" customFormat="false" ht="46.25" hidden="false" customHeight="false" outlineLevel="0" collapsed="false">
      <c r="A641" s="12" t="s">
        <v>35</v>
      </c>
      <c r="B641" s="12" t="s">
        <v>255</v>
      </c>
      <c r="C641" s="10" t="s">
        <v>2079</v>
      </c>
      <c r="D641" s="12" t="s">
        <v>1305</v>
      </c>
      <c r="E641" s="10" t="s">
        <v>2069</v>
      </c>
      <c r="F641" s="12" t="s">
        <v>172</v>
      </c>
      <c r="G641" s="12" t="n">
        <v>1</v>
      </c>
      <c r="H641" s="26" t="n">
        <v>6.45</v>
      </c>
      <c r="I641" s="12" t="s">
        <v>102</v>
      </c>
      <c r="J641" s="12" t="s">
        <v>194</v>
      </c>
      <c r="K641" s="10" t="s">
        <v>658</v>
      </c>
      <c r="L641" s="30" t="s">
        <v>2080</v>
      </c>
      <c r="M641" s="10" t="s">
        <v>4026</v>
      </c>
    </row>
    <row r="642" customFormat="false" ht="23.85" hidden="false" customHeight="false" outlineLevel="0" collapsed="false">
      <c r="A642" s="12" t="s">
        <v>35</v>
      </c>
      <c r="B642" s="12" t="s">
        <v>255</v>
      </c>
      <c r="C642" s="10" t="s">
        <v>2079</v>
      </c>
      <c r="D642" s="12" t="s">
        <v>885</v>
      </c>
      <c r="E642" s="10"/>
      <c r="F642" s="12" t="s">
        <v>97</v>
      </c>
      <c r="G642" s="12"/>
      <c r="H642" s="26"/>
      <c r="I642" s="12" t="s">
        <v>323</v>
      </c>
      <c r="J642" s="12" t="s">
        <v>323</v>
      </c>
      <c r="K642" s="10" t="s">
        <v>3589</v>
      </c>
      <c r="L642" s="12"/>
      <c r="M642" s="10" t="s">
        <v>3590</v>
      </c>
    </row>
    <row r="643" customFormat="false" ht="35.05" hidden="false" customHeight="false" outlineLevel="0" collapsed="false">
      <c r="A643" s="12" t="s">
        <v>35</v>
      </c>
      <c r="B643" s="12" t="s">
        <v>206</v>
      </c>
      <c r="C643" s="10" t="s">
        <v>206</v>
      </c>
      <c r="D643" s="12" t="s">
        <v>2041</v>
      </c>
      <c r="E643" s="10" t="s">
        <v>2042</v>
      </c>
      <c r="F643" s="12" t="s">
        <v>79</v>
      </c>
      <c r="G643" s="12"/>
      <c r="H643" s="26" t="n">
        <v>28.93</v>
      </c>
      <c r="I643" s="12" t="s">
        <v>77</v>
      </c>
      <c r="J643" s="12" t="s">
        <v>194</v>
      </c>
      <c r="K643" s="10" t="s">
        <v>658</v>
      </c>
      <c r="L643" s="30" t="s">
        <v>2077</v>
      </c>
      <c r="M643" s="10" t="s">
        <v>4027</v>
      </c>
    </row>
    <row r="644" customFormat="false" ht="57.45" hidden="false" customHeight="false" outlineLevel="0" collapsed="false">
      <c r="A644" s="12" t="s">
        <v>35</v>
      </c>
      <c r="B644" s="12" t="s">
        <v>206</v>
      </c>
      <c r="C644" s="10" t="s">
        <v>2087</v>
      </c>
      <c r="D644" s="12" t="s">
        <v>1872</v>
      </c>
      <c r="E644" s="10" t="s">
        <v>2042</v>
      </c>
      <c r="F644" s="12" t="s">
        <v>79</v>
      </c>
      <c r="G644" s="12"/>
      <c r="H644" s="26" t="n">
        <v>11.6164</v>
      </c>
      <c r="I644" s="12" t="s">
        <v>153</v>
      </c>
      <c r="J644" s="12" t="s">
        <v>3558</v>
      </c>
      <c r="K644" s="10" t="s">
        <v>658</v>
      </c>
      <c r="L644" s="30" t="s">
        <v>852</v>
      </c>
      <c r="M644" s="10" t="s">
        <v>4028</v>
      </c>
    </row>
    <row r="645" customFormat="false" ht="46.25" hidden="false" customHeight="false" outlineLevel="0" collapsed="false">
      <c r="A645" s="12" t="s">
        <v>35</v>
      </c>
      <c r="B645" s="12" t="s">
        <v>201</v>
      </c>
      <c r="C645" s="10" t="s">
        <v>201</v>
      </c>
      <c r="D645" s="12" t="s">
        <v>2052</v>
      </c>
      <c r="E645" s="10" t="s">
        <v>2053</v>
      </c>
      <c r="F645" s="12" t="s">
        <v>79</v>
      </c>
      <c r="G645" s="12"/>
      <c r="H645" s="26" t="n">
        <v>5.24</v>
      </c>
      <c r="I645" s="12" t="s">
        <v>102</v>
      </c>
      <c r="J645" s="12" t="s">
        <v>144</v>
      </c>
      <c r="K645" s="10" t="s">
        <v>658</v>
      </c>
      <c r="L645" s="30" t="s">
        <v>2054</v>
      </c>
      <c r="M645" s="10" t="s">
        <v>4029</v>
      </c>
    </row>
    <row r="646" customFormat="false" ht="46.25" hidden="false" customHeight="false" outlineLevel="0" collapsed="false">
      <c r="A646" s="12" t="s">
        <v>35</v>
      </c>
      <c r="B646" s="12" t="s">
        <v>201</v>
      </c>
      <c r="C646" s="10" t="s">
        <v>201</v>
      </c>
      <c r="D646" s="12" t="s">
        <v>1926</v>
      </c>
      <c r="E646" s="10" t="s">
        <v>2056</v>
      </c>
      <c r="F646" s="12" t="s">
        <v>79</v>
      </c>
      <c r="G646" s="12"/>
      <c r="H646" s="26" t="n">
        <v>6.3</v>
      </c>
      <c r="I646" s="12" t="s">
        <v>102</v>
      </c>
      <c r="J646" s="12" t="s">
        <v>144</v>
      </c>
      <c r="K646" s="10" t="s">
        <v>658</v>
      </c>
      <c r="L646" s="30" t="s">
        <v>2054</v>
      </c>
      <c r="M646" s="10" t="s">
        <v>4030</v>
      </c>
    </row>
    <row r="647" customFormat="false" ht="35.05" hidden="false" customHeight="false" outlineLevel="0" collapsed="false">
      <c r="A647" s="12" t="s">
        <v>35</v>
      </c>
      <c r="B647" s="12" t="s">
        <v>201</v>
      </c>
      <c r="C647" s="10" t="s">
        <v>201</v>
      </c>
      <c r="D647" s="12" t="s">
        <v>2041</v>
      </c>
      <c r="E647" s="10" t="s">
        <v>2042</v>
      </c>
      <c r="F647" s="12" t="s">
        <v>79</v>
      </c>
      <c r="G647" s="12"/>
      <c r="H647" s="26" t="n">
        <v>25.36</v>
      </c>
      <c r="I647" s="12" t="s">
        <v>77</v>
      </c>
      <c r="J647" s="12" t="s">
        <v>194</v>
      </c>
      <c r="K647" s="10" t="s">
        <v>658</v>
      </c>
      <c r="L647" s="30" t="s">
        <v>2076</v>
      </c>
      <c r="M647" s="10" t="s">
        <v>4031</v>
      </c>
    </row>
    <row r="648" customFormat="false" ht="46.25" hidden="false" customHeight="false" outlineLevel="0" collapsed="false">
      <c r="A648" s="12" t="s">
        <v>35</v>
      </c>
      <c r="B648" s="12" t="s">
        <v>618</v>
      </c>
      <c r="C648" s="10" t="s">
        <v>618</v>
      </c>
      <c r="D648" s="12" t="s">
        <v>1305</v>
      </c>
      <c r="E648" s="10" t="s">
        <v>2075</v>
      </c>
      <c r="F648" s="12" t="s">
        <v>172</v>
      </c>
      <c r="G648" s="12" t="n">
        <v>1</v>
      </c>
      <c r="H648" s="26" t="n">
        <v>6.74</v>
      </c>
      <c r="I648" s="12" t="s">
        <v>102</v>
      </c>
      <c r="J648" s="12" t="s">
        <v>194</v>
      </c>
      <c r="K648" s="10" t="s">
        <v>658</v>
      </c>
      <c r="L648" s="30" t="s">
        <v>833</v>
      </c>
      <c r="M648" s="10" t="s">
        <v>4032</v>
      </c>
    </row>
    <row r="649" customFormat="false" ht="35.05" hidden="false" customHeight="false" outlineLevel="0" collapsed="false">
      <c r="A649" s="12" t="s">
        <v>35</v>
      </c>
      <c r="B649" s="12" t="s">
        <v>107</v>
      </c>
      <c r="C649" s="10" t="s">
        <v>107</v>
      </c>
      <c r="D649" s="12" t="s">
        <v>1019</v>
      </c>
      <c r="E649" s="10" t="s">
        <v>874</v>
      </c>
      <c r="F649" s="12" t="s">
        <v>79</v>
      </c>
      <c r="G649" s="12"/>
      <c r="H649" s="26" t="n">
        <v>81.96</v>
      </c>
      <c r="I649" s="12" t="s">
        <v>77</v>
      </c>
      <c r="J649" s="12" t="s">
        <v>194</v>
      </c>
      <c r="K649" s="10" t="s">
        <v>658</v>
      </c>
      <c r="L649" s="30" t="s">
        <v>2057</v>
      </c>
      <c r="M649" s="10" t="s">
        <v>3659</v>
      </c>
    </row>
    <row r="650" customFormat="false" ht="68.65" hidden="false" customHeight="false" outlineLevel="0" collapsed="false">
      <c r="A650" s="12" t="s">
        <v>35</v>
      </c>
      <c r="B650" s="12" t="s">
        <v>107</v>
      </c>
      <c r="C650" s="10" t="s">
        <v>2088</v>
      </c>
      <c r="D650" s="12" t="s">
        <v>873</v>
      </c>
      <c r="E650" s="10" t="s">
        <v>874</v>
      </c>
      <c r="F650" s="12" t="s">
        <v>79</v>
      </c>
      <c r="G650" s="12"/>
      <c r="H650" s="26" t="n">
        <v>93.7335</v>
      </c>
      <c r="I650" s="12" t="s">
        <v>153</v>
      </c>
      <c r="J650" s="12" t="s">
        <v>3558</v>
      </c>
      <c r="K650" s="10" t="s">
        <v>658</v>
      </c>
      <c r="L650" s="30" t="s">
        <v>852</v>
      </c>
      <c r="M650" s="10" t="s">
        <v>4033</v>
      </c>
    </row>
    <row r="651" customFormat="false" ht="23.85" hidden="false" customHeight="false" outlineLevel="0" collapsed="false">
      <c r="A651" s="12" t="s">
        <v>35</v>
      </c>
      <c r="B651" s="12" t="s">
        <v>107</v>
      </c>
      <c r="C651" s="10" t="s">
        <v>2107</v>
      </c>
      <c r="D651" s="12" t="s">
        <v>963</v>
      </c>
      <c r="E651" s="10" t="s">
        <v>964</v>
      </c>
      <c r="F651" s="12" t="s">
        <v>79</v>
      </c>
      <c r="G651" s="12"/>
      <c r="H651" s="26"/>
      <c r="I651" s="12" t="s">
        <v>323</v>
      </c>
      <c r="J651" s="12" t="s">
        <v>323</v>
      </c>
      <c r="K651" s="10" t="s">
        <v>3589</v>
      </c>
      <c r="L651" s="12"/>
      <c r="M651" s="10" t="s">
        <v>3590</v>
      </c>
    </row>
    <row r="652" customFormat="false" ht="23.85" hidden="false" customHeight="false" outlineLevel="0" collapsed="false">
      <c r="A652" s="12" t="s">
        <v>35</v>
      </c>
      <c r="B652" s="12" t="s">
        <v>107</v>
      </c>
      <c r="C652" s="10" t="s">
        <v>2107</v>
      </c>
      <c r="D652" s="12" t="s">
        <v>1037</v>
      </c>
      <c r="E652" s="10" t="s">
        <v>1038</v>
      </c>
      <c r="F652" s="12" t="s">
        <v>79</v>
      </c>
      <c r="G652" s="12"/>
      <c r="H652" s="26"/>
      <c r="I652" s="12" t="s">
        <v>323</v>
      </c>
      <c r="J652" s="12" t="s">
        <v>323</v>
      </c>
      <c r="K652" s="10" t="s">
        <v>3589</v>
      </c>
      <c r="L652" s="12"/>
      <c r="M652" s="10" t="s">
        <v>3590</v>
      </c>
    </row>
    <row r="653" customFormat="false" ht="35.05" hidden="false" customHeight="false" outlineLevel="0" collapsed="false">
      <c r="A653" s="12" t="s">
        <v>35</v>
      </c>
      <c r="B653" s="12" t="s">
        <v>214</v>
      </c>
      <c r="C653" s="10" t="s">
        <v>214</v>
      </c>
      <c r="D653" s="12" t="s">
        <v>1527</v>
      </c>
      <c r="E653" s="10" t="s">
        <v>2069</v>
      </c>
      <c r="F653" s="12" t="s">
        <v>172</v>
      </c>
      <c r="G653" s="12" t="n">
        <v>1</v>
      </c>
      <c r="H653" s="26" t="n">
        <v>8.98</v>
      </c>
      <c r="I653" s="12" t="s">
        <v>77</v>
      </c>
      <c r="J653" s="12" t="s">
        <v>194</v>
      </c>
      <c r="K653" s="10" t="s">
        <v>658</v>
      </c>
      <c r="L653" s="30" t="s">
        <v>2074</v>
      </c>
      <c r="M653" s="10" t="s">
        <v>4034</v>
      </c>
    </row>
    <row r="654" customFormat="false" ht="79.85" hidden="false" customHeight="false" outlineLevel="0" collapsed="false">
      <c r="A654" s="12" t="s">
        <v>35</v>
      </c>
      <c r="B654" s="12" t="s">
        <v>212</v>
      </c>
      <c r="C654" s="10" t="s">
        <v>2089</v>
      </c>
      <c r="D654" s="12" t="s">
        <v>2090</v>
      </c>
      <c r="E654" s="10" t="s">
        <v>2091</v>
      </c>
      <c r="F654" s="12" t="s">
        <v>172</v>
      </c>
      <c r="G654" s="12"/>
      <c r="H654" s="26" t="n">
        <v>59.1216</v>
      </c>
      <c r="I654" s="12" t="s">
        <v>153</v>
      </c>
      <c r="J654" s="12" t="s">
        <v>3730</v>
      </c>
      <c r="K654" s="10" t="s">
        <v>658</v>
      </c>
      <c r="L654" s="30" t="s">
        <v>2092</v>
      </c>
      <c r="M654" s="10" t="s">
        <v>4035</v>
      </c>
    </row>
    <row r="655" customFormat="false" ht="46.25" hidden="false" customHeight="false" outlineLevel="0" collapsed="false">
      <c r="A655" s="12" t="s">
        <v>35</v>
      </c>
      <c r="B655" s="12" t="s">
        <v>609</v>
      </c>
      <c r="C655" s="10" t="s">
        <v>609</v>
      </c>
      <c r="D655" s="12" t="s">
        <v>2073</v>
      </c>
      <c r="E655" s="10" t="s">
        <v>2069</v>
      </c>
      <c r="F655" s="12" t="s">
        <v>172</v>
      </c>
      <c r="G655" s="12" t="n">
        <v>1</v>
      </c>
      <c r="H655" s="26" t="n">
        <v>29.63</v>
      </c>
      <c r="I655" s="12" t="s">
        <v>102</v>
      </c>
      <c r="J655" s="12" t="s">
        <v>194</v>
      </c>
      <c r="K655" s="10" t="s">
        <v>658</v>
      </c>
      <c r="L655" s="30" t="s">
        <v>833</v>
      </c>
      <c r="M655" s="10" t="s">
        <v>4036</v>
      </c>
    </row>
    <row r="656" customFormat="false" ht="57.45" hidden="false" customHeight="false" outlineLevel="0" collapsed="false">
      <c r="A656" s="12" t="s">
        <v>35</v>
      </c>
      <c r="B656" s="12" t="s">
        <v>604</v>
      </c>
      <c r="C656" s="10" t="s">
        <v>2094</v>
      </c>
      <c r="D656" s="12" t="s">
        <v>885</v>
      </c>
      <c r="E656" s="10" t="s">
        <v>2069</v>
      </c>
      <c r="F656" s="12" t="s">
        <v>172</v>
      </c>
      <c r="G656" s="12" t="n">
        <v>1</v>
      </c>
      <c r="H656" s="26" t="n">
        <v>13.899</v>
      </c>
      <c r="I656" s="12" t="s">
        <v>153</v>
      </c>
      <c r="J656" s="12" t="s">
        <v>4037</v>
      </c>
      <c r="K656" s="10" t="s">
        <v>658</v>
      </c>
      <c r="L656" s="30" t="s">
        <v>2095</v>
      </c>
      <c r="M656" s="10" t="s">
        <v>4038</v>
      </c>
    </row>
    <row r="657" customFormat="false" ht="23.85" hidden="false" customHeight="false" outlineLevel="0" collapsed="false">
      <c r="A657" s="12" t="s">
        <v>35</v>
      </c>
      <c r="B657" s="12" t="s">
        <v>604</v>
      </c>
      <c r="C657" s="10" t="s">
        <v>2094</v>
      </c>
      <c r="D657" s="12" t="s">
        <v>1787</v>
      </c>
      <c r="E657" s="10" t="s">
        <v>1785</v>
      </c>
      <c r="F657" s="12" t="s">
        <v>172</v>
      </c>
      <c r="G657" s="12" t="n">
        <v>10</v>
      </c>
      <c r="H657" s="26"/>
      <c r="I657" s="12" t="s">
        <v>323</v>
      </c>
      <c r="J657" s="12" t="s">
        <v>323</v>
      </c>
      <c r="K657" s="10" t="s">
        <v>3589</v>
      </c>
      <c r="L657" s="12"/>
      <c r="M657" s="10" t="s">
        <v>3590</v>
      </c>
    </row>
    <row r="658" customFormat="false" ht="23.85" hidden="false" customHeight="false" outlineLevel="0" collapsed="false">
      <c r="A658" s="12" t="s">
        <v>35</v>
      </c>
      <c r="B658" s="12" t="s">
        <v>604</v>
      </c>
      <c r="C658" s="10" t="s">
        <v>2094</v>
      </c>
      <c r="D658" s="12" t="s">
        <v>917</v>
      </c>
      <c r="E658" s="10" t="s">
        <v>1048</v>
      </c>
      <c r="F658" s="12" t="s">
        <v>172</v>
      </c>
      <c r="G658" s="12" t="n">
        <v>1</v>
      </c>
      <c r="H658" s="26"/>
      <c r="I658" s="12" t="s">
        <v>323</v>
      </c>
      <c r="J658" s="12" t="s">
        <v>323</v>
      </c>
      <c r="K658" s="10" t="s">
        <v>3589</v>
      </c>
      <c r="L658" s="12"/>
      <c r="M658" s="10" t="s">
        <v>3590</v>
      </c>
    </row>
    <row r="659" customFormat="false" ht="35.05" hidden="false" customHeight="false" outlineLevel="0" collapsed="false">
      <c r="A659" s="12" t="s">
        <v>35</v>
      </c>
      <c r="B659" s="12" t="s">
        <v>208</v>
      </c>
      <c r="C659" s="10" t="s">
        <v>208</v>
      </c>
      <c r="D659" s="12" t="s">
        <v>1241</v>
      </c>
      <c r="E659" s="10" t="s">
        <v>2070</v>
      </c>
      <c r="F659" s="12" t="s">
        <v>172</v>
      </c>
      <c r="G659" s="12" t="n">
        <v>10</v>
      </c>
      <c r="H659" s="26" t="n">
        <v>26.32</v>
      </c>
      <c r="I659" s="12" t="s">
        <v>77</v>
      </c>
      <c r="J659" s="12" t="s">
        <v>194</v>
      </c>
      <c r="K659" s="10" t="s">
        <v>658</v>
      </c>
      <c r="L659" s="30" t="s">
        <v>2071</v>
      </c>
      <c r="M659" s="10" t="s">
        <v>4039</v>
      </c>
    </row>
    <row r="660" customFormat="false" ht="57.45" hidden="false" customHeight="false" outlineLevel="0" collapsed="false">
      <c r="A660" s="12" t="s">
        <v>35</v>
      </c>
      <c r="B660" s="12" t="s">
        <v>208</v>
      </c>
      <c r="C660" s="10" t="s">
        <v>2096</v>
      </c>
      <c r="D660" s="12" t="s">
        <v>1602</v>
      </c>
      <c r="E660" s="10" t="s">
        <v>2070</v>
      </c>
      <c r="F660" s="12" t="s">
        <v>172</v>
      </c>
      <c r="G660" s="12" t="n">
        <v>10</v>
      </c>
      <c r="H660" s="26" t="n">
        <v>21.0971</v>
      </c>
      <c r="I660" s="12" t="s">
        <v>153</v>
      </c>
      <c r="J660" s="12" t="s">
        <v>3565</v>
      </c>
      <c r="K660" s="10" t="s">
        <v>658</v>
      </c>
      <c r="L660" s="30" t="s">
        <v>1280</v>
      </c>
      <c r="M660" s="10" t="s">
        <v>4040</v>
      </c>
    </row>
    <row r="661" customFormat="false" ht="46.25" hidden="false" customHeight="false" outlineLevel="0" collapsed="false">
      <c r="A661" s="12" t="s">
        <v>35</v>
      </c>
      <c r="B661" s="12" t="s">
        <v>615</v>
      </c>
      <c r="C661" s="10" t="s">
        <v>2067</v>
      </c>
      <c r="D661" s="12" t="s">
        <v>2068</v>
      </c>
      <c r="E661" s="10" t="s">
        <v>2069</v>
      </c>
      <c r="F661" s="12" t="s">
        <v>172</v>
      </c>
      <c r="G661" s="12" t="n">
        <v>1</v>
      </c>
      <c r="H661" s="26" t="n">
        <v>6.4</v>
      </c>
      <c r="I661" s="12" t="s">
        <v>102</v>
      </c>
      <c r="J661" s="12" t="s">
        <v>194</v>
      </c>
      <c r="K661" s="10" t="s">
        <v>658</v>
      </c>
      <c r="L661" s="30" t="s">
        <v>833</v>
      </c>
      <c r="M661" s="10" t="s">
        <v>4041</v>
      </c>
    </row>
    <row r="662" customFormat="false" ht="57.45" hidden="false" customHeight="false" outlineLevel="0" collapsed="false">
      <c r="A662" s="12" t="s">
        <v>35</v>
      </c>
      <c r="B662" s="12" t="s">
        <v>210</v>
      </c>
      <c r="C662" s="10" t="s">
        <v>2097</v>
      </c>
      <c r="D662" s="12" t="s">
        <v>907</v>
      </c>
      <c r="E662" s="10" t="s">
        <v>1282</v>
      </c>
      <c r="F662" s="12" t="s">
        <v>172</v>
      </c>
      <c r="G662" s="12" t="n">
        <v>2</v>
      </c>
      <c r="H662" s="26" t="n">
        <v>5.3223</v>
      </c>
      <c r="I662" s="12" t="s">
        <v>153</v>
      </c>
      <c r="J662" s="12" t="s">
        <v>3558</v>
      </c>
      <c r="K662" s="10" t="s">
        <v>658</v>
      </c>
      <c r="L662" s="30" t="s">
        <v>852</v>
      </c>
      <c r="M662" s="10" t="s">
        <v>4042</v>
      </c>
    </row>
    <row r="663" customFormat="false" ht="46.25" hidden="false" customHeight="false" outlineLevel="0" collapsed="false">
      <c r="A663" s="12" t="s">
        <v>35</v>
      </c>
      <c r="B663" s="12" t="s">
        <v>418</v>
      </c>
      <c r="C663" s="10" t="s">
        <v>738</v>
      </c>
      <c r="D663" s="12" t="s">
        <v>726</v>
      </c>
      <c r="E663" s="10" t="s">
        <v>2051</v>
      </c>
      <c r="F663" s="12" t="s">
        <v>79</v>
      </c>
      <c r="G663" s="12"/>
      <c r="H663" s="26" t="n">
        <v>10.93</v>
      </c>
      <c r="I663" s="12" t="s">
        <v>102</v>
      </c>
      <c r="J663" s="12" t="s">
        <v>144</v>
      </c>
      <c r="K663" s="10" t="s">
        <v>658</v>
      </c>
      <c r="L663" s="30" t="s">
        <v>740</v>
      </c>
      <c r="M663" s="10" t="s">
        <v>3626</v>
      </c>
    </row>
    <row r="664" customFormat="false" ht="23.85" hidden="false" customHeight="false" outlineLevel="0" collapsed="false">
      <c r="A664" s="12" t="s">
        <v>35</v>
      </c>
      <c r="B664" s="12" t="s">
        <v>418</v>
      </c>
      <c r="C664" s="10" t="s">
        <v>738</v>
      </c>
      <c r="D664" s="12" t="s">
        <v>729</v>
      </c>
      <c r="E664" s="10" t="s">
        <v>2051</v>
      </c>
      <c r="F664" s="12" t="s">
        <v>79</v>
      </c>
      <c r="G664" s="12"/>
      <c r="H664" s="26"/>
      <c r="I664" s="12" t="s">
        <v>323</v>
      </c>
      <c r="J664" s="12" t="s">
        <v>323</v>
      </c>
      <c r="K664" s="10" t="s">
        <v>3589</v>
      </c>
      <c r="L664" s="12"/>
      <c r="M664" s="10" t="s">
        <v>3590</v>
      </c>
    </row>
    <row r="665" customFormat="false" ht="35.05" hidden="false" customHeight="false" outlineLevel="0" collapsed="false">
      <c r="A665" s="12" t="s">
        <v>35</v>
      </c>
      <c r="B665" s="12" t="s">
        <v>606</v>
      </c>
      <c r="C665" s="10" t="s">
        <v>2065</v>
      </c>
      <c r="D665" s="12" t="s">
        <v>1305</v>
      </c>
      <c r="E665" s="10" t="s">
        <v>1624</v>
      </c>
      <c r="F665" s="12" t="s">
        <v>172</v>
      </c>
      <c r="G665" s="12" t="n">
        <v>5</v>
      </c>
      <c r="H665" s="26" t="n">
        <v>8.84</v>
      </c>
      <c r="I665" s="12" t="s">
        <v>77</v>
      </c>
      <c r="J665" s="12" t="s">
        <v>194</v>
      </c>
      <c r="K665" s="10" t="s">
        <v>658</v>
      </c>
      <c r="L665" s="30" t="s">
        <v>2066</v>
      </c>
      <c r="M665" s="10" t="s">
        <v>4043</v>
      </c>
    </row>
    <row r="666" customFormat="false" ht="91" hidden="false" customHeight="false" outlineLevel="0" collapsed="false">
      <c r="A666" s="12" t="s">
        <v>35</v>
      </c>
      <c r="B666" s="12" t="s">
        <v>606</v>
      </c>
      <c r="C666" s="10" t="s">
        <v>2098</v>
      </c>
      <c r="D666" s="12" t="s">
        <v>885</v>
      </c>
      <c r="E666" s="10" t="s">
        <v>2099</v>
      </c>
      <c r="F666" s="12" t="s">
        <v>172</v>
      </c>
      <c r="G666" s="12" t="n">
        <v>5</v>
      </c>
      <c r="H666" s="26" t="n">
        <v>26.0352</v>
      </c>
      <c r="I666" s="12" t="s">
        <v>153</v>
      </c>
      <c r="J666" s="12" t="s">
        <v>3547</v>
      </c>
      <c r="K666" s="10" t="s">
        <v>658</v>
      </c>
      <c r="L666" s="30" t="s">
        <v>2100</v>
      </c>
      <c r="M666" s="10" t="s">
        <v>4044</v>
      </c>
    </row>
    <row r="667" customFormat="false" ht="35.05" hidden="false" customHeight="false" outlineLevel="0" collapsed="false">
      <c r="A667" s="12" t="s">
        <v>35</v>
      </c>
      <c r="B667" s="12" t="s">
        <v>275</v>
      </c>
      <c r="C667" s="10" t="s">
        <v>275</v>
      </c>
      <c r="D667" s="12" t="s">
        <v>2062</v>
      </c>
      <c r="E667" s="10" t="s">
        <v>2063</v>
      </c>
      <c r="F667" s="12" t="s">
        <v>79</v>
      </c>
      <c r="G667" s="12"/>
      <c r="H667" s="26" t="n">
        <v>38.34</v>
      </c>
      <c r="I667" s="12" t="s">
        <v>77</v>
      </c>
      <c r="J667" s="12" t="s">
        <v>194</v>
      </c>
      <c r="K667" s="10" t="s">
        <v>658</v>
      </c>
      <c r="L667" s="30" t="s">
        <v>2064</v>
      </c>
      <c r="M667" s="10" t="s">
        <v>4045</v>
      </c>
    </row>
    <row r="668" customFormat="false" ht="91" hidden="false" customHeight="false" outlineLevel="0" collapsed="false">
      <c r="A668" s="12" t="s">
        <v>35</v>
      </c>
      <c r="B668" s="12" t="s">
        <v>275</v>
      </c>
      <c r="C668" s="10" t="s">
        <v>2101</v>
      </c>
      <c r="D668" s="12" t="s">
        <v>2102</v>
      </c>
      <c r="E668" s="10" t="s">
        <v>2063</v>
      </c>
      <c r="F668" s="12" t="s">
        <v>79</v>
      </c>
      <c r="G668" s="12"/>
      <c r="H668" s="26" t="n">
        <v>28.024</v>
      </c>
      <c r="I668" s="12" t="s">
        <v>153</v>
      </c>
      <c r="J668" s="12" t="s">
        <v>3547</v>
      </c>
      <c r="K668" s="10" t="s">
        <v>658</v>
      </c>
      <c r="L668" s="30" t="s">
        <v>914</v>
      </c>
      <c r="M668" s="10" t="s">
        <v>4046</v>
      </c>
    </row>
    <row r="669" customFormat="false" ht="35.05" hidden="false" customHeight="false" outlineLevel="0" collapsed="false">
      <c r="A669" s="12" t="s">
        <v>35</v>
      </c>
      <c r="B669" s="12" t="s">
        <v>204</v>
      </c>
      <c r="C669" s="10" t="s">
        <v>204</v>
      </c>
      <c r="D669" s="12" t="s">
        <v>934</v>
      </c>
      <c r="E669" s="10" t="s">
        <v>2060</v>
      </c>
      <c r="F669" s="12" t="s">
        <v>172</v>
      </c>
      <c r="G669" s="12" t="n">
        <v>4</v>
      </c>
      <c r="H669" s="26" t="n">
        <v>18.31</v>
      </c>
      <c r="I669" s="12" t="s">
        <v>77</v>
      </c>
      <c r="J669" s="12" t="s">
        <v>194</v>
      </c>
      <c r="K669" s="10" t="s">
        <v>658</v>
      </c>
      <c r="L669" s="30" t="s">
        <v>2061</v>
      </c>
      <c r="M669" s="10" t="s">
        <v>4047</v>
      </c>
    </row>
    <row r="670" customFormat="false" ht="46.25" hidden="false" customHeight="false" outlineLevel="0" collapsed="false">
      <c r="A670" s="12" t="s">
        <v>35</v>
      </c>
      <c r="B670" s="12" t="s">
        <v>204</v>
      </c>
      <c r="C670" s="10" t="s">
        <v>2103</v>
      </c>
      <c r="D670" s="12" t="s">
        <v>2104</v>
      </c>
      <c r="E670" s="10" t="s">
        <v>2105</v>
      </c>
      <c r="F670" s="12" t="s">
        <v>79</v>
      </c>
      <c r="G670" s="12" t="n">
        <v>4</v>
      </c>
      <c r="H670" s="26" t="n">
        <v>8.5428</v>
      </c>
      <c r="I670" s="12" t="s">
        <v>153</v>
      </c>
      <c r="J670" s="12" t="s">
        <v>3558</v>
      </c>
      <c r="K670" s="10" t="s">
        <v>658</v>
      </c>
      <c r="L670" s="30" t="s">
        <v>852</v>
      </c>
      <c r="M670" s="10" t="s">
        <v>4048</v>
      </c>
    </row>
    <row r="671" customFormat="false" ht="35.05" hidden="false" customHeight="false" outlineLevel="0" collapsed="false">
      <c r="A671" s="12" t="s">
        <v>35</v>
      </c>
      <c r="B671" s="12" t="s">
        <v>204</v>
      </c>
      <c r="C671" s="10" t="s">
        <v>2103</v>
      </c>
      <c r="D671" s="12" t="s">
        <v>2109</v>
      </c>
      <c r="E671" s="10" t="s">
        <v>2110</v>
      </c>
      <c r="F671" s="12" t="s">
        <v>172</v>
      </c>
      <c r="G671" s="12" t="n">
        <v>4</v>
      </c>
      <c r="H671" s="26" t="n">
        <v>74.284</v>
      </c>
      <c r="I671" s="12" t="s">
        <v>102</v>
      </c>
      <c r="J671" s="12" t="s">
        <v>1044</v>
      </c>
      <c r="K671" s="10" t="s">
        <v>658</v>
      </c>
      <c r="L671" s="30" t="s">
        <v>2111</v>
      </c>
      <c r="M671" s="10" t="s">
        <v>4049</v>
      </c>
    </row>
    <row r="672" customFormat="false" ht="23.85" hidden="false" customHeight="false" outlineLevel="0" collapsed="false">
      <c r="A672" s="12" t="s">
        <v>35</v>
      </c>
      <c r="B672" s="12" t="s">
        <v>204</v>
      </c>
      <c r="C672" s="10" t="s">
        <v>2103</v>
      </c>
      <c r="D672" s="12" t="s">
        <v>1698</v>
      </c>
      <c r="E672" s="10" t="s">
        <v>1785</v>
      </c>
      <c r="F672" s="12" t="s">
        <v>172</v>
      </c>
      <c r="G672" s="12" t="n">
        <v>10</v>
      </c>
      <c r="H672" s="26"/>
      <c r="I672" s="12" t="s">
        <v>323</v>
      </c>
      <c r="J672" s="12" t="s">
        <v>323</v>
      </c>
      <c r="K672" s="10" t="s">
        <v>3589</v>
      </c>
      <c r="L672" s="12"/>
      <c r="M672" s="10" t="s">
        <v>3590</v>
      </c>
    </row>
    <row r="673" customFormat="false" ht="35.05" hidden="false" customHeight="false" outlineLevel="0" collapsed="false">
      <c r="A673" s="12" t="s">
        <v>35</v>
      </c>
      <c r="B673" s="12" t="s">
        <v>117</v>
      </c>
      <c r="C673" s="10" t="s">
        <v>117</v>
      </c>
      <c r="D673" s="12" t="s">
        <v>934</v>
      </c>
      <c r="E673" s="10" t="s">
        <v>1370</v>
      </c>
      <c r="F673" s="12" t="s">
        <v>79</v>
      </c>
      <c r="G673" s="12" t="n">
        <v>5</v>
      </c>
      <c r="H673" s="26" t="n">
        <v>197.11</v>
      </c>
      <c r="I673" s="12" t="s">
        <v>77</v>
      </c>
      <c r="J673" s="12" t="s">
        <v>194</v>
      </c>
      <c r="K673" s="10" t="s">
        <v>658</v>
      </c>
      <c r="L673" s="30" t="s">
        <v>2059</v>
      </c>
      <c r="M673" s="10" t="s">
        <v>4050</v>
      </c>
    </row>
    <row r="674" customFormat="false" ht="35.05" hidden="false" customHeight="false" outlineLevel="0" collapsed="false">
      <c r="A674" s="12" t="s">
        <v>35</v>
      </c>
      <c r="B674" s="12" t="s">
        <v>117</v>
      </c>
      <c r="C674" s="10" t="s">
        <v>117</v>
      </c>
      <c r="D674" s="12" t="s">
        <v>1183</v>
      </c>
      <c r="E674" s="10" t="s">
        <v>1282</v>
      </c>
      <c r="F674" s="12" t="s">
        <v>172</v>
      </c>
      <c r="G674" s="12" t="n">
        <v>2</v>
      </c>
      <c r="H674" s="26" t="n">
        <v>83.0776</v>
      </c>
      <c r="I674" s="12" t="s">
        <v>153</v>
      </c>
      <c r="J674" s="12" t="s">
        <v>3558</v>
      </c>
      <c r="K674" s="10" t="s">
        <v>658</v>
      </c>
      <c r="L674" s="30" t="s">
        <v>852</v>
      </c>
      <c r="M674" s="10" t="s">
        <v>4051</v>
      </c>
    </row>
    <row r="675" customFormat="false" ht="46.25" hidden="false" customHeight="false" outlineLevel="0" collapsed="false">
      <c r="A675" s="12" t="s">
        <v>35</v>
      </c>
      <c r="B675" s="12" t="s">
        <v>203</v>
      </c>
      <c r="C675" s="10" t="s">
        <v>2106</v>
      </c>
      <c r="D675" s="12" t="s">
        <v>897</v>
      </c>
      <c r="E675" s="10" t="s">
        <v>898</v>
      </c>
      <c r="F675" s="12" t="s">
        <v>79</v>
      </c>
      <c r="G675" s="12"/>
      <c r="H675" s="26" t="n">
        <v>6.7348</v>
      </c>
      <c r="I675" s="12" t="s">
        <v>153</v>
      </c>
      <c r="J675" s="12" t="s">
        <v>3558</v>
      </c>
      <c r="K675" s="10" t="s">
        <v>658</v>
      </c>
      <c r="L675" s="30" t="s">
        <v>852</v>
      </c>
      <c r="M675" s="10" t="s">
        <v>4052</v>
      </c>
    </row>
    <row r="676" customFormat="false" ht="46.25" hidden="false" customHeight="false" outlineLevel="0" collapsed="false">
      <c r="A676" s="12" t="s">
        <v>39</v>
      </c>
      <c r="B676" s="12" t="s">
        <v>480</v>
      </c>
      <c r="C676" s="10" t="s">
        <v>2112</v>
      </c>
      <c r="D676" s="12" t="s">
        <v>1926</v>
      </c>
      <c r="E676" s="10"/>
      <c r="F676" s="12" t="s">
        <v>97</v>
      </c>
      <c r="G676" s="12"/>
      <c r="H676" s="26" t="n">
        <v>24.95</v>
      </c>
      <c r="I676" s="12" t="s">
        <v>102</v>
      </c>
      <c r="J676" s="12" t="s">
        <v>144</v>
      </c>
      <c r="K676" s="10" t="s">
        <v>658</v>
      </c>
      <c r="L676" s="30" t="s">
        <v>2114</v>
      </c>
      <c r="M676" s="10" t="s">
        <v>4053</v>
      </c>
    </row>
    <row r="677" customFormat="false" ht="35.05" hidden="false" customHeight="false" outlineLevel="0" collapsed="false">
      <c r="A677" s="12" t="s">
        <v>39</v>
      </c>
      <c r="B677" s="12" t="s">
        <v>89</v>
      </c>
      <c r="C677" s="10" t="s">
        <v>89</v>
      </c>
      <c r="D677" s="12" t="s">
        <v>775</v>
      </c>
      <c r="E677" s="10" t="s">
        <v>2135</v>
      </c>
      <c r="F677" s="12" t="s">
        <v>79</v>
      </c>
      <c r="G677" s="12"/>
      <c r="H677" s="26" t="n">
        <v>22.25</v>
      </c>
      <c r="I677" s="12" t="s">
        <v>102</v>
      </c>
      <c r="J677" s="12" t="s">
        <v>144</v>
      </c>
      <c r="K677" s="10" t="s">
        <v>658</v>
      </c>
      <c r="L677" s="30" t="s">
        <v>777</v>
      </c>
      <c r="M677" s="10" t="s">
        <v>3774</v>
      </c>
    </row>
    <row r="678" customFormat="false" ht="35.05" hidden="false" customHeight="false" outlineLevel="0" collapsed="false">
      <c r="A678" s="12" t="s">
        <v>39</v>
      </c>
      <c r="B678" s="12" t="s">
        <v>89</v>
      </c>
      <c r="C678" s="10" t="s">
        <v>89</v>
      </c>
      <c r="D678" s="12" t="s">
        <v>828</v>
      </c>
      <c r="E678" s="10" t="s">
        <v>843</v>
      </c>
      <c r="F678" s="12" t="s">
        <v>79</v>
      </c>
      <c r="G678" s="12"/>
      <c r="H678" s="26" t="n">
        <v>856.68</v>
      </c>
      <c r="I678" s="12" t="s">
        <v>102</v>
      </c>
      <c r="J678" s="12" t="s">
        <v>194</v>
      </c>
      <c r="K678" s="10" t="s">
        <v>658</v>
      </c>
      <c r="L678" s="30" t="s">
        <v>830</v>
      </c>
      <c r="M678" s="10" t="s">
        <v>3562</v>
      </c>
    </row>
    <row r="679" customFormat="false" ht="57.45" hidden="false" customHeight="false" outlineLevel="0" collapsed="false">
      <c r="A679" s="12" t="s">
        <v>39</v>
      </c>
      <c r="B679" s="12" t="s">
        <v>89</v>
      </c>
      <c r="C679" s="10" t="s">
        <v>2138</v>
      </c>
      <c r="D679" s="12" t="s">
        <v>854</v>
      </c>
      <c r="E679" s="10" t="s">
        <v>829</v>
      </c>
      <c r="F679" s="12" t="s">
        <v>79</v>
      </c>
      <c r="G679" s="12"/>
      <c r="H679" s="26" t="n">
        <v>1444.1174</v>
      </c>
      <c r="I679" s="12" t="s">
        <v>153</v>
      </c>
      <c r="J679" s="12" t="s">
        <v>3558</v>
      </c>
      <c r="K679" s="10" t="s">
        <v>658</v>
      </c>
      <c r="L679" s="30" t="s">
        <v>852</v>
      </c>
      <c r="M679" s="10" t="s">
        <v>4054</v>
      </c>
    </row>
    <row r="680" customFormat="false" ht="46.25" hidden="false" customHeight="false" outlineLevel="0" collapsed="false">
      <c r="A680" s="12" t="s">
        <v>39</v>
      </c>
      <c r="B680" s="12" t="s">
        <v>89</v>
      </c>
      <c r="C680" s="10" t="s">
        <v>2141</v>
      </c>
      <c r="D680" s="12" t="s">
        <v>1083</v>
      </c>
      <c r="E680" s="10" t="s">
        <v>1217</v>
      </c>
      <c r="F680" s="12" t="s">
        <v>79</v>
      </c>
      <c r="G680" s="12" t="n">
        <v>10</v>
      </c>
      <c r="H680" s="26" t="n">
        <v>152.64</v>
      </c>
      <c r="I680" s="12" t="s">
        <v>77</v>
      </c>
      <c r="J680" s="12" t="s">
        <v>995</v>
      </c>
      <c r="K680" s="10" t="s">
        <v>658</v>
      </c>
      <c r="L680" s="30" t="s">
        <v>991</v>
      </c>
      <c r="M680" s="10" t="s">
        <v>4055</v>
      </c>
    </row>
    <row r="681" customFormat="false" ht="46.25" hidden="false" customHeight="false" outlineLevel="0" collapsed="false">
      <c r="A681" s="12" t="s">
        <v>39</v>
      </c>
      <c r="B681" s="12" t="s">
        <v>201</v>
      </c>
      <c r="C681" s="10" t="s">
        <v>2139</v>
      </c>
      <c r="D681" s="12" t="s">
        <v>861</v>
      </c>
      <c r="E681" s="10" t="s">
        <v>866</v>
      </c>
      <c r="F681" s="12" t="s">
        <v>79</v>
      </c>
      <c r="G681" s="12" t="n">
        <v>3.5</v>
      </c>
      <c r="H681" s="26" t="n">
        <v>7.8196</v>
      </c>
      <c r="I681" s="12" t="s">
        <v>77</v>
      </c>
      <c r="J681" s="12" t="s">
        <v>3569</v>
      </c>
      <c r="K681" s="10" t="s">
        <v>658</v>
      </c>
      <c r="L681" s="30" t="s">
        <v>2140</v>
      </c>
      <c r="M681" s="10" t="s">
        <v>4056</v>
      </c>
    </row>
    <row r="682" customFormat="false" ht="46.25" hidden="false" customHeight="false" outlineLevel="0" collapsed="false">
      <c r="A682" s="12" t="s">
        <v>39</v>
      </c>
      <c r="B682" s="12" t="s">
        <v>223</v>
      </c>
      <c r="C682" s="10" t="s">
        <v>689</v>
      </c>
      <c r="D682" s="12" t="s">
        <v>690</v>
      </c>
      <c r="E682" s="10" t="s">
        <v>2115</v>
      </c>
      <c r="F682" s="12" t="s">
        <v>79</v>
      </c>
      <c r="G682" s="12" t="n">
        <v>1</v>
      </c>
      <c r="H682" s="26" t="n">
        <v>14.96</v>
      </c>
      <c r="I682" s="12" t="s">
        <v>102</v>
      </c>
      <c r="J682" s="12" t="s">
        <v>144</v>
      </c>
      <c r="K682" s="10" t="s">
        <v>658</v>
      </c>
      <c r="L682" s="30" t="s">
        <v>692</v>
      </c>
      <c r="M682" s="10" t="s">
        <v>3781</v>
      </c>
    </row>
    <row r="683" customFormat="false" ht="46.25" hidden="false" customHeight="false" outlineLevel="0" collapsed="false">
      <c r="A683" s="12" t="s">
        <v>39</v>
      </c>
      <c r="B683" s="12" t="s">
        <v>245</v>
      </c>
      <c r="C683" s="10" t="s">
        <v>1874</v>
      </c>
      <c r="D683" s="12" t="s">
        <v>1422</v>
      </c>
      <c r="E683" s="10" t="s">
        <v>2116</v>
      </c>
      <c r="F683" s="12" t="s">
        <v>79</v>
      </c>
      <c r="G683" s="12" t="n">
        <v>5</v>
      </c>
      <c r="H683" s="26" t="n">
        <v>6.66</v>
      </c>
      <c r="I683" s="12" t="s">
        <v>102</v>
      </c>
      <c r="J683" s="12" t="s">
        <v>144</v>
      </c>
      <c r="K683" s="10" t="s">
        <v>658</v>
      </c>
      <c r="L683" s="30" t="s">
        <v>1877</v>
      </c>
      <c r="M683" s="10" t="s">
        <v>4057</v>
      </c>
    </row>
    <row r="684" customFormat="false" ht="46.25" hidden="false" customHeight="false" outlineLevel="0" collapsed="false">
      <c r="A684" s="12" t="s">
        <v>39</v>
      </c>
      <c r="B684" s="12" t="s">
        <v>245</v>
      </c>
      <c r="C684" s="10" t="s">
        <v>1874</v>
      </c>
      <c r="D684" s="12" t="s">
        <v>1878</v>
      </c>
      <c r="E684" s="10" t="s">
        <v>2117</v>
      </c>
      <c r="F684" s="12" t="s">
        <v>79</v>
      </c>
      <c r="G684" s="12" t="n">
        <v>20</v>
      </c>
      <c r="H684" s="26" t="n">
        <v>38.11</v>
      </c>
      <c r="I684" s="12" t="s">
        <v>102</v>
      </c>
      <c r="J684" s="12" t="s">
        <v>144</v>
      </c>
      <c r="K684" s="10" t="s">
        <v>658</v>
      </c>
      <c r="L684" s="30" t="s">
        <v>1877</v>
      </c>
      <c r="M684" s="10" t="s">
        <v>4058</v>
      </c>
    </row>
    <row r="685" customFormat="false" ht="35.05" hidden="false" customHeight="false" outlineLevel="0" collapsed="false">
      <c r="A685" s="12" t="s">
        <v>39</v>
      </c>
      <c r="B685" s="12" t="s">
        <v>235</v>
      </c>
      <c r="C685" s="10" t="s">
        <v>235</v>
      </c>
      <c r="D685" s="12" t="s">
        <v>732</v>
      </c>
      <c r="E685" s="10" t="s">
        <v>2118</v>
      </c>
      <c r="F685" s="12" t="s">
        <v>79</v>
      </c>
      <c r="G685" s="12" t="n">
        <v>1</v>
      </c>
      <c r="H685" s="26" t="n">
        <v>31.25</v>
      </c>
      <c r="I685" s="12" t="s">
        <v>102</v>
      </c>
      <c r="J685" s="12" t="s">
        <v>144</v>
      </c>
      <c r="K685" s="10" t="s">
        <v>658</v>
      </c>
      <c r="L685" s="30" t="s">
        <v>2119</v>
      </c>
      <c r="M685" s="10" t="s">
        <v>4059</v>
      </c>
    </row>
    <row r="686" customFormat="false" ht="46.25" hidden="false" customHeight="false" outlineLevel="0" collapsed="false">
      <c r="A686" s="12" t="s">
        <v>39</v>
      </c>
      <c r="B686" s="12" t="s">
        <v>227</v>
      </c>
      <c r="C686" s="10" t="s">
        <v>227</v>
      </c>
      <c r="D686" s="12" t="s">
        <v>2120</v>
      </c>
      <c r="E686" s="10"/>
      <c r="F686" s="12" t="s">
        <v>97</v>
      </c>
      <c r="G686" s="12"/>
      <c r="H686" s="26" t="n">
        <v>5289.94</v>
      </c>
      <c r="I686" s="12" t="s">
        <v>102</v>
      </c>
      <c r="J686" s="12" t="s">
        <v>144</v>
      </c>
      <c r="K686" s="10" t="s">
        <v>658</v>
      </c>
      <c r="L686" s="30" t="s">
        <v>2121</v>
      </c>
      <c r="M686" s="10" t="s">
        <v>4060</v>
      </c>
    </row>
    <row r="687" customFormat="false" ht="35.05" hidden="false" customHeight="false" outlineLevel="0" collapsed="false">
      <c r="A687" s="12" t="s">
        <v>39</v>
      </c>
      <c r="B687" s="12" t="s">
        <v>280</v>
      </c>
      <c r="C687" s="10" t="s">
        <v>280</v>
      </c>
      <c r="D687" s="12" t="s">
        <v>696</v>
      </c>
      <c r="E687" s="10"/>
      <c r="F687" s="12" t="s">
        <v>97</v>
      </c>
      <c r="G687" s="12"/>
      <c r="H687" s="26" t="n">
        <v>4.02</v>
      </c>
      <c r="I687" s="12" t="s">
        <v>102</v>
      </c>
      <c r="J687" s="12" t="s">
        <v>144</v>
      </c>
      <c r="K687" s="10" t="s">
        <v>1049</v>
      </c>
      <c r="L687" s="30" t="s">
        <v>1050</v>
      </c>
      <c r="M687" s="10" t="s">
        <v>4061</v>
      </c>
    </row>
    <row r="688" customFormat="false" ht="46.25" hidden="false" customHeight="false" outlineLevel="0" collapsed="false">
      <c r="A688" s="12" t="s">
        <v>39</v>
      </c>
      <c r="B688" s="12" t="s">
        <v>623</v>
      </c>
      <c r="C688" s="10" t="s">
        <v>623</v>
      </c>
      <c r="D688" s="12" t="s">
        <v>1154</v>
      </c>
      <c r="E688" s="10" t="s">
        <v>2132</v>
      </c>
      <c r="F688" s="12" t="s">
        <v>79</v>
      </c>
      <c r="G688" s="12" t="n">
        <v>5</v>
      </c>
      <c r="H688" s="26" t="n">
        <v>61.13</v>
      </c>
      <c r="I688" s="12" t="s">
        <v>102</v>
      </c>
      <c r="J688" s="12" t="s">
        <v>144</v>
      </c>
      <c r="K688" s="10" t="s">
        <v>658</v>
      </c>
      <c r="L688" s="30" t="s">
        <v>2133</v>
      </c>
      <c r="M688" s="10" t="s">
        <v>4062</v>
      </c>
    </row>
    <row r="689" customFormat="false" ht="23.85" hidden="false" customHeight="false" outlineLevel="0" collapsed="false">
      <c r="A689" s="12" t="s">
        <v>39</v>
      </c>
      <c r="B689" s="12" t="s">
        <v>623</v>
      </c>
      <c r="C689" s="10" t="s">
        <v>623</v>
      </c>
      <c r="D689" s="12" t="s">
        <v>2134</v>
      </c>
      <c r="E689" s="10" t="s">
        <v>2132</v>
      </c>
      <c r="F689" s="12" t="s">
        <v>79</v>
      </c>
      <c r="G689" s="12" t="n">
        <v>2</v>
      </c>
      <c r="H689" s="26"/>
      <c r="I689" s="12" t="s">
        <v>323</v>
      </c>
      <c r="J689" s="12" t="s">
        <v>323</v>
      </c>
      <c r="K689" s="10" t="s">
        <v>3589</v>
      </c>
      <c r="L689" s="12"/>
      <c r="M689" s="10" t="s">
        <v>3590</v>
      </c>
    </row>
    <row r="690" customFormat="false" ht="46.25" hidden="false" customHeight="false" outlineLevel="0" collapsed="false">
      <c r="A690" s="12" t="s">
        <v>39</v>
      </c>
      <c r="B690" s="12" t="s">
        <v>114</v>
      </c>
      <c r="C690" s="10" t="s">
        <v>114</v>
      </c>
      <c r="D690" s="12" t="s">
        <v>679</v>
      </c>
      <c r="E690" s="10" t="s">
        <v>2137</v>
      </c>
      <c r="F690" s="12" t="s">
        <v>85</v>
      </c>
      <c r="G690" s="12" t="n">
        <v>5</v>
      </c>
      <c r="H690" s="26" t="n">
        <v>29.97</v>
      </c>
      <c r="I690" s="12" t="s">
        <v>102</v>
      </c>
      <c r="J690" s="12" t="s">
        <v>144</v>
      </c>
      <c r="K690" s="10" t="s">
        <v>658</v>
      </c>
      <c r="L690" s="30" t="s">
        <v>682</v>
      </c>
      <c r="M690" s="10" t="s">
        <v>3550</v>
      </c>
    </row>
    <row r="691" customFormat="false" ht="46.25" hidden="false" customHeight="false" outlineLevel="0" collapsed="false">
      <c r="A691" s="12" t="s">
        <v>39</v>
      </c>
      <c r="B691" s="12" t="s">
        <v>626</v>
      </c>
      <c r="C691" s="10" t="s">
        <v>626</v>
      </c>
      <c r="D691" s="12" t="s">
        <v>2122</v>
      </c>
      <c r="E691" s="10" t="s">
        <v>2123</v>
      </c>
      <c r="F691" s="12" t="s">
        <v>79</v>
      </c>
      <c r="G691" s="12" t="n">
        <v>1</v>
      </c>
      <c r="H691" s="26" t="n">
        <v>18.9</v>
      </c>
      <c r="I691" s="12" t="s">
        <v>102</v>
      </c>
      <c r="J691" s="12" t="s">
        <v>144</v>
      </c>
      <c r="K691" s="10" t="s">
        <v>658</v>
      </c>
      <c r="L691" s="30" t="s">
        <v>2124</v>
      </c>
      <c r="M691" s="10" t="s">
        <v>4063</v>
      </c>
    </row>
    <row r="692" customFormat="false" ht="57.45" hidden="false" customHeight="false" outlineLevel="0" collapsed="false">
      <c r="A692" s="12" t="s">
        <v>39</v>
      </c>
      <c r="B692" s="12" t="s">
        <v>626</v>
      </c>
      <c r="C692" s="10" t="s">
        <v>626</v>
      </c>
      <c r="D692" s="12" t="s">
        <v>2125</v>
      </c>
      <c r="E692" s="10" t="s">
        <v>2123</v>
      </c>
      <c r="F692" s="12" t="s">
        <v>79</v>
      </c>
      <c r="G692" s="12" t="n">
        <v>1</v>
      </c>
      <c r="H692" s="26" t="n">
        <v>11.08</v>
      </c>
      <c r="I692" s="12" t="s">
        <v>102</v>
      </c>
      <c r="J692" s="12" t="s">
        <v>144</v>
      </c>
      <c r="K692" s="10" t="s">
        <v>658</v>
      </c>
      <c r="L692" s="30" t="s">
        <v>2124</v>
      </c>
      <c r="M692" s="10" t="s">
        <v>4064</v>
      </c>
    </row>
    <row r="693" customFormat="false" ht="35.05" hidden="false" customHeight="false" outlineLevel="0" collapsed="false">
      <c r="A693" s="12" t="s">
        <v>39</v>
      </c>
      <c r="B693" s="12" t="s">
        <v>229</v>
      </c>
      <c r="C693" s="10" t="s">
        <v>1000</v>
      </c>
      <c r="D693" s="12" t="s">
        <v>1001</v>
      </c>
      <c r="E693" s="10" t="s">
        <v>2126</v>
      </c>
      <c r="F693" s="12" t="s">
        <v>79</v>
      </c>
      <c r="G693" s="12" t="n">
        <v>2</v>
      </c>
      <c r="H693" s="26" t="n">
        <v>23.15</v>
      </c>
      <c r="I693" s="12" t="s">
        <v>102</v>
      </c>
      <c r="J693" s="12" t="s">
        <v>144</v>
      </c>
      <c r="K693" s="10" t="s">
        <v>665</v>
      </c>
      <c r="L693" s="30" t="s">
        <v>666</v>
      </c>
      <c r="M693" s="10" t="s">
        <v>3664</v>
      </c>
    </row>
    <row r="694" customFormat="false" ht="57.45" hidden="false" customHeight="false" outlineLevel="0" collapsed="false">
      <c r="A694" s="12" t="s">
        <v>39</v>
      </c>
      <c r="B694" s="12" t="s">
        <v>231</v>
      </c>
      <c r="C694" s="10" t="s">
        <v>231</v>
      </c>
      <c r="D694" s="12" t="s">
        <v>2127</v>
      </c>
      <c r="E694" s="10" t="s">
        <v>2128</v>
      </c>
      <c r="F694" s="12" t="s">
        <v>97</v>
      </c>
      <c r="G694" s="12"/>
      <c r="H694" s="26" t="n">
        <v>179.58</v>
      </c>
      <c r="I694" s="12" t="s">
        <v>102</v>
      </c>
      <c r="J694" s="12" t="s">
        <v>144</v>
      </c>
      <c r="K694" s="10" t="s">
        <v>658</v>
      </c>
      <c r="L694" s="30" t="s">
        <v>2129</v>
      </c>
      <c r="M694" s="10" t="s">
        <v>4065</v>
      </c>
    </row>
    <row r="695" customFormat="false" ht="46.25" hidden="false" customHeight="false" outlineLevel="0" collapsed="false">
      <c r="A695" s="12" t="s">
        <v>39</v>
      </c>
      <c r="B695" s="12" t="s">
        <v>233</v>
      </c>
      <c r="C695" s="10" t="s">
        <v>2145</v>
      </c>
      <c r="D695" s="12" t="s">
        <v>2146</v>
      </c>
      <c r="E695" s="10" t="s">
        <v>1807</v>
      </c>
      <c r="F695" s="12" t="s">
        <v>79</v>
      </c>
      <c r="G695" s="12" t="n">
        <v>5</v>
      </c>
      <c r="H695" s="26" t="n">
        <v>7.58</v>
      </c>
      <c r="I695" s="12" t="s">
        <v>77</v>
      </c>
      <c r="J695" s="12" t="s">
        <v>995</v>
      </c>
      <c r="K695" s="10" t="s">
        <v>658</v>
      </c>
      <c r="L695" s="30" t="s">
        <v>991</v>
      </c>
      <c r="M695" s="10" t="s">
        <v>4066</v>
      </c>
    </row>
    <row r="696" customFormat="false" ht="68.65" hidden="false" customHeight="false" outlineLevel="0" collapsed="false">
      <c r="A696" s="12" t="s">
        <v>39</v>
      </c>
      <c r="B696" s="12" t="s">
        <v>210</v>
      </c>
      <c r="C696" s="10" t="s">
        <v>2142</v>
      </c>
      <c r="D696" s="12" t="s">
        <v>2143</v>
      </c>
      <c r="E696" s="10" t="s">
        <v>2144</v>
      </c>
      <c r="F696" s="12" t="s">
        <v>79</v>
      </c>
      <c r="G696" s="12"/>
      <c r="H696" s="26" t="n">
        <v>6.29</v>
      </c>
      <c r="I696" s="12" t="s">
        <v>77</v>
      </c>
      <c r="J696" s="12" t="s">
        <v>995</v>
      </c>
      <c r="K696" s="10" t="s">
        <v>658</v>
      </c>
      <c r="L696" s="30" t="s">
        <v>991</v>
      </c>
      <c r="M696" s="10" t="s">
        <v>4067</v>
      </c>
    </row>
    <row r="697" customFormat="false" ht="35.05" hidden="false" customHeight="false" outlineLevel="0" collapsed="false">
      <c r="A697" s="12" t="s">
        <v>39</v>
      </c>
      <c r="B697" s="12" t="s">
        <v>265</v>
      </c>
      <c r="C697" s="10" t="s">
        <v>1114</v>
      </c>
      <c r="D697" s="12" t="s">
        <v>1115</v>
      </c>
      <c r="E697" s="10" t="s">
        <v>2130</v>
      </c>
      <c r="F697" s="12" t="s">
        <v>79</v>
      </c>
      <c r="G697" s="12" t="n">
        <v>10</v>
      </c>
      <c r="H697" s="26" t="n">
        <v>5.56</v>
      </c>
      <c r="I697" s="12" t="s">
        <v>102</v>
      </c>
      <c r="J697" s="12" t="s">
        <v>144</v>
      </c>
      <c r="K697" s="10" t="s">
        <v>1049</v>
      </c>
      <c r="L697" s="30" t="s">
        <v>1050</v>
      </c>
      <c r="M697" s="10" t="s">
        <v>3799</v>
      </c>
    </row>
    <row r="698" customFormat="false" ht="46.25" hidden="false" customHeight="false" outlineLevel="0" collapsed="false">
      <c r="A698" s="12" t="s">
        <v>39</v>
      </c>
      <c r="B698" s="12" t="s">
        <v>117</v>
      </c>
      <c r="C698" s="10" t="s">
        <v>1149</v>
      </c>
      <c r="D698" s="12" t="s">
        <v>1150</v>
      </c>
      <c r="E698" s="10" t="s">
        <v>1843</v>
      </c>
      <c r="F698" s="12" t="s">
        <v>79</v>
      </c>
      <c r="G698" s="12" t="n">
        <v>2</v>
      </c>
      <c r="H698" s="26" t="n">
        <v>21.78</v>
      </c>
      <c r="I698" s="12" t="s">
        <v>102</v>
      </c>
      <c r="J698" s="12" t="s">
        <v>144</v>
      </c>
      <c r="K698" s="10" t="s">
        <v>658</v>
      </c>
      <c r="L698" s="30" t="s">
        <v>1152</v>
      </c>
      <c r="M698" s="10" t="s">
        <v>3722</v>
      </c>
    </row>
    <row r="699" customFormat="false" ht="46.25" hidden="false" customHeight="false" outlineLevel="0" collapsed="false">
      <c r="A699" s="12" t="s">
        <v>39</v>
      </c>
      <c r="B699" s="12" t="s">
        <v>117</v>
      </c>
      <c r="C699" s="10" t="s">
        <v>1149</v>
      </c>
      <c r="D699" s="12" t="s">
        <v>1154</v>
      </c>
      <c r="E699" s="10" t="s">
        <v>1749</v>
      </c>
      <c r="F699" s="12" t="s">
        <v>79</v>
      </c>
      <c r="G699" s="12" t="n">
        <v>5</v>
      </c>
      <c r="H699" s="26" t="n">
        <v>48.28</v>
      </c>
      <c r="I699" s="12" t="s">
        <v>102</v>
      </c>
      <c r="J699" s="12" t="s">
        <v>144</v>
      </c>
      <c r="K699" s="10" t="s">
        <v>658</v>
      </c>
      <c r="L699" s="30" t="s">
        <v>1152</v>
      </c>
      <c r="M699" s="10" t="s">
        <v>3933</v>
      </c>
    </row>
    <row r="700" customFormat="false" ht="35.05" hidden="false" customHeight="false" outlineLevel="0" collapsed="false">
      <c r="A700" s="12" t="s">
        <v>39</v>
      </c>
      <c r="B700" s="12" t="s">
        <v>261</v>
      </c>
      <c r="C700" s="10" t="s">
        <v>757</v>
      </c>
      <c r="D700" s="12" t="s">
        <v>758</v>
      </c>
      <c r="E700" s="10" t="s">
        <v>2131</v>
      </c>
      <c r="F700" s="12" t="s">
        <v>79</v>
      </c>
      <c r="G700" s="12"/>
      <c r="H700" s="26" t="n">
        <v>2.67</v>
      </c>
      <c r="I700" s="12" t="s">
        <v>102</v>
      </c>
      <c r="J700" s="12" t="s">
        <v>144</v>
      </c>
      <c r="K700" s="10" t="s">
        <v>1049</v>
      </c>
      <c r="L700" s="30" t="s">
        <v>1050</v>
      </c>
      <c r="M700" s="10" t="s">
        <v>3805</v>
      </c>
    </row>
  </sheetData>
  <autoFilter ref="A4:M700"/>
  <hyperlinks>
    <hyperlink ref="L5" r:id="rId1" display="https://www.drugs.com/price-guide/carboprost"/>
    <hyperlink ref="L6" r:id="rId2" display="https://www.medicinpriser.dk/Default.aspx?VirksomtStof=Carboprost&amp;lng=2"/>
    <hyperlink ref="L7" r:id="rId3" display="https://www.cms.gov/files/zip/october-2026-medicare-part-b-payment-limit-files-final.zip"/>
    <hyperlink ref="L8" r:id="rId4" display="https://www.drugs.com/price-guide/fulvestrant"/>
    <hyperlink ref="L9" r:id="rId5" display="https://www.drugs.com/price-guide/methotrexate"/>
    <hyperlink ref="L10" r:id="rId6" display="https://www.drugs.com/price-guide/methotrexate"/>
    <hyperlink ref="L11" r:id="rId7" display="https://www.cms.gov/files/zip/october-2026-medicare-part-b-payment-limit-files-final.zip"/>
    <hyperlink ref="L12" r:id="rId8" display="https://www.cms.gov/files/zip/october-2026-medicare-part-b-payment-limit-files-final.zip"/>
    <hyperlink ref="L13" r:id="rId9" display="https://www.ab.bluecross.ca/dbl/pdfs/ABCDPL_2026_01_07.pdf"/>
    <hyperlink ref="L14" r:id="rId10" display="https://www.ab.bluecross.ca/dbl/pdfs/ABCDPL_2026_01_07.pdf"/>
    <hyperlink ref="L15" r:id="rId11" display="https://www.drugs.com/price-guide/argatroban"/>
    <hyperlink ref="L16" r:id="rId12" display="https://dmd-browser.nhsbsa.nhs.uk/ampp/view/185061"/>
    <hyperlink ref="L17" r:id="rId13" display="https://www.aifa.gov.it/documents/20142/3815901/Classe_H_per_principio_attivo_30-04-2026.csv"/>
    <hyperlink ref="L18" r:id="rId14" display="https://www.pbs.gov.au/industry/pricing/ex-manufacturer-price/2026/09/ex-manufacturer-prices-non-efc-2026-09-01.XLSX"/>
    <hyperlink ref="L19" r:id="rId15" display="https://www.drugs.com/price-guide/bortezomib"/>
    <hyperlink ref="L20" r:id="rId16" display="https://dmd-browser.nhsbsa.nhs.uk/ampp/view/187562"/>
    <hyperlink ref="L21" r:id="rId17" display="https://www.aifa.gov.it/documents/20142/3815901/Classe_H_per_principio_attivo_30-04-2026.csv"/>
    <hyperlink ref="L22" r:id="rId18" display="https://www.pbs.gov.au/industry/pricing/ex-manufacturer-price/2026/09/ex-manufacturer-prices-efc-2026-09-01.XLSX"/>
    <hyperlink ref="L23" r:id="rId19" display="https://www.aponeo.de/rx/12675950-bupivan-0-5-5-mg-ml-inj-l-25mg-5ml-glasamp.html"/>
    <hyperlink ref="L24" r:id="rId20" display="https://www.drugs.com/price-guide/carboprost"/>
    <hyperlink ref="L25" r:id="rId21" display="https://www.health.gov.za/nhi-pee/"/>
    <hyperlink ref="L26" r:id="rId22" display="https://www.health.gov.za/nhi-pee/"/>
    <hyperlink ref="L27" r:id="rId23" display="https://www.health.gov.za/nhi-pee/"/>
    <hyperlink ref="L28" r:id="rId24" display="https://www.health.gov.za/nhi-pee/"/>
    <hyperlink ref="L29" r:id="rId25" display="https://base-donnees-publique.medicaments.gouv.fr/medicament/64318859/extrait"/>
    <hyperlink ref="L30" r:id="rId26" display="https://www.dovesalute.it/it/farmaci/med/36138/ceftriaxone-aurobindo"/>
    <hyperlink ref="L31" r:id="rId27" display="https://www.aifa.gov.it/documents/20142/3815901/Classe_A_per_principio_attivo_30-04-2026.csv"/>
    <hyperlink ref="L32" r:id="rId28" display="https://www.drugs.com/price-guide/chlorpromazine"/>
    <hyperlink ref="L33" r:id="rId29" display="https://www.drugs.com/price-guide/cyclophosphamide"/>
    <hyperlink ref="L34" r:id="rId30" display="https://www.drugs.com/price-guide/cyclophosphamide"/>
    <hyperlink ref="L35" r:id="rId31" display="https://www.drugs.com/price-guide/cyclophosphamide"/>
    <hyperlink ref="L36" r:id="rId32" display="https://www.drugs.com/price-guide/dactinomycin"/>
    <hyperlink ref="L37" r:id="rId33" display="https://www.aifa.gov.it/documents/20142/3815901/Classe_H_per_principio_attivo_30-04-2026.csv"/>
    <hyperlink ref="L38" r:id="rId34" display="https://www.aifa.gov.it/documents/20142/3815901/Classe_H_per_principio_attivo_30-04-2026.csv"/>
    <hyperlink ref="L39" r:id="rId35" display="https://www.drugs.com/price-guide/ephedrine"/>
    <hyperlink ref="L40" r:id="rId36" display="https://www.aifa.gov.it/documents/20142/3815901/Classe_H_per_principio_attivo_30-04-2026.csv"/>
    <hyperlink ref="L41" r:id="rId37" display="https://www.drugs.com/price-guide/eptifibatide"/>
    <hyperlink ref="L42" r:id="rId38" display="https://www.drugs.com/price-guide/ertapenem"/>
    <hyperlink ref="L43" r:id="rId39" display="https://www.ab.bluecross.ca/dbl/pdfs/ABCDPL_2026_09_04.pdf"/>
    <hyperlink ref="L44" r:id="rId40" display="https://www.ab.bluecross.ca/dbl/pdfs/ABCDPL_2026_09_04.pdf"/>
    <hyperlink ref="L45" r:id="rId41" display="https://www.health.gov.za/nhi-pee/"/>
    <hyperlink ref="L46" r:id="rId42" display="https://www.health.gov.za/nhi-pee/"/>
    <hyperlink ref="L47" r:id="rId43" display="https://www.health.gov.za/nhi-pee/"/>
    <hyperlink ref="L48" r:id="rId44" display="https://www.health.gov.za/nhi-pee/"/>
    <hyperlink ref="L50" r:id="rId45" display="https://www.drugs.com/price-guide/esmolol"/>
    <hyperlink ref="L51" r:id="rId46" display="https://dmd-browser.nhsbsa.nhs.uk/ampp/view/171701"/>
    <hyperlink ref="L52" r:id="rId47" display="https://www.aifa.gov.it/documents/20142/3815901/Classe_H_per_principio_attivo_30-04-2026.csv"/>
    <hyperlink ref="L54" r:id="rId48" display="https://www.drugs.com/price-guide/fluorouracil"/>
    <hyperlink ref="L55" r:id="rId49" display="https://www.drugs.com/price-guide/fluphenazine"/>
    <hyperlink ref="L56" r:id="rId50" display="https://www.medicinpriser.dk/Default.aspx?id=15&amp;vnr=540548"/>
    <hyperlink ref="L57" r:id="rId51" display="https://www.nhsbsa.nhs.uk/sites/default/files/2026-08/Part%20VIIIA%20Sep%2026.xls.xlsx"/>
    <hyperlink ref="L58" r:id="rId52" display="https://www.aifa.gov.it/documents/20142/3815901/Classe_H_per_principio_attivo_30-04-2026.csv"/>
    <hyperlink ref="L59" r:id="rId53" display="https://www.pbs.gov.au/industry/pricing/ex-manufacturer-price/2026/09/ex-manufacturer-prices-non-efc-2026-09-01.XLSX"/>
    <hyperlink ref="L60" r:id="rId54" display="https://www.formulary.health.gov.on.ca/formulary/detail.xhtml?drugId=02516160"/>
    <hyperlink ref="L61" r:id="rId55" display="https://www.ab.bluecross.ca/dbl/pdfs/ABCDPL_2026_09_04.pdf"/>
    <hyperlink ref="L62" r:id="rId56" display="https://www.drugs.com/price-guide/ibandronate"/>
    <hyperlink ref="L63" r:id="rId57" display="https://www.drugs.com/price-guide/medroxyprogesterone"/>
    <hyperlink ref="L64" r:id="rId58" display="https://www.mountainside-medical.com/products/medroxyprogesterone-acetate-injection-prefilled-syringe-150-mg-ml"/>
    <hyperlink ref="L65" r:id="rId59" display="https://www.aifa.gov.it/documents/20142/3815901/Classe_H_per_principio_attivo_30-04-2026.csv"/>
    <hyperlink ref="L66" r:id="rId60" display="https://www.aifa.gov.it/documents/20142/3815901/Classe_H_per_principio_attivo_30-04-2026.csv"/>
    <hyperlink ref="L67" r:id="rId61" display="https://www.aifa.gov.it/documents/20142/3815901/Classe_H_per_principio_attivo_30-04-2026.csv"/>
    <hyperlink ref="L68" r:id="rId62" display="https://www.aifa.gov.it/documents/20142/3815901/Classe_H_per_principio_attivo_30-04-2026.csv"/>
    <hyperlink ref="L69" r:id="rId63" display="https://www.ab.bluecross.ca/dbl/pdfs/ABCDPL_2024_12_05.pdf"/>
    <hyperlink ref="L70" r:id="rId64" display="https://www.ab.bluecross.ca/dbl/pdfs/ABCDPL_2024_12_05.pdf"/>
    <hyperlink ref="L71" r:id="rId65" display="https://www.ab.bluecross.ca/dbl/pdfs/ABCDPL_2024_12_05.pdf"/>
    <hyperlink ref="L72" r:id="rId66" display="https://www.ab.bluecross.ca/dbl/pdfs/ABCDPL_2024_12_05.pdf"/>
    <hyperlink ref="L73" r:id="rId67" display="https://www.drugs.com/price-guide/mesna"/>
    <hyperlink ref="L74" r:id="rId68" display="https://www.drugs.com/price-guide/methotrexate"/>
    <hyperlink ref="L75" r:id="rId69" display="https://www.drugs.com/price-guide/methotrexate"/>
    <hyperlink ref="L76" r:id="rId70" display="https://www.drugs.com/price-guide/methotrexate"/>
    <hyperlink ref="L77" r:id="rId71" display="https://www.cms.gov/files/zip/october-2026-medicare-part-b-payment-limit-files-final.zip"/>
    <hyperlink ref="L78" r:id="rId72" display="https://www.cms.gov/files/zip/october-2026-medicare-part-b-payment-limit-files-final.zip"/>
    <hyperlink ref="L79" r:id="rId73" display="https://www.aifa.gov.it/documents/20142/3815901/Classe_H_per_principio_attivo_30-04-2026.csv"/>
    <hyperlink ref="L80" r:id="rId74" display="https://www.drugs.com/price-guide/nafcillin"/>
    <hyperlink ref="L81" r:id="rId75" display="https://www.drugs.com/price-guide/nafcillin"/>
    <hyperlink ref="L83" r:id="rId76" display="https://www.drugs.com/price-guide/naloxone"/>
    <hyperlink ref="L84" r:id="rId77" display="https://www.ab.bluecross.ca/dbl/pdfs/ABCDPL_2026_09_04.pdf"/>
    <hyperlink ref="L85" r:id="rId78" display="https://dmd-browser.nhsbsa.nhs.uk/ampp/view/47382"/>
    <hyperlink ref="L86" r:id="rId79" display="https://www.aifa.gov.it/documents/20142/3815901/Classe_H_per_principio_attivo_30-04-2026.csv"/>
    <hyperlink ref="L87" r:id="rId80" display="https://www.formulary.health.gov.on.ca/formulary/detail.xhtml?drugId=02491524"/>
    <hyperlink ref="L88" r:id="rId81" display="https://www.formulary.health.gov.on.ca/formulary/detail.xhtml?drugId=02491532"/>
    <hyperlink ref="L89" r:id="rId82" display="https://www.ab.bluecross.ca/dbl/pdfs/ABCDPL_2026_09_04.pdf"/>
    <hyperlink ref="L90" r:id="rId83" display="https://www.drugs.com/price-guide/oxacillin"/>
    <hyperlink ref="L91" r:id="rId84" display="https://www.drugs.com/price-guide/palonosetron"/>
    <hyperlink ref="L92" r:id="rId85" display="https://dmd-browser.nhsbsa.nhs.uk/ampp/view/194984"/>
    <hyperlink ref="L93" r:id="rId86" display="https://www.ab.bluecross.ca/dbl/pdfs/ABCDPL_2026_03_03.pdf"/>
    <hyperlink ref="L94" r:id="rId87" display="https://www.ab.bluecross.ca/dbl/pdfs/ABCDPL_2026_03_03.pdf"/>
    <hyperlink ref="L95" r:id="rId88" display="https://www.drugs.com/price-guide/plerixafor"/>
    <hyperlink ref="L96" r:id="rId89" display="https://dmd-browser.nhsbsa.nhs.uk/ampp/view/190293"/>
    <hyperlink ref="L97" r:id="rId90" display="https://www.aifa.gov.it/documents/20142/3815901/Classe_H_per_principio_attivo_30-04-2026.csv"/>
    <hyperlink ref="L98" r:id="rId91" display="https://www.ab.bluecross.ca/dbl/pdfs/ABCDPL_2026_09_04.pdf"/>
    <hyperlink ref="L99" r:id="rId92" display="https://www.pbs.gov.au/industry/pricing/price-disclosure-spd/current-price-disclosure-cycle"/>
    <hyperlink ref="L100" r:id="rId93" display="https://www.drugs.com/price-guide/progesterone"/>
    <hyperlink ref="L101" r:id="rId94" display="https://www.cms.gov/files/zip/october-2026-medicare-part-b-payment-limit-files-final.zip"/>
    <hyperlink ref="L102" r:id="rId95" display="https://www.medicinpriser.dk/Default.aspx?VirksomtStof=Remifentanil"/>
    <hyperlink ref="L103" r:id="rId96" display="https://www.drugs.com/price-guide/ropivacaine"/>
    <hyperlink ref="L104" r:id="rId97" display="https://www.drugs.com/price-guide/ropivacaine"/>
    <hyperlink ref="L105" r:id="rId98" display="https://www.drugs.com/price-guide/ropivacaine"/>
    <hyperlink ref="L106" r:id="rId99" display="https://www.drugs.com/price-guide/ropivacaine"/>
    <hyperlink ref="L107" r:id="rId100" display="https://www.drugs.com/price-guide/ropivacaine"/>
    <hyperlink ref="L108" r:id="rId101" display="https://www.drugs.com/price-guide/ropivacaine"/>
    <hyperlink ref="L109" r:id="rId102" display="https://www.drugs.com/price-guide/sildenafil"/>
    <hyperlink ref="L110" r:id="rId103" display="https://www.drugs.com/price-guide/testosterone"/>
    <hyperlink ref="L111" r:id="rId104" display="https://www.drugs.com/price-guide/testosterone"/>
    <hyperlink ref="L112" r:id="rId105" display="https://www.drugs.com/price-guide/testosterone"/>
    <hyperlink ref="L113" r:id="rId106" display="https://www.drugs.com/price-guide/tirofiban"/>
    <hyperlink ref="L114" r:id="rId107" display="https://www.drugs.com/price-guide/tirofiban"/>
    <hyperlink ref="L115" r:id="rId108" display="https://www.ab.bluecross.ca/dbl/pdfs/ABCDPL_2026_04_07.pdf"/>
    <hyperlink ref="L116" r:id="rId109" display="https://www.ab.bluecross.ca/dbl/pdfs/ABCDPL_2026_04_07.pdf"/>
    <hyperlink ref="L117" r:id="rId110" display="https://www.ab.bluecross.ca/dbl/pdfs/ABCDPL_2026_09_04.pdf"/>
    <hyperlink ref="L118" r:id="rId111" display="https://www.cms.gov/files/zip/october-2026-medicare-part-b-payment-limit-files-final.zip"/>
    <hyperlink ref="L119" r:id="rId112" location="search:norcuron" display="https://medicineprices.org.za/#search:norcuron"/>
    <hyperlink ref="L121" r:id="rId113" display="https://www.drugs.com/price-guide/verapamil"/>
    <hyperlink ref="L122" r:id="rId114" display="https://www.aifa.gov.it/documents/20142/3815901/Classe_H_per_principio_attivo_30-04-2026.csv"/>
    <hyperlink ref="L123" r:id="rId115" display="https://www.aifa.gov.it/documents/20142/3815901/Classe_H_per_principio_attivo_30-04-2026.csv"/>
    <hyperlink ref="L124" r:id="rId116" display="https://www.pbs.gov.au/industry/pricing/ex-manufacturer-price/2026/09/ex-manufacturer-prices-non-efc-2026-09-01.XLSX"/>
    <hyperlink ref="L125" r:id="rId117" display="https://www.pbs.gov.au/industry/pricing/ex-manufacturer-price/2026/09/ex-manufacturer-prices-efc-2026-09-01.XLSX"/>
    <hyperlink ref="L126" r:id="rId118" display="https://www.health.gov.za/nhi-pee/"/>
    <hyperlink ref="L127" r:id="rId119" display="https://www.health.gov.za/nhi-pee/"/>
    <hyperlink ref="L128" r:id="rId120" location="search:cefect" display="https://medicineprices.org.za/#search:cefect"/>
    <hyperlink ref="L129" r:id="rId121" location="search:cefect" display="https://medicineprices.org.za/#search:cefect"/>
    <hyperlink ref="L130" r:id="rId122" display="https://dmd-browser.nhsbsa.nhs.uk/ampp/view/193506"/>
    <hyperlink ref="L131" r:id="rId123" display="https://www.aifa.gov.it/documents/20142/3815901/Classe_H_per_principio_attivo_30-04-2026.csv"/>
    <hyperlink ref="L134" r:id="rId124" display="https://www.health.gov.za/nhi-pee/"/>
    <hyperlink ref="L135" r:id="rId125" display="https://www.health.gov.za/nhi-pee/"/>
    <hyperlink ref="L136" r:id="rId126" display="https://www.aifa.gov.it/documents/20142/3815901/Classe_H_per_principio_attivo_30-04-2026.csv"/>
    <hyperlink ref="L137" r:id="rId127" display="https://www.cms.gov/files/zip/october-2026-medicare-part-b-payment-limit-files-final.zip"/>
    <hyperlink ref="L138" r:id="rId128" display="https://www.cms.gov/files/zip/october-2026-medicare-part-b-payment-limit-files-final.zip"/>
    <hyperlink ref="L139" r:id="rId129" display="https://department.va.gov/procurement-acquisition-and-logistics/wp-content/uploads/sites/56/2026/10/TPharmPrices2026-10-01.xlsx"/>
    <hyperlink ref="L140" r:id="rId130" display="https://department.va.gov/procurement-acquisition-and-logistics/wp-content/uploads/sites/56/2026/10/TPharmPrices2026-10-01.xlsx"/>
    <hyperlink ref="L141" r:id="rId131" display="https://department.va.gov/procurement-acquisition-and-logistics/wp-content/uploads/sites/56/2026/10/TPharmPrices2026-10-01.xlsx"/>
    <hyperlink ref="L142" r:id="rId132" display="https://www.drugs.com/price-guide/somatuline-depot"/>
    <hyperlink ref="L143" r:id="rId133" display="https://www.drugs.com/price-guide/somatuline-depot"/>
    <hyperlink ref="L144" r:id="rId134" display="https://www.drugs.com/price-guide/lanreotide"/>
    <hyperlink ref="L145" r:id="rId135" display="https://www.health.gov.za/nhi-pee/"/>
    <hyperlink ref="L146" r:id="rId136" display="https://www.health.gov.za/nhi-pee/"/>
    <hyperlink ref="L147" r:id="rId137" display="https://www.pbs.gov.au/medicine/item/14160G"/>
    <hyperlink ref="L148" r:id="rId138" display="https://www.pbs.gov.au/industry/pricing/ex-manufacturer-price/2026/09/ex-manufacturer-prices-non-efc-2026-09-01.XLSX"/>
    <hyperlink ref="L149" r:id="rId139" display="https://www.cms.gov/files/zip/october-2026-medicare-part-b-payment-limit-files-final.zip"/>
    <hyperlink ref="L150" r:id="rId140" display="https://www.cms.gov/files/zip/october-2026-medicare-part-b-payment-limit-files-final.zip"/>
    <hyperlink ref="L151" r:id="rId141" display="https://www.cms.gov/files/zip/october-2026-medicare-part-b-payment-limit-files-final.zip"/>
    <hyperlink ref="L152" r:id="rId142" location="search:streptase" display="https://medicineprices.org.za/#search:streptase"/>
    <hyperlink ref="L153" r:id="rId143" location="search:streptase" display="https://medicineprices.org.za/#search:streptase"/>
    <hyperlink ref="L154" r:id="rId144" display="https://www.aponeo.de/rx/18660518-sugammadex-amarox-100-mg-ml-injektionsloesung.html"/>
    <hyperlink ref="L157" r:id="rId145" location="search:senuom" display="https://medicineprices.org.za/#search:senuom"/>
    <hyperlink ref="L158" r:id="rId146" display="https://www.health.gov.za/nhi-pee/"/>
    <hyperlink ref="L159" r:id="rId147" display="https://www.drugs.com/price-guide/testosterone"/>
    <hyperlink ref="L160" r:id="rId148" display="https://www.drugs.com/price-guide/testosterone"/>
    <hyperlink ref="L161" r:id="rId149" display="https://www.health.gov.za/nhi-pee/"/>
    <hyperlink ref="L162" r:id="rId150" display="https://www.pbs.gov.au/industry/pricing/ex-manufacturer-price/2026/10/ex-manufacturer-prices-efc-2026-10-01.XLSX"/>
    <hyperlink ref="L163" r:id="rId151" display="https://www.health.gov.za/nhi-pee/"/>
    <hyperlink ref="L164" r:id="rId152" display="https://www.health.gov.za/nhi-pee/"/>
    <hyperlink ref="L165" r:id="rId153" display="https://www.health.gov.za/nhi-pee/"/>
    <hyperlink ref="L166" r:id="rId154" display="https://dmd-browser.nhsbsa.nhs.uk/ampp/view/185061"/>
    <hyperlink ref="L167" r:id="rId155" display="https://www.aifa.gov.it/documents/20142/3815901/Classe_H_per_principio_attivo_30-04-2026.csv"/>
    <hyperlink ref="L168" r:id="rId156" display="https://www.ab.bluecross.ca/dbl/pdfs/ABCDPL_2026_01_07.pdf"/>
    <hyperlink ref="L169" r:id="rId157" display="https://www.pbs.gov.au/industry/pricing/ex-manufacturer-price/2026/09/ex-manufacturer-prices-non-efc-2026-09-01.XLSX"/>
    <hyperlink ref="L170" r:id="rId158" display="https://www.health.gov.za/nhi-pee/"/>
    <hyperlink ref="L171" r:id="rId159" display="https://www.drugs.com/price-guide/bivalirudin"/>
    <hyperlink ref="L172" r:id="rId160" display="https://www.drugs.com/price-guide/bortezomib"/>
    <hyperlink ref="L173" r:id="rId161" display="https://dmd-browser.nhsbsa.nhs.uk/ampp/view/175945"/>
    <hyperlink ref="L174" r:id="rId162" display="https://www.aifa.gov.it/documents/20142/3815901/Classe_H_per_principio_attivo_30-04-2026.csv"/>
    <hyperlink ref="L175" r:id="rId163" display="https://www.ab.bluecross.ca/dbl/pdfs/ABCDPL_2026_01_07.pdf"/>
    <hyperlink ref="L176" r:id="rId164" location="search:bertred" display="https://medicineprices.org.za/#search:bertred"/>
    <hyperlink ref="L177" r:id="rId165" display="https://department.va.gov/procurement-acquisition-and-logistics/wp-content/uploads/sites/56/2026/10/TPharmPrices2026-10-01.xlsx"/>
    <hyperlink ref="L178" r:id="rId166" display="https://department.va.gov/procurement-acquisition-and-logistics/wp-content/uploads/sites/56/2026/10/TPharmPrices2026-10-01.xlsx"/>
    <hyperlink ref="L179" r:id="rId167" display="https://www.drugs.com/price-guide/cyclophosphamide"/>
    <hyperlink ref="L180" r:id="rId168" display="https://www.drugs.com/price-guide/cyclophosphamide"/>
    <hyperlink ref="L181" r:id="rId169" display="https://www.drugs.com/price-guide/cyclophosphamide"/>
    <hyperlink ref="L182" r:id="rId170" display="https://www.boe.es/boe/dias/2025/10/13/pdfs/BOE-A-2025-20356.pdf"/>
    <hyperlink ref="L183" r:id="rId171" display="https://dmd-browser.nhsbsa.nhs.uk/ampp/view/169812"/>
    <hyperlink ref="L185" r:id="rId172" display="https://www.formulary.health.gov.on.ca/formulary/detail.xhtml?drugId=02490463"/>
    <hyperlink ref="L188" r:id="rId173" display="https://www.drugs.com/price-guide/desmopressin"/>
    <hyperlink ref="L189" r:id="rId174" display="https://www.cms.gov/files/zip/october-2026-medicare-part-b-payment-limit-files-final.zip"/>
    <hyperlink ref="L190" r:id="rId175" display="https://www.drugs.com/price-guide/ephedrine"/>
    <hyperlink ref="L191" r:id="rId176" display="https://www.drugs.com/price-guide/eribulin"/>
    <hyperlink ref="L192" r:id="rId177" display="https://dmd-browser.nhsbsa.nhs.uk/ampp/view/211180"/>
    <hyperlink ref="L193" r:id="rId178" display="https://www.aifa.gov.it/documents/20142/3815901/Classe_H_per_principio_attivo_30-04-2026.csv"/>
    <hyperlink ref="L194" r:id="rId179" display="https://www.ab.bluecross.ca/dbl/pdfs/ABCDPL_2026_09_04.pdf"/>
    <hyperlink ref="L195" r:id="rId180" display="https://www.pbs.gov.au/industry/pricing/ex-manufacturer-price/2026/09/ex-manufacturer-prices-efc-2026-09-01.XLSX"/>
    <hyperlink ref="L196" r:id="rId181" display="https://www.health.gov.za/nhi-pee/"/>
    <hyperlink ref="L197" r:id="rId182" display="https://www.ab.bluecross.ca/dbl/pdfs/ABCDPL_2026_09_04.pdf"/>
    <hyperlink ref="L198" r:id="rId183" display="https://www.pbs.gov.au/industry/pricing/ex-manufacturer-price/2026/09/ex-manufacturer-prices-non-efc-2026-09-01.XLSX"/>
    <hyperlink ref="L199" r:id="rId184" display="https://www.pbs.gov.au/industry/pricing/ex-manufacturer-price/2026/09/ex-manufacturer-prices-non-efc-2026-09-01.XLSX"/>
    <hyperlink ref="L200" r:id="rId185" display="https://www.pbs.gov.au/publication/schedule/2026/10/2026-10-01-PBS-API-CSV-files.zip?variant=3"/>
    <hyperlink ref="L201" r:id="rId186" display="https://www.drugs.com/price-guide/fulvestrant"/>
    <hyperlink ref="L202" r:id="rId187" display="https://dmd-browser.nhsbsa.nhs.uk/ampp/view/183157"/>
    <hyperlink ref="L203" r:id="rId188" display="https://www.aifa.gov.it/documents/20142/3815901/Classe_H_per_principio_attivo_30-04-2026.csv"/>
    <hyperlink ref="L204" r:id="rId189" location="search:eranfu" display="https://medicineprices.org.za/#search:eranfu"/>
    <hyperlink ref="L205" r:id="rId190" display="https://www.docmorris.de/ibandronsaeure-beta-3-mg-injektionslsgfertigspr/08881520"/>
    <hyperlink ref="L206" r:id="rId191" display="https://department.va.gov/procurement-acquisition-and-logistics/wp-content/uploads/sites/56/2026/10/TPharmPrices2026-10-01.xlsx"/>
    <hyperlink ref="L207" r:id="rId192" display="https://www.drugs.com/price-guide/neostigmine"/>
    <hyperlink ref="L208" r:id="rId193" display="https://www.drugs.com/price-guide/neostigmine"/>
    <hyperlink ref="L209" r:id="rId194" display="https://www.drugs.com/price-guide/neostigmine"/>
    <hyperlink ref="L210" r:id="rId195" display="https://www.drugs.com/price-guide/palonosetron"/>
    <hyperlink ref="L211" r:id="rId196" display="https://www.aifa.gov.it/documents/20142/3815901/Classe_H_per_principio_attivo_30-04-2026.csv"/>
    <hyperlink ref="L212" r:id="rId197" display="https://www.pbs.gov.au/industry/pricing/ex-manufacturer-price/2026/09/ex-manufacturer-prices-non-efc-2026-09-01.XLSX"/>
    <hyperlink ref="L214" r:id="rId198" display="https://www.drugs.com/price-guide/phytonadione"/>
    <hyperlink ref="L215" r:id="rId199" display="https://www.drugs.com/price-guide/plerixafor"/>
    <hyperlink ref="L216" r:id="rId200" display="https://www.cms.gov/files/zip/october-2026-medicare-part-b-payment-limit-files-final.zip"/>
    <hyperlink ref="L218" r:id="rId201" display="https://www.ab.bluecross.ca/dbl/pdfs/ABCDPL_2026_09_04.pdf"/>
    <hyperlink ref="L219" r:id="rId202" display="https://www.drugs.com/price-guide/sugammadex"/>
    <hyperlink ref="L220" r:id="rId203" display="https://www.drugs.com/price-guide/sugammadex"/>
    <hyperlink ref="L221" r:id="rId204" display="https://dmd-browser.nhsbsa.nhs.uk/ampp/view/195075"/>
    <hyperlink ref="L222" r:id="rId205" display="https://www.aifa.gov.it/documents/20142/3815901/Classe_H_per_principio_attivo_30-04-2026.csv"/>
    <hyperlink ref="L223" r:id="rId206" display="https://www.aifa.gov.it/documents/20142/3815901/Classe_H_per_principio_attivo_30-04-2026.csv"/>
    <hyperlink ref="L226" r:id="rId207" location="search:neuvysi" display="https://medicineprices.org.za/#search:neuvysi"/>
    <hyperlink ref="L227" r:id="rId208" display="https://www.drugs.com/price-guide/thiotepa"/>
    <hyperlink ref="L228" r:id="rId209" display="https://www.cms.gov/files/zip/october-2026-medicare-part-b-payment-limit-files-final.zip"/>
    <hyperlink ref="L229" r:id="rId210" display="https://www.cms.gov/files/zip/october-2026-medicare-part-b-payment-limit-files-final.zip"/>
    <hyperlink ref="L230" r:id="rId211" display="https://dmd-browser.nhsbsa.nhs.uk/ampp/view/210747"/>
    <hyperlink ref="L231" r:id="rId212" display="https://www.medicijnkosten.nl/medicijn?artikel=DIAMOX+INJECTIEPOEDER+FLACON+500MG&amp;id=eccf17da767207477dcc6b1f5efd1f4a"/>
    <hyperlink ref="L232" r:id="rId213" display="https://dmd-browser.nhsbsa.nhs.uk/ampp/view/184215"/>
    <hyperlink ref="L233" r:id="rId214" display="https://www.aifa.gov.it/documents/20142/3815901/Classe_A_per_principio_attivo_30-04-2026.csv"/>
    <hyperlink ref="L234" r:id="rId215" display="https://www.ab.bluecross.ca/dbl/pdfs/ABCDPL_2026_04_07.pdf"/>
    <hyperlink ref="L236" r:id="rId216" display="https://mediately.co/it/drugs/EW7GuNfn2hkEMxRggSwwiF1PMll/ampicillina-tillomed-1-g-polvere-per-soluzione-iniettabile-per-infusione"/>
    <hyperlink ref="L237" r:id="rId217" display="https://dmd-browser.nhsbsa.nhs.uk/ampp/view/190490"/>
    <hyperlink ref="L238" r:id="rId218" display="https://www.aifa.gov.it/documents/20142/3815901/Classe_H_per_principio_attivo_30-04-2026.csv"/>
    <hyperlink ref="L239" r:id="rId219" display="https://www.aifa.gov.it/documents/20142/3815901/Classe_H_per_principio_attivo_30-04-2026.csv"/>
    <hyperlink ref="L240" r:id="rId220" display="https://www.ab.bluecross.ca/dbl/pdfs/ABCDPL_2026_09_04.pdf"/>
    <hyperlink ref="L241" r:id="rId221" display="https://www.ab.bluecross.ca/dbl/pdfs/ABCDPL_2026_09_04.pdf"/>
    <hyperlink ref="L242" r:id="rId222" display="https://www.ab.bluecross.ca/dbl/pdfs/ABCDPL_2026_09_04.pdf"/>
    <hyperlink ref="L243" r:id="rId223" display="https://www.ab.bluecross.ca/dbl/pdfs/ABCDPL_2026_09_04.pdf"/>
    <hyperlink ref="L244" r:id="rId224" display="https://dmd-browser.nhsbsa.nhs.uk/ampp/view/194983"/>
    <hyperlink ref="L245" r:id="rId225" display="https://www.aifa.gov.it/documents/20142/3815901/Classe_H_per_principio_attivo_30-04-2026.csv"/>
    <hyperlink ref="L246" r:id="rId226" display="https://www.medicinpriser.dk/Default.aspx?VirksomtStof=Eribulin"/>
    <hyperlink ref="L247" r:id="rId227" display="https://www.aifa.gov.it/documents/20142/3815901/Classe_H_per_principio_attivo_30-04-2026.csv"/>
    <hyperlink ref="L250" r:id="rId228" display="https://dmd-browser.nhsbsa.nhs.uk/ampp/view/169622"/>
    <hyperlink ref="L251" r:id="rId229" display="https://www.aifa.gov.it/documents/20142/3815901/Classe_H_per_principio_attivo_30-04-2026.csv"/>
    <hyperlink ref="L252" r:id="rId230" display="https://www.aifa.gov.it/documents/20142/3815901/Classe_H_per_principio_attivo_30-04-2026.csv"/>
    <hyperlink ref="L253" r:id="rId231" display="https://www.ab.bluecross.ca/dbl/pdfs/ABCDPL_2026_09_04.pdf"/>
    <hyperlink ref="L255" r:id="rId232" display="https://dmd-browser.nhsbsa.nhs.uk/ampp/view/190885"/>
    <hyperlink ref="L256" r:id="rId233" display="https://mediately.co/de/drugs/2JLSD2rNCbtip2an1uWLKQBCmLc/milrinon-carinopharm-1-mg-ml-injektions-infusionslosung"/>
    <hyperlink ref="L257" r:id="rId234" display="https://www.ab.bluecross.ca/dbl/pdfs/ABCDPL_2026_09_04.pdf"/>
    <hyperlink ref="L258" r:id="rId235" display="https://www.ab.bluecross.ca/dbl/pdfs/ABCDPL_2026_09_04.pdf"/>
    <hyperlink ref="L259" r:id="rId236" display="https://www.aifa.gov.it/documents/20142/3815901/Classe_H_per_principio_attivo_30-04-2026.csv"/>
    <hyperlink ref="L260" r:id="rId237" display="https://dmd-browser.nhsbsa.nhs.uk/ampp/view/194984"/>
    <hyperlink ref="L261" r:id="rId238" display="https://dmd-browser.nhsbsa.nhs.uk/ampp/view/197400"/>
    <hyperlink ref="L262" r:id="rId239" display="https://base-donnees-publique.medicaments.gouv.fr/medicament/61094142/extrait"/>
    <hyperlink ref="L263" r:id="rId240" display="https://www.ab.bluecross.ca/dbl/pdfs/ABCDPL_2026_09_04.pdf"/>
    <hyperlink ref="L265" r:id="rId241" display="https://dmd-browser.nhsbsa.nhs.uk/ampp/view/198696"/>
    <hyperlink ref="L266" r:id="rId242" display="https://www.aifa.gov.it/documents/20142/3815901/Classe_H_per_principio_attivo_30-04-2026.csv"/>
    <hyperlink ref="L267" r:id="rId243" display="https://www.ab.bluecross.ca/dbl/pdfs/ABCDPL_2026_09_04.pdf"/>
    <hyperlink ref="L268" r:id="rId244" display="https://dmd-browser.nhsbsa.nhs.uk/ampp/view/195295"/>
    <hyperlink ref="L269" r:id="rId245" display="https://www.aifa.gov.it/documents/20142/3815901/Classe_H_per_principio_attivo_30-04-2026.csv"/>
    <hyperlink ref="L270" r:id="rId246" display="https://www.aifa.gov.it/documents/20142/3815901/Classe_H_per_principio_attivo_30-04-2026.csv"/>
    <hyperlink ref="L271" r:id="rId247" display="https://www.boe.es/boe/dias/2025/10/13/pdfs/BOE-A-2025-20356.pdf"/>
    <hyperlink ref="L272" r:id="rId248" display="https://www.pbs.gov.au/industry/pricing/ex-manufacturer-price/2026/09/ex-manufacturer-prices-efc-2026-09-01.XLSX"/>
    <hyperlink ref="L273" r:id="rId249" display="https://www.pbs.gov.au/industry/pricing/ex-manufacturer-price/2026/09/ex-manufacturer-prices-efc-2026-09-01.XLSX"/>
    <hyperlink ref="L274" r:id="rId250" display="https://www.drugs.com/price-guide/eribulin"/>
    <hyperlink ref="L275" r:id="rId251" display="https://dmd-browser.nhsbsa.nhs.uk/ampp/view/204041"/>
    <hyperlink ref="L276" r:id="rId252" display="https://www.aifa.gov.it/documents/20142/3815901/Classe_H_per_principio_attivo_30-04-2026.csv"/>
    <hyperlink ref="L277" r:id="rId253" display="https://www.drugs.com/price-guide/fulvestrant"/>
    <hyperlink ref="L278" r:id="rId254" display="https://www.nhsbsa.nhs.uk/sites/default/files/2026-08/Part%20VIIIA%20Sep%2026.xls.xlsx"/>
    <hyperlink ref="L279" r:id="rId255" display="https://www.aifa.gov.it/documents/20142/3815901/Classe_H_per_principio_attivo_30-04-2026.csv"/>
    <hyperlink ref="L280" r:id="rId256" display="https://www.aifa.gov.it/documents/20142/3815901/Classe_H_per_principio_attivo_30-04-2026.csv"/>
    <hyperlink ref="L281" r:id="rId257" display="https://dmd-browser.nhsbsa.nhs.uk/ampp/view/195045"/>
    <hyperlink ref="L282" r:id="rId258" display="https://www.aifa.gov.it/documents/20142/3815901/Classe_H_per_principio_attivo_30-04-2026.csv"/>
    <hyperlink ref="L283" r:id="rId259" display="https://dmd-browser.nhsbsa.nhs.uk/ampp/view/185061"/>
    <hyperlink ref="L285" r:id="rId260" display="https://www.drugs.com/price-guide/bortezomib"/>
    <hyperlink ref="L286" r:id="rId261" display="https://dmd-browser.nhsbsa.nhs.uk/ampp/view/174545"/>
    <hyperlink ref="L287" r:id="rId262" display="https://www.aifa.gov.it/documents/20142/3815901/Classe_H_per_principio_attivo_30-04-2026.csv"/>
    <hyperlink ref="L289" r:id="rId263" location="search:bortiv" display="https://medicineprices.org.za/#search:bortiv"/>
    <hyperlink ref="L290" r:id="rId264" location="search:bortiv" display="https://medicineprices.org.za/#search:bortiv"/>
    <hyperlink ref="L291" r:id="rId265" location="search:bortiv" display="https://medicineprices.org.za/#search:bortiv"/>
    <hyperlink ref="L292" r:id="rId266" display="https://www.health.gov.za/nhi-pee/"/>
    <hyperlink ref="L293" r:id="rId267" display="https://dmd-browser.nhsbsa.nhs.uk/ampp/view/148217"/>
    <hyperlink ref="L294" r:id="rId268" display="https://www.medicijnkosten.nl/medicijn?artikel=BRIVIACT+INF%2FINJVLST+10MG%2FML+FLACON+5ML&amp;id=8aa63cad90cad7246d95c19b8f6d410d"/>
    <hyperlink ref="L295" r:id="rId269" display="https://www.drugs.com/price-guide/chlorpromazine"/>
    <hyperlink ref="L296" r:id="rId270" display="https://www.cms.gov/files/zip/october-2026-medicare-part-b-payment-limit-files-final.zip"/>
    <hyperlink ref="L297" r:id="rId271" display="https://dmd-browser.nhsbsa.nhs.uk/ampp/view/210375"/>
    <hyperlink ref="L298" r:id="rId272" display="https://www.aifa.gov.it/documents/20142/3815901/Classe_H_per_principio_attivo_30-04-2026.csv"/>
    <hyperlink ref="L300" r:id="rId273" display="https://department.va.gov/procurement-acquisition-and-logistics/wp-content/uploads/sites/56/2026/10/TPharmPrices2026-10-01.xlsx"/>
    <hyperlink ref="L301" r:id="rId274" display="https://department.va.gov/procurement-acquisition-and-logistics/wp-content/uploads/sites/56/2026/10/TPharmPrices2026-10-01.xlsx"/>
    <hyperlink ref="L302" r:id="rId275" display="https://www.drugs.com/price-guide/magnesium-sulfate"/>
    <hyperlink ref="L303" r:id="rId276" display="https://dmd-browser.nhsbsa.nhs.uk/ampp/view/101360"/>
    <hyperlink ref="L304" r:id="rId277" display="https://www.medicijnkosten.nl/medicijn?artikel=MELFALAN+AMAROX+INJ%2FINFUSIEPOEDER+FL50MG%2BSV+10ML&amp;id=35352a89252a9fdd69fd915f3d070528"/>
    <hyperlink ref="L305" r:id="rId278" display="https://www.aifa.gov.it/documents/20142/3815901/Classe_H_per_principio_attivo_30-04-2026.csv"/>
    <hyperlink ref="L306" r:id="rId279" display="https://www.drugs.com/price-guide/methotrexate"/>
    <hyperlink ref="L307" r:id="rId280" display="https://www.health.gov.za/nhi-pee/"/>
    <hyperlink ref="L308" r:id="rId281" display="https://dmd-browser.nhsbsa.nhs.uk/ampp/view/194984"/>
    <hyperlink ref="L309" r:id="rId282" display="https://www.aifa.gov.it/documents/20142/3815901/Classe_H_per_principio_attivo_30-04-2026.csv"/>
    <hyperlink ref="L310" r:id="rId283" display="https://www.drugs.com/price-guide/plerixafor"/>
    <hyperlink ref="L311" r:id="rId284" display="https://dmd-browser.nhsbsa.nhs.uk/ampp/view/190293"/>
    <hyperlink ref="L312" r:id="rId285" display="https://www.aifa.gov.it/documents/20142/3815901/Classe_H_per_principio_attivo_30-04-2026.csv"/>
    <hyperlink ref="L313" r:id="rId286" location="search:heterix" display="https://medicineprices.org.za/#search:heterix"/>
    <hyperlink ref="L314" r:id="rId287" display="https://www.cms.gov/files/zip/october-2026-medicare-part-b-payment-limit-files-final.zip"/>
    <hyperlink ref="L315" r:id="rId288" display="https://www.aifa.gov.it/documents/20142/3815901/Classe_H_per_principio_attivo_30-04-2026.csv"/>
    <hyperlink ref="L316" r:id="rId289" display="https://www.drugs.com/price-guide/sodium-bicarbonate"/>
    <hyperlink ref="L317" r:id="rId290" display="https://department.va.gov/procurement-acquisition-and-logistics/wp-content/uploads/sites/56/2026/10/TPharmPrices2026-10-01.xlsx"/>
    <hyperlink ref="L318" r:id="rId291" display="https://www.drugs.com/price-guide/sugammadex"/>
    <hyperlink ref="L319" r:id="rId292" display="https://www.drugs.com/price-guide/sugammadex"/>
    <hyperlink ref="L320" r:id="rId293" display="https://dmd-browser.nhsbsa.nhs.uk/ampp/view/195045"/>
    <hyperlink ref="L321" r:id="rId294" display="https://www.aponeo.de/rx/18660518-sugammadex-amarox-100-mg-ml-injektionsloesung.html"/>
    <hyperlink ref="L322" r:id="rId295" location="search:sugmasol" display="https://medicineprices.org.za/#search:sugmasol"/>
    <hyperlink ref="L323" r:id="rId296" display="https://www.nhsbsa.nhs.uk/sites/default/files/2026-08/Part%20VIIIA%20Sep%2026.xls.xlsx"/>
    <hyperlink ref="L324" r:id="rId297" display="https://www.aifa.gov.it/documents/20142/3815901/Classe_H_per_principio_attivo_30-04-2026.csv"/>
    <hyperlink ref="L325" r:id="rId298" display="https://department.va.gov/procurement-acquisition-and-logistics/wp-content/uploads/sites/56/2026/10/TPharmPrices2026-10-01.xlsx"/>
    <hyperlink ref="L327" r:id="rId299" display="https://www.health.gov.za/nhi-pee/"/>
    <hyperlink ref="L329" r:id="rId300" display="https://www.drugs.com/price-guide/argatroban"/>
    <hyperlink ref="L330" r:id="rId301" display="https://www.aponeo.de/rx/04262642-atracurium-hikma-25-mg-2-5-ml-ampullen.html"/>
    <hyperlink ref="L331" r:id="rId302" display="https://www.drugs.com/price-guide/atropine"/>
    <hyperlink ref="L332" r:id="rId303" display="https://www.drugs.com/price-guide/atropine"/>
    <hyperlink ref="L333" r:id="rId304" display="https://www.drugs.com/price-guide/atropine"/>
    <hyperlink ref="L334" r:id="rId305" display="https://www.drugs.com/price-guide/atropine"/>
    <hyperlink ref="L335" r:id="rId306" display="https://www.drugs.com/price-guide/atropine"/>
    <hyperlink ref="L336" r:id="rId307" display="https://dmd-browser.nhsbsa.nhs.uk/ampp/view/190887"/>
    <hyperlink ref="L337" r:id="rId308" display="https://www.aponeo.de/rx/17518273-atropin-accord-100-ug-ml-inj-lsg-i-e-fertigspr.html"/>
    <hyperlink ref="L338" r:id="rId309" display="https://www.aponeo.de/rx/17518273-atropin-accord-100-ug-ml-inj-lsg-i-e-fertigspr.html"/>
    <hyperlink ref="L339" r:id="rId310" display="https://dmd-browser.nhsbsa.nhs.uk/ampp/view/185061"/>
    <hyperlink ref="L340" r:id="rId311" display="https://www.aifa.gov.it/documents/20142/3815901/Classe_H_per_principio_attivo_30-04-2026.csv"/>
    <hyperlink ref="L341" r:id="rId312" display="https://www.pbs.gov.au/industry/pricing/ex-manufacturer-price/2026/09/ex-manufacturer-prices-non-efc-2026-09-01.XLSX"/>
    <hyperlink ref="L342" r:id="rId313" display="https://www.drugs.com/price-guide/bivalirudin"/>
    <hyperlink ref="L343" r:id="rId314" display="https://dmd-browser.nhsbsa.nhs.uk/ampp/view/173756"/>
    <hyperlink ref="L344" r:id="rId315" display="https://www.aifa.gov.it/documents/20142/3815901/Classe_H_per_principio_attivo_30-04-2026.csv"/>
    <hyperlink ref="L345" r:id="rId316" display="https://dmd-browser.nhsbsa.nhs.uk/ampp/view/197277"/>
    <hyperlink ref="L346" r:id="rId317" display="https://www.kuchler-apotheken.de/bleomycin-accord-15.000-i.e.-p.z.h.e.inj.-inf.-l./15883146"/>
    <hyperlink ref="L347" r:id="rId318" display="https://www.pbs.gov.au/industry/pricing/ex-manufacturer-price/2026/09/ex-manufacturer-prices-efc-2026-09-01.XLSX"/>
    <hyperlink ref="L349" r:id="rId319" display="https://www.aifa.gov.it/documents/20142/3815901/Classe_H_per_principio_attivo_30-04-2026.csv"/>
    <hyperlink ref="L353" r:id="rId320" location="search:valtib" display="https://medicineprices.org.za/#search:valtib"/>
    <hyperlink ref="L354" r:id="rId321" display="https://www.health.gov.za/nhi-pee/"/>
    <hyperlink ref="L355" r:id="rId322" display="https://www.aifa.gov.it/documents/20142/3815901/Classe_H_per_principio_attivo_30-04-2026.csv"/>
    <hyperlink ref="L356" r:id="rId323" display="https://www.aifa.gov.it/documents/20142/3815901/Classe_H_per_principio_attivo_30-04-2026.csv"/>
    <hyperlink ref="L357" r:id="rId324" display="https://www.cms.gov/files/zip/october-2026-medicare-part-b-payment-limit-files-final.zip"/>
    <hyperlink ref="L358" r:id="rId325" display="https://dmd-browser.nhsbsa.nhs.uk/ampp/view/161747"/>
    <hyperlink ref="L364" r:id="rId326" display="https://www.nhsbsa.nhs.uk/sites/default/files/2026-08/Part%20VIIIA%20Sep%2026.xls.xlsx"/>
    <hyperlink ref="L365" r:id="rId327" display="https://www.medicinpriser.dk/Default.aspx?VirksomtStof=Colistin"/>
    <hyperlink ref="L366" r:id="rId328" display="https://dmd-browser.nhsbsa.nhs.uk/ampp/view/209804"/>
    <hyperlink ref="L370" r:id="rId329" display="https://dmd-browser.nhsbsa.nhs.uk/ampp/view/183004\"/>
    <hyperlink ref="L372" r:id="rId330" display="https://www.pbs.gov.au/industry/pricing/ex-manufacturer-price/2026/09/ex-manufacturer-prices-efc-2026-09-01.XLSX"/>
    <hyperlink ref="L378" r:id="rId331" display="https://dmd-browser.nhsbsa.nhs.uk/ampp/view/163290"/>
    <hyperlink ref="L379" r:id="rId332" display="https://www.aifa.gov.it/documents/20142/3815901/Classe_H_per_principio_attivo_30-04-2026.csv"/>
    <hyperlink ref="L382" r:id="rId333" location="search:dabucor" display="https://medicineprices.org.za/#search:dabucor"/>
    <hyperlink ref="L383" r:id="rId334" display="https://dmd-browser.nhsbsa.nhs.uk/ampp/view/208291"/>
    <hyperlink ref="L384" r:id="rId335" display="https://base-donnees-publique.medicaments.gouv.fr/medicament/65505947/extrait"/>
    <hyperlink ref="L386" r:id="rId336" display="https://www.pbs.gov.au/industry/pricing/price-disclosure-spd/current-price-disclosure-cycle"/>
    <hyperlink ref="L387" r:id="rId337" display="https://www.aifa.gov.it/documents/20142/3815901/Classe_H_per_principio_attivo_30-04-2026.csv"/>
    <hyperlink ref="L388" r:id="rId338" display="https://www.ncbi.nlm.nih.gov/books/NBK611313/table/tr8269868067037182_ch02_t09/"/>
    <hyperlink ref="L389" r:id="rId339" display="https://www.pbs.gov.au/industry/pricing/ex-manufacturer-price/2026/09/ex-manufacturer-prices-efc-2026-09-01.XLSX"/>
    <hyperlink ref="L390" r:id="rId340" location="search:rubexet" display="https://medicineprices.org.za/#search:rubexet"/>
    <hyperlink ref="L391" r:id="rId341" location="search:rubexet" display="https://medicineprices.org.za/#search:rubexet"/>
    <hyperlink ref="L392" r:id="rId342" display="https://www.health.gov.za/nhi-pee/"/>
    <hyperlink ref="L393" r:id="rId343" display="https://www.my-marien-apotheke.de/produkt/adrenalin-1-10-000-aguettant-inj-lsg-i-e-fert-s-11587497"/>
    <hyperlink ref="L394" r:id="rId344" display="https://dmd-browser.nhsbsa.nhs.uk/ampp/view/90547"/>
    <hyperlink ref="L395" r:id="rId345" display="https://www.aifa.gov.it/documents/20142/3815901/Classe_H_per_principio_attivo_30-04-2026.csv"/>
    <hyperlink ref="L396" r:id="rId346" display="https://www.pbs.gov.au/industry/pricing/ex-manufacturer-price/2026/09/ex-manufacturer-prices-efc-2026-09-01.XLSX"/>
    <hyperlink ref="L397" r:id="rId347" display="https://www.pbs.gov.au/industry/pricing/ex-manufacturer-price/2026/09/ex-manufacturer-prices-efc-2026-09-01.XLSX"/>
    <hyperlink ref="L398" r:id="rId348" display="https://www.pbs.gov.au/industry/pricing/ex-manufacturer-price/2026/09/ex-manufacturer-prices-efc-2026-09-01.XLSX"/>
    <hyperlink ref="L399" r:id="rId349" display="https://www.health.gov.za/nhi-pee/"/>
    <hyperlink ref="L400" r:id="rId350" display="https://www.health.gov.za/nhi-pee/"/>
    <hyperlink ref="L401" r:id="rId351" display="https://www.health.gov.za/nhi-pee/"/>
    <hyperlink ref="L402" r:id="rId352" display="https://www.health.gov.za/nhi-pee/"/>
    <hyperlink ref="L403" r:id="rId353" display="https://www.medicinpriser.dk/Default.aspx?VirksomtStof=Eptifibatid"/>
    <hyperlink ref="L404" r:id="rId354" display="https://www.aifa.gov.it/documents/20142/3815901/Classe_H_per_principio_attivo_30-04-2026.csv"/>
    <hyperlink ref="L405" r:id="rId355" display="https://dmd-browser.nhsbsa.nhs.uk/ampp/view/189948"/>
    <hyperlink ref="L406" r:id="rId356" display="https://www.aifa.gov.it/documents/20142/3815901/Classe_H_per_principio_attivo_30-04-2026.csv"/>
    <hyperlink ref="L407" r:id="rId357" display="https://www.aponeo.de/rx/08630485-staphylex-injektion-500-mg-plv-z-h-e-inj-inf-l.html"/>
    <hyperlink ref="L408" r:id="rId358" display="https://dmd-browser.nhsbsa.nhs.uk/ampp/view/105990"/>
    <hyperlink ref="L409" r:id="rId359" display="https://www.aifa.gov.it/documents/20142/3815901/Classe_H_per_principio_attivo_30-04-2026.csv"/>
    <hyperlink ref="L410" r:id="rId360" display="https://dmd-browser.nhsbsa.nhs.uk/ampp/view/90576"/>
    <hyperlink ref="L411" r:id="rId361" display="https://www.ncbi.nlm.nih.gov/books/NBK601789/table/tr826986112990278_ch02_t06/"/>
    <hyperlink ref="L412" r:id="rId362" display="https://www.drugs.com/price-guide/fulvestrant"/>
    <hyperlink ref="L413" r:id="rId363" display="https://www.nhsbsa.nhs.uk/sites/default/files/2026-08/Part%20VIIIA%20Sep%2026.xls.xlsx"/>
    <hyperlink ref="L414" r:id="rId364" display="https://www.aifa.gov.it/documents/20142/3815901/Classe_H_per_principio_attivo_30-04-2026.csv"/>
    <hyperlink ref="L416" r:id="rId365" display="https://www.health.gov.za/nhi-pee/"/>
    <hyperlink ref="L417" r:id="rId366" display="https://www.nhsbsa.nhs.uk/sites/default/files/2026-09/Part%20VIIIA%20Oct%202026.xlsx"/>
    <hyperlink ref="L418" r:id="rId367" display="https://www.apoteket.dk/medicin/laegemidler/hydroxocobalamin-alternova"/>
    <hyperlink ref="L419" r:id="rId368" display="https://www.drugs.com/price-guide/ibandronate"/>
    <hyperlink ref="L420" r:id="rId369" display="https://dmd-browser.nhsbsa.nhs.uk/amp/view/140839?ref=bmFtZT1sZXZvdGh5cm94aW5lK3NvZGl1bSZzaG93SW52YWxpZEl0ZW1zPWZhbHNlJnNvcnRPcmRlcj1hbHBoYSZwYWdlPTExOCZzaXplPTEwMA%3D%3D"/>
    <hyperlink ref="L421" r:id="rId370" display="https://www.aifa.gov.it/documents/20142/3815901/Classe_H_per_principio_attivo_30-04-2026.csv"/>
    <hyperlink ref="L422" r:id="rId371" display="https://www.aifa.gov.it/documents/20142/3815901/Classe_H_per_principio_attivo_30-04-2026.csv"/>
    <hyperlink ref="L424" r:id="rId372" display="https://www.aponeo.de/rx/17518209-camcevi-21-mg-3-monats-depot-inj-susp-fertigspr.html"/>
    <hyperlink ref="L425" r:id="rId373" display="https://www.nhsbsa.nhs.uk/sites/default/files/2026-09/Part%20VIIIA%20Oct%202026.xlsx"/>
    <hyperlink ref="L426" r:id="rId374" display="https://www.nhsbsa.nhs.uk/sites/default/files/2026-09/Part%20VIIIA%20Oct%202026.xlsx"/>
    <hyperlink ref="L427" r:id="rId375" display="https://www.nhsbsa.nhs.uk/sites/default/files/2026-09/Part%20VIIIA%20Oct%202026.xlsx"/>
    <hyperlink ref="L428" r:id="rId376" display="https://www.nhsbsa.nhs.uk/sites/default/files/2026-09/Part%20VIIIA%20Oct%202026.xlsx"/>
    <hyperlink ref="L430" r:id="rId377" display="https://www.medicijnkosten.nl/medicijn?artikel=MELFALAN+AMAROX+INJ%2FINFUSIEPOEDER+FL50MG%2BSV+10ML&amp;id=35352a89252a9fdd69fd915f3d070528"/>
    <hyperlink ref="L431" r:id="rId378" display="https://dmd-browser.nhsbsa.nhs.uk/ampp/view/133567"/>
    <hyperlink ref="L432" r:id="rId379" display="https://www.ab.bluecross.ca/dbl/pdfs/ABCDPL_2026_01_07.pdf"/>
    <hyperlink ref="L433" r:id="rId380" display="https://www.formulary.health.gov.on.ca/formulary/detail.xhtml?drugId=02464365"/>
    <hyperlink ref="L434" r:id="rId381" display="https://www.ab.bluecross.ca/dbl/pdfs/ABCDPL_2026_09_04.pdf"/>
    <hyperlink ref="L435" r:id="rId382" display="https://www.ab.bluecross.ca/dbl/pdfs/ABCDPL_2026_09_04.pdf"/>
    <hyperlink ref="L436" r:id="rId383" display="https://www.formulary.health.gov.on.ca/formulary/detail.xhtml?drugId=02491281"/>
    <hyperlink ref="L437" r:id="rId384" display="https://www.formulary.health.gov.on.ca/formulary/detail.xhtml?drugId=02491303"/>
    <hyperlink ref="L438" r:id="rId385" display="https://www.pbs.gov.au/industry/pricing/ex-manufacturer-price/2026/09/ex-manufacturer-prices-efc-2026-09-01.XLSX"/>
    <hyperlink ref="L439" r:id="rId386" display="https://www.chemistwarehouse.com.au/buy/90218/midazolam-5mg-ml-injection-10-midazolam"/>
    <hyperlink ref="L441" r:id="rId387" display="https://www.pbs.gov.au/industry/pricing/ex-manufacturer-price/2026/09/ex-manufacturer-prices-non-efc-2026-09-01.XLSX"/>
    <hyperlink ref="L442" r:id="rId388" display="https://dmd-browser.nhsbsa.nhs.uk/ampp/view/180360"/>
    <hyperlink ref="L443" r:id="rId389" display="https://www.aifa.gov.it/documents/20142/3815901/Classe_H_per_principio_attivo_30-04-2026.csv"/>
    <hyperlink ref="L444" r:id="rId390" display="https://www.ab.bluecross.ca/dbl/pdfs/ABCDPL_2026_04_07.pdf"/>
    <hyperlink ref="L445" r:id="rId391" display="https://www.aifa.gov.it/documents/20142/3815901/Classe_H_per_principio_attivo_30-04-2026.csv"/>
    <hyperlink ref="L448" r:id="rId392" display="https://dmd-browser.nhsbsa.nhs.uk/ampp/view/47446"/>
    <hyperlink ref="L449" r:id="rId393" display="https://www.drugs.com/price-guide/ondansetron"/>
    <hyperlink ref="L450" r:id="rId394" display="https://dmd-browser.nhsbsa.nhs.uk/ampp/view/197033"/>
    <hyperlink ref="L451" r:id="rId395" display="https://www.aifa.gov.it/documents/20142/3815901/Classe_H_per_principio_attivo_30-04-2026.csv"/>
    <hyperlink ref="L452" r:id="rId396" display="https://www.aifa.gov.it/documents/20142/3815901/Classe_H_per_principio_attivo_30-04-2026.csv"/>
    <hyperlink ref="L455" r:id="rId397" display="https://www.ab.bluecross.ca/dbl/pdfs/ABCDPL_2026_04_07.pdf"/>
    <hyperlink ref="L456" r:id="rId398" display="https://dmd-browser.nhsbsa.nhs.uk/ampp/view/161756"/>
    <hyperlink ref="L457" r:id="rId399" display="https://www.aifa.gov.it/documents/20142/3815901/Classe_H_per_principio_attivo_30-04-2026.csv"/>
    <hyperlink ref="L458" r:id="rId400" display="https://www.health.gov.za/nhi-pee/"/>
    <hyperlink ref="L459" r:id="rId401" display="https://dmd-browser.nhsbsa.nhs.uk/ampp/view/194984"/>
    <hyperlink ref="L460" r:id="rId402" display="https://www.aifa.gov.it/documents/20142/3815901/Classe_H_per_principio_attivo_30-04-2026.csv"/>
    <hyperlink ref="L461" r:id="rId403" display="https://www.drugs.com/price-guide/paricalcitol"/>
    <hyperlink ref="L462" r:id="rId404" display="https://www.drugs.com/price-guide/paricalcitol"/>
    <hyperlink ref="L465" r:id="rId405" location="search:phenylcord" display="https://medicineprices.org.za/#search:phenylcord"/>
    <hyperlink ref="L466" r:id="rId406" display="https://openprescribing.net/dmd/ampp/23595411000001105"/>
    <hyperlink ref="L467" r:id="rId407" display="https://dmd-browser.nhsbsa.nhs.uk/ampp/view/198886"/>
    <hyperlink ref="L468" r:id="rId408" display="https://www.aifa.gov.it/documents/20142/3815901/Classe_H_per_principio_attivo_30-04-2026.csv"/>
    <hyperlink ref="L469" r:id="rId409" display="https://www.pbs.gov.au/industry/pricing/price-disclosure-spd/current-price-disclosure-cycle"/>
    <hyperlink ref="L470" r:id="rId410" display="https://www.cms.gov/files/zip/october-2026-medicare-part-b-payment-limit-files-final.zip"/>
    <hyperlink ref="L472" r:id="rId411" display="https://www.cms.gov/files/zip/october-2026-medicare-part-b-payment-limit-files-final.zip"/>
    <hyperlink ref="L473" r:id="rId412" display="https://www.aifa.gov.it/documents/20142/3815901/Classe_H_per_principio_attivo_30-04-2026.csv"/>
    <hyperlink ref="L474" r:id="rId413" display="https://department.va.gov/procurement-acquisition-and-logistics/wp-content/uploads/sites/56/2026/10/TPharmPrices2026-10-01.xlsx"/>
    <hyperlink ref="L475" r:id="rId414" display="https://dmd-browser.nhsbsa.nhs.uk/ampp/view/195045"/>
    <hyperlink ref="L476" r:id="rId415" display="https://www.aifa.gov.it/documents/20142/3815901/Classe_H_per_principio_attivo_30-04-2026.csv"/>
    <hyperlink ref="L479" r:id="rId416" display="https://www.aifa.gov.it/documents/20142/3815901/Classe_A_per_principio_attivo_30-04-2026.csv"/>
    <hyperlink ref="L480" r:id="rId417" display="https://www.cms.gov/files/zip/october-2026-medicare-part-b-payment-limit-files-final.zip"/>
    <hyperlink ref="L482" r:id="rId418" display="https://www.health.gov.za/nhi-pee/"/>
    <hyperlink ref="L483" r:id="rId419" display="https://www.aifa.gov.it/documents/20142/3815901/Classe_H_per_principio_attivo_30-04-2026.csv"/>
    <hyperlink ref="L484" r:id="rId420" display="https://www.aifa.gov.it/documents/20142/3815901/Classe_H_per_principio_attivo_30-04-2026.csv"/>
    <hyperlink ref="L485" r:id="rId421" display="https://michaelschemist.com.au/products/rapifenalfentanil1mg2f2mlampx5"/>
    <hyperlink ref="L486" r:id="rId422" display="https://www.pbs.gov.au/industry/pricing/ex-manufacturer-price/2026/10/ex-manufacturer-prices-non-efc-2026-10-01.XLSX"/>
    <hyperlink ref="L487" r:id="rId423" display="https://department.va.gov/procurement-acquisition-and-logistics/wp-content/uploads/sites/56/2026/10/TPharmPrices2026-10-01.xlsx"/>
    <hyperlink ref="L488" r:id="rId424" location="search:cistrax" display="https://medicineprices.org.za/#search:cistrax"/>
    <hyperlink ref="L489" r:id="rId425" display="https://www.cms.gov/files/zip/october-2026-medicare-part-b-payment-limit-files-final.zip"/>
    <hyperlink ref="L490" r:id="rId426" display="https://www.cms.gov/files/zip/october-2026-medicare-part-b-payment-limit-files-final.zip"/>
    <hyperlink ref="L491" r:id="rId427" display="https://www.cms.gov/files/zip/october-2026-medicare-part-b-payment-limit-files-final.zip"/>
    <hyperlink ref="L492" r:id="rId428" display="https://www.cms.gov/files/zip/october-2026-medicare-part-b-payment-limit-files-final.zip"/>
    <hyperlink ref="L493" r:id="rId429" display="https://www.cms.gov/files/zip/october-2026-medicare-part-b-payment-limit-files-final.zip"/>
    <hyperlink ref="L494" r:id="rId430" display="https://www.health.gov.za/nhi-pee/"/>
    <hyperlink ref="L495" r:id="rId431" display="https://department.va.gov/procurement-acquisition-and-logistics/wp-content/uploads/sites/56/2026/10/TPharmPrices2026-10-01.xlsx"/>
    <hyperlink ref="L496" r:id="rId432" display="https://www.health.gov.za/nhi-pee/"/>
    <hyperlink ref="L497" r:id="rId433" display="https://www.cms.gov/files/zip/october-2026-medicare-part-b-payment-limit-files-final.zip"/>
    <hyperlink ref="L498" r:id="rId434" display="https://www.cms.gov/files/zip/october-2026-medicare-part-b-payment-limit-files-final.zip"/>
    <hyperlink ref="L499" r:id="rId435" display="https://www.cms.gov/files/zip/october-2026-medicare-part-b-payment-limit-files-final.zip"/>
    <hyperlink ref="L500" r:id="rId436" display="https://michaelschemist.com.au/products/meropenemran500mginj5"/>
    <hyperlink ref="L501" r:id="rId437" display="https://www.medshop.com.au/products/meropenem-ranbaxy-1g-vial-5-meropenem-1000mg-vial"/>
    <hyperlink ref="L502" r:id="rId438" location="search:meroject" display="https://medicineprices.org.za/#search:meroject"/>
    <hyperlink ref="L503" r:id="rId439" location="search:meroject" display="https://medicineprices.org.za/#search:meroject"/>
    <hyperlink ref="L504" r:id="rId440" display="https://www.cms.gov/files/zip/october-2026-medicare-part-b-payment-limit-files-final.zip"/>
    <hyperlink ref="L505" r:id="rId441" display="https://michaelschemist.com.au/products/zyprexavl10mg1"/>
    <hyperlink ref="L506" r:id="rId442" display="https://www.healthylife.com.au/products/oxytocin-generic-10iu1ml-x-5-ampoules"/>
    <hyperlink ref="L507" r:id="rId443" location="search:altirem" display="https://medicineprices.org.za/#search:altirem"/>
    <hyperlink ref="L508" r:id="rId444" location="search:altirem" display="https://medicineprices.org.za/#search:altirem"/>
    <hyperlink ref="L509" r:id="rId445" display="https://www.drugs.com/price-guide/sugammadex"/>
    <hyperlink ref="L510" r:id="rId446" display="https://www.drugs.com/price-guide/sugammadex"/>
    <hyperlink ref="L513" r:id="rId447" display="https://michaelschemist.com.au/products/teicoplaninpwdrforinj400mg1"/>
    <hyperlink ref="L514" r:id="rId448" display="https://www.health.gov.za/nhi-pee/"/>
    <hyperlink ref="L515" r:id="rId449" display="https://www.health.gov.za/nhi-pee/"/>
    <hyperlink ref="L516" r:id="rId450" display="https://www.health.gov.za/nhi-pee/"/>
    <hyperlink ref="L517" r:id="rId451" display="https://www.drugs.com/price-guide/bortezomib"/>
    <hyperlink ref="L518" r:id="rId452" display="https://dmd-browser.nhsbsa.nhs.uk/ampp/view/203257"/>
    <hyperlink ref="L519" r:id="rId453" display="https://zoek.officielebekendmakingen.nl/stcrt-2026-7257.html"/>
    <hyperlink ref="L520" r:id="rId454" display="https://www.pbs.gov.au/industry/pricing/ex-manufacturer-price/2026/09/ex-manufacturer-prices-efc-2026-09-01.XLSX"/>
    <hyperlink ref="L521" r:id="rId455" display="https://www.drugs.com/price-guide/brivaracetam"/>
    <hyperlink ref="L522" r:id="rId456" display="https://www.drugs.com/price-guide/chlorpromazine"/>
    <hyperlink ref="L523" r:id="rId457" display="https://www.drugs.com/price-guide/fluphenazine"/>
    <hyperlink ref="L524" r:id="rId458" display="https://dmd-browser.nhsbsa.nhs.uk/ampp/view/204692"/>
    <hyperlink ref="L526" r:id="rId459" display="https://www.drugs.com/price-guide/plerixafor"/>
    <hyperlink ref="L527" r:id="rId460" display="https://www.drugs.com/price-guide/sugammadex"/>
    <hyperlink ref="L528" r:id="rId461" display="https://www.drugs.com/price-guide/sugammadex"/>
    <hyperlink ref="L529" r:id="rId462" display="https://dmd-browser.nhsbsa.nhs.uk/ampp/view/208635"/>
    <hyperlink ref="L532" r:id="rId463" display="https://www.drugs.com/price-guide/brivaracetam"/>
    <hyperlink ref="L533" r:id="rId464" display="https://www.medicinpriser.dk/Default.aspx?VirksomtStof=Caffein&amp;lng=2"/>
    <hyperlink ref="L534" r:id="rId465" display="https://www.medicinpriser.dk/Default.aspx?VirksomtStof=Caffein&amp;lng=2"/>
    <hyperlink ref="L535" r:id="rId466" display="https://www.drugs.com/price-guide/carboprost"/>
    <hyperlink ref="L536" r:id="rId467" display="https://michaelschemist.com.au/products/valoidinj50mg2f1ml5"/>
    <hyperlink ref="L537" r:id="rId468" display="https://www.mountainside-medical.com/products/diphenhydramine-injection-50-mg-ml-single-dose-vials-1-ml-x-25-pack"/>
    <hyperlink ref="L538" r:id="rId469" display="https://www.drugs.com/price-guide/isoproterenol"/>
    <hyperlink ref="L541" r:id="rId470" display="https://www.medshop.com.au/products/levetiracetam-500mg5ml-vial-10-levetiracetam-500mg5ml-vial"/>
    <hyperlink ref="L542" r:id="rId471" display="https://www.drugs.com/price-guide/lincomycin"/>
    <hyperlink ref="L543" r:id="rId472" display="https://department.va.gov/procurement-acquisition-and-logistics/wp-content/uploads/sites/56/2026/10/TPharmPrices2026-10-01.xlsx"/>
    <hyperlink ref="L544" r:id="rId473" display="https://www.drugs.com/price-guide/verapamil"/>
    <hyperlink ref="L545" r:id="rId474" display="https://www.drugs.com/price-guide/verapamil"/>
    <hyperlink ref="L546" r:id="rId475" display="https://www.drugs.com/price-guide/bupivacaine"/>
    <hyperlink ref="L547" r:id="rId476" display="https://www.drugs.com/price-guide/bupivacaine"/>
    <hyperlink ref="L548" r:id="rId477" display="https://www.drugs.com/price-guide/carboprost"/>
    <hyperlink ref="L549" r:id="rId478" display="https://www.aponeo.de/rx/19949801-meropenem-hexal-500-mg-plv-z-her-e-inj-o-inf-lsg.html"/>
    <hyperlink ref="L550" r:id="rId479" display="https://www.aifa.gov.it/documents/20142/3815901/Classe_H_per_principio_attivo_30-04-2026.csv"/>
    <hyperlink ref="L551" r:id="rId480" display="https://www.aponeo.de/rx/19949801-meropenem-hexal-500-mg-plv-z-her-e-inj-o-inf-lsg.html"/>
    <hyperlink ref="L552" r:id="rId481" display="https://department.va.gov/procurement-acquisition-and-logistics/wp-content/uploads/sites/56/2026/10/TPharmPrices2026-10-01.xlsx"/>
    <hyperlink ref="L553" r:id="rId482" display="https://www.drugs.com/price-guide/nafcillin"/>
    <hyperlink ref="L554" r:id="rId483" display="https://www.drugs.com/price-guide/nafcillin"/>
    <hyperlink ref="L555" r:id="rId484" location="search:rapifen" display="https://medicineprices.org.za/#search:rapifen"/>
    <hyperlink ref="L556" r:id="rId485" display="https://mediately.co/it/drugs/3ytjMRFtaIbVwcIRVFvxl1oiBXA/alfentanil-piramal-5-fiale-ev-10-ml-0-5-mg-ml"/>
    <hyperlink ref="L557" r:id="rId486" display="https://michaelschemist.com.au/products/rapifenalfentanil1mg2f2mlampx5"/>
    <hyperlink ref="L558" r:id="rId487" location="search:rapifen" display="https://medicineprices.org.za/#search:rapifen"/>
    <hyperlink ref="L559" r:id="rId488" display="https://department.va.gov/procurement-acquisition-and-logistics/wp-content/uploads/sites/56/2026/10/TPharmPrices2026-10-01.xlsx"/>
    <hyperlink ref="L561" r:id="rId489" display="https://www.drugs.com/price-guide/cisatracurium"/>
    <hyperlink ref="L562" r:id="rId490" display="https://www.drugs.com/price-guide/cisatracurium"/>
    <hyperlink ref="L563" r:id="rId491" display="https://www.shop-apotheke.com/arzneimittel/1854738/hypnomidate-2-mg-ml.htm"/>
    <hyperlink ref="L564" r:id="rId492" display="https://www.health.gov.za/nhi-pee/"/>
    <hyperlink ref="L565" r:id="rId493" location="search:sublimaze" display="https://medicineprices.org.za/#search:sublimaze"/>
    <hyperlink ref="L566" r:id="rId494" location="search:sublimaze" display="https://medicineprices.org.za/#search:sublimaze"/>
    <hyperlink ref="L567" r:id="rId495" display="https://department.va.gov/procurement-acquisition-and-logistics/wp-content/uploads/sites/56/2026/10/TPharmPrices2026-10-01.xlsx"/>
    <hyperlink ref="L568" r:id="rId496" display="https://dmd-browser.nhsbsa.nhs.uk/ampp/view/195045"/>
    <hyperlink ref="L569" r:id="rId497" display="https://www.aifa.gov.it/documents/20142/3815901/Classe_H_per_principio_attivo_30-04-2026.csv"/>
    <hyperlink ref="L570" r:id="rId498" display="https://michaelschemist.com.au/products/cefepimepwdrforinj1gvial1"/>
    <hyperlink ref="L571" r:id="rId499" display="https://michaelschemist.com.au/collections/prescriptions/products/cefepimepwdrforinj2gvial1"/>
    <hyperlink ref="L572" r:id="rId500" display="https://www.healthylife.com.au/products/ceftazidime-1g-x-1-vial"/>
    <hyperlink ref="L573" r:id="rId501" display="https://www.healthylife.com.au/products/ceftazidime-1g-x-1-vial"/>
    <hyperlink ref="L574" r:id="rId502" location="search:cortaject" display="https://medicineprices.org.za/#search:cortaject"/>
    <hyperlink ref="L575" r:id="rId503" display="https://dmd-browser.nhsbsa.nhs.uk/ampp/view/175452"/>
    <hyperlink ref="L576" r:id="rId504" display="https://www.aifa.gov.it/documents/20142/3815901/Classe_H_per_principio_attivo_30-04-2026.csv"/>
    <hyperlink ref="L577" r:id="rId505" display="https://www.aifa.gov.it/documents/20142/3815901/Classe_H_per_principio_attivo_30-04-2026.csv"/>
    <hyperlink ref="L578" r:id="rId506" display="https://michaelschemist.com.au/products/piperacillinsodium4gtazobactamsodium05gvial"/>
    <hyperlink ref="L579" r:id="rId507" display="https://michaelschemist.com.au/products/piperacillinsodium4gtazobactamsodium05gvial"/>
    <hyperlink ref="L581" r:id="rId508" display="https://www.pbs.gov.au/industry/pricing/ex-manufacturer-price/2026/09/ex-manufacturer-prices-non-efc-2026-09-01.XLSX"/>
    <hyperlink ref="L582" r:id="rId509" display="https://www.pbs.gov.au/industry/pricing/ex-manufacturer-price/2026/09/ex-manufacturer-prices-non-efc-2026-09-01.XLSX"/>
    <hyperlink ref="L583" r:id="rId510" display="https://dmd-browser.nhsbsa.nhs.uk/ampp/view/193706"/>
    <hyperlink ref="L584" r:id="rId511" display="https://www.aifa.gov.it/documents/20142/3815901/Classe_H_per_principio_attivo_30-04-2026.csv"/>
    <hyperlink ref="L585" r:id="rId512" display="https://www.ab.bluecross.ca/dbl/pdfs/ABCDPL_2026_09_04.pdf"/>
    <hyperlink ref="L586" r:id="rId513" location="search:botigen" display="https://medicineprices.org.za/#search:botigen"/>
    <hyperlink ref="L587" r:id="rId514" display="https://www.drugs.com/price-guide/chlorothiazide"/>
    <hyperlink ref="L588" r:id="rId515" display="https://www.drugs.com/price-guide/doxorubicin"/>
    <hyperlink ref="L589" r:id="rId516" display="https://www.aifa.gov.it/documents/20142/3815901/Classe_H_per_principio_attivo_30-04-2026.csv"/>
    <hyperlink ref="L591" r:id="rId517" display="https://www.nhsbsa.nhs.uk/sites/default/files/2022-06/Drug%20Tariff%20Part%20VIIIA%20July%202022.pdf"/>
    <hyperlink ref="L592" r:id="rId518" display="https://www.aifa.gov.it/documents/20142/3815901/Classe_H_per_principio_attivo_30-04-2026.csv"/>
    <hyperlink ref="L593" r:id="rId519" display="https://www.aifa.gov.it/documents/20142/3815901/Classe_H_per_principio_attivo_30-04-2026.csv"/>
    <hyperlink ref="L594" r:id="rId520" display="https://www.ab.bluecross.ca/dbl/pdfs/ABCDPL_2026_09_04.pdf"/>
    <hyperlink ref="L595" r:id="rId521" display="https://dmd-browser.nhsbsa.nhs.uk/ampp/view/175452"/>
    <hyperlink ref="L596" r:id="rId522" display="https://www.aifa.gov.it/documents/20142/3815901/Classe_H_per_principio_attivo_30-04-2026.csv"/>
    <hyperlink ref="L597" r:id="rId523" display="https://www.aifa.gov.it/documents/20142/3815901/Classe_H_per_principio_attivo_30-04-2026.csv"/>
    <hyperlink ref="L598" r:id="rId524" display="https://idbl.ab.bluecross.ca/idbl/drugsList?ptc=08120708"/>
    <hyperlink ref="L599" r:id="rId525" display="https://idbl.ab.bluecross.ca/idbl/drugsList?ptc=08120708"/>
    <hyperlink ref="L600" r:id="rId526" display="https://www.medshop.com.au/products/meropenem-ranbaxy-1g-vial-5-meropenem-1000mg-vial"/>
    <hyperlink ref="L601" r:id="rId527" display="https://michaelschemist.com.au/products/meropenemran500mginj5"/>
    <hyperlink ref="L602" r:id="rId528" location="search:mercide" display="https://medicineprices.org.za/#search:mercide"/>
    <hyperlink ref="L603" r:id="rId529" display="https://www.pbs.gov.au/industry/pricing/ex-manufacturer-price/2026/09/ex-manufacturer-prices-non-efc-2026-09-01.XLSX"/>
    <hyperlink ref="L604" r:id="rId530" display="https://dmd-browser.nhsbsa.nhs.uk/ampp/view/96481"/>
    <hyperlink ref="L605" r:id="rId531" display="https://www.aifa.gov.it/documents/20142/3815901/Classe_H_per_principio_attivo_30-04-2026.csv"/>
    <hyperlink ref="L606" r:id="rId532" display="https://www.aponeo.de/rx/10735547-paricalcitol-hexal-2-mikrogramm-ml-injektionslsg.html"/>
    <hyperlink ref="L607" r:id="rId533" display="https://www.drugs.com/price-guide/sugammadex"/>
    <hyperlink ref="L608" r:id="rId534" display="https://www.drugs.com/price-guide/sugammadex"/>
    <hyperlink ref="L609" r:id="rId535" display="https://dmd-browser.nhsbsa.nhs.uk/ampp/view/195579"/>
    <hyperlink ref="L610" r:id="rId536" location="search:sumabid" display="https://medicineprices.org.za/#search:sumabid"/>
    <hyperlink ref="L611" r:id="rId537" display="https://dmd-browser.nhsbsa.nhs.uk/ampp/view/198278"/>
    <hyperlink ref="L612" r:id="rId538" display="https://www.aifa.gov.it/documents/20142/3815901/Classe_H_per_principio_attivo_30-04-2026.csv"/>
    <hyperlink ref="L613" r:id="rId539" display="https://dmd-browser.nhsbsa.nhs.uk/ampp/view/212956"/>
    <hyperlink ref="L614" r:id="rId540" display="https://www.aifa.gov.it/documents/20142/3815901/Classe_H_per_principio_attivo_30-04-2026.csv"/>
    <hyperlink ref="L615" r:id="rId541" display="https://www.formulary.health.gov.on.ca/formulary/detail.xhtml?drugId=02496003"/>
    <hyperlink ref="L616" r:id="rId542" display="https://www.nhsbsa.nhs.uk/sites/default/files/2026-08/Part%20VIIIA%20Sep%2026.xls.xlsx"/>
    <hyperlink ref="L617" r:id="rId543" display="https://base-donnees-publique.medicaments.gouv.fr/medicament/61614600/extrait"/>
    <hyperlink ref="L618" r:id="rId544" display="https://www.pbs.gov.au/industry/pricing/ex-manufacturer-price/2026/09/ex-manufacturer-prices-non-efc-2026-09-01.XLSX"/>
    <hyperlink ref="L619" r:id="rId545" display="https://dmd-browser.nhsbsa.nhs.uk/ampp/view/211689"/>
    <hyperlink ref="L620" r:id="rId546" display="https://www.aliva.de/p/vecuronium-inresa-10-mg-pulver-z-herst-e-inj-lsg-10-pulver-zur-herstellung-einer-injektionsloesung-03379371"/>
    <hyperlink ref="L622" r:id="rId547" display="https://www.health.gov.za/nhi-pee/"/>
    <hyperlink ref="L623" r:id="rId548" display="https://www.health.gov.za/nhi-pee/"/>
    <hyperlink ref="L624" r:id="rId549" display="https://www.aifa.gov.it/documents/20142/3815901/Classe_H_per_principio_attivo_30-04-2026.csv"/>
    <hyperlink ref="L625" r:id="rId550" display="https://dmd-browser.nhsbsa.nhs.uk/ampp/view/168374"/>
    <hyperlink ref="L626" r:id="rId551" display="https://www.aifa.gov.it/documents/20142/3815901/Classe_H_per_principio_attivo_30-04-2026.csv"/>
    <hyperlink ref="L627" r:id="rId552" display="https://www.mycare.de/online-kaufen/levetiracetam-till100mgml-infusionsloesungs--konzentrat-15576734"/>
    <hyperlink ref="L628" r:id="rId553" display="https://www.aifa.gov.it/documents/20142/3815901/Classe_H_per_principio_attivo_30-04-2026.csv"/>
    <hyperlink ref="L629" r:id="rId554" display="https://www.sanidad.gob.es/profesionales/nomenclator.do?metodo=buscarProductos&amp;especialidad=XEPLION%25"/>
    <hyperlink ref="L630" r:id="rId555" display="https://www.health.gov.za/nhi-pee/"/>
    <hyperlink ref="L631" r:id="rId556" display="https://www.cms.gov/files/zip/october-2026-medicare-part-b-payment-limit-files-final.zip"/>
    <hyperlink ref="L632" r:id="rId557" display="https://dmd-browser.nhsbsa.nhs.uk/ampp/view/208581"/>
    <hyperlink ref="L633" r:id="rId558" display="https://dmd-browser.nhsbsa.nhs.uk/ampp/view/170191"/>
    <hyperlink ref="L634" r:id="rId559" display="https://dmd-browser.nhsbsa.nhs.uk/ampp/view/190496"/>
    <hyperlink ref="L635" r:id="rId560" display="https://dmd-browser.nhsbsa.nhs.uk/ampp/view/175452"/>
    <hyperlink ref="L636" r:id="rId561" display="https://www.aifa.gov.it/documents/20142/3815901/Classe_H_per_principio_attivo_30-04-2026.csv"/>
    <hyperlink ref="L637" r:id="rId562" display="https://www.aifa.gov.it/documents/20142/3815901/Classe_H_per_principio_attivo_30-04-2026.csv"/>
    <hyperlink ref="L638" r:id="rId563" display="https://dmd-browser.nhsbsa.nhs.uk/ampp/view/87667"/>
    <hyperlink ref="L639" r:id="rId564" display="https://www.aponeo.de/rx/17923772-adenosin-baxter-6-mg-2-ml-injektionsloesung.html"/>
    <hyperlink ref="L640" r:id="rId565" display="https://www.cms.gov/files/zip/october-2026-medicare-part-b-payment-limit-files-final.zip"/>
    <hyperlink ref="L641" r:id="rId566" display="https://dmd-browser.nhsbsa.nhs.uk/ampp/view/59566"/>
    <hyperlink ref="L643" r:id="rId567" display="https://dmd-browser.nhsbsa.nhs.uk/ampp/view/110863"/>
    <hyperlink ref="L644" r:id="rId568" display="https://www.aifa.gov.it/documents/20142/3815901/Classe_H_per_principio_attivo_30-04-2026.csv"/>
    <hyperlink ref="L645" r:id="rId569" display="https://www.drugs.com/price-guide/ceftriaxone"/>
    <hyperlink ref="L646" r:id="rId570" display="https://www.drugs.com/price-guide/ceftriaxone"/>
    <hyperlink ref="L647" r:id="rId571" display="https://dmd-browser.nhsbsa.nhs.uk/ampp/view/110861"/>
    <hyperlink ref="L648" r:id="rId572" display="https://www.nhsbsa.nhs.uk/sites/default/files/2026-08/Part%20VIIIA%20Sep%2026.xls.xlsx"/>
    <hyperlink ref="L649" r:id="rId573" display="https://dmd-browser.nhsbsa.nhs.uk/ampp/view/197707"/>
    <hyperlink ref="L650" r:id="rId574" display="https://www.aifa.gov.it/documents/20142/3815901/Classe_H_per_principio_attivo_30-04-2026.csv"/>
    <hyperlink ref="L653" r:id="rId575" display="https://dmd-browser.nhsbsa.nhs.uk/ampp/view/210923"/>
    <hyperlink ref="L654" r:id="rId576" display="https://www.medicijnkosten.nl/medicijn?artikel=HYALURONIDASE+INJ%2FINFUSIEPOEDER+AMPUL+1500IE&amp;id=b89726bfa881dc7b75ae7c2517d4b5b7"/>
    <hyperlink ref="L655" r:id="rId577" display="https://www.nhsbsa.nhs.uk/sites/default/files/2026-08/Part%20VIIIA%20Sep%2026.xls.xlsx"/>
    <hyperlink ref="L656" r:id="rId578" display="https://mediately.co/gr/drugs/YCsx3j2n2qawnnaJDmFwug8Ahhz/metaraminol-so-inj-inf-10mg-ml"/>
    <hyperlink ref="L659" r:id="rId579" display="https://dmd-browser.nhsbsa.nhs.uk/ampp/view/162030"/>
    <hyperlink ref="L660" r:id="rId580" display="https://mediately.co/de/drugs/2JLSD2rNCbtip2an1uWLKQBCmLc/milrinon-carinopharm-1-mg-ml-injektions-infusionslosung"/>
    <hyperlink ref="L661" r:id="rId581" display="https://www.nhsbsa.nhs.uk/sites/default/files/2026-08/Part%20VIIIA%20Sep%2026.xls.xlsx"/>
    <hyperlink ref="L662" r:id="rId582" display="https://www.aifa.gov.it/documents/20142/3815901/Classe_H_per_principio_attivo_30-04-2026.csv"/>
    <hyperlink ref="L663" r:id="rId583" display="https://www.drugs.com/price-guide/oxacillin"/>
    <hyperlink ref="L665" r:id="rId584" display="https://dmd-browser.nhsbsa.nhs.uk/ampp/view/64125"/>
    <hyperlink ref="L666" r:id="rId585" display="https://www.medicinpriser.dk/Default.aspx?VirksomtStof=Protamin"/>
    <hyperlink ref="L667" r:id="rId586" display="https://dmd-browser.nhsbsa.nhs.uk/ampp/view/87654"/>
    <hyperlink ref="L668" r:id="rId587" display="https://www.medicinpriser.dk/Default.aspx?VirksomtStof=Remifentanil"/>
    <hyperlink ref="L669" r:id="rId588" display="https://dmd-browser.nhsbsa.nhs.uk/ampp/view/102025"/>
    <hyperlink ref="L670" r:id="rId589" display="https://www.aifa.gov.it/documents/20142/3815901/Classe_H_per_principio_attivo_30-04-2026.csv"/>
    <hyperlink ref="L671" r:id="rId590" display="https://www.medshop.com.au/products/sodium-valproate-juno-400mg-4ml"/>
    <hyperlink ref="L673" r:id="rId591" display="https://dmd-browser.nhsbsa.nhs.uk/ampp/view/197725"/>
    <hyperlink ref="L674" r:id="rId592" display="https://www.aifa.gov.it/documents/20142/3815901/Classe_H_per_principio_attivo_30-04-2026.csv"/>
    <hyperlink ref="L675" r:id="rId593" display="https://www.aifa.gov.it/documents/20142/3815901/Classe_H_per_principio_attivo_30-04-2026.csv"/>
    <hyperlink ref="L676" r:id="rId594" display="https://www.drugs.com/price-guide/acetazolamide"/>
    <hyperlink ref="L677" r:id="rId595" display="https://www.drugs.com/price-guide/bortezomib"/>
    <hyperlink ref="L678" r:id="rId596" display="https://dmd-browser.nhsbsa.nhs.uk/ampp/view/187562"/>
    <hyperlink ref="L679" r:id="rId597" display="https://www.aifa.gov.it/documents/20142/3815901/Classe_H_per_principio_attivo_30-04-2026.csv"/>
    <hyperlink ref="L680" r:id="rId598" display="https://www.health.gov.za/nhi-pee/"/>
    <hyperlink ref="L681" r:id="rId599" display="https://base-donnees-publique.medicaments.gouv.fr/medicament/66127233/extrait"/>
    <hyperlink ref="L682" r:id="rId600" display="https://www.drugs.com/price-guide/chlorpromazine"/>
    <hyperlink ref="L683" r:id="rId601" display="https://www.drugs.com/price-guide/cisatracurium"/>
    <hyperlink ref="L684" r:id="rId602" display="https://www.drugs.com/price-guide/cisatracurium"/>
    <hyperlink ref="L685" r:id="rId603" display="https://www.drugs.com/price-guide/cyanocobalamin"/>
    <hyperlink ref="L686" r:id="rId604" display="https://www.drugs.com/price-guide/sodium-edecrin"/>
    <hyperlink ref="L687" r:id="rId605" display="https://department.va.gov/procurement-acquisition-and-logistics/wp-content/uploads/sites/56/2026/10/TPharmPrices2026-10-01.xlsx"/>
    <hyperlink ref="L688" r:id="rId606" display="https://www.drugs.com/price-guide/fluorescein"/>
    <hyperlink ref="L690" r:id="rId607" display="https://www.drugs.com/price-guide/fulvestrant"/>
    <hyperlink ref="L691" r:id="rId608" display="https://www.drugs.com/price-guide/haloperidol"/>
    <hyperlink ref="L692" r:id="rId609" display="https://www.drugs.com/price-guide/haloperidol"/>
    <hyperlink ref="L693" r:id="rId610" display="https://www.cms.gov/files/zip/october-2026-medicare-part-b-payment-limit-files-final.zip"/>
    <hyperlink ref="L694" r:id="rId611" display="https://www.drugs.com/price-guide/indocyanine-green"/>
    <hyperlink ref="L695" r:id="rId612" display="https://www.health.gov.za/nhi-pee/"/>
    <hyperlink ref="L696" r:id="rId613" display="https://www.health.gov.za/nhi-pee/"/>
    <hyperlink ref="L697" r:id="rId614" display="https://department.va.gov/procurement-acquisition-and-logistics/wp-content/uploads/sites/56/2026/10/TPharmPrices2026-10-01.xlsx"/>
    <hyperlink ref="L698" r:id="rId615" display="https://www.drugs.com/price-guide/sugammadex"/>
    <hyperlink ref="L699" r:id="rId616" display="https://www.drugs.com/price-guide/sugammadex"/>
    <hyperlink ref="L700" r:id="rId617" display="https://department.va.gov/procurement-acquisition-and-logistics/wp-content/uploads/sites/56/2026/10/TPharmPrices2026-10-01.xls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1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0"/>
  </cols>
  <sheetData>
    <row r="1" customFormat="false" ht="17.35" hidden="false" customHeight="false" outlineLevel="0" collapsed="false">
      <c r="A1" s="1" t="s">
        <v>4068</v>
      </c>
    </row>
    <row r="2" customFormat="false" ht="15" hidden="false" customHeight="false" outlineLevel="0" collapsed="false">
      <c r="A2" s="2"/>
    </row>
    <row r="4" customFormat="false" ht="30" hidden="false" customHeight="true" outlineLevel="0" collapsed="false">
      <c r="A4" s="48" t="s">
        <v>4069</v>
      </c>
      <c r="B4" s="10" t="s">
        <v>4070</v>
      </c>
    </row>
    <row r="5" customFormat="false" ht="45" hidden="false" customHeight="true" outlineLevel="0" collapsed="false">
      <c r="A5" s="48" t="s">
        <v>4071</v>
      </c>
      <c r="B5" s="10" t="s">
        <v>4072</v>
      </c>
    </row>
    <row r="6" customFormat="false" ht="45" hidden="false" customHeight="true" outlineLevel="0" collapsed="false">
      <c r="A6" s="48" t="s">
        <v>4073</v>
      </c>
      <c r="B6" s="10" t="s">
        <v>4074</v>
      </c>
    </row>
    <row r="7" customFormat="false" ht="75" hidden="false" customHeight="true" outlineLevel="0" collapsed="false">
      <c r="A7" s="48" t="s">
        <v>4075</v>
      </c>
      <c r="B7" s="10" t="s">
        <v>4076</v>
      </c>
    </row>
    <row r="8" customFormat="false" ht="60" hidden="false" customHeight="true" outlineLevel="0" collapsed="false">
      <c r="A8" s="48" t="s">
        <v>4077</v>
      </c>
      <c r="B8" s="10" t="s">
        <v>4078</v>
      </c>
    </row>
    <row r="9" customFormat="false" ht="45" hidden="false" customHeight="true" outlineLevel="0" collapsed="false">
      <c r="A9" s="48" t="s">
        <v>66</v>
      </c>
      <c r="B9" s="10" t="s">
        <v>4079</v>
      </c>
    </row>
    <row r="10" customFormat="false" ht="30" hidden="false" customHeight="true" outlineLevel="0" collapsed="false">
      <c r="A10" s="48" t="s">
        <v>4080</v>
      </c>
      <c r="B10" s="10" t="s">
        <v>4081</v>
      </c>
    </row>
    <row r="11" customFormat="false" ht="45" hidden="false" customHeight="true" outlineLevel="0" collapsed="false">
      <c r="A11" s="48" t="s">
        <v>4082</v>
      </c>
      <c r="B11" s="10" t="s">
        <v>4083</v>
      </c>
    </row>
    <row r="12" customFormat="false" ht="60" hidden="false" customHeight="true" outlineLevel="0" collapsed="false">
      <c r="A12" s="48" t="s">
        <v>4084</v>
      </c>
      <c r="B12" s="10" t="s">
        <v>4085</v>
      </c>
    </row>
    <row r="13" customFormat="false" ht="90" hidden="false" customHeight="true" outlineLevel="0" collapsed="false">
      <c r="A13" s="48" t="s">
        <v>4086</v>
      </c>
      <c r="B13" s="10" t="s">
        <v>4087</v>
      </c>
    </row>
    <row r="14" customFormat="false" ht="60" hidden="false" customHeight="true" outlineLevel="0" collapsed="false">
      <c r="A14" s="48" t="s">
        <v>4088</v>
      </c>
      <c r="B14" s="10" t="s">
        <v>4089</v>
      </c>
    </row>
    <row r="15" customFormat="false" ht="120" hidden="false" customHeight="true" outlineLevel="0" collapsed="false">
      <c r="A15" s="48" t="s">
        <v>4090</v>
      </c>
      <c r="B15" s="10" t="s">
        <v>4091</v>
      </c>
    </row>
    <row r="16" customFormat="false" ht="45" hidden="false" customHeight="true" outlineLevel="0" collapsed="false">
      <c r="A16" s="48" t="s">
        <v>4092</v>
      </c>
      <c r="B16" s="10" t="s">
        <v>4093</v>
      </c>
    </row>
    <row r="17" customFormat="false" ht="18" hidden="false" customHeight="true" outlineLevel="0" collapsed="false">
      <c r="A17" s="48" t="s">
        <v>4094</v>
      </c>
      <c r="B17" s="10" t="s">
        <v>4095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2026-10-07T12:40:50Z</dcterms:created>
  <dc:creator>openpyxl</dc:creator>
  <dc:description/>
  <dc:language>en-US</dc:language>
  <cp:lastModifiedBy/>
  <dcterms:modified xsi:type="dcterms:W3CDTF">2026-10-07T12:40:55Z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